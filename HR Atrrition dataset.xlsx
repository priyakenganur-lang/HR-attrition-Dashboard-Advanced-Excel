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Ex1.xml" ContentType="application/vnd.ms-office.chartex+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5.xml" ContentType="application/vnd.openxmlformats-officedocument.themeOverrid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6.xml" ContentType="application/vnd.openxmlformats-officedocument.themeOverrid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excel p\"/>
    </mc:Choice>
  </mc:AlternateContent>
  <xr:revisionPtr revIDLastSave="0" documentId="8_{C9A732EF-BB13-443D-B648-1F64B6A9BF11}" xr6:coauthVersionLast="47" xr6:coauthVersionMax="47" xr10:uidLastSave="{00000000-0000-0000-0000-000000000000}"/>
  <bookViews>
    <workbookView xWindow="-120" yWindow="-120" windowWidth="20730" windowHeight="11040" tabRatio="689" firstSheet="5" activeTab="10" xr2:uid="{A916624B-DD89-4159-8CEE-96F422691B88}"/>
  </bookViews>
  <sheets>
    <sheet name="Sheet2" sheetId="3" r:id="rId1"/>
    <sheet name="Dashboard" sheetId="4" r:id="rId2"/>
    <sheet name="Ratings" sheetId="5" r:id="rId3"/>
    <sheet name="Gender" sheetId="6" r:id="rId4"/>
    <sheet name="Education by attrition" sheetId="7" r:id="rId5"/>
    <sheet name="Attrition by job" sheetId="9" r:id="rId6"/>
    <sheet name="Dept wise attrition" sheetId="10" r:id="rId7"/>
    <sheet name="attrition by age" sheetId="11" r:id="rId8"/>
    <sheet name="Marital status" sheetId="12" r:id="rId9"/>
    <sheet name="Final dataset Attrition" sheetId="1" r:id="rId10"/>
    <sheet name="Sheet1" sheetId="13" r:id="rId11"/>
  </sheets>
  <definedNames>
    <definedName name="_xlchart.v1.0" hidden="1">'Attrition by job'!$D$4:$D$12</definedName>
    <definedName name="_xlchart.v1.1" hidden="1">'Attrition by job'!$E$4:$E$12</definedName>
    <definedName name="_xlchart.v1.2" hidden="1">'Attrition by job'!$D$4:$D$12</definedName>
    <definedName name="_xlchart.v1.3" hidden="1">'Attrition by job'!$E$4:$E$12</definedName>
    <definedName name="Slicer_Department">#N/A</definedName>
    <definedName name="Slicer_Gender">#N/A</definedName>
    <definedName name="Slicer_Gender1">#N/A</definedName>
    <definedName name="Slicer_Gender2">#N/A</definedName>
    <definedName name="Slicer_Higher_Education2">#N/A</definedName>
  </definedNames>
  <calcPr calcId="181029"/>
  <pivotCaches>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12" l="1"/>
  <c r="E6" i="12"/>
  <c r="E4" i="12"/>
  <c r="D11" i="9"/>
  <c r="D12" i="9"/>
  <c r="D5" i="9"/>
  <c r="D6" i="9"/>
  <c r="D7" i="9"/>
  <c r="D8" i="9"/>
  <c r="D9" i="9"/>
  <c r="D10" i="9"/>
  <c r="D4" i="9"/>
  <c r="F5" i="12"/>
  <c r="A7" i="3"/>
  <c r="B10" i="6"/>
  <c r="E12" i="9"/>
  <c r="E4" i="9"/>
  <c r="E6" i="9"/>
  <c r="E8" i="9"/>
  <c r="E9" i="9"/>
  <c r="E7" i="9"/>
  <c r="E5" i="9"/>
  <c r="E10" i="9"/>
  <c r="E11" i="9"/>
  <c r="F4" i="12"/>
  <c r="C7" i="3"/>
  <c r="F6" i="12"/>
  <c r="B7" i="3"/>
  <c r="B6" i="5"/>
  <c r="B9" i="6"/>
  <c r="C9" i="6" l="1"/>
  <c r="C10" i="6"/>
  <c r="C6" i="5"/>
  <c r="B7" i="5"/>
  <c r="C7" i="5" s="1"/>
  <c r="D7" i="3"/>
  <c r="E7" i="3"/>
</calcChain>
</file>

<file path=xl/sharedStrings.xml><?xml version="1.0" encoding="utf-8"?>
<sst xmlns="http://schemas.openxmlformats.org/spreadsheetml/2006/main" count="43109" uniqueCount="792">
  <si>
    <t>Age</t>
  </si>
  <si>
    <t>BusinessTravel</t>
  </si>
  <si>
    <t>Department</t>
  </si>
  <si>
    <t>DistanceFromHome</t>
  </si>
  <si>
    <t>Gender</t>
  </si>
  <si>
    <t>JobInvolvement</t>
  </si>
  <si>
    <t>JobLevel</t>
  </si>
  <si>
    <t>JobRole</t>
  </si>
  <si>
    <t>JobSatisfaction</t>
  </si>
  <si>
    <t>MaritalStatus</t>
  </si>
  <si>
    <t>MonthlyIncome</t>
  </si>
  <si>
    <t>NumCompaniesWorked</t>
  </si>
  <si>
    <t>OverTime</t>
  </si>
  <si>
    <t>PercentSalaryHike</t>
  </si>
  <si>
    <t>PerformanceRating</t>
  </si>
  <si>
    <t>StockOptionLevel</t>
  </si>
  <si>
    <t>TotalWorkingYears</t>
  </si>
  <si>
    <t>TrainingTimesLastYear</t>
  </si>
  <si>
    <t>YearsAtCompany</t>
  </si>
  <si>
    <t>YearsSinceLastPromotion</t>
  </si>
  <si>
    <t>YearsWithCurrManager</t>
  </si>
  <si>
    <t>Higher_Education</t>
  </si>
  <si>
    <t>Date_of_Hire</t>
  </si>
  <si>
    <t>Date_of_termination</t>
  </si>
  <si>
    <t>Status_of_leaving</t>
  </si>
  <si>
    <t>Mode_of_work</t>
  </si>
  <si>
    <t>Leaves</t>
  </si>
  <si>
    <t>Absenteeism</t>
  </si>
  <si>
    <t>Work_accident</t>
  </si>
  <si>
    <t>Source_of_Hire</t>
  </si>
  <si>
    <t>Job_mode</t>
  </si>
  <si>
    <t>Yes</t>
  </si>
  <si>
    <t>Travel_Rarely</t>
  </si>
  <si>
    <t>Research &amp; Development</t>
  </si>
  <si>
    <t>Male</t>
  </si>
  <si>
    <t>Laboratory Technician</t>
  </si>
  <si>
    <t>Single</t>
  </si>
  <si>
    <t>Graduation</t>
  </si>
  <si>
    <t>21-01-2021</t>
  </si>
  <si>
    <t>Salary</t>
  </si>
  <si>
    <t>OFFICE</t>
  </si>
  <si>
    <t>No</t>
  </si>
  <si>
    <t>Job Event</t>
  </si>
  <si>
    <t>Contract</t>
  </si>
  <si>
    <t>Research Scientist</t>
  </si>
  <si>
    <t>13-03-2021</t>
  </si>
  <si>
    <t>Work Accident</t>
  </si>
  <si>
    <t>WFH</t>
  </si>
  <si>
    <t>Recruiter</t>
  </si>
  <si>
    <t>Part Time</t>
  </si>
  <si>
    <t>Research Director</t>
  </si>
  <si>
    <t>Married</t>
  </si>
  <si>
    <t>Post-Graduation</t>
  </si>
  <si>
    <t>23-01-2021</t>
  </si>
  <si>
    <t>Dept.Head</t>
  </si>
  <si>
    <t>Sales</t>
  </si>
  <si>
    <t>Sales Representative</t>
  </si>
  <si>
    <t>Divorced</t>
  </si>
  <si>
    <t>PHD</t>
  </si>
  <si>
    <t>25-04-2021</t>
  </si>
  <si>
    <t>FullTime</t>
  </si>
  <si>
    <t>Female</t>
  </si>
  <si>
    <t>14-06-2021</t>
  </si>
  <si>
    <t>Better Opportunity</t>
  </si>
  <si>
    <t>14-04-2021</t>
  </si>
  <si>
    <t>Job Portal</t>
  </si>
  <si>
    <t>Travel_Frequently</t>
  </si>
  <si>
    <t>Walk-in</t>
  </si>
  <si>
    <t>30-05-2021</t>
  </si>
  <si>
    <t>Work Environment</t>
  </si>
  <si>
    <t>Sales Executive</t>
  </si>
  <si>
    <t>28-02-2021</t>
  </si>
  <si>
    <t>12th</t>
  </si>
  <si>
    <t>17-06-2021</t>
  </si>
  <si>
    <t>25-02-2021</t>
  </si>
  <si>
    <t>Manager</t>
  </si>
  <si>
    <t>25-05-2021</t>
  </si>
  <si>
    <t>30-03-2021</t>
  </si>
  <si>
    <t>Manufacturing Director</t>
  </si>
  <si>
    <t>16-02-2021</t>
  </si>
  <si>
    <t>25-06-2021</t>
  </si>
  <si>
    <t>Non-Travel</t>
  </si>
  <si>
    <t>19-03-2021</t>
  </si>
  <si>
    <t>29-04-2021</t>
  </si>
  <si>
    <t>23-05-2021</t>
  </si>
  <si>
    <t>26-05-2021</t>
  </si>
  <si>
    <t>16-04-2021</t>
  </si>
  <si>
    <t>22-04-2021</t>
  </si>
  <si>
    <t>20-02-2021</t>
  </si>
  <si>
    <t>Healthcare Representative</t>
  </si>
  <si>
    <t>29-01-2021</t>
  </si>
  <si>
    <t>25-01-2021</t>
  </si>
  <si>
    <t>23-03-2021</t>
  </si>
  <si>
    <t>20-03-2021</t>
  </si>
  <si>
    <t>28-02-2020</t>
  </si>
  <si>
    <t>14-04-2020</t>
  </si>
  <si>
    <t>27-04-2020</t>
  </si>
  <si>
    <t>24-03-2020</t>
  </si>
  <si>
    <t>14-06-2020</t>
  </si>
  <si>
    <t>15-01-2020</t>
  </si>
  <si>
    <t>21-04-2020</t>
  </si>
  <si>
    <t>14-05-2020</t>
  </si>
  <si>
    <t>20-02-2020</t>
  </si>
  <si>
    <t>27-03-2020</t>
  </si>
  <si>
    <t>24-01-2020</t>
  </si>
  <si>
    <t>16-06-2020</t>
  </si>
  <si>
    <t>29-03-2020</t>
  </si>
  <si>
    <t>22-03-2020</t>
  </si>
  <si>
    <t>18-03-2020</t>
  </si>
  <si>
    <t>18-05-2020</t>
  </si>
  <si>
    <t>16-05-2020</t>
  </si>
  <si>
    <t>17-05-2020</t>
  </si>
  <si>
    <t>31-05-2020</t>
  </si>
  <si>
    <t>29-05-2020</t>
  </si>
  <si>
    <t>29-01-2020</t>
  </si>
  <si>
    <t>15-04-2020</t>
  </si>
  <si>
    <t>26-04-2020</t>
  </si>
  <si>
    <t>23-02-2020</t>
  </si>
  <si>
    <t>21-05-2020</t>
  </si>
  <si>
    <t>19-05-2020</t>
  </si>
  <si>
    <t>Human Resources</t>
  </si>
  <si>
    <t>21-01-2020</t>
  </si>
  <si>
    <t>22-02-2020</t>
  </si>
  <si>
    <t>17-02-2020</t>
  </si>
  <si>
    <t>26-06-2020</t>
  </si>
  <si>
    <t>30-04-2020</t>
  </si>
  <si>
    <t>25-02-2020</t>
  </si>
  <si>
    <t>13-02-2020</t>
  </si>
  <si>
    <t>28-05-2020</t>
  </si>
  <si>
    <t>30-01-2020</t>
  </si>
  <si>
    <t>24-05-2020</t>
  </si>
  <si>
    <t>30-06-2020</t>
  </si>
  <si>
    <t>13-04-2020</t>
  </si>
  <si>
    <t>26-01-2020</t>
  </si>
  <si>
    <t>24-04-2020</t>
  </si>
  <si>
    <t>27-06-2020</t>
  </si>
  <si>
    <t>16-04-2020</t>
  </si>
  <si>
    <t>13-05-2020</t>
  </si>
  <si>
    <t>18-02-2020</t>
  </si>
  <si>
    <t>25-04-2020</t>
  </si>
  <si>
    <t>25-06-2020</t>
  </si>
  <si>
    <t>31-03-2020</t>
  </si>
  <si>
    <t>23-06-2020</t>
  </si>
  <si>
    <t>17-03-2020</t>
  </si>
  <si>
    <t>14-01-2020</t>
  </si>
  <si>
    <t>19-01-2020</t>
  </si>
  <si>
    <t>21-03-2020</t>
  </si>
  <si>
    <t>22-05-2020</t>
  </si>
  <si>
    <t>30-03-2020</t>
  </si>
  <si>
    <t>18-04-2020</t>
  </si>
  <si>
    <t>28-01-2020</t>
  </si>
  <si>
    <t>17-01-2020</t>
  </si>
  <si>
    <t>31-01-2020</t>
  </si>
  <si>
    <t>26-03-2020</t>
  </si>
  <si>
    <t>19-02-2020</t>
  </si>
  <si>
    <t>14-03-2020</t>
  </si>
  <si>
    <t>15-03-2020</t>
  </si>
  <si>
    <t>20-05-2020</t>
  </si>
  <si>
    <t>13-01-2020</t>
  </si>
  <si>
    <t>21-02-2020</t>
  </si>
  <si>
    <t>16-03-2020</t>
  </si>
  <si>
    <t>26-05-2020</t>
  </si>
  <si>
    <t>15-06-2020</t>
  </si>
  <si>
    <t>14-02-2020</t>
  </si>
  <si>
    <t>13-06-2020</t>
  </si>
  <si>
    <t>18-06-2020</t>
  </si>
  <si>
    <t>19-02-2019</t>
  </si>
  <si>
    <t>16-03-2019</t>
  </si>
  <si>
    <t>26-01-2019</t>
  </si>
  <si>
    <t>16-04-2019</t>
  </si>
  <si>
    <t>17-05-2019</t>
  </si>
  <si>
    <t>27-05-2019</t>
  </si>
  <si>
    <t>30-06-2019</t>
  </si>
  <si>
    <t>13-04-2019</t>
  </si>
  <si>
    <t>19-03-2019</t>
  </si>
  <si>
    <t>27-04-2019</t>
  </si>
  <si>
    <t>28-06-2019</t>
  </si>
  <si>
    <t>22-04-2019</t>
  </si>
  <si>
    <t>24-01-2019</t>
  </si>
  <si>
    <t>29-06-2019</t>
  </si>
  <si>
    <t>21-05-2019</t>
  </si>
  <si>
    <t>29-01-2019</t>
  </si>
  <si>
    <t>25-05-2019</t>
  </si>
  <si>
    <t>19-01-2019</t>
  </si>
  <si>
    <t>15-05-2019</t>
  </si>
  <si>
    <t>13-01-2019</t>
  </si>
  <si>
    <t>26-05-2019</t>
  </si>
  <si>
    <t>19-04-2019</t>
  </si>
  <si>
    <t>23-04-2019</t>
  </si>
  <si>
    <t>27-02-2019</t>
  </si>
  <si>
    <t>22-06-2019</t>
  </si>
  <si>
    <t>22-03-2019</t>
  </si>
  <si>
    <t>24-02-2019</t>
  </si>
  <si>
    <t>18-06-2019</t>
  </si>
  <si>
    <t>20-04-2019</t>
  </si>
  <si>
    <t>24-03-2019</t>
  </si>
  <si>
    <t>24-06-2019</t>
  </si>
  <si>
    <t>20-06-2019</t>
  </si>
  <si>
    <t>19-06-2019</t>
  </si>
  <si>
    <t>29-05-2019</t>
  </si>
  <si>
    <t>22-01-2019</t>
  </si>
  <si>
    <t>21-02-2019</t>
  </si>
  <si>
    <t>13-05-2019</t>
  </si>
  <si>
    <t>31-03-2019</t>
  </si>
  <si>
    <t>14-05-2019</t>
  </si>
  <si>
    <t>25-06-2019</t>
  </si>
  <si>
    <t>30-04-2019</t>
  </si>
  <si>
    <t>28-04-2019</t>
  </si>
  <si>
    <t>15-03-2019</t>
  </si>
  <si>
    <t>16-05-2019</t>
  </si>
  <si>
    <t>22-05-2019</t>
  </si>
  <si>
    <t>17-03-2019</t>
  </si>
  <si>
    <t>14-04-2019</t>
  </si>
  <si>
    <t>21-03-2019</t>
  </si>
  <si>
    <t>27-06-2019</t>
  </si>
  <si>
    <t>24-05-2019</t>
  </si>
  <si>
    <t>15-01-2019</t>
  </si>
  <si>
    <t>23-06-2019</t>
  </si>
  <si>
    <t>17-05-2018</t>
  </si>
  <si>
    <t>17-01-2018</t>
  </si>
  <si>
    <t>27-04-2018</t>
  </si>
  <si>
    <t>23-03-2018</t>
  </si>
  <si>
    <t>18-02-2018</t>
  </si>
  <si>
    <t>13-02-2018</t>
  </si>
  <si>
    <t>18-06-2018</t>
  </si>
  <si>
    <t>24-04-2018</t>
  </si>
  <si>
    <t>25-05-2018</t>
  </si>
  <si>
    <t>24-01-2018</t>
  </si>
  <si>
    <t>21-02-2018</t>
  </si>
  <si>
    <t>25-03-2018</t>
  </si>
  <si>
    <t>26-06-2018</t>
  </si>
  <si>
    <t>17-04-2018</t>
  </si>
  <si>
    <t>15-04-2018</t>
  </si>
  <si>
    <t>20-03-2018</t>
  </si>
  <si>
    <t>24-02-2018</t>
  </si>
  <si>
    <t>20-05-2018</t>
  </si>
  <si>
    <t>23-06-2018</t>
  </si>
  <si>
    <t>26-03-2018</t>
  </si>
  <si>
    <t>20-04-2018</t>
  </si>
  <si>
    <t>16-05-2018</t>
  </si>
  <si>
    <t>22-02-2018</t>
  </si>
  <si>
    <t>27-03-2018</t>
  </si>
  <si>
    <t>29-05-2018</t>
  </si>
  <si>
    <t>23-02-2018</t>
  </si>
  <si>
    <t>14-04-2018</t>
  </si>
  <si>
    <t>28-04-2018</t>
  </si>
  <si>
    <t>22-01-2018</t>
  </si>
  <si>
    <t>17-06-2018</t>
  </si>
  <si>
    <t>30-06-2018</t>
  </si>
  <si>
    <t>30-01-2018</t>
  </si>
  <si>
    <t>30-03-2018</t>
  </si>
  <si>
    <t>14-06-2018</t>
  </si>
  <si>
    <t>25-02-2018</t>
  </si>
  <si>
    <t>18-04-2018</t>
  </si>
  <si>
    <t>20-02-2018</t>
  </si>
  <si>
    <t>24-03-2018</t>
  </si>
  <si>
    <t>16-01-2018</t>
  </si>
  <si>
    <t>18-05-2018</t>
  </si>
  <si>
    <t>29-03-2018</t>
  </si>
  <si>
    <t>14-03-2018</t>
  </si>
  <si>
    <t>27-02-2018</t>
  </si>
  <si>
    <t>17-03-2018</t>
  </si>
  <si>
    <t>19-06-2018</t>
  </si>
  <si>
    <t>21-05-2018</t>
  </si>
  <si>
    <t>21-04-2018</t>
  </si>
  <si>
    <t>26-05-2018</t>
  </si>
  <si>
    <t>28-01-2018</t>
  </si>
  <si>
    <t>16-03-2018</t>
  </si>
  <si>
    <t>15-05-2017</t>
  </si>
  <si>
    <t>29-01-2017</t>
  </si>
  <si>
    <t>27-06-2017</t>
  </si>
  <si>
    <t>22-05-2017</t>
  </si>
  <si>
    <t>27-02-2017</t>
  </si>
  <si>
    <t>16-02-2017</t>
  </si>
  <si>
    <t>23-04-2017</t>
  </si>
  <si>
    <t>21-05-2017</t>
  </si>
  <si>
    <t>22-02-2017</t>
  </si>
  <si>
    <t>17-02-2017</t>
  </si>
  <si>
    <t>28-02-2017</t>
  </si>
  <si>
    <t>21-03-2017</t>
  </si>
  <si>
    <t>24-04-2017</t>
  </si>
  <si>
    <t>29-04-2017</t>
  </si>
  <si>
    <t>22-04-2017</t>
  </si>
  <si>
    <t>14-06-2017</t>
  </si>
  <si>
    <t>25-05-2017</t>
  </si>
  <si>
    <t>24-02-2017</t>
  </si>
  <si>
    <t>15-06-2017</t>
  </si>
  <si>
    <t>16-03-2017</t>
  </si>
  <si>
    <t>13-05-2017</t>
  </si>
  <si>
    <t>24-01-2017</t>
  </si>
  <si>
    <t>14-05-2017</t>
  </si>
  <si>
    <t>18-03-2017</t>
  </si>
  <si>
    <t>25-04-2017</t>
  </si>
  <si>
    <t>29-05-2017</t>
  </si>
  <si>
    <t>22-01-2017</t>
  </si>
  <si>
    <t>15-02-2017</t>
  </si>
  <si>
    <t>20-01-2017</t>
  </si>
  <si>
    <t>29-06-2017</t>
  </si>
  <si>
    <t>20-03-2017</t>
  </si>
  <si>
    <t>17-01-2017</t>
  </si>
  <si>
    <t>24-05-2017</t>
  </si>
  <si>
    <t>27-03-2017</t>
  </si>
  <si>
    <t>17-05-2017</t>
  </si>
  <si>
    <t>16-01-2017</t>
  </si>
  <si>
    <t>23-06-2017</t>
  </si>
  <si>
    <t>24-03-2017</t>
  </si>
  <si>
    <t>18-05-2017</t>
  </si>
  <si>
    <t>25-02-2017</t>
  </si>
  <si>
    <t>13-03-2017</t>
  </si>
  <si>
    <t>21-04-2017</t>
  </si>
  <si>
    <t>24-06-2017</t>
  </si>
  <si>
    <t>26-03-2017</t>
  </si>
  <si>
    <t>30-06-2017</t>
  </si>
  <si>
    <t>25-03-2017</t>
  </si>
  <si>
    <t>14-01-2017</t>
  </si>
  <si>
    <t>31-01-2017</t>
  </si>
  <si>
    <t>13-04-2016</t>
  </si>
  <si>
    <t>18-06-2016</t>
  </si>
  <si>
    <t>17-02-2016</t>
  </si>
  <si>
    <t>24-03-2016</t>
  </si>
  <si>
    <t>25-02-2016</t>
  </si>
  <si>
    <t>29-04-2016</t>
  </si>
  <si>
    <t>23-06-2016</t>
  </si>
  <si>
    <t>14-06-2016</t>
  </si>
  <si>
    <t>17-04-2016</t>
  </si>
  <si>
    <t>17-01-2016</t>
  </si>
  <si>
    <t>23-02-2016</t>
  </si>
  <si>
    <t>22-02-2016</t>
  </si>
  <si>
    <t>20-04-2016</t>
  </si>
  <si>
    <t>18-05-2016</t>
  </si>
  <si>
    <t>22-04-2016</t>
  </si>
  <si>
    <t>15-03-2016</t>
  </si>
  <si>
    <t>28-01-2016</t>
  </si>
  <si>
    <t>13-05-2016</t>
  </si>
  <si>
    <t>25-06-2016</t>
  </si>
  <si>
    <t>24-05-2016</t>
  </si>
  <si>
    <t>28-03-2016</t>
  </si>
  <si>
    <t>26-04-2016</t>
  </si>
  <si>
    <t>24-02-2016</t>
  </si>
  <si>
    <t>18-04-2016</t>
  </si>
  <si>
    <t>30-01-2016</t>
  </si>
  <si>
    <t>15-01-2016</t>
  </si>
  <si>
    <t>27-06-2016</t>
  </si>
  <si>
    <t>22-06-2016</t>
  </si>
  <si>
    <t>28-05-2016</t>
  </si>
  <si>
    <t>27-03-2016</t>
  </si>
  <si>
    <t>21-05-2016</t>
  </si>
  <si>
    <t>24-04-2016</t>
  </si>
  <si>
    <t>27-05-2016</t>
  </si>
  <si>
    <t>15-02-2016</t>
  </si>
  <si>
    <t>27-01-2016</t>
  </si>
  <si>
    <t>22-03-2016</t>
  </si>
  <si>
    <t>20-03-2016</t>
  </si>
  <si>
    <t>17-05-2016</t>
  </si>
  <si>
    <t>14-03-2016</t>
  </si>
  <si>
    <t>18-02-2016</t>
  </si>
  <si>
    <t>14-01-2016</t>
  </si>
  <si>
    <t>16-01-2016</t>
  </si>
  <si>
    <t>18-01-2016</t>
  </si>
  <si>
    <t>20-02-2016</t>
  </si>
  <si>
    <t>31-03-2016</t>
  </si>
  <si>
    <t>26-03-2016</t>
  </si>
  <si>
    <t>19-04-2016</t>
  </si>
  <si>
    <t>21-01-2016</t>
  </si>
  <si>
    <t>24-06-2016</t>
  </si>
  <si>
    <t>22-05-2016</t>
  </si>
  <si>
    <t>31-05-2016</t>
  </si>
  <si>
    <t>29-02-2016</t>
  </si>
  <si>
    <t>29-05-2016</t>
  </si>
  <si>
    <t>30-05-2016</t>
  </si>
  <si>
    <t>30-03-2016</t>
  </si>
  <si>
    <t>16-02-2016</t>
  </si>
  <si>
    <t>23-04-2016</t>
  </si>
  <si>
    <t>28-02-2016</t>
  </si>
  <si>
    <t>29-01-2016</t>
  </si>
  <si>
    <t>14-04-2016</t>
  </si>
  <si>
    <t>26-05-2016</t>
  </si>
  <si>
    <t>13-01-2016</t>
  </si>
  <si>
    <t>14-05-2016</t>
  </si>
  <si>
    <t>19-05-2016</t>
  </si>
  <si>
    <t>24-01-2016</t>
  </si>
  <si>
    <t>25-05-2016</t>
  </si>
  <si>
    <t>26-02-2016</t>
  </si>
  <si>
    <t>13-03-2016</t>
  </si>
  <si>
    <t>13-06-2016</t>
  </si>
  <si>
    <t>25-03-2016</t>
  </si>
  <si>
    <t>15-04-2016</t>
  </si>
  <si>
    <t>24-05-2015</t>
  </si>
  <si>
    <t>29-01-2015</t>
  </si>
  <si>
    <t>20-03-2015</t>
  </si>
  <si>
    <t>19-05-2015</t>
  </si>
  <si>
    <t>28-03-2015</t>
  </si>
  <si>
    <t>27-04-2015</t>
  </si>
  <si>
    <t>26-01-2015</t>
  </si>
  <si>
    <t>19-01-2015</t>
  </si>
  <si>
    <t>27-05-2015</t>
  </si>
  <si>
    <t>20-04-2015</t>
  </si>
  <si>
    <t>18-01-2015</t>
  </si>
  <si>
    <t>17-03-2015</t>
  </si>
  <si>
    <t>23-04-2015</t>
  </si>
  <si>
    <t>20-01-2015</t>
  </si>
  <si>
    <t>30-05-2015</t>
  </si>
  <si>
    <t>22-06-2015</t>
  </si>
  <si>
    <t>18-03-2015</t>
  </si>
  <si>
    <t>26-03-2015</t>
  </si>
  <si>
    <t>16-05-2015</t>
  </si>
  <si>
    <t>27-06-2015</t>
  </si>
  <si>
    <t>28-05-2015</t>
  </si>
  <si>
    <t>26-05-2015</t>
  </si>
  <si>
    <t>14-05-2015</t>
  </si>
  <si>
    <t>23-01-2015</t>
  </si>
  <si>
    <t>20-05-2015</t>
  </si>
  <si>
    <t>14-01-2015</t>
  </si>
  <si>
    <t>27-03-2015</t>
  </si>
  <si>
    <t>25-01-2015</t>
  </si>
  <si>
    <t>30-03-2015</t>
  </si>
  <si>
    <t>24-03-2015</t>
  </si>
  <si>
    <t>14-04-2015</t>
  </si>
  <si>
    <t>25-03-2015</t>
  </si>
  <si>
    <t>18-05-2015</t>
  </si>
  <si>
    <t>31-05-2015</t>
  </si>
  <si>
    <t>26-04-2015</t>
  </si>
  <si>
    <t>16-06-2015</t>
  </si>
  <si>
    <t>24-06-2015</t>
  </si>
  <si>
    <t>13-02-2015</t>
  </si>
  <si>
    <t>31-03-2015</t>
  </si>
  <si>
    <t>27-01-2015</t>
  </si>
  <si>
    <t>28-03-2014</t>
  </si>
  <si>
    <t>31-03-2014</t>
  </si>
  <si>
    <t>20-04-2014</t>
  </si>
  <si>
    <t>22-06-2014</t>
  </si>
  <si>
    <t>17-06-2014</t>
  </si>
  <si>
    <t>21-04-2014</t>
  </si>
  <si>
    <t>25-04-2014</t>
  </si>
  <si>
    <t>19-01-2014</t>
  </si>
  <si>
    <t>17-05-2014</t>
  </si>
  <si>
    <t>27-03-2014</t>
  </si>
  <si>
    <t>29-03-2014</t>
  </si>
  <si>
    <t>28-01-2014</t>
  </si>
  <si>
    <t>26-03-2014</t>
  </si>
  <si>
    <t>19-03-2014</t>
  </si>
  <si>
    <t>23-05-2014</t>
  </si>
  <si>
    <t>17-04-2014</t>
  </si>
  <si>
    <t>23-06-2014</t>
  </si>
  <si>
    <t>19-04-2014</t>
  </si>
  <si>
    <t>30-05-2014</t>
  </si>
  <si>
    <t>18-02-2014</t>
  </si>
  <si>
    <t>14-01-2014</t>
  </si>
  <si>
    <t>23-02-2014</t>
  </si>
  <si>
    <t>19-02-2014</t>
  </si>
  <si>
    <t>13-06-2014</t>
  </si>
  <si>
    <t>13-01-2014</t>
  </si>
  <si>
    <t>24-02-2014</t>
  </si>
  <si>
    <t>14-06-2014</t>
  </si>
  <si>
    <t>15-05-2014</t>
  </si>
  <si>
    <t>27-04-2014</t>
  </si>
  <si>
    <t>22-01-2014</t>
  </si>
  <si>
    <t>15-03-2014</t>
  </si>
  <si>
    <t>22-04-2014</t>
  </si>
  <si>
    <t>20-05-2014</t>
  </si>
  <si>
    <t>16-01-2014</t>
  </si>
  <si>
    <t>14-04-2014</t>
  </si>
  <si>
    <t>16-02-2014</t>
  </si>
  <si>
    <t>24-05-2014</t>
  </si>
  <si>
    <t>14-02-2014</t>
  </si>
  <si>
    <t>28-06-2014</t>
  </si>
  <si>
    <t>14-05-2014</t>
  </si>
  <si>
    <t>22-02-2014</t>
  </si>
  <si>
    <t>15-04-2014</t>
  </si>
  <si>
    <t>23-03-2014</t>
  </si>
  <si>
    <t>20-03-2014</t>
  </si>
  <si>
    <t>31-01-2014</t>
  </si>
  <si>
    <t>26-04-2013</t>
  </si>
  <si>
    <t>30-03-2013</t>
  </si>
  <si>
    <t>13-02-2013</t>
  </si>
  <si>
    <t>27-03-2013</t>
  </si>
  <si>
    <t>22-01-2013</t>
  </si>
  <si>
    <t>18-04-2013</t>
  </si>
  <si>
    <t>23-01-2013</t>
  </si>
  <si>
    <t>24-06-2013</t>
  </si>
  <si>
    <t>26-01-2013</t>
  </si>
  <si>
    <t>17-02-2013</t>
  </si>
  <si>
    <t>28-03-2013</t>
  </si>
  <si>
    <t>25-06-2013</t>
  </si>
  <si>
    <t>28-06-2013</t>
  </si>
  <si>
    <t>25-04-2013</t>
  </si>
  <si>
    <t>25-03-2013</t>
  </si>
  <si>
    <t>13-05-2013</t>
  </si>
  <si>
    <t>26-03-2013</t>
  </si>
  <si>
    <t>13-03-2013</t>
  </si>
  <si>
    <t>20-01-2013</t>
  </si>
  <si>
    <t>24-02-2013</t>
  </si>
  <si>
    <t>24-01-2013</t>
  </si>
  <si>
    <t>17-03-2013</t>
  </si>
  <si>
    <t>31-03-2013</t>
  </si>
  <si>
    <t>17-05-2013</t>
  </si>
  <si>
    <t>23-02-2013</t>
  </si>
  <si>
    <t>27-04-2013</t>
  </si>
  <si>
    <t>30-01-2013</t>
  </si>
  <si>
    <t>16-04-2013</t>
  </si>
  <si>
    <t>20-02-2013</t>
  </si>
  <si>
    <t>19-03-2013</t>
  </si>
  <si>
    <t>25-05-2013</t>
  </si>
  <si>
    <t>15-01-2013</t>
  </si>
  <si>
    <t>16-03-2013</t>
  </si>
  <si>
    <t>21-01-2013</t>
  </si>
  <si>
    <t>16-05-2013</t>
  </si>
  <si>
    <t>23-05-2013</t>
  </si>
  <si>
    <t>20-04-2013</t>
  </si>
  <si>
    <t>15-06-2013</t>
  </si>
  <si>
    <t>13-06-2013</t>
  </si>
  <si>
    <t>16-02-2013</t>
  </si>
  <si>
    <t>18-02-2013</t>
  </si>
  <si>
    <t>22-06-2013</t>
  </si>
  <si>
    <t>26-05-2013</t>
  </si>
  <si>
    <t>14-05-2012</t>
  </si>
  <si>
    <t>24-04-2012</t>
  </si>
  <si>
    <t>21-02-2012</t>
  </si>
  <si>
    <t>27-06-2012</t>
  </si>
  <si>
    <t>25-04-2012</t>
  </si>
  <si>
    <t>19-05-2012</t>
  </si>
  <si>
    <t>26-04-2012</t>
  </si>
  <si>
    <t>20-02-2012</t>
  </si>
  <si>
    <t>22-04-2012</t>
  </si>
  <si>
    <t>17-02-2012</t>
  </si>
  <si>
    <t>23-02-2012</t>
  </si>
  <si>
    <t>13-04-2012</t>
  </si>
  <si>
    <t>15-02-2012</t>
  </si>
  <si>
    <t>15-01-2012</t>
  </si>
  <si>
    <t>28-03-2012</t>
  </si>
  <si>
    <t>15-05-2012</t>
  </si>
  <si>
    <t>13-06-2012</t>
  </si>
  <si>
    <t>18-02-2012</t>
  </si>
  <si>
    <t>19-06-2012</t>
  </si>
  <si>
    <t>30-04-2012</t>
  </si>
  <si>
    <t>24-03-2012</t>
  </si>
  <si>
    <t>16-05-2012</t>
  </si>
  <si>
    <t>14-06-2012</t>
  </si>
  <si>
    <t>20-03-2012</t>
  </si>
  <si>
    <t>29-02-2012</t>
  </si>
  <si>
    <t>18-04-2012</t>
  </si>
  <si>
    <t>15-03-2012</t>
  </si>
  <si>
    <t>16-03-2012</t>
  </si>
  <si>
    <t>28-04-2012</t>
  </si>
  <si>
    <t>28-01-2012</t>
  </si>
  <si>
    <t>16-02-2012</t>
  </si>
  <si>
    <t>30-06-2012</t>
  </si>
  <si>
    <t>19-02-2012</t>
  </si>
  <si>
    <t>28-05-2012</t>
  </si>
  <si>
    <t>23-06-2012</t>
  </si>
  <si>
    <t>26-06-2012</t>
  </si>
  <si>
    <t>16-06-2012</t>
  </si>
  <si>
    <t>24-02-2012</t>
  </si>
  <si>
    <t>17-03-2012</t>
  </si>
  <si>
    <t>27-03-2011</t>
  </si>
  <si>
    <t>20-06-2011</t>
  </si>
  <si>
    <t>22-03-2011</t>
  </si>
  <si>
    <t>15-05-2011</t>
  </si>
  <si>
    <t>30-06-2011</t>
  </si>
  <si>
    <t>27-04-2011</t>
  </si>
  <si>
    <t>21-06-2011</t>
  </si>
  <si>
    <t>21-04-2011</t>
  </si>
  <si>
    <t>18-02-2011</t>
  </si>
  <si>
    <t>24-05-2011</t>
  </si>
  <si>
    <t>20-04-2011</t>
  </si>
  <si>
    <t>17-04-2011</t>
  </si>
  <si>
    <t>13-01-2011</t>
  </si>
  <si>
    <t>31-01-2011</t>
  </si>
  <si>
    <t>17-06-2011</t>
  </si>
  <si>
    <t>30-05-2011</t>
  </si>
  <si>
    <t>17-01-2011</t>
  </si>
  <si>
    <t>23-05-2011</t>
  </si>
  <si>
    <t>21-03-2011</t>
  </si>
  <si>
    <t>23-01-2011</t>
  </si>
  <si>
    <t>27-02-2011</t>
  </si>
  <si>
    <t>16-01-2011</t>
  </si>
  <si>
    <t>22-04-2011</t>
  </si>
  <si>
    <t>29-01-2011</t>
  </si>
  <si>
    <t>13-04-2011</t>
  </si>
  <si>
    <t>27-06-2011</t>
  </si>
  <si>
    <t>19-02-2011</t>
  </si>
  <si>
    <t>18-05-2011</t>
  </si>
  <si>
    <t>27-05-2011</t>
  </si>
  <si>
    <t>23-03-2011</t>
  </si>
  <si>
    <t>26-05-2011</t>
  </si>
  <si>
    <t>25-04-2011</t>
  </si>
  <si>
    <t>21-01-2011</t>
  </si>
  <si>
    <t>25-05-2011</t>
  </si>
  <si>
    <t>16-05-2011</t>
  </si>
  <si>
    <t>28-06-2011</t>
  </si>
  <si>
    <t>22-05-2011</t>
  </si>
  <si>
    <t>19-03-2011</t>
  </si>
  <si>
    <t>30-03-2011</t>
  </si>
  <si>
    <t>26-02-2011</t>
  </si>
  <si>
    <t>28-02-2011</t>
  </si>
  <si>
    <t>24-02-2011</t>
  </si>
  <si>
    <t>26-03-2011</t>
  </si>
  <si>
    <t>16-03-2011</t>
  </si>
  <si>
    <t>20-03-2011</t>
  </si>
  <si>
    <t>18-01-2011</t>
  </si>
  <si>
    <t>18-04-2011</t>
  </si>
  <si>
    <t>23-02-2011</t>
  </si>
  <si>
    <t>19-04-2011</t>
  </si>
  <si>
    <t>23-03-2010</t>
  </si>
  <si>
    <t>28-05-2010</t>
  </si>
  <si>
    <t>21-06-2010</t>
  </si>
  <si>
    <t>17-01-2010</t>
  </si>
  <si>
    <t>29-06-2010</t>
  </si>
  <si>
    <t>14-01-2010</t>
  </si>
  <si>
    <t>29-03-2010</t>
  </si>
  <si>
    <t>30-03-2010</t>
  </si>
  <si>
    <t>18-03-2010</t>
  </si>
  <si>
    <t>22-06-2010</t>
  </si>
  <si>
    <t>19-03-2010</t>
  </si>
  <si>
    <t>19-06-2010</t>
  </si>
  <si>
    <t>15-04-2010</t>
  </si>
  <si>
    <t>24-06-2010</t>
  </si>
  <si>
    <t>24-02-2010</t>
  </si>
  <si>
    <t>15-06-2010</t>
  </si>
  <si>
    <t>28-06-2010</t>
  </si>
  <si>
    <t>24-05-2010</t>
  </si>
  <si>
    <t>15-03-2010</t>
  </si>
  <si>
    <t>26-06-2010</t>
  </si>
  <si>
    <t>16-04-2010</t>
  </si>
  <si>
    <t>18-04-2010</t>
  </si>
  <si>
    <t>13-04-2010</t>
  </si>
  <si>
    <t>28-04-2010</t>
  </si>
  <si>
    <t>13-06-2010</t>
  </si>
  <si>
    <t>25-02-2009</t>
  </si>
  <si>
    <t>25-05-2009</t>
  </si>
  <si>
    <t>31-03-2009</t>
  </si>
  <si>
    <t>19-01-2009</t>
  </si>
  <si>
    <t>25-03-2009</t>
  </si>
  <si>
    <t>16-03-2009</t>
  </si>
  <si>
    <t>30-04-2009</t>
  </si>
  <si>
    <t>23-02-2008</t>
  </si>
  <si>
    <t>22-02-2008</t>
  </si>
  <si>
    <t>18-05-2008</t>
  </si>
  <si>
    <t>20-02-2008</t>
  </si>
  <si>
    <t>29-05-2008</t>
  </si>
  <si>
    <t>22-01-2008</t>
  </si>
  <si>
    <t>21-01-2008</t>
  </si>
  <si>
    <t>25-05-2008</t>
  </si>
  <si>
    <t>15-03-2008</t>
  </si>
  <si>
    <t>24-03-2008</t>
  </si>
  <si>
    <t>20-04-2008</t>
  </si>
  <si>
    <t>22-06-2008</t>
  </si>
  <si>
    <t>19-04-2008</t>
  </si>
  <si>
    <t>24-06-2008</t>
  </si>
  <si>
    <t>13-03-2007</t>
  </si>
  <si>
    <t>25-03-2007</t>
  </si>
  <si>
    <t>27-05-2007</t>
  </si>
  <si>
    <t>16-02-2007</t>
  </si>
  <si>
    <t>15-03-2007</t>
  </si>
  <si>
    <t>27-06-2007</t>
  </si>
  <si>
    <t>19-04-2007</t>
  </si>
  <si>
    <t>19-03-2007</t>
  </si>
  <si>
    <t>18-04-2007</t>
  </si>
  <si>
    <t>31-05-2006</t>
  </si>
  <si>
    <t>25-06-2006</t>
  </si>
  <si>
    <t>17-05-2006</t>
  </si>
  <si>
    <t>23-05-2006</t>
  </si>
  <si>
    <t>30-04-2006</t>
  </si>
  <si>
    <t>13-06-2006</t>
  </si>
  <si>
    <t>28-03-2006</t>
  </si>
  <si>
    <t>14-06-2006</t>
  </si>
  <si>
    <t>24-03-2006</t>
  </si>
  <si>
    <t>30-05-2006</t>
  </si>
  <si>
    <t>25-02-2006</t>
  </si>
  <si>
    <t>24-04-2006</t>
  </si>
  <si>
    <t>26-03-2005</t>
  </si>
  <si>
    <t>17-04-2005</t>
  </si>
  <si>
    <t>28-02-2005</t>
  </si>
  <si>
    <t>23-03-2005</t>
  </si>
  <si>
    <t>18-05-2005</t>
  </si>
  <si>
    <t>25-05-2005</t>
  </si>
  <si>
    <t>20-01-2005</t>
  </si>
  <si>
    <t>15-03-2005</t>
  </si>
  <si>
    <t>23-06-2005</t>
  </si>
  <si>
    <t>14-06-2005</t>
  </si>
  <si>
    <t>23-05-2004</t>
  </si>
  <si>
    <t>27-05-2004</t>
  </si>
  <si>
    <t>22-01-2004</t>
  </si>
  <si>
    <t>19-03-2004</t>
  </si>
  <si>
    <t>21-06-2004</t>
  </si>
  <si>
    <t>16-06-2004</t>
  </si>
  <si>
    <t>31-05-2003</t>
  </si>
  <si>
    <t>22-04-2003</t>
  </si>
  <si>
    <t>19-02-2003</t>
  </si>
  <si>
    <t>28-06-2003</t>
  </si>
  <si>
    <t>17-03-2003</t>
  </si>
  <si>
    <t>23-06-2003</t>
  </si>
  <si>
    <t>27-01-2003</t>
  </si>
  <si>
    <t>27-01-2002</t>
  </si>
  <si>
    <t>14-06-2002</t>
  </si>
  <si>
    <t>30-03-2002</t>
  </si>
  <si>
    <t>30-01-2002</t>
  </si>
  <si>
    <t>24-03-2002</t>
  </si>
  <si>
    <t>23-02-2002</t>
  </si>
  <si>
    <t>27-06-2002</t>
  </si>
  <si>
    <t>27-06-2001</t>
  </si>
  <si>
    <t>15-02-2001</t>
  </si>
  <si>
    <t>20-05-2001</t>
  </si>
  <si>
    <t>23-04-2001</t>
  </si>
  <si>
    <t>25-01-2001</t>
  </si>
  <si>
    <t>17-03-2001</t>
  </si>
  <si>
    <t>21-02-2001</t>
  </si>
  <si>
    <t>19-01-2001</t>
  </si>
  <si>
    <t>15-06-2001</t>
  </si>
  <si>
    <t>21-03-2001</t>
  </si>
  <si>
    <t>22-05-2001</t>
  </si>
  <si>
    <t>17-01-2001</t>
  </si>
  <si>
    <t>23-01-2001</t>
  </si>
  <si>
    <t>29-06-2001</t>
  </si>
  <si>
    <t>29-02-2000</t>
  </si>
  <si>
    <t>13-02-2000</t>
  </si>
  <si>
    <t>27-02-2000</t>
  </si>
  <si>
    <t>26-05-2000</t>
  </si>
  <si>
    <t>16-03-2000</t>
  </si>
  <si>
    <t>25-04-2000</t>
  </si>
  <si>
    <t>15-02-2000</t>
  </si>
  <si>
    <t>18-01-2000</t>
  </si>
  <si>
    <t>20-03-1999</t>
  </si>
  <si>
    <t>24-02-1999</t>
  </si>
  <si>
    <t>29-01-1999</t>
  </si>
  <si>
    <t>22-06-1999</t>
  </si>
  <si>
    <t>20-02-1999</t>
  </si>
  <si>
    <t>25-06-1999</t>
  </si>
  <si>
    <t>19-05-1999</t>
  </si>
  <si>
    <t>20-01-1999</t>
  </si>
  <si>
    <t>17-04-1999</t>
  </si>
  <si>
    <t>23-03-1998</t>
  </si>
  <si>
    <t>18-05-1998</t>
  </si>
  <si>
    <t>23-05-1997</t>
  </si>
  <si>
    <t>30-05-1997</t>
  </si>
  <si>
    <t>16-04-1997</t>
  </si>
  <si>
    <t>20-02-1997</t>
  </si>
  <si>
    <t>30-03-1997</t>
  </si>
  <si>
    <t>13-05-1997</t>
  </si>
  <si>
    <t>19-06-1969</t>
  </si>
  <si>
    <t>13-04-1995</t>
  </si>
  <si>
    <t>27-02-1995</t>
  </si>
  <si>
    <t>19-06-1995</t>
  </si>
  <si>
    <t>29-06-1994</t>
  </si>
  <si>
    <t>30-04-1994</t>
  </si>
  <si>
    <t>29-02-1992</t>
  </si>
  <si>
    <t>31-03-1992</t>
  </si>
  <si>
    <t>13-05-1990</t>
  </si>
  <si>
    <t>13-04-1990</t>
  </si>
  <si>
    <t>19-06-1989</t>
  </si>
  <si>
    <t>17-05-1989</t>
  </si>
  <si>
    <t>30-03-1989</t>
  </si>
  <si>
    <t>14-03-1988</t>
  </si>
  <si>
    <t>20-06-1988</t>
  </si>
  <si>
    <t>20-01-1985</t>
  </si>
  <si>
    <t>17-02-1985</t>
  </si>
  <si>
    <t>29-06-1984</t>
  </si>
  <si>
    <t>Emp No.</t>
  </si>
  <si>
    <t>Hourly Rate</t>
  </si>
  <si>
    <t>Standard Hours</t>
  </si>
  <si>
    <t>Years In Current Role</t>
  </si>
  <si>
    <t>Count of Emp No.</t>
  </si>
  <si>
    <t>CF_attrition count</t>
  </si>
  <si>
    <t>CF_attrition counts</t>
  </si>
  <si>
    <t>CF_attrition rate</t>
  </si>
  <si>
    <t>CF_current Employee</t>
  </si>
  <si>
    <t>CF_attrition label</t>
  </si>
  <si>
    <t>Ex-Employees</t>
  </si>
  <si>
    <t>Current Employees</t>
  </si>
  <si>
    <t>Attrition2</t>
  </si>
  <si>
    <t>Sum of CF_attrition counts</t>
  </si>
  <si>
    <t>Average of Age</t>
  </si>
  <si>
    <t>Total Employees</t>
  </si>
  <si>
    <t>Attrition Counts</t>
  </si>
  <si>
    <t>Average Age</t>
  </si>
  <si>
    <t>Active Employees</t>
  </si>
  <si>
    <t>Attrition Rate</t>
  </si>
  <si>
    <t>Average of JobSatisfaction</t>
  </si>
  <si>
    <t>Rating</t>
  </si>
  <si>
    <t>Balance Rating</t>
  </si>
  <si>
    <t>Row Labels</t>
  </si>
  <si>
    <t>Grand Total</t>
  </si>
  <si>
    <t>Sum of CF_attrition count</t>
  </si>
  <si>
    <t>Job role</t>
  </si>
  <si>
    <t>Attrition</t>
  </si>
  <si>
    <t>18-27</t>
  </si>
  <si>
    <t>28-37</t>
  </si>
  <si>
    <t>38-47</t>
  </si>
  <si>
    <t>48-57</t>
  </si>
  <si>
    <t>58-67</t>
  </si>
  <si>
    <t>Count of Attrition2</t>
  </si>
  <si>
    <t>Marital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</si>
</sst>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xf>
    <xf numFmtId="9" fontId="0" fillId="0" borderId="0" xfId="42" applyFont="1"/>
    <xf numFmtId="164" fontId="0" fillId="0" borderId="0" xfId="0" applyNumberFormat="1"/>
    <xf numFmtId="1" fontId="0" fillId="0" borderId="0" xfId="0" applyNumberFormat="1"/>
    <xf numFmtId="10" fontId="0" fillId="0" borderId="0" xfId="42" applyNumberFormat="1" applyFont="1"/>
    <xf numFmtId="0" fontId="0" fillId="0" borderId="0" xfId="0" pivotButton="1"/>
    <xf numFmtId="0" fontId="0" fillId="0" borderId="0" xfId="0" applyAlignment="1">
      <alignment horizontal="left"/>
    </xf>
    <xf numFmtId="1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numFmt numFmtId="164" formatCode="0.0"/>
    </dxf>
    <dxf>
      <font>
        <b/>
        <i val="0"/>
        <sz val="14"/>
        <color theme="0"/>
        <name val="Calibri"/>
        <family val="2"/>
        <scheme val="minor"/>
      </font>
      <fill>
        <gradientFill degree="180">
          <stop position="0">
            <color theme="0"/>
          </stop>
          <stop position="1">
            <color theme="4"/>
          </stop>
        </gradientFill>
      </fill>
    </dxf>
  </dxfs>
  <tableStyles count="1" defaultTableStyle="TableStyleMedium2" defaultPivotStyle="PivotStyleLight16">
    <tableStyle name="Slicer " pivot="0" table="0" count="3" xr9:uid="{7CCA6096-5676-4A99-BE64-126918918390}">
      <tableStyleElement type="wholeTable" dxfId="7"/>
    </tableStyle>
  </tableStyles>
  <colors>
    <mruColors>
      <color rgb="FFCCECFF"/>
      <color rgb="FF789BE2"/>
      <color rgb="FF3960AD"/>
      <color rgb="FF236199"/>
      <color rgb="FFD278CC"/>
      <color rgb="FFD74181"/>
      <color rgb="FFCF4DC9"/>
      <color rgb="FF9195EB"/>
      <color rgb="FFFBF7FB"/>
      <color rgb="FF3B6ABF"/>
    </mruColors>
  </colors>
  <extLst>
    <ext xmlns:x14="http://schemas.microsoft.com/office/spreadsheetml/2009/9/main" uri="{46F421CA-312F-682f-3DD2-61675219B42D}">
      <x14:dxfs count="2">
        <dxf>
          <fill>
            <gradientFill degree="180">
              <stop position="0">
                <color theme="0"/>
              </stop>
              <stop position="1">
                <color theme="7" tint="-0.25098422193060094"/>
              </stop>
            </gradientFill>
          </fill>
        </dxf>
        <dxf>
          <font>
            <b/>
            <i val="0"/>
            <sz val="14"/>
            <name val="Calibri"/>
            <family val="2"/>
            <scheme val="minor"/>
          </font>
          <fill>
            <gradientFill degree="180">
              <stop position="0">
                <color theme="9" tint="0.40000610370189521"/>
              </stop>
              <stop position="1">
                <color theme="9" tint="-0.49803155613879818"/>
              </stop>
            </gradientFill>
          </fill>
        </dxf>
      </x14:dxfs>
    </ext>
    <ext xmlns:x14="http://schemas.microsoft.com/office/spreadsheetml/2009/9/main" uri="{EB79DEF2-80B8-43e5-95BD-54CBDDF9020C}">
      <x14:slicerStyles defaultSlicerStyle="SlicerStyleLight1">
        <x14:slicerStyle name="Slicer ">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3562925583399363E-3"/>
          <c:y val="8.8253859272219889E-2"/>
          <c:w val="0.99464370744166009"/>
          <c:h val="0.89814814814814814"/>
        </c:manualLayout>
      </c:layout>
      <c:barChart>
        <c:barDir val="bar"/>
        <c:grouping val="stacked"/>
        <c:varyColors val="0"/>
        <c:ser>
          <c:idx val="0"/>
          <c:order val="0"/>
          <c:spPr>
            <a:solidFill>
              <a:srgbClr val="ED7D31">
                <a:lumMod val="50000"/>
              </a:srgbClr>
            </a:solidFill>
            <a:ln>
              <a:noFill/>
            </a:ln>
            <a:effectLst/>
          </c:spPr>
          <c:invertIfNegative val="0"/>
          <c:val>
            <c:numRef>
              <c:f>Ratings!$B$6</c:f>
              <c:numCache>
                <c:formatCode>0.0</c:formatCode>
                <c:ptCount val="1"/>
                <c:pt idx="0">
                  <c:v>2.6872586872586872</c:v>
                </c:pt>
              </c:numCache>
            </c:numRef>
          </c:val>
          <c:extLst>
            <c:ext xmlns:c16="http://schemas.microsoft.com/office/drawing/2014/chart" uri="{C3380CC4-5D6E-409C-BE32-E72D297353CC}">
              <c16:uniqueId val="{00000000-0DB7-4B0A-B389-C2B1B3A288AF}"/>
            </c:ext>
          </c:extLst>
        </c:ser>
        <c:ser>
          <c:idx val="1"/>
          <c:order val="1"/>
          <c:spPr>
            <a:noFill/>
            <a:ln>
              <a:noFill/>
            </a:ln>
            <a:effectLst/>
          </c:spPr>
          <c:invertIfNegative val="0"/>
          <c:val>
            <c:numRef>
              <c:f>Ratings!$B$7</c:f>
              <c:numCache>
                <c:formatCode>0.0</c:formatCode>
                <c:ptCount val="1"/>
                <c:pt idx="0">
                  <c:v>1.3127413127413128</c:v>
                </c:pt>
              </c:numCache>
            </c:numRef>
          </c:val>
          <c:extLst>
            <c:ext xmlns:c16="http://schemas.microsoft.com/office/drawing/2014/chart" uri="{C3380CC4-5D6E-409C-BE32-E72D297353CC}">
              <c16:uniqueId val="{00000001-0DB7-4B0A-B389-C2B1B3A288AF}"/>
            </c:ext>
          </c:extLst>
        </c:ser>
        <c:dLbls>
          <c:showLegendKey val="0"/>
          <c:showVal val="0"/>
          <c:showCatName val="0"/>
          <c:showSerName val="0"/>
          <c:showPercent val="0"/>
          <c:showBubbleSize val="0"/>
        </c:dLbls>
        <c:gapWidth val="0"/>
        <c:overlap val="100"/>
        <c:axId val="997877584"/>
        <c:axId val="997878544"/>
      </c:barChart>
      <c:catAx>
        <c:axId val="997877584"/>
        <c:scaling>
          <c:orientation val="minMax"/>
        </c:scaling>
        <c:delete val="1"/>
        <c:axPos val="l"/>
        <c:majorTickMark val="out"/>
        <c:minorTickMark val="none"/>
        <c:tickLblPos val="nextTo"/>
        <c:crossAx val="997878544"/>
        <c:crosses val="autoZero"/>
        <c:auto val="1"/>
        <c:lblAlgn val="ctr"/>
        <c:lblOffset val="100"/>
        <c:noMultiLvlLbl val="0"/>
      </c:catAx>
      <c:valAx>
        <c:axId val="997878544"/>
        <c:scaling>
          <c:orientation val="minMax"/>
          <c:max val="4"/>
        </c:scaling>
        <c:delete val="1"/>
        <c:axPos val="b"/>
        <c:numFmt formatCode="0.0" sourceLinked="1"/>
        <c:majorTickMark val="out"/>
        <c:minorTickMark val="none"/>
        <c:tickLblPos val="nextTo"/>
        <c:crossAx val="997877584"/>
        <c:crosses val="autoZero"/>
        <c:crossBetween val="between"/>
      </c:valAx>
      <c:spPr>
        <a:noFill/>
        <a:ln w="22225">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96825978763479"/>
          <c:y val="6.3398467255960642E-2"/>
          <c:w val="0.7439152372266955"/>
          <c:h val="0.73516371340349429"/>
        </c:manualLayout>
      </c:layout>
      <c:doughnutChart>
        <c:varyColors val="1"/>
        <c:ser>
          <c:idx val="0"/>
          <c:order val="0"/>
          <c:spPr>
            <a:ln w="12700">
              <a:solidFill>
                <a:schemeClr val="bg1"/>
              </a:solidFill>
            </a:ln>
          </c:spPr>
          <c:dPt>
            <c:idx val="0"/>
            <c:bubble3D val="0"/>
            <c:spPr>
              <a:solidFill>
                <a:schemeClr val="accent6">
                  <a:lumMod val="50000"/>
                  <a:alpha val="76000"/>
                </a:schemeClr>
              </a:solidFill>
              <a:ln w="12700">
                <a:gradFill flip="none" rotWithShape="1">
                  <a:gsLst>
                    <a:gs pos="94250">
                      <a:srgbClr val="A7C593"/>
                    </a:gs>
                    <a:gs pos="92000">
                      <a:srgbClr val="88AA72"/>
                    </a:gs>
                    <a:gs pos="77000">
                      <a:srgbClr val="4A7330">
                        <a:alpha val="62000"/>
                      </a:srgbClr>
                    </a:gs>
                    <a:gs pos="100000">
                      <a:schemeClr val="accent6">
                        <a:lumMod val="40000"/>
                        <a:lumOff val="60000"/>
                      </a:schemeClr>
                    </a:gs>
                    <a:gs pos="74000">
                      <a:srgbClr val="4A7330"/>
                    </a:gs>
                  </a:gsLst>
                  <a:path path="circle">
                    <a:fillToRect l="50000" t="130000" r="50000" b="-30000"/>
                  </a:path>
                  <a:tileRect/>
                </a:gradFill>
              </a:ln>
              <a:effectLst/>
            </c:spPr>
            <c:extLst>
              <c:ext xmlns:c16="http://schemas.microsoft.com/office/drawing/2014/chart" uri="{C3380CC4-5D6E-409C-BE32-E72D297353CC}">
                <c16:uniqueId val="{00000001-AB07-48BC-95CC-39C17B11760B}"/>
              </c:ext>
            </c:extLst>
          </c:dPt>
          <c:dPt>
            <c:idx val="1"/>
            <c:bubble3D val="0"/>
            <c:spPr>
              <a:noFill/>
              <a:ln w="12700">
                <a:noFill/>
              </a:ln>
              <a:effectLst/>
            </c:spPr>
            <c:extLst>
              <c:ext xmlns:c16="http://schemas.microsoft.com/office/drawing/2014/chart" uri="{C3380CC4-5D6E-409C-BE32-E72D297353CC}">
                <c16:uniqueId val="{00000003-AB07-48BC-95CC-39C17B11760B}"/>
              </c:ext>
            </c:extLst>
          </c:dPt>
          <c:val>
            <c:numRef>
              <c:f>Ratings!$C$6:$C$7</c:f>
              <c:numCache>
                <c:formatCode>General</c:formatCode>
                <c:ptCount val="2"/>
                <c:pt idx="0">
                  <c:v>0.6718146718146718</c:v>
                </c:pt>
                <c:pt idx="1">
                  <c:v>0.3281853281853282</c:v>
                </c:pt>
              </c:numCache>
            </c:numRef>
          </c:val>
          <c:extLst>
            <c:ext xmlns:c16="http://schemas.microsoft.com/office/drawing/2014/chart" uri="{C3380CC4-5D6E-409C-BE32-E72D297353CC}">
              <c16:uniqueId val="{00000004-AB07-48BC-95CC-39C17B11760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64395821917517"/>
          <c:y val="0.10148792735327669"/>
          <c:w val="0.78508106822304047"/>
          <c:h val="0.74403110613049805"/>
        </c:manualLayout>
      </c:layout>
      <c:doughnutChart>
        <c:varyColors val="1"/>
        <c:ser>
          <c:idx val="0"/>
          <c:order val="0"/>
          <c:dPt>
            <c:idx val="0"/>
            <c:bubble3D val="0"/>
            <c:spPr>
              <a:gradFill>
                <a:gsLst>
                  <a:gs pos="57000">
                    <a:srgbClr val="D74181"/>
                  </a:gs>
                  <a:gs pos="100000">
                    <a:schemeClr val="accent1">
                      <a:lumMod val="45000"/>
                      <a:lumOff val="55000"/>
                    </a:schemeClr>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1-C1E4-41E8-A772-0AADF723A480}"/>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C1E4-41E8-A772-0AADF723A480}"/>
              </c:ext>
            </c:extLst>
          </c:dPt>
          <c:val>
            <c:numRef>
              <c:f>Gender!$C$9:$C$10</c:f>
              <c:numCache>
                <c:formatCode>0%</c:formatCode>
                <c:ptCount val="2"/>
                <c:pt idx="0">
                  <c:v>0.39382239382239381</c:v>
                </c:pt>
                <c:pt idx="1">
                  <c:v>0.60617760617760619</c:v>
                </c:pt>
              </c:numCache>
            </c:numRef>
          </c:val>
          <c:extLst>
            <c:ext xmlns:c16="http://schemas.microsoft.com/office/drawing/2014/chart" uri="{C3380CC4-5D6E-409C-BE32-E72D297353CC}">
              <c16:uniqueId val="{00000004-C1E4-41E8-A772-0AADF723A48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99737213500727"/>
          <c:y val="0.10842263669611958"/>
          <c:w val="0.78508106822304047"/>
          <c:h val="0.74403110613049805"/>
        </c:manualLayout>
      </c:layout>
      <c:doughnutChart>
        <c:varyColors val="1"/>
        <c:ser>
          <c:idx val="0"/>
          <c:order val="0"/>
          <c:dPt>
            <c:idx val="0"/>
            <c:bubble3D val="0"/>
            <c:spPr>
              <a:solidFill>
                <a:schemeClr val="bg1">
                  <a:lumMod val="95000"/>
                </a:schemeClr>
              </a:solidFill>
              <a:ln w="19050">
                <a:noFill/>
              </a:ln>
              <a:effectLst/>
            </c:spPr>
            <c:extLst>
              <c:ext xmlns:c16="http://schemas.microsoft.com/office/drawing/2014/chart" uri="{C3380CC4-5D6E-409C-BE32-E72D297353CC}">
                <c16:uniqueId val="{00000001-3C5B-4D4B-9199-554D4E5931AB}"/>
              </c:ext>
            </c:extLst>
          </c:dPt>
          <c:dPt>
            <c:idx val="1"/>
            <c:bubble3D val="0"/>
            <c:spPr>
              <a:gradFill>
                <a:gsLst>
                  <a:gs pos="100000">
                    <a:srgbClr val="97B8E2"/>
                  </a:gs>
                  <a:gs pos="93000">
                    <a:schemeClr val="accent5">
                      <a:lumMod val="60000"/>
                      <a:lumOff val="40000"/>
                    </a:schemeClr>
                  </a:gs>
                  <a:gs pos="100000">
                    <a:srgbClr val="D74181"/>
                  </a:gs>
                  <a:gs pos="98000">
                    <a:schemeClr val="accent1">
                      <a:lumMod val="60000"/>
                      <a:lumOff val="40000"/>
                    </a:schemeClr>
                  </a:gs>
                  <a:gs pos="100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3C5B-4D4B-9199-554D4E5931AB}"/>
              </c:ext>
            </c:extLst>
          </c:dPt>
          <c:val>
            <c:numRef>
              <c:f>Gender!$C$9:$C$10</c:f>
              <c:numCache>
                <c:formatCode>0%</c:formatCode>
                <c:ptCount val="2"/>
                <c:pt idx="0">
                  <c:v>0.39382239382239381</c:v>
                </c:pt>
                <c:pt idx="1">
                  <c:v>0.60617760617760619</c:v>
                </c:pt>
              </c:numCache>
            </c:numRef>
          </c:val>
          <c:extLst>
            <c:ext xmlns:c16="http://schemas.microsoft.com/office/drawing/2014/chart" uri="{C3380CC4-5D6E-409C-BE32-E72D297353CC}">
              <c16:uniqueId val="{00000004-3C5B-4D4B-9199-554D4E5931A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 Atrrition dataset.xlsx]Education by attrition!Education 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789BE2"/>
              </a:gs>
              <a:gs pos="48000">
                <a:srgbClr val="9195EB"/>
              </a:gs>
              <a:gs pos="71000">
                <a:srgbClr val="4472C4">
                  <a:lumMod val="45000"/>
                  <a:lumOff val="55000"/>
                </a:srgbClr>
              </a:gs>
              <a:gs pos="100000">
                <a:srgbClr val="4472C4">
                  <a:lumMod val="34000"/>
                  <a:lumOff val="66000"/>
                </a:srgbClr>
              </a:gs>
            </a:gsLst>
            <a:lin ang="5400000" scaled="1"/>
          </a:gradFill>
          <a:ln>
            <a:gradFill>
              <a:gsLst>
                <a:gs pos="0">
                  <a:srgbClr val="D278CC"/>
                </a:gs>
                <a:gs pos="35000">
                  <a:srgbClr val="4472C4">
                    <a:lumMod val="45000"/>
                    <a:lumOff val="55000"/>
                  </a:srgbClr>
                </a:gs>
                <a:gs pos="37000">
                  <a:srgbClr val="4472C4">
                    <a:lumMod val="45000"/>
                    <a:lumOff val="55000"/>
                  </a:srgbClr>
                </a:gs>
                <a:gs pos="15000">
                  <a:srgbClr val="CF4DC9"/>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rgbClr val="789BE2"/>
                </a:gs>
                <a:gs pos="48000">
                  <a:srgbClr val="9195EB"/>
                </a:gs>
                <a:gs pos="71000">
                  <a:srgbClr val="4472C4">
                    <a:lumMod val="45000"/>
                    <a:lumOff val="55000"/>
                  </a:srgbClr>
                </a:gs>
                <a:gs pos="100000">
                  <a:srgbClr val="4472C4">
                    <a:lumMod val="34000"/>
                    <a:lumOff val="66000"/>
                  </a:srgbClr>
                </a:gs>
              </a:gsLst>
              <a:lin ang="5400000" scaled="1"/>
            </a:gradFill>
            <a:ln>
              <a:gradFill>
                <a:gsLst>
                  <a:gs pos="0">
                    <a:srgbClr val="D278CC"/>
                  </a:gs>
                  <a:gs pos="35000">
                    <a:srgbClr val="4472C4">
                      <a:lumMod val="45000"/>
                      <a:lumOff val="55000"/>
                    </a:srgbClr>
                  </a:gs>
                  <a:gs pos="37000">
                    <a:srgbClr val="4472C4">
                      <a:lumMod val="45000"/>
                      <a:lumOff val="55000"/>
                    </a:srgbClr>
                  </a:gs>
                  <a:gs pos="15000">
                    <a:srgbClr val="CF4DC9"/>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attrition'!$A$4:$A$5</c:f>
              <c:strCache>
                <c:ptCount val="1"/>
                <c:pt idx="0">
                  <c:v>Graduation</c:v>
                </c:pt>
              </c:strCache>
            </c:strRef>
          </c:cat>
          <c:val>
            <c:numRef>
              <c:f>'Education by attrition'!$B$4:$B$5</c:f>
              <c:numCache>
                <c:formatCode>General</c:formatCode>
                <c:ptCount val="1"/>
                <c:pt idx="0">
                  <c:v>35</c:v>
                </c:pt>
              </c:numCache>
            </c:numRef>
          </c:val>
          <c:extLst>
            <c:ext xmlns:c16="http://schemas.microsoft.com/office/drawing/2014/chart" uri="{C3380CC4-5D6E-409C-BE32-E72D297353CC}">
              <c16:uniqueId val="{00000000-87DB-4F87-AD67-928E4F7E364B}"/>
            </c:ext>
          </c:extLst>
        </c:ser>
        <c:dLbls>
          <c:dLblPos val="outEnd"/>
          <c:showLegendKey val="0"/>
          <c:showVal val="1"/>
          <c:showCatName val="0"/>
          <c:showSerName val="0"/>
          <c:showPercent val="0"/>
          <c:showBubbleSize val="0"/>
        </c:dLbls>
        <c:gapWidth val="75"/>
        <c:overlap val="-16"/>
        <c:axId val="1498674976"/>
        <c:axId val="1498679296"/>
      </c:barChart>
      <c:catAx>
        <c:axId val="14986749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498679296"/>
        <c:crosses val="autoZero"/>
        <c:auto val="1"/>
        <c:lblAlgn val="ctr"/>
        <c:lblOffset val="100"/>
        <c:noMultiLvlLbl val="0"/>
      </c:catAx>
      <c:valAx>
        <c:axId val="1498679296"/>
        <c:scaling>
          <c:orientation val="minMax"/>
        </c:scaling>
        <c:delete val="1"/>
        <c:axPos val="b"/>
        <c:numFmt formatCode="General" sourceLinked="1"/>
        <c:majorTickMark val="out"/>
        <c:minorTickMark val="none"/>
        <c:tickLblPos val="nextTo"/>
        <c:crossAx val="149867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 Atrrition dataset.xlsx]Dept wise attrition!Dept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ysClr val="window" lastClr="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ysClr val="window" lastClr="FFFFFF"/>
            </a:solidFill>
          </a:ln>
          <a:effectLst/>
        </c:spPr>
      </c:pivotFmt>
      <c:pivotFmt>
        <c:idx val="7"/>
        <c:spPr>
          <a:solidFill>
            <a:srgbClr val="C00000"/>
          </a:solidFill>
          <a:ln w="19050">
            <a:solidFill>
              <a:sysClr val="window" lastClr="FFFFFF"/>
            </a:solidFill>
          </a:ln>
          <a:effectLst/>
        </c:spPr>
      </c:pivotFmt>
      <c:pivotFmt>
        <c:idx val="8"/>
        <c:spPr>
          <a:solidFill>
            <a:srgbClr val="70AD47">
              <a:lumMod val="60000"/>
              <a:lumOff val="40000"/>
            </a:srgbClr>
          </a:solidFill>
          <a:ln w="19050">
            <a:solidFill>
              <a:sysClr val="window" lastClr="FFFFFF"/>
            </a:solidFill>
          </a:ln>
          <a:effectLst/>
        </c:spPr>
      </c:pivotFmt>
    </c:pivotFmts>
    <c:plotArea>
      <c:layout/>
      <c:pieChart>
        <c:varyColors val="1"/>
        <c:ser>
          <c:idx val="0"/>
          <c:order val="0"/>
          <c:tx>
            <c:strRef>
              <c:f>'Dept wise attrition'!$B$3</c:f>
              <c:strCache>
                <c:ptCount val="1"/>
                <c:pt idx="0">
                  <c:v>Total</c:v>
                </c:pt>
              </c:strCache>
            </c:strRef>
          </c:tx>
          <c:spPr>
            <a:ln>
              <a:solidFill>
                <a:sysClr val="window" lastClr="FFFFFF"/>
              </a:solidFill>
            </a:ln>
          </c:spPr>
          <c:explosion val="5"/>
          <c:dPt>
            <c:idx val="0"/>
            <c:bubble3D val="0"/>
            <c:spPr>
              <a:solidFill>
                <a:srgbClr val="C00000"/>
              </a:solidFill>
              <a:ln w="19050">
                <a:solidFill>
                  <a:sysClr val="window" lastClr="FFFFFF"/>
                </a:solidFill>
              </a:ln>
              <a:effectLst/>
            </c:spPr>
            <c:extLst>
              <c:ext xmlns:c16="http://schemas.microsoft.com/office/drawing/2014/chart" uri="{C3380CC4-5D6E-409C-BE32-E72D297353CC}">
                <c16:uniqueId val="{00000001-BA9D-44AB-8CE1-735FEF9C80F5}"/>
              </c:ext>
            </c:extLst>
          </c:dPt>
          <c:dPt>
            <c:idx val="1"/>
            <c:bubble3D val="0"/>
            <c:spPr>
              <a:solidFill>
                <a:schemeClr val="accent2"/>
              </a:solidFill>
              <a:ln w="19050">
                <a:solidFill>
                  <a:sysClr val="window" lastClr="FFFFFF"/>
                </a:solidFill>
              </a:ln>
              <a:effectLst/>
            </c:spPr>
            <c:extLst>
              <c:ext xmlns:c16="http://schemas.microsoft.com/office/drawing/2014/chart" uri="{C3380CC4-5D6E-409C-BE32-E72D297353CC}">
                <c16:uniqueId val="{00000003-BA9D-44AB-8CE1-735FEF9C80F5}"/>
              </c:ext>
            </c:extLst>
          </c:dPt>
          <c:dPt>
            <c:idx val="2"/>
            <c:bubble3D val="0"/>
            <c:spPr>
              <a:solidFill>
                <a:schemeClr val="accent3"/>
              </a:solidFill>
              <a:ln w="19050">
                <a:solidFill>
                  <a:sysClr val="window" lastClr="FFFFFF"/>
                </a:solidFill>
              </a:ln>
              <a:effectLst/>
            </c:spPr>
            <c:extLst>
              <c:ext xmlns:c16="http://schemas.microsoft.com/office/drawing/2014/chart" uri="{C3380CC4-5D6E-409C-BE32-E72D297353CC}">
                <c16:uniqueId val="{00000005-BA9D-44AB-8CE1-735FEF9C80F5}"/>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attrition'!$A$4:$A$5</c:f>
              <c:strCache>
                <c:ptCount val="1"/>
                <c:pt idx="0">
                  <c:v>Research &amp; Development</c:v>
                </c:pt>
              </c:strCache>
            </c:strRef>
          </c:cat>
          <c:val>
            <c:numRef>
              <c:f>'Dept wise attrition'!$B$4:$B$5</c:f>
              <c:numCache>
                <c:formatCode>0.00%</c:formatCode>
                <c:ptCount val="1"/>
                <c:pt idx="0">
                  <c:v>1</c:v>
                </c:pt>
              </c:numCache>
            </c:numRef>
          </c:val>
          <c:extLst>
            <c:ext xmlns:c16="http://schemas.microsoft.com/office/drawing/2014/chart" uri="{C3380CC4-5D6E-409C-BE32-E72D297353CC}">
              <c16:uniqueId val="{00000006-BA9D-44AB-8CE1-735FEF9C80F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053450954086388"/>
          <c:y val="0.39086020781349495"/>
          <c:w val="0.30116977427623282"/>
          <c:h val="0.2182791996044579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 Atrrition dataset.xlsx]attrition by age!Age 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3960AD"/>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041759782284201E-2"/>
          <c:y val="0.14871707139689852"/>
          <c:w val="0.89027236790182429"/>
          <c:h val="0.71411215973630138"/>
        </c:manualLayout>
      </c:layout>
      <c:barChart>
        <c:barDir val="col"/>
        <c:grouping val="clustered"/>
        <c:varyColors val="0"/>
        <c:ser>
          <c:idx val="0"/>
          <c:order val="0"/>
          <c:tx>
            <c:strRef>
              <c:f>'attrition by age'!$B$3</c:f>
              <c:strCache>
                <c:ptCount val="1"/>
                <c:pt idx="0">
                  <c:v>Total</c:v>
                </c:pt>
              </c:strCache>
            </c:strRef>
          </c:tx>
          <c:spPr>
            <a:gradFill>
              <a:gsLst>
                <a:gs pos="0">
                  <a:srgbClr val="3960AD"/>
                </a:gs>
                <a:gs pos="74000">
                  <a:srgbClr val="4472C4">
                    <a:lumMod val="45000"/>
                    <a:lumOff val="55000"/>
                  </a:srgbClr>
                </a:gs>
                <a:gs pos="83000">
                  <a:srgbClr val="4472C4">
                    <a:lumMod val="45000"/>
                    <a:lumOff val="55000"/>
                  </a:srgbClr>
                </a:gs>
                <a:gs pos="100000">
                  <a:srgbClr val="4472C4">
                    <a:lumMod val="30000"/>
                    <a:lumOff val="70000"/>
                  </a:srgb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28-37</c:v>
                </c:pt>
                <c:pt idx="1">
                  <c:v>38-47</c:v>
                </c:pt>
                <c:pt idx="2">
                  <c:v>48-57</c:v>
                </c:pt>
                <c:pt idx="3">
                  <c:v>18-27</c:v>
                </c:pt>
                <c:pt idx="4">
                  <c:v>58-67</c:v>
                </c:pt>
              </c:strCache>
            </c:strRef>
          </c:cat>
          <c:val>
            <c:numRef>
              <c:f>'attrition by age'!$B$4:$B$9</c:f>
              <c:numCache>
                <c:formatCode>General</c:formatCode>
                <c:ptCount val="5"/>
                <c:pt idx="0">
                  <c:v>15</c:v>
                </c:pt>
                <c:pt idx="1">
                  <c:v>8</c:v>
                </c:pt>
                <c:pt idx="2">
                  <c:v>7</c:v>
                </c:pt>
                <c:pt idx="3">
                  <c:v>4</c:v>
                </c:pt>
                <c:pt idx="4">
                  <c:v>1</c:v>
                </c:pt>
              </c:numCache>
            </c:numRef>
          </c:val>
          <c:extLst>
            <c:ext xmlns:c16="http://schemas.microsoft.com/office/drawing/2014/chart" uri="{C3380CC4-5D6E-409C-BE32-E72D297353CC}">
              <c16:uniqueId val="{00000000-EF77-47AD-B110-540E3A86BDD3}"/>
            </c:ext>
          </c:extLst>
        </c:ser>
        <c:dLbls>
          <c:showLegendKey val="0"/>
          <c:showVal val="0"/>
          <c:showCatName val="0"/>
          <c:showSerName val="0"/>
          <c:showPercent val="0"/>
          <c:showBubbleSize val="0"/>
        </c:dLbls>
        <c:gapWidth val="75"/>
        <c:overlap val="-27"/>
        <c:axId val="1027975008"/>
        <c:axId val="1027975488"/>
      </c:barChart>
      <c:catAx>
        <c:axId val="1027975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027975488"/>
        <c:crosses val="autoZero"/>
        <c:auto val="1"/>
        <c:lblAlgn val="ctr"/>
        <c:lblOffset val="100"/>
        <c:noMultiLvlLbl val="0"/>
      </c:catAx>
      <c:valAx>
        <c:axId val="1027975488"/>
        <c:scaling>
          <c:orientation val="minMax"/>
        </c:scaling>
        <c:delete val="1"/>
        <c:axPos val="l"/>
        <c:numFmt formatCode="General" sourceLinked="1"/>
        <c:majorTickMark val="out"/>
        <c:minorTickMark val="none"/>
        <c:tickLblPos val="nextTo"/>
        <c:crossAx val="102797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3330715660965234"/>
          <c:y val="0.11329312053122363"/>
          <c:w val="0.72532532870443578"/>
          <c:h val="0.797501777838722"/>
        </c:manualLayout>
      </c:layout>
      <c:barChart>
        <c:barDir val="bar"/>
        <c:grouping val="clustered"/>
        <c:varyColors val="0"/>
        <c:ser>
          <c:idx val="0"/>
          <c:order val="0"/>
          <c:tx>
            <c:strRef>
              <c:f>'Marital status'!$F$3</c:f>
              <c:strCache>
                <c:ptCount val="1"/>
                <c:pt idx="0">
                  <c:v>Attrition</c:v>
                </c:pt>
              </c:strCache>
            </c:strRef>
          </c:tx>
          <c:spPr>
            <a:gradFill>
              <a:gsLst>
                <a:gs pos="0">
                  <a:srgbClr val="3960AD"/>
                </a:gs>
                <a:gs pos="74000">
                  <a:srgbClr val="4472C4">
                    <a:lumMod val="45000"/>
                    <a:lumOff val="55000"/>
                  </a:srgbClr>
                </a:gs>
                <a:gs pos="83000">
                  <a:srgbClr val="4472C4">
                    <a:lumMod val="45000"/>
                    <a:lumOff val="55000"/>
                  </a:srgbClr>
                </a:gs>
                <a:gs pos="100000">
                  <a:srgbClr val="4472C4">
                    <a:lumMod val="30000"/>
                    <a:lumOff val="70000"/>
                  </a:srgb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status'!$E$4:$E$6</c:f>
              <c:strCache>
                <c:ptCount val="3"/>
                <c:pt idx="0">
                  <c:v>Divorced</c:v>
                </c:pt>
                <c:pt idx="1">
                  <c:v>Single</c:v>
                </c:pt>
                <c:pt idx="2">
                  <c:v>Married</c:v>
                </c:pt>
              </c:strCache>
            </c:strRef>
          </c:cat>
          <c:val>
            <c:numRef>
              <c:f>'Marital status'!$F$4:$F$6</c:f>
              <c:numCache>
                <c:formatCode>General</c:formatCode>
                <c:ptCount val="3"/>
                <c:pt idx="0">
                  <c:v>55</c:v>
                </c:pt>
                <c:pt idx="1">
                  <c:v>84</c:v>
                </c:pt>
                <c:pt idx="2">
                  <c:v>120</c:v>
                </c:pt>
              </c:numCache>
            </c:numRef>
          </c:val>
          <c:extLst>
            <c:ext xmlns:c16="http://schemas.microsoft.com/office/drawing/2014/chart" uri="{C3380CC4-5D6E-409C-BE32-E72D297353CC}">
              <c16:uniqueId val="{00000000-87D5-4B40-9F71-6A57E62AE054}"/>
            </c:ext>
          </c:extLst>
        </c:ser>
        <c:dLbls>
          <c:showLegendKey val="0"/>
          <c:showVal val="0"/>
          <c:showCatName val="0"/>
          <c:showSerName val="0"/>
          <c:showPercent val="0"/>
          <c:showBubbleSize val="0"/>
        </c:dLbls>
        <c:gapWidth val="75"/>
        <c:axId val="1592105536"/>
        <c:axId val="1592111296"/>
      </c:barChart>
      <c:catAx>
        <c:axId val="159210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92111296"/>
        <c:crosses val="autoZero"/>
        <c:auto val="1"/>
        <c:lblAlgn val="ctr"/>
        <c:lblOffset val="100"/>
        <c:noMultiLvlLbl val="0"/>
      </c:catAx>
      <c:valAx>
        <c:axId val="1592111296"/>
        <c:scaling>
          <c:orientation val="minMax"/>
        </c:scaling>
        <c:delete val="1"/>
        <c:axPos val="b"/>
        <c:numFmt formatCode="General" sourceLinked="1"/>
        <c:majorTickMark val="none"/>
        <c:minorTickMark val="none"/>
        <c:tickLblPos val="nextTo"/>
        <c:crossAx val="15921055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7C-4C77-93F3-AD2EA5BE97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7C-4C77-93F3-AD2EA5BE978B}"/>
              </c:ext>
            </c:extLst>
          </c:dPt>
          <c:val>
            <c:numRef>
              <c:f>Ratings!$C$6:$C$7</c:f>
              <c:numCache>
                <c:formatCode>General</c:formatCode>
                <c:ptCount val="2"/>
                <c:pt idx="0">
                  <c:v>0.6718146718146718</c:v>
                </c:pt>
                <c:pt idx="1">
                  <c:v>0.3281853281853282</c:v>
                </c:pt>
              </c:numCache>
            </c:numRef>
          </c:val>
          <c:extLst>
            <c:ext xmlns:c16="http://schemas.microsoft.com/office/drawing/2014/chart" uri="{C3380CC4-5D6E-409C-BE32-E72D297353CC}">
              <c16:uniqueId val="{00000000-87A9-4D1D-9C65-A5F8C9B4313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666666666666664E-2"/>
          <c:y val="6.4814814814814811E-2"/>
          <c:w val="0.93888888888888888"/>
          <c:h val="0.89814814814814814"/>
        </c:manualLayout>
      </c:layout>
      <c:barChart>
        <c:barDir val="bar"/>
        <c:grouping val="stacked"/>
        <c:varyColors val="0"/>
        <c:ser>
          <c:idx val="0"/>
          <c:order val="0"/>
          <c:spPr>
            <a:solidFill>
              <a:schemeClr val="accent1"/>
            </a:solidFill>
            <a:ln>
              <a:noFill/>
            </a:ln>
            <a:effectLst/>
          </c:spPr>
          <c:invertIfNegative val="0"/>
          <c:val>
            <c:numRef>
              <c:f>Ratings!$B$6</c:f>
              <c:numCache>
                <c:formatCode>0.0</c:formatCode>
                <c:ptCount val="1"/>
                <c:pt idx="0">
                  <c:v>2.6872586872586872</c:v>
                </c:pt>
              </c:numCache>
            </c:numRef>
          </c:val>
          <c:extLst>
            <c:ext xmlns:c16="http://schemas.microsoft.com/office/drawing/2014/chart" uri="{C3380CC4-5D6E-409C-BE32-E72D297353CC}">
              <c16:uniqueId val="{00000000-F9A3-4CAE-A54B-EE447628A7C4}"/>
            </c:ext>
          </c:extLst>
        </c:ser>
        <c:ser>
          <c:idx val="1"/>
          <c:order val="1"/>
          <c:spPr>
            <a:solidFill>
              <a:schemeClr val="accent2"/>
            </a:solidFill>
            <a:ln>
              <a:noFill/>
            </a:ln>
            <a:effectLst/>
          </c:spPr>
          <c:invertIfNegative val="0"/>
          <c:val>
            <c:numRef>
              <c:f>Ratings!$B$7</c:f>
              <c:numCache>
                <c:formatCode>0.0</c:formatCode>
                <c:ptCount val="1"/>
                <c:pt idx="0">
                  <c:v>1.3127413127413128</c:v>
                </c:pt>
              </c:numCache>
            </c:numRef>
          </c:val>
          <c:extLst>
            <c:ext xmlns:c16="http://schemas.microsoft.com/office/drawing/2014/chart" uri="{C3380CC4-5D6E-409C-BE32-E72D297353CC}">
              <c16:uniqueId val="{00000003-F9A3-4CAE-A54B-EE447628A7C4}"/>
            </c:ext>
          </c:extLst>
        </c:ser>
        <c:dLbls>
          <c:showLegendKey val="0"/>
          <c:showVal val="0"/>
          <c:showCatName val="0"/>
          <c:showSerName val="0"/>
          <c:showPercent val="0"/>
          <c:showBubbleSize val="0"/>
        </c:dLbls>
        <c:gapWidth val="0"/>
        <c:overlap val="100"/>
        <c:axId val="997877584"/>
        <c:axId val="997878544"/>
      </c:barChart>
      <c:catAx>
        <c:axId val="997877584"/>
        <c:scaling>
          <c:orientation val="minMax"/>
        </c:scaling>
        <c:delete val="1"/>
        <c:axPos val="l"/>
        <c:majorTickMark val="out"/>
        <c:minorTickMark val="none"/>
        <c:tickLblPos val="nextTo"/>
        <c:crossAx val="997878544"/>
        <c:crosses val="autoZero"/>
        <c:auto val="1"/>
        <c:lblAlgn val="ctr"/>
        <c:lblOffset val="100"/>
        <c:noMultiLvlLbl val="0"/>
      </c:catAx>
      <c:valAx>
        <c:axId val="997878544"/>
        <c:scaling>
          <c:orientation val="minMax"/>
          <c:max val="4"/>
        </c:scaling>
        <c:delete val="1"/>
        <c:axPos val="b"/>
        <c:numFmt formatCode="0.0" sourceLinked="1"/>
        <c:majorTickMark val="out"/>
        <c:minorTickMark val="none"/>
        <c:tickLblPos val="nextTo"/>
        <c:crossAx val="997877584"/>
        <c:crosses val="autoZero"/>
        <c:crossBetween val="between"/>
      </c:valAx>
      <c:spPr>
        <a:noFill/>
        <a:ln w="22225">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9B-4553-A19B-B5A30DAB4C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9B-4553-A19B-B5A30DAB4CFD}"/>
              </c:ext>
            </c:extLst>
          </c:dPt>
          <c:val>
            <c:numRef>
              <c:f>Gender!$C$9:$C$10</c:f>
              <c:numCache>
                <c:formatCode>0%</c:formatCode>
                <c:ptCount val="2"/>
                <c:pt idx="0">
                  <c:v>0.39382239382239381</c:v>
                </c:pt>
                <c:pt idx="1">
                  <c:v>0.60617760617760619</c:v>
                </c:pt>
              </c:numCache>
            </c:numRef>
          </c:val>
          <c:extLst>
            <c:ext xmlns:c16="http://schemas.microsoft.com/office/drawing/2014/chart" uri="{C3380CC4-5D6E-409C-BE32-E72D297353CC}">
              <c16:uniqueId val="{00000000-441A-472F-80D8-FA8154B9959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Atrrition dataset.xlsx]Education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attrition'!$A$4:$A$5</c:f>
              <c:strCache>
                <c:ptCount val="1"/>
                <c:pt idx="0">
                  <c:v>Graduation</c:v>
                </c:pt>
              </c:strCache>
            </c:strRef>
          </c:cat>
          <c:val>
            <c:numRef>
              <c:f>'Education by attrition'!$B$4:$B$5</c:f>
              <c:numCache>
                <c:formatCode>General</c:formatCode>
                <c:ptCount val="1"/>
                <c:pt idx="0">
                  <c:v>35</c:v>
                </c:pt>
              </c:numCache>
            </c:numRef>
          </c:val>
          <c:extLst>
            <c:ext xmlns:c16="http://schemas.microsoft.com/office/drawing/2014/chart" uri="{C3380CC4-5D6E-409C-BE32-E72D297353CC}">
              <c16:uniqueId val="{00000000-AE49-4FBC-B4DD-93C4F879797D}"/>
            </c:ext>
          </c:extLst>
        </c:ser>
        <c:dLbls>
          <c:dLblPos val="outEnd"/>
          <c:showLegendKey val="0"/>
          <c:showVal val="1"/>
          <c:showCatName val="0"/>
          <c:showSerName val="0"/>
          <c:showPercent val="0"/>
          <c:showBubbleSize val="0"/>
        </c:dLbls>
        <c:gapWidth val="182"/>
        <c:axId val="1498674976"/>
        <c:axId val="1498679296"/>
      </c:barChart>
      <c:catAx>
        <c:axId val="14986749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679296"/>
        <c:crosses val="autoZero"/>
        <c:auto val="1"/>
        <c:lblAlgn val="ctr"/>
        <c:lblOffset val="100"/>
        <c:noMultiLvlLbl val="0"/>
      </c:catAx>
      <c:valAx>
        <c:axId val="1498679296"/>
        <c:scaling>
          <c:orientation val="minMax"/>
        </c:scaling>
        <c:delete val="1"/>
        <c:axPos val="b"/>
        <c:numFmt formatCode="General" sourceLinked="1"/>
        <c:majorTickMark val="out"/>
        <c:minorTickMark val="none"/>
        <c:tickLblPos val="nextTo"/>
        <c:crossAx val="149867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Atrrition dataset.xlsx]Dept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2A-483F-86CA-998C4BD26C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2A-483F-86CA-998C4BD26C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2A-483F-86CA-998C4BD26CE3}"/>
              </c:ext>
            </c:extLst>
          </c:dPt>
          <c:cat>
            <c:strRef>
              <c:f>'Dept wise attrition'!$A$4:$A$5</c:f>
              <c:strCache>
                <c:ptCount val="1"/>
                <c:pt idx="0">
                  <c:v>Research &amp; Development</c:v>
                </c:pt>
              </c:strCache>
            </c:strRef>
          </c:cat>
          <c:val>
            <c:numRef>
              <c:f>'Dept wise attrition'!$B$4:$B$5</c:f>
              <c:numCache>
                <c:formatCode>0.00%</c:formatCode>
                <c:ptCount val="1"/>
                <c:pt idx="0">
                  <c:v>1</c:v>
                </c:pt>
              </c:numCache>
            </c:numRef>
          </c:val>
          <c:extLst>
            <c:ext xmlns:c16="http://schemas.microsoft.com/office/drawing/2014/chart" uri="{C3380CC4-5D6E-409C-BE32-E72D297353CC}">
              <c16:uniqueId val="{00000000-D254-47F0-A517-BCAC500DBE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Atrrition dataset.xlsx]attrition by age!Age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28-37</c:v>
                </c:pt>
                <c:pt idx="1">
                  <c:v>38-47</c:v>
                </c:pt>
                <c:pt idx="2">
                  <c:v>48-57</c:v>
                </c:pt>
                <c:pt idx="3">
                  <c:v>18-27</c:v>
                </c:pt>
                <c:pt idx="4">
                  <c:v>58-67</c:v>
                </c:pt>
              </c:strCache>
            </c:strRef>
          </c:cat>
          <c:val>
            <c:numRef>
              <c:f>'attrition by age'!$B$4:$B$9</c:f>
              <c:numCache>
                <c:formatCode>General</c:formatCode>
                <c:ptCount val="5"/>
                <c:pt idx="0">
                  <c:v>15</c:v>
                </c:pt>
                <c:pt idx="1">
                  <c:v>8</c:v>
                </c:pt>
                <c:pt idx="2">
                  <c:v>7</c:v>
                </c:pt>
                <c:pt idx="3">
                  <c:v>4</c:v>
                </c:pt>
                <c:pt idx="4">
                  <c:v>1</c:v>
                </c:pt>
              </c:numCache>
            </c:numRef>
          </c:val>
          <c:extLst>
            <c:ext xmlns:c16="http://schemas.microsoft.com/office/drawing/2014/chart" uri="{C3380CC4-5D6E-409C-BE32-E72D297353CC}">
              <c16:uniqueId val="{00000000-5A89-4A00-9631-9A63B7AF832D}"/>
            </c:ext>
          </c:extLst>
        </c:ser>
        <c:dLbls>
          <c:showLegendKey val="0"/>
          <c:showVal val="0"/>
          <c:showCatName val="0"/>
          <c:showSerName val="0"/>
          <c:showPercent val="0"/>
          <c:showBubbleSize val="0"/>
        </c:dLbls>
        <c:gapWidth val="219"/>
        <c:overlap val="-27"/>
        <c:axId val="1027975008"/>
        <c:axId val="1027975488"/>
      </c:barChart>
      <c:catAx>
        <c:axId val="1027975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975488"/>
        <c:crosses val="autoZero"/>
        <c:auto val="1"/>
        <c:lblAlgn val="ctr"/>
        <c:lblOffset val="100"/>
        <c:noMultiLvlLbl val="0"/>
      </c:catAx>
      <c:valAx>
        <c:axId val="1027975488"/>
        <c:scaling>
          <c:orientation val="minMax"/>
        </c:scaling>
        <c:delete val="1"/>
        <c:axPos val="l"/>
        <c:numFmt formatCode="General" sourceLinked="1"/>
        <c:majorTickMark val="out"/>
        <c:minorTickMark val="none"/>
        <c:tickLblPos val="nextTo"/>
        <c:crossAx val="102797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'Marital status'!$F$3</c:f>
              <c:strCache>
                <c:ptCount val="1"/>
                <c:pt idx="0">
                  <c:v>Attrition</c:v>
                </c:pt>
              </c:strCache>
            </c:strRef>
          </c:tx>
          <c:spPr>
            <a:gradFill>
              <a:gsLst>
                <a:gs pos="0">
                  <a:srgbClr val="3960AD"/>
                </a:gs>
                <a:gs pos="74000">
                  <a:srgbClr val="4472C4">
                    <a:lumMod val="45000"/>
                    <a:lumOff val="55000"/>
                  </a:srgbClr>
                </a:gs>
                <a:gs pos="83000">
                  <a:srgbClr val="4472C4">
                    <a:lumMod val="45000"/>
                    <a:lumOff val="55000"/>
                  </a:srgbClr>
                </a:gs>
                <a:gs pos="100000">
                  <a:srgbClr val="4472C4">
                    <a:lumMod val="30000"/>
                    <a:lumOff val="70000"/>
                  </a:srgb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status'!$E$4:$E$6</c:f>
              <c:strCache>
                <c:ptCount val="3"/>
                <c:pt idx="0">
                  <c:v>Divorced</c:v>
                </c:pt>
                <c:pt idx="1">
                  <c:v>Single</c:v>
                </c:pt>
                <c:pt idx="2">
                  <c:v>Married</c:v>
                </c:pt>
              </c:strCache>
            </c:strRef>
          </c:cat>
          <c:val>
            <c:numRef>
              <c:f>'Marital status'!$F$4:$F$6</c:f>
              <c:numCache>
                <c:formatCode>General</c:formatCode>
                <c:ptCount val="3"/>
                <c:pt idx="0">
                  <c:v>55</c:v>
                </c:pt>
                <c:pt idx="1">
                  <c:v>84</c:v>
                </c:pt>
                <c:pt idx="2">
                  <c:v>120</c:v>
                </c:pt>
              </c:numCache>
            </c:numRef>
          </c:val>
          <c:extLst>
            <c:ext xmlns:c16="http://schemas.microsoft.com/office/drawing/2014/chart" uri="{C3380CC4-5D6E-409C-BE32-E72D297353CC}">
              <c16:uniqueId val="{00000000-9FB9-4A4A-BD60-81F8FE5E2C37}"/>
            </c:ext>
          </c:extLst>
        </c:ser>
        <c:dLbls>
          <c:showLegendKey val="0"/>
          <c:showVal val="0"/>
          <c:showCatName val="0"/>
          <c:showSerName val="0"/>
          <c:showPercent val="0"/>
          <c:showBubbleSize val="0"/>
        </c:dLbls>
        <c:gapWidth val="75"/>
        <c:axId val="1592105536"/>
        <c:axId val="1592111296"/>
      </c:barChart>
      <c:catAx>
        <c:axId val="159210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92111296"/>
        <c:crosses val="autoZero"/>
        <c:auto val="1"/>
        <c:lblAlgn val="ctr"/>
        <c:lblOffset val="100"/>
        <c:noMultiLvlLbl val="0"/>
      </c:catAx>
      <c:valAx>
        <c:axId val="1592111296"/>
        <c:scaling>
          <c:orientation val="minMax"/>
        </c:scaling>
        <c:delete val="1"/>
        <c:axPos val="b"/>
        <c:numFmt formatCode="General" sourceLinked="1"/>
        <c:majorTickMark val="none"/>
        <c:minorTickMark val="none"/>
        <c:tickLblPos val="nextTo"/>
        <c:crossAx val="1592105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843A34B-24BC-4611-A17C-D0C89E7F8938}">
          <cx:spPr>
            <a:ln>
              <a:noFill/>
            </a:ln>
          </cx:spPr>
          <cx:dataLabels pos="inEnd">
            <cx:txPr>
              <a:bodyPr spcFirstLastPara="1" vertOverflow="ellipsis" horzOverflow="overflow" wrap="square" lIns="0" tIns="0" rIns="0" bIns="0" anchor="ctr" anchorCtr="1"/>
              <a:lstStyle/>
              <a:p>
                <a:pPr algn="ctr" rtl="0">
                  <a:defRPr sz="1200"/>
                </a:pPr>
                <a:endParaRPr lang="en-US" sz="1200" b="0"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1843A34B-24BC-4611-A17C-D0C89E7F8938}">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1.png"/><Relationship Id="rId7" Type="http://schemas.openxmlformats.org/officeDocument/2006/relationships/image" Target="../media/image3.jpeg"/><Relationship Id="rId12" Type="http://schemas.openxmlformats.org/officeDocument/2006/relationships/chart" Target="../charts/chart8.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11" Type="http://schemas.openxmlformats.org/officeDocument/2006/relationships/chart" Target="../charts/chart7.xml"/><Relationship Id="rId5" Type="http://schemas.openxmlformats.org/officeDocument/2006/relationships/chart" Target="../charts/chart4.xml"/><Relationship Id="rId10" Type="http://schemas.openxmlformats.org/officeDocument/2006/relationships/chart" Target="../charts/chart6.xml"/><Relationship Id="rId4" Type="http://schemas.openxmlformats.org/officeDocument/2006/relationships/chart" Target="../charts/chart3.xml"/><Relationship Id="rId9"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5</xdr:col>
      <xdr:colOff>125384</xdr:colOff>
      <xdr:row>1</xdr:row>
      <xdr:rowOff>73601</xdr:rowOff>
    </xdr:from>
    <xdr:to>
      <xdr:col>7</xdr:col>
      <xdr:colOff>568729</xdr:colOff>
      <xdr:row>7</xdr:row>
      <xdr:rowOff>115165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50D91E74-EAE0-1D16-E334-8A91D78B55F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849909" y="264101"/>
              <a:ext cx="1662545" cy="1184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23</xdr:col>
      <xdr:colOff>329045</xdr:colOff>
      <xdr:row>9</xdr:row>
      <xdr:rowOff>13608</xdr:rowOff>
    </xdr:from>
    <xdr:to>
      <xdr:col>28</xdr:col>
      <xdr:colOff>103908</xdr:colOff>
      <xdr:row>12</xdr:row>
      <xdr:rowOff>155864</xdr:rowOff>
    </xdr:to>
    <xdr:graphicFrame macro="">
      <xdr:nvGraphicFramePr>
        <xdr:cNvPr id="44" name="Chart 43">
          <a:extLst>
            <a:ext uri="{FF2B5EF4-FFF2-40B4-BE49-F238E27FC236}">
              <a16:creationId xmlns:a16="http://schemas.microsoft.com/office/drawing/2014/main" id="{B982523F-94B4-4DD2-86F0-649AD517B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432928</xdr:colOff>
      <xdr:row>6</xdr:row>
      <xdr:rowOff>122464</xdr:rowOff>
    </xdr:from>
    <xdr:to>
      <xdr:col>28</xdr:col>
      <xdr:colOff>244928</xdr:colOff>
      <xdr:row>52</xdr:row>
      <xdr:rowOff>81643</xdr:rowOff>
    </xdr:to>
    <xdr:grpSp>
      <xdr:nvGrpSpPr>
        <xdr:cNvPr id="17" name="Group 16">
          <a:extLst>
            <a:ext uri="{FF2B5EF4-FFF2-40B4-BE49-F238E27FC236}">
              <a16:creationId xmlns:a16="http://schemas.microsoft.com/office/drawing/2014/main" id="{19F0AB87-112F-CADB-085B-FB9E01ED8BC8}"/>
            </a:ext>
          </a:extLst>
        </xdr:cNvPr>
        <xdr:cNvGrpSpPr/>
      </xdr:nvGrpSpPr>
      <xdr:grpSpPr>
        <a:xfrm>
          <a:off x="1039064" y="1265464"/>
          <a:ext cx="16177682" cy="8722179"/>
          <a:chOff x="1416281" y="319521"/>
          <a:chExt cx="14085396" cy="6863371"/>
        </a:xfrm>
      </xdr:grpSpPr>
      <xdr:sp macro="" textlink="">
        <xdr:nvSpPr>
          <xdr:cNvPr id="2" name="Rectangle 1">
            <a:extLst>
              <a:ext uri="{FF2B5EF4-FFF2-40B4-BE49-F238E27FC236}">
                <a16:creationId xmlns:a16="http://schemas.microsoft.com/office/drawing/2014/main" id="{62241E27-F1EC-3C6A-6E90-179BE7DBF10F}"/>
              </a:ext>
            </a:extLst>
          </xdr:cNvPr>
          <xdr:cNvSpPr/>
        </xdr:nvSpPr>
        <xdr:spPr>
          <a:xfrm>
            <a:off x="1416281" y="319521"/>
            <a:ext cx="14085396" cy="6852285"/>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AA2DEF4E-9A13-F428-041E-D338361AEA26}"/>
              </a:ext>
            </a:extLst>
          </xdr:cNvPr>
          <xdr:cNvSpPr/>
        </xdr:nvSpPr>
        <xdr:spPr>
          <a:xfrm>
            <a:off x="1457845" y="2446019"/>
            <a:ext cx="4603690" cy="2404457"/>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B636F154-F7CA-F88E-9902-1FF1143DE47B}"/>
              </a:ext>
            </a:extLst>
          </xdr:cNvPr>
          <xdr:cNvSpPr/>
        </xdr:nvSpPr>
        <xdr:spPr>
          <a:xfrm>
            <a:off x="1441219" y="344458"/>
            <a:ext cx="7627447" cy="108585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9F07188E-C743-81AD-E3AC-C9C070469AA7}"/>
              </a:ext>
            </a:extLst>
          </xdr:cNvPr>
          <xdr:cNvSpPr/>
        </xdr:nvSpPr>
        <xdr:spPr>
          <a:xfrm>
            <a:off x="9093606" y="327835"/>
            <a:ext cx="6391447" cy="1102473"/>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CA61546D-AE1D-B549-4EB9-29BC33EF2A64}"/>
              </a:ext>
            </a:extLst>
          </xdr:cNvPr>
          <xdr:cNvSpPr/>
        </xdr:nvSpPr>
        <xdr:spPr>
          <a:xfrm>
            <a:off x="1449532" y="1446935"/>
            <a:ext cx="2990504" cy="98246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F2217412-1F01-4A51-3AA0-E7370B3C8E5C}"/>
              </a:ext>
            </a:extLst>
          </xdr:cNvPr>
          <xdr:cNvSpPr/>
        </xdr:nvSpPr>
        <xdr:spPr>
          <a:xfrm>
            <a:off x="10914611" y="2462646"/>
            <a:ext cx="4545503" cy="2387831"/>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4307D6DF-E530-5AB5-3195-71165E5D74FE}"/>
              </a:ext>
            </a:extLst>
          </xdr:cNvPr>
          <xdr:cNvSpPr/>
        </xdr:nvSpPr>
        <xdr:spPr>
          <a:xfrm>
            <a:off x="4420360" y="1438999"/>
            <a:ext cx="2981158" cy="98246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38104E2E-3448-B5CE-2C78-0BEE8DF42EF0}"/>
              </a:ext>
            </a:extLst>
          </xdr:cNvPr>
          <xdr:cNvSpPr/>
        </xdr:nvSpPr>
        <xdr:spPr>
          <a:xfrm>
            <a:off x="7408545" y="1452478"/>
            <a:ext cx="2685703" cy="98246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982C0AE5-A930-5F7E-3240-0AA467304FF1}"/>
              </a:ext>
            </a:extLst>
          </xdr:cNvPr>
          <xdr:cNvSpPr/>
        </xdr:nvSpPr>
        <xdr:spPr>
          <a:xfrm>
            <a:off x="10085934" y="1446937"/>
            <a:ext cx="2695251" cy="98246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48E980AA-DD1D-1D24-D335-083D55AD12B4}"/>
              </a:ext>
            </a:extLst>
          </xdr:cNvPr>
          <xdr:cNvSpPr/>
        </xdr:nvSpPr>
        <xdr:spPr>
          <a:xfrm>
            <a:off x="12797619" y="1409702"/>
            <a:ext cx="2685703" cy="987034"/>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687D48AB-720A-9D89-08D2-4FB7C84EFD3B}"/>
              </a:ext>
            </a:extLst>
          </xdr:cNvPr>
          <xdr:cNvSpPr/>
        </xdr:nvSpPr>
        <xdr:spPr>
          <a:xfrm>
            <a:off x="6061535" y="2440478"/>
            <a:ext cx="4819825" cy="2404457"/>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898BF36D-1EB0-F999-5235-08A38237193D}"/>
              </a:ext>
            </a:extLst>
          </xdr:cNvPr>
          <xdr:cNvSpPr/>
        </xdr:nvSpPr>
        <xdr:spPr>
          <a:xfrm>
            <a:off x="1452304" y="4873510"/>
            <a:ext cx="4211040" cy="2298297"/>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9B3A840D-CC33-0A11-015E-2D04F1B7C5F2}"/>
              </a:ext>
            </a:extLst>
          </xdr:cNvPr>
          <xdr:cNvSpPr/>
        </xdr:nvSpPr>
        <xdr:spPr>
          <a:xfrm>
            <a:off x="5721974" y="4884595"/>
            <a:ext cx="3363318" cy="2298297"/>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ED21F447-1C3C-A6AB-8C07-176F27198915}"/>
              </a:ext>
            </a:extLst>
          </xdr:cNvPr>
          <xdr:cNvSpPr/>
        </xdr:nvSpPr>
        <xdr:spPr>
          <a:xfrm>
            <a:off x="9110229" y="4870742"/>
            <a:ext cx="3129224" cy="2298297"/>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B6A98660-B28A-25A5-438E-FBDACE4EC5CC}"/>
              </a:ext>
            </a:extLst>
          </xdr:cNvPr>
          <xdr:cNvSpPr/>
        </xdr:nvSpPr>
        <xdr:spPr>
          <a:xfrm>
            <a:off x="12256079" y="4883727"/>
            <a:ext cx="3206806" cy="2254828"/>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332139</xdr:colOff>
      <xdr:row>14</xdr:row>
      <xdr:rowOff>87827</xdr:rowOff>
    </xdr:from>
    <xdr:to>
      <xdr:col>7</xdr:col>
      <xdr:colOff>148441</xdr:colOff>
      <xdr:row>16</xdr:row>
      <xdr:rowOff>126792</xdr:rowOff>
    </xdr:to>
    <xdr:sp macro="" textlink="">
      <xdr:nvSpPr>
        <xdr:cNvPr id="18" name="TextBox 17">
          <a:extLst>
            <a:ext uri="{FF2B5EF4-FFF2-40B4-BE49-F238E27FC236}">
              <a16:creationId xmlns:a16="http://schemas.microsoft.com/office/drawing/2014/main" id="{BA9CEAF7-2270-C197-9400-312B083A87F6}"/>
            </a:ext>
          </a:extLst>
        </xdr:cNvPr>
        <xdr:cNvSpPr txBox="1"/>
      </xdr:nvSpPr>
      <xdr:spPr>
        <a:xfrm>
          <a:off x="1556782" y="2754827"/>
          <a:ext cx="2877909" cy="419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C00000"/>
              </a:solidFill>
            </a:rPr>
            <a:t>TOTAL</a:t>
          </a:r>
          <a:r>
            <a:rPr lang="en-US" sz="2000" b="1" baseline="0">
              <a:solidFill>
                <a:srgbClr val="C00000"/>
              </a:solidFill>
            </a:rPr>
            <a:t> EMPLOYEES</a:t>
          </a:r>
          <a:endParaRPr lang="en-US" sz="2000" b="1">
            <a:solidFill>
              <a:srgbClr val="C00000"/>
            </a:solidFill>
          </a:endParaRPr>
        </a:p>
      </xdr:txBody>
    </xdr:sp>
    <xdr:clientData/>
  </xdr:twoCellAnchor>
  <xdr:twoCellAnchor>
    <xdr:from>
      <xdr:col>3</xdr:col>
      <xdr:colOff>458932</xdr:colOff>
      <xdr:row>17</xdr:row>
      <xdr:rowOff>45768</xdr:rowOff>
    </xdr:from>
    <xdr:to>
      <xdr:col>5</xdr:col>
      <xdr:colOff>432953</xdr:colOff>
      <xdr:row>19</xdr:row>
      <xdr:rowOff>93393</xdr:rowOff>
    </xdr:to>
    <xdr:sp macro="" textlink="Sheet2!A7">
      <xdr:nvSpPr>
        <xdr:cNvPr id="19" name="TextBox 18">
          <a:extLst>
            <a:ext uri="{FF2B5EF4-FFF2-40B4-BE49-F238E27FC236}">
              <a16:creationId xmlns:a16="http://schemas.microsoft.com/office/drawing/2014/main" id="{93AB3341-678E-21D3-97CE-5FCA319E4853}"/>
            </a:ext>
          </a:extLst>
        </xdr:cNvPr>
        <xdr:cNvSpPr txBox="1"/>
      </xdr:nvSpPr>
      <xdr:spPr>
        <a:xfrm>
          <a:off x="2295896" y="3284268"/>
          <a:ext cx="119866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1EFCE-6F33-4D3D-A42D-3A42515CCB87}" type="TxLink">
            <a:rPr lang="en-US" sz="2400" b="1" i="0" u="none" strike="noStrike">
              <a:solidFill>
                <a:schemeClr val="accent1">
                  <a:lumMod val="50000"/>
                </a:schemeClr>
              </a:solidFill>
              <a:latin typeface="Calibri"/>
              <a:ea typeface="Calibri"/>
              <a:cs typeface="Calibri"/>
            </a:rPr>
            <a:pPr algn="ctr"/>
            <a:t>259</a:t>
          </a:fld>
          <a:endParaRPr lang="en-US" sz="2400" b="1">
            <a:solidFill>
              <a:schemeClr val="accent1">
                <a:lumMod val="50000"/>
              </a:schemeClr>
            </a:solidFill>
          </a:endParaRPr>
        </a:p>
      </xdr:txBody>
    </xdr:sp>
    <xdr:clientData/>
  </xdr:twoCellAnchor>
  <xdr:twoCellAnchor>
    <xdr:from>
      <xdr:col>8</xdr:col>
      <xdr:colOff>169472</xdr:colOff>
      <xdr:row>14</xdr:row>
      <xdr:rowOff>121847</xdr:rowOff>
    </xdr:from>
    <xdr:to>
      <xdr:col>12</xdr:col>
      <xdr:colOff>377289</xdr:colOff>
      <xdr:row>16</xdr:row>
      <xdr:rowOff>74221</xdr:rowOff>
    </xdr:to>
    <xdr:sp macro="" textlink="">
      <xdr:nvSpPr>
        <xdr:cNvPr id="22" name="TextBox 21">
          <a:extLst>
            <a:ext uri="{FF2B5EF4-FFF2-40B4-BE49-F238E27FC236}">
              <a16:creationId xmlns:a16="http://schemas.microsoft.com/office/drawing/2014/main" id="{ECA4264B-4D9F-D6D9-6914-EF422999D3AF}"/>
            </a:ext>
          </a:extLst>
        </xdr:cNvPr>
        <xdr:cNvSpPr txBox="1"/>
      </xdr:nvSpPr>
      <xdr:spPr>
        <a:xfrm>
          <a:off x="5068043" y="2788847"/>
          <a:ext cx="2657103"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C00000"/>
              </a:solidFill>
            </a:rPr>
            <a:t>ATTRITION</a:t>
          </a:r>
        </a:p>
      </xdr:txBody>
    </xdr:sp>
    <xdr:clientData/>
  </xdr:twoCellAnchor>
  <xdr:twoCellAnchor>
    <xdr:from>
      <xdr:col>9</xdr:col>
      <xdr:colOff>86588</xdr:colOff>
      <xdr:row>17</xdr:row>
      <xdr:rowOff>107620</xdr:rowOff>
    </xdr:from>
    <xdr:to>
      <xdr:col>11</xdr:col>
      <xdr:colOff>320386</xdr:colOff>
      <xdr:row>19</xdr:row>
      <xdr:rowOff>94630</xdr:rowOff>
    </xdr:to>
    <xdr:sp macro="" textlink="Sheet2!B7">
      <xdr:nvSpPr>
        <xdr:cNvPr id="23" name="TextBox 22">
          <a:extLst>
            <a:ext uri="{FF2B5EF4-FFF2-40B4-BE49-F238E27FC236}">
              <a16:creationId xmlns:a16="http://schemas.microsoft.com/office/drawing/2014/main" id="{3B518C6C-C8CE-F1FF-FE7F-83041E10AC5E}"/>
            </a:ext>
          </a:extLst>
        </xdr:cNvPr>
        <xdr:cNvSpPr txBox="1"/>
      </xdr:nvSpPr>
      <xdr:spPr>
        <a:xfrm>
          <a:off x="5597481" y="3346120"/>
          <a:ext cx="1458441" cy="368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3B0176-996C-4F7D-A803-10716692512D}" type="TxLink">
            <a:rPr lang="en-US" sz="2400" b="1" i="0" u="none" strike="noStrike">
              <a:solidFill>
                <a:srgbClr val="002060"/>
              </a:solidFill>
              <a:latin typeface="Calibri"/>
              <a:ea typeface="Calibri"/>
              <a:cs typeface="Calibri"/>
            </a:rPr>
            <a:pPr algn="ctr"/>
            <a:t>35</a:t>
          </a:fld>
          <a:endParaRPr lang="en-US" sz="2400" b="1">
            <a:solidFill>
              <a:srgbClr val="002060"/>
            </a:solidFill>
          </a:endParaRPr>
        </a:p>
      </xdr:txBody>
    </xdr:sp>
    <xdr:clientData/>
  </xdr:twoCellAnchor>
  <xdr:twoCellAnchor>
    <xdr:from>
      <xdr:col>14</xdr:col>
      <xdr:colOff>230703</xdr:colOff>
      <xdr:row>14</xdr:row>
      <xdr:rowOff>100199</xdr:rowOff>
    </xdr:from>
    <xdr:to>
      <xdr:col>17</xdr:col>
      <xdr:colOff>271524</xdr:colOff>
      <xdr:row>16</xdr:row>
      <xdr:rowOff>87210</xdr:rowOff>
    </xdr:to>
    <xdr:sp macro="" textlink="">
      <xdr:nvSpPr>
        <xdr:cNvPr id="24" name="TextBox 23">
          <a:extLst>
            <a:ext uri="{FF2B5EF4-FFF2-40B4-BE49-F238E27FC236}">
              <a16:creationId xmlns:a16="http://schemas.microsoft.com/office/drawing/2014/main" id="{16D86E7A-FFA0-64C2-1D5E-35BF71CCA0BA}"/>
            </a:ext>
          </a:extLst>
        </xdr:cNvPr>
        <xdr:cNvSpPr txBox="1"/>
      </xdr:nvSpPr>
      <xdr:spPr>
        <a:xfrm>
          <a:off x="8803203" y="2767199"/>
          <a:ext cx="1877785" cy="368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C00000"/>
              </a:solidFill>
            </a:rPr>
            <a:t>ACTIVE</a:t>
          </a:r>
        </a:p>
      </xdr:txBody>
    </xdr:sp>
    <xdr:clientData/>
  </xdr:twoCellAnchor>
  <xdr:twoCellAnchor>
    <xdr:from>
      <xdr:col>14</xdr:col>
      <xdr:colOff>479960</xdr:colOff>
      <xdr:row>17</xdr:row>
      <xdr:rowOff>121226</xdr:rowOff>
    </xdr:from>
    <xdr:to>
      <xdr:col>16</xdr:col>
      <xdr:colOff>505935</xdr:colOff>
      <xdr:row>19</xdr:row>
      <xdr:rowOff>95248</xdr:rowOff>
    </xdr:to>
    <xdr:sp macro="" textlink="Sheet2!D7">
      <xdr:nvSpPr>
        <xdr:cNvPr id="25" name="TextBox 24">
          <a:extLst>
            <a:ext uri="{FF2B5EF4-FFF2-40B4-BE49-F238E27FC236}">
              <a16:creationId xmlns:a16="http://schemas.microsoft.com/office/drawing/2014/main" id="{21068B1E-5936-7A26-7CC7-BDC9B7DF367E}"/>
            </a:ext>
          </a:extLst>
        </xdr:cNvPr>
        <xdr:cNvSpPr txBox="1"/>
      </xdr:nvSpPr>
      <xdr:spPr>
        <a:xfrm>
          <a:off x="9052460" y="3359726"/>
          <a:ext cx="1250618" cy="355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284CA5-9C02-46FD-A240-19352EB8D807}" type="TxLink">
            <a:rPr lang="en-US" sz="2400" b="1" i="0" u="none" strike="noStrike">
              <a:solidFill>
                <a:srgbClr val="002060"/>
              </a:solidFill>
              <a:latin typeface="Calibri"/>
              <a:ea typeface="Calibri"/>
              <a:cs typeface="Calibri"/>
            </a:rPr>
            <a:pPr algn="ctr"/>
            <a:t>224</a:t>
          </a:fld>
          <a:endParaRPr lang="en-US" sz="2400" b="1">
            <a:solidFill>
              <a:srgbClr val="002060"/>
            </a:solidFill>
          </a:endParaRPr>
        </a:p>
      </xdr:txBody>
    </xdr:sp>
    <xdr:clientData/>
  </xdr:twoCellAnchor>
  <xdr:twoCellAnchor>
    <xdr:from>
      <xdr:col>19</xdr:col>
      <xdr:colOff>30306</xdr:colOff>
      <xdr:row>14</xdr:row>
      <xdr:rowOff>53810</xdr:rowOff>
    </xdr:from>
    <xdr:to>
      <xdr:col>22</xdr:col>
      <xdr:colOff>312965</xdr:colOff>
      <xdr:row>16</xdr:row>
      <xdr:rowOff>53810</xdr:rowOff>
    </xdr:to>
    <xdr:sp macro="" textlink="">
      <xdr:nvSpPr>
        <xdr:cNvPr id="28" name="TextBox 27">
          <a:extLst>
            <a:ext uri="{FF2B5EF4-FFF2-40B4-BE49-F238E27FC236}">
              <a16:creationId xmlns:a16="http://schemas.microsoft.com/office/drawing/2014/main" id="{251F9F49-C21A-3CC1-6490-0599C8457CA9}"/>
            </a:ext>
          </a:extLst>
        </xdr:cNvPr>
        <xdr:cNvSpPr txBox="1"/>
      </xdr:nvSpPr>
      <xdr:spPr>
        <a:xfrm>
          <a:off x="11664413" y="2720810"/>
          <a:ext cx="211962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C00000"/>
              </a:solidFill>
            </a:rPr>
            <a:t>ATTRITION RATE</a:t>
          </a:r>
        </a:p>
      </xdr:txBody>
    </xdr:sp>
    <xdr:clientData/>
  </xdr:twoCellAnchor>
  <xdr:twoCellAnchor>
    <xdr:from>
      <xdr:col>19</xdr:col>
      <xdr:colOff>507174</xdr:colOff>
      <xdr:row>17</xdr:row>
      <xdr:rowOff>107619</xdr:rowOff>
    </xdr:from>
    <xdr:to>
      <xdr:col>21</xdr:col>
      <xdr:colOff>442231</xdr:colOff>
      <xdr:row>19</xdr:row>
      <xdr:rowOff>81641</xdr:rowOff>
    </xdr:to>
    <xdr:sp macro="" textlink="Sheet2!E7">
      <xdr:nvSpPr>
        <xdr:cNvPr id="29" name="TextBox 28">
          <a:extLst>
            <a:ext uri="{FF2B5EF4-FFF2-40B4-BE49-F238E27FC236}">
              <a16:creationId xmlns:a16="http://schemas.microsoft.com/office/drawing/2014/main" id="{6F69024F-59D4-92EE-4033-DC245535BE7C}"/>
            </a:ext>
          </a:extLst>
        </xdr:cNvPr>
        <xdr:cNvSpPr txBox="1"/>
      </xdr:nvSpPr>
      <xdr:spPr>
        <a:xfrm>
          <a:off x="12141281" y="3346119"/>
          <a:ext cx="1159700" cy="355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244A5E-EE84-44A9-8DB3-5867E4A18462}" type="TxLink">
            <a:rPr lang="en-US" sz="2400" b="1" i="0" u="none" strike="noStrike">
              <a:solidFill>
                <a:srgbClr val="002060"/>
              </a:solidFill>
              <a:latin typeface="Calibri"/>
              <a:ea typeface="Calibri"/>
              <a:cs typeface="Calibri"/>
            </a:rPr>
            <a:pPr algn="ctr"/>
            <a:t>13.51%</a:t>
          </a:fld>
          <a:endParaRPr lang="en-US" sz="2400" b="1">
            <a:solidFill>
              <a:srgbClr val="002060"/>
            </a:solidFill>
          </a:endParaRPr>
        </a:p>
      </xdr:txBody>
    </xdr:sp>
    <xdr:clientData/>
  </xdr:twoCellAnchor>
  <xdr:twoCellAnchor>
    <xdr:from>
      <xdr:col>24</xdr:col>
      <xdr:colOff>80654</xdr:colOff>
      <xdr:row>14</xdr:row>
      <xdr:rowOff>5565</xdr:rowOff>
    </xdr:from>
    <xdr:to>
      <xdr:col>27</xdr:col>
      <xdr:colOff>149678</xdr:colOff>
      <xdr:row>16</xdr:row>
      <xdr:rowOff>131121</xdr:rowOff>
    </xdr:to>
    <xdr:sp macro="" textlink="">
      <xdr:nvSpPr>
        <xdr:cNvPr id="30" name="TextBox 29">
          <a:extLst>
            <a:ext uri="{FF2B5EF4-FFF2-40B4-BE49-F238E27FC236}">
              <a16:creationId xmlns:a16="http://schemas.microsoft.com/office/drawing/2014/main" id="{747938AA-6497-5CA5-8711-5B936DC58D12}"/>
            </a:ext>
          </a:extLst>
        </xdr:cNvPr>
        <xdr:cNvSpPr txBox="1"/>
      </xdr:nvSpPr>
      <xdr:spPr>
        <a:xfrm>
          <a:off x="14776368" y="2672565"/>
          <a:ext cx="1905989" cy="506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C00000"/>
              </a:solidFill>
            </a:rPr>
            <a:t>AVERAGE AGE</a:t>
          </a:r>
        </a:p>
      </xdr:txBody>
    </xdr:sp>
    <xdr:clientData/>
  </xdr:twoCellAnchor>
  <xdr:twoCellAnchor>
    <xdr:from>
      <xdr:col>25</xdr:col>
      <xdr:colOff>6181</xdr:colOff>
      <xdr:row>17</xdr:row>
      <xdr:rowOff>78549</xdr:rowOff>
    </xdr:from>
    <xdr:to>
      <xdr:col>26</xdr:col>
      <xdr:colOff>162047</xdr:colOff>
      <xdr:row>19</xdr:row>
      <xdr:rowOff>78548</xdr:rowOff>
    </xdr:to>
    <xdr:sp macro="" textlink="Sheet2!C7">
      <xdr:nvSpPr>
        <xdr:cNvPr id="31" name="TextBox 30">
          <a:extLst>
            <a:ext uri="{FF2B5EF4-FFF2-40B4-BE49-F238E27FC236}">
              <a16:creationId xmlns:a16="http://schemas.microsoft.com/office/drawing/2014/main" id="{2E533EE0-4444-6DB6-84FE-0B940C7390EB}"/>
            </a:ext>
          </a:extLst>
        </xdr:cNvPr>
        <xdr:cNvSpPr txBox="1"/>
      </xdr:nvSpPr>
      <xdr:spPr>
        <a:xfrm>
          <a:off x="15314217" y="3317049"/>
          <a:ext cx="768187"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C54118-8BDF-45F0-8C29-470871F8B4B6}" type="TxLink">
            <a:rPr lang="en-US" sz="2400" b="1" i="0" u="none" strike="noStrike">
              <a:solidFill>
                <a:srgbClr val="002060"/>
              </a:solidFill>
              <a:latin typeface="Calibri"/>
              <a:ea typeface="Calibri"/>
              <a:cs typeface="Calibri"/>
            </a:rPr>
            <a:pPr algn="ctr"/>
            <a:t>36</a:t>
          </a:fld>
          <a:endParaRPr lang="en-US" sz="2400" b="1">
            <a:solidFill>
              <a:srgbClr val="002060"/>
            </a:solidFill>
          </a:endParaRPr>
        </a:p>
      </xdr:txBody>
    </xdr:sp>
    <xdr:clientData/>
  </xdr:twoCellAnchor>
  <xdr:twoCellAnchor>
    <xdr:from>
      <xdr:col>3</xdr:col>
      <xdr:colOff>350694</xdr:colOff>
      <xdr:row>8</xdr:row>
      <xdr:rowOff>45770</xdr:rowOff>
    </xdr:from>
    <xdr:to>
      <xdr:col>13</xdr:col>
      <xdr:colOff>532534</xdr:colOff>
      <xdr:row>11</xdr:row>
      <xdr:rowOff>80407</xdr:rowOff>
    </xdr:to>
    <xdr:sp macro="" textlink="">
      <xdr:nvSpPr>
        <xdr:cNvPr id="32" name="TextBox 31">
          <a:extLst>
            <a:ext uri="{FF2B5EF4-FFF2-40B4-BE49-F238E27FC236}">
              <a16:creationId xmlns:a16="http://schemas.microsoft.com/office/drawing/2014/main" id="{1AFCB6E6-8137-6216-A21E-5AEA37382F96}"/>
            </a:ext>
          </a:extLst>
        </xdr:cNvPr>
        <xdr:cNvSpPr txBox="1"/>
      </xdr:nvSpPr>
      <xdr:spPr>
        <a:xfrm>
          <a:off x="2187658" y="1569770"/>
          <a:ext cx="6305055" cy="606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solidFill>
                <a:schemeClr val="accent1">
                  <a:lumMod val="50000"/>
                </a:schemeClr>
              </a:solidFill>
            </a:rPr>
            <a:t>ATTRITION DASHBOARD</a:t>
          </a:r>
        </a:p>
      </xdr:txBody>
    </xdr:sp>
    <xdr:clientData/>
  </xdr:twoCellAnchor>
  <xdr:twoCellAnchor>
    <xdr:from>
      <xdr:col>18</xdr:col>
      <xdr:colOff>243691</xdr:colOff>
      <xdr:row>6</xdr:row>
      <xdr:rowOff>141016</xdr:rowOff>
    </xdr:from>
    <xdr:to>
      <xdr:col>21</xdr:col>
      <xdr:colOff>149679</xdr:colOff>
      <xdr:row>13</xdr:row>
      <xdr:rowOff>122464</xdr:rowOff>
    </xdr:to>
    <xdr:sp macro="" textlink="">
      <xdr:nvSpPr>
        <xdr:cNvPr id="33" name="TextBox 32">
          <a:extLst>
            <a:ext uri="{FF2B5EF4-FFF2-40B4-BE49-F238E27FC236}">
              <a16:creationId xmlns:a16="http://schemas.microsoft.com/office/drawing/2014/main" id="{775E14A2-C549-21A8-23C3-D3616F6C84E5}"/>
            </a:ext>
          </a:extLst>
        </xdr:cNvPr>
        <xdr:cNvSpPr txBox="1"/>
      </xdr:nvSpPr>
      <xdr:spPr>
        <a:xfrm>
          <a:off x="11265477" y="1284016"/>
          <a:ext cx="1742952" cy="131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1">
                  <a:lumMod val="50000"/>
                </a:schemeClr>
              </a:solidFill>
            </a:rPr>
            <a:t>JOB SATISFACTION RATING</a:t>
          </a:r>
        </a:p>
      </xdr:txBody>
    </xdr:sp>
    <xdr:clientData/>
  </xdr:twoCellAnchor>
  <xdr:twoCellAnchor>
    <xdr:from>
      <xdr:col>21</xdr:col>
      <xdr:colOff>267814</xdr:colOff>
      <xdr:row>8</xdr:row>
      <xdr:rowOff>7420</xdr:rowOff>
    </xdr:from>
    <xdr:to>
      <xdr:col>23</xdr:col>
      <xdr:colOff>84117</xdr:colOff>
      <xdr:row>13</xdr:row>
      <xdr:rowOff>132977</xdr:rowOff>
    </xdr:to>
    <xdr:graphicFrame macro="">
      <xdr:nvGraphicFramePr>
        <xdr:cNvPr id="34" name="Chart 33">
          <a:extLst>
            <a:ext uri="{FF2B5EF4-FFF2-40B4-BE49-F238E27FC236}">
              <a16:creationId xmlns:a16="http://schemas.microsoft.com/office/drawing/2014/main" id="{7B0A5324-EC81-4F50-A1C2-B0D4C06FF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462333</xdr:colOff>
      <xdr:row>9</xdr:row>
      <xdr:rowOff>92156</xdr:rowOff>
    </xdr:from>
    <xdr:to>
      <xdr:col>27</xdr:col>
      <xdr:colOff>34635</xdr:colOff>
      <xdr:row>12</xdr:row>
      <xdr:rowOff>10513</xdr:rowOff>
    </xdr:to>
    <xdr:sp macro="" textlink="">
      <xdr:nvSpPr>
        <xdr:cNvPr id="48" name="Freeform: Shape 47">
          <a:extLst>
            <a:ext uri="{FF2B5EF4-FFF2-40B4-BE49-F238E27FC236}">
              <a16:creationId xmlns:a16="http://schemas.microsoft.com/office/drawing/2014/main" id="{1ED120E0-C29D-0DF9-9966-BB15E6A31A0E}"/>
            </a:ext>
          </a:extLst>
        </xdr:cNvPr>
        <xdr:cNvSpPr/>
      </xdr:nvSpPr>
      <xdr:spPr>
        <a:xfrm>
          <a:off x="15009606" y="1806656"/>
          <a:ext cx="1390711" cy="489857"/>
        </a:xfrm>
        <a:custGeom>
          <a:avLst/>
          <a:gdLst>
            <a:gd name="connsiteX0" fmla="*/ 722670 w 1907458"/>
            <a:gd name="connsiteY0" fmla="*/ 96531 h 540775"/>
            <a:gd name="connsiteX1" fmla="*/ 677410 w 1907458"/>
            <a:gd name="connsiteY1" fmla="*/ 220466 h 540775"/>
            <a:gd name="connsiteX2" fmla="*/ 530941 w 1907458"/>
            <a:gd name="connsiteY2" fmla="*/ 220465 h 540775"/>
            <a:gd name="connsiteX3" fmla="*/ 649437 w 1907458"/>
            <a:gd name="connsiteY3" fmla="*/ 297061 h 540775"/>
            <a:gd name="connsiteX4" fmla="*/ 604175 w 1907458"/>
            <a:gd name="connsiteY4" fmla="*/ 420995 h 540775"/>
            <a:gd name="connsiteX5" fmla="*/ 722670 w 1907458"/>
            <a:gd name="connsiteY5" fmla="*/ 344398 h 540775"/>
            <a:gd name="connsiteX6" fmla="*/ 841165 w 1907458"/>
            <a:gd name="connsiteY6" fmla="*/ 420995 h 540775"/>
            <a:gd name="connsiteX7" fmla="*/ 795903 w 1907458"/>
            <a:gd name="connsiteY7" fmla="*/ 297061 h 540775"/>
            <a:gd name="connsiteX8" fmla="*/ 914399 w 1907458"/>
            <a:gd name="connsiteY8" fmla="*/ 220465 h 540775"/>
            <a:gd name="connsiteX9" fmla="*/ 767930 w 1907458"/>
            <a:gd name="connsiteY9" fmla="*/ 220466 h 540775"/>
            <a:gd name="connsiteX10" fmla="*/ 275302 w 1907458"/>
            <a:gd name="connsiteY10" fmla="*/ 96531 h 540775"/>
            <a:gd name="connsiteX11" fmla="*/ 230042 w 1907458"/>
            <a:gd name="connsiteY11" fmla="*/ 220466 h 540775"/>
            <a:gd name="connsiteX12" fmla="*/ 83573 w 1907458"/>
            <a:gd name="connsiteY12" fmla="*/ 220465 h 540775"/>
            <a:gd name="connsiteX13" fmla="*/ 202069 w 1907458"/>
            <a:gd name="connsiteY13" fmla="*/ 297061 h 540775"/>
            <a:gd name="connsiteX14" fmla="*/ 156807 w 1907458"/>
            <a:gd name="connsiteY14" fmla="*/ 420995 h 540775"/>
            <a:gd name="connsiteX15" fmla="*/ 275302 w 1907458"/>
            <a:gd name="connsiteY15" fmla="*/ 344398 h 540775"/>
            <a:gd name="connsiteX16" fmla="*/ 393797 w 1907458"/>
            <a:gd name="connsiteY16" fmla="*/ 420995 h 540775"/>
            <a:gd name="connsiteX17" fmla="*/ 348535 w 1907458"/>
            <a:gd name="connsiteY17" fmla="*/ 297061 h 540775"/>
            <a:gd name="connsiteX18" fmla="*/ 467031 w 1907458"/>
            <a:gd name="connsiteY18" fmla="*/ 220465 h 540775"/>
            <a:gd name="connsiteX19" fmla="*/ 320562 w 1907458"/>
            <a:gd name="connsiteY19" fmla="*/ 220466 h 540775"/>
            <a:gd name="connsiteX20" fmla="*/ 1617406 w 1907458"/>
            <a:gd name="connsiteY20" fmla="*/ 92280 h 540775"/>
            <a:gd name="connsiteX21" fmla="*/ 1572146 w 1907458"/>
            <a:gd name="connsiteY21" fmla="*/ 219462 h 540775"/>
            <a:gd name="connsiteX22" fmla="*/ 1425677 w 1907458"/>
            <a:gd name="connsiteY22" fmla="*/ 219461 h 540775"/>
            <a:gd name="connsiteX23" fmla="*/ 1544173 w 1907458"/>
            <a:gd name="connsiteY23" fmla="*/ 298063 h 540775"/>
            <a:gd name="connsiteX24" fmla="*/ 1498911 w 1907458"/>
            <a:gd name="connsiteY24" fmla="*/ 425245 h 540775"/>
            <a:gd name="connsiteX25" fmla="*/ 1617406 w 1907458"/>
            <a:gd name="connsiteY25" fmla="*/ 346642 h 540775"/>
            <a:gd name="connsiteX26" fmla="*/ 1735901 w 1907458"/>
            <a:gd name="connsiteY26" fmla="*/ 425245 h 540775"/>
            <a:gd name="connsiteX27" fmla="*/ 1690639 w 1907458"/>
            <a:gd name="connsiteY27" fmla="*/ 298063 h 540775"/>
            <a:gd name="connsiteX28" fmla="*/ 1809135 w 1907458"/>
            <a:gd name="connsiteY28" fmla="*/ 219461 h 540775"/>
            <a:gd name="connsiteX29" fmla="*/ 1662666 w 1907458"/>
            <a:gd name="connsiteY29" fmla="*/ 219462 h 540775"/>
            <a:gd name="connsiteX30" fmla="*/ 1170038 w 1907458"/>
            <a:gd name="connsiteY30" fmla="*/ 92280 h 540775"/>
            <a:gd name="connsiteX31" fmla="*/ 1124778 w 1907458"/>
            <a:gd name="connsiteY31" fmla="*/ 219462 h 540775"/>
            <a:gd name="connsiteX32" fmla="*/ 978309 w 1907458"/>
            <a:gd name="connsiteY32" fmla="*/ 219461 h 540775"/>
            <a:gd name="connsiteX33" fmla="*/ 1096805 w 1907458"/>
            <a:gd name="connsiteY33" fmla="*/ 298063 h 540775"/>
            <a:gd name="connsiteX34" fmla="*/ 1051543 w 1907458"/>
            <a:gd name="connsiteY34" fmla="*/ 425245 h 540775"/>
            <a:gd name="connsiteX35" fmla="*/ 1170038 w 1907458"/>
            <a:gd name="connsiteY35" fmla="*/ 346642 h 540775"/>
            <a:gd name="connsiteX36" fmla="*/ 1288533 w 1907458"/>
            <a:gd name="connsiteY36" fmla="*/ 425245 h 540775"/>
            <a:gd name="connsiteX37" fmla="*/ 1243271 w 1907458"/>
            <a:gd name="connsiteY37" fmla="*/ 298063 h 540775"/>
            <a:gd name="connsiteX38" fmla="*/ 1361767 w 1907458"/>
            <a:gd name="connsiteY38" fmla="*/ 219461 h 540775"/>
            <a:gd name="connsiteX39" fmla="*/ 1215298 w 1907458"/>
            <a:gd name="connsiteY39" fmla="*/ 219462 h 540775"/>
            <a:gd name="connsiteX40" fmla="*/ 0 w 1907458"/>
            <a:gd name="connsiteY40" fmla="*/ 0 h 540775"/>
            <a:gd name="connsiteX41" fmla="*/ 1907458 w 1907458"/>
            <a:gd name="connsiteY41" fmla="*/ 0 h 540775"/>
            <a:gd name="connsiteX42" fmla="*/ 1907458 w 1907458"/>
            <a:gd name="connsiteY42" fmla="*/ 540775 h 540775"/>
            <a:gd name="connsiteX43" fmla="*/ 0 w 1907458"/>
            <a:gd name="connsiteY43" fmla="*/ 540775 h 5407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907458" h="540775">
              <a:moveTo>
                <a:pt x="722670" y="96531"/>
              </a:moveTo>
              <a:lnTo>
                <a:pt x="677410" y="220466"/>
              </a:lnTo>
              <a:lnTo>
                <a:pt x="530941" y="220465"/>
              </a:lnTo>
              <a:lnTo>
                <a:pt x="649437" y="297061"/>
              </a:lnTo>
              <a:lnTo>
                <a:pt x="604175" y="420995"/>
              </a:lnTo>
              <a:lnTo>
                <a:pt x="722670" y="344398"/>
              </a:lnTo>
              <a:lnTo>
                <a:pt x="841165" y="420995"/>
              </a:lnTo>
              <a:lnTo>
                <a:pt x="795903" y="297061"/>
              </a:lnTo>
              <a:lnTo>
                <a:pt x="914399" y="220465"/>
              </a:lnTo>
              <a:lnTo>
                <a:pt x="767930" y="220466"/>
              </a:lnTo>
              <a:close/>
              <a:moveTo>
                <a:pt x="275302" y="96531"/>
              </a:moveTo>
              <a:lnTo>
                <a:pt x="230042" y="220466"/>
              </a:lnTo>
              <a:lnTo>
                <a:pt x="83573" y="220465"/>
              </a:lnTo>
              <a:lnTo>
                <a:pt x="202069" y="297061"/>
              </a:lnTo>
              <a:lnTo>
                <a:pt x="156807" y="420995"/>
              </a:lnTo>
              <a:lnTo>
                <a:pt x="275302" y="344398"/>
              </a:lnTo>
              <a:lnTo>
                <a:pt x="393797" y="420995"/>
              </a:lnTo>
              <a:lnTo>
                <a:pt x="348535" y="297061"/>
              </a:lnTo>
              <a:lnTo>
                <a:pt x="467031" y="220465"/>
              </a:lnTo>
              <a:lnTo>
                <a:pt x="320562" y="220466"/>
              </a:lnTo>
              <a:close/>
              <a:moveTo>
                <a:pt x="1617406" y="92280"/>
              </a:moveTo>
              <a:lnTo>
                <a:pt x="1572146" y="219462"/>
              </a:lnTo>
              <a:lnTo>
                <a:pt x="1425677" y="219461"/>
              </a:lnTo>
              <a:lnTo>
                <a:pt x="1544173" y="298063"/>
              </a:lnTo>
              <a:lnTo>
                <a:pt x="1498911" y="425245"/>
              </a:lnTo>
              <a:lnTo>
                <a:pt x="1617406" y="346642"/>
              </a:lnTo>
              <a:lnTo>
                <a:pt x="1735901" y="425245"/>
              </a:lnTo>
              <a:lnTo>
                <a:pt x="1690639" y="298063"/>
              </a:lnTo>
              <a:lnTo>
                <a:pt x="1809135" y="219461"/>
              </a:lnTo>
              <a:lnTo>
                <a:pt x="1662666" y="219462"/>
              </a:lnTo>
              <a:close/>
              <a:moveTo>
                <a:pt x="1170038" y="92280"/>
              </a:moveTo>
              <a:lnTo>
                <a:pt x="1124778" y="219462"/>
              </a:lnTo>
              <a:lnTo>
                <a:pt x="978309" y="219461"/>
              </a:lnTo>
              <a:lnTo>
                <a:pt x="1096805" y="298063"/>
              </a:lnTo>
              <a:lnTo>
                <a:pt x="1051543" y="425245"/>
              </a:lnTo>
              <a:lnTo>
                <a:pt x="1170038" y="346642"/>
              </a:lnTo>
              <a:lnTo>
                <a:pt x="1288533" y="425245"/>
              </a:lnTo>
              <a:lnTo>
                <a:pt x="1243271" y="298063"/>
              </a:lnTo>
              <a:lnTo>
                <a:pt x="1361767" y="219461"/>
              </a:lnTo>
              <a:lnTo>
                <a:pt x="1215298" y="219462"/>
              </a:lnTo>
              <a:close/>
              <a:moveTo>
                <a:pt x="0" y="0"/>
              </a:moveTo>
              <a:lnTo>
                <a:pt x="1907458" y="0"/>
              </a:lnTo>
              <a:lnTo>
                <a:pt x="1907458" y="540775"/>
              </a:lnTo>
              <a:lnTo>
                <a:pt x="0" y="540775"/>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16</xdr:col>
      <xdr:colOff>304304</xdr:colOff>
      <xdr:row>8</xdr:row>
      <xdr:rowOff>21028</xdr:rowOff>
    </xdr:from>
    <xdr:to>
      <xdr:col>17</xdr:col>
      <xdr:colOff>447180</xdr:colOff>
      <xdr:row>12</xdr:row>
      <xdr:rowOff>118648</xdr:rowOff>
    </xdr:to>
    <xdr:pic>
      <xdr:nvPicPr>
        <xdr:cNvPr id="36" name="Picture 35" descr="Thumbs up - Free gestures icons">
          <a:extLst>
            <a:ext uri="{FF2B5EF4-FFF2-40B4-BE49-F238E27FC236}">
              <a16:creationId xmlns:a16="http://schemas.microsoft.com/office/drawing/2014/main" id="{FBD499DD-3990-8EB3-3F73-3691EA34389F}"/>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245" t="-1744" r="249" b="593"/>
        <a:stretch>
          <a:fillRect/>
        </a:stretch>
      </xdr:blipFill>
      <xdr:spPr bwMode="auto">
        <a:xfrm>
          <a:off x="10101447" y="1545028"/>
          <a:ext cx="755197" cy="859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36493</xdr:colOff>
      <xdr:row>24</xdr:row>
      <xdr:rowOff>40821</xdr:rowOff>
    </xdr:from>
    <xdr:to>
      <xdr:col>9</xdr:col>
      <xdr:colOff>426150</xdr:colOff>
      <xdr:row>34</xdr:row>
      <xdr:rowOff>6187</xdr:rowOff>
    </xdr:to>
    <xdr:grpSp>
      <xdr:nvGrpSpPr>
        <xdr:cNvPr id="47" name="Group 46">
          <a:extLst>
            <a:ext uri="{FF2B5EF4-FFF2-40B4-BE49-F238E27FC236}">
              <a16:creationId xmlns:a16="http://schemas.microsoft.com/office/drawing/2014/main" id="{44AF2B56-CBCD-96AB-0A37-A76CDEE9675D}"/>
            </a:ext>
          </a:extLst>
        </xdr:cNvPr>
        <xdr:cNvGrpSpPr/>
      </xdr:nvGrpSpPr>
      <xdr:grpSpPr>
        <a:xfrm>
          <a:off x="1248766" y="4612821"/>
          <a:ext cx="4632611" cy="1870366"/>
          <a:chOff x="2779569" y="3883603"/>
          <a:chExt cx="4935679" cy="1870364"/>
        </a:xfrm>
      </xdr:grpSpPr>
      <xdr:graphicFrame macro="">
        <xdr:nvGraphicFramePr>
          <xdr:cNvPr id="55" name="Chart 54">
            <a:extLst>
              <a:ext uri="{FF2B5EF4-FFF2-40B4-BE49-F238E27FC236}">
                <a16:creationId xmlns:a16="http://schemas.microsoft.com/office/drawing/2014/main" id="{ED30942A-E95D-4AFA-B88F-D83152461618}"/>
              </a:ext>
            </a:extLst>
          </xdr:cNvPr>
          <xdr:cNvGraphicFramePr>
            <a:graphicFrameLocks/>
          </xdr:cNvGraphicFramePr>
        </xdr:nvGraphicFramePr>
        <xdr:xfrm>
          <a:off x="2779569" y="3922569"/>
          <a:ext cx="1766453" cy="183139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6" name="Chart 55">
            <a:extLst>
              <a:ext uri="{FF2B5EF4-FFF2-40B4-BE49-F238E27FC236}">
                <a16:creationId xmlns:a16="http://schemas.microsoft.com/office/drawing/2014/main" id="{CA5408D8-B3B2-4CF6-8050-DB60143CF421}"/>
              </a:ext>
            </a:extLst>
          </xdr:cNvPr>
          <xdr:cNvGraphicFramePr>
            <a:graphicFrameLocks/>
          </xdr:cNvGraphicFramePr>
        </xdr:nvGraphicFramePr>
        <xdr:xfrm>
          <a:off x="5948795" y="3883603"/>
          <a:ext cx="1766453" cy="1831398"/>
        </xdr:xfrm>
        <a:graphic>
          <a:graphicData uri="http://schemas.openxmlformats.org/drawingml/2006/chart">
            <c:chart xmlns:c="http://schemas.openxmlformats.org/drawingml/2006/chart" xmlns:r="http://schemas.openxmlformats.org/officeDocument/2006/relationships" r:id="rId5"/>
          </a:graphicData>
        </a:graphic>
      </xdr:graphicFrame>
      <xdr:pic>
        <xdr:nvPicPr>
          <xdr:cNvPr id="21" name="Picture 20" descr="People Icon Vector Male and Female Person Profile Avatar Stock Vector -  Illustration of avatar, businesswoman: 102655320">
            <a:extLst>
              <a:ext uri="{FF2B5EF4-FFF2-40B4-BE49-F238E27FC236}">
                <a16:creationId xmlns:a16="http://schemas.microsoft.com/office/drawing/2014/main" id="{616122D9-8851-A0E3-C364-688DBB03B445}"/>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2348" t="29082" r="5642" b="29296"/>
          <a:stretch>
            <a:fillRect/>
          </a:stretch>
        </xdr:blipFill>
        <xdr:spPr bwMode="auto">
          <a:xfrm>
            <a:off x="4390427" y="4487126"/>
            <a:ext cx="763622" cy="85055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7" name="Picture 26" descr="People Icon Vector Male and Female Person Profile Avatar Stock Vector -  Illustration of avatar, businesswoman: 102655320">
            <a:extLst>
              <a:ext uri="{FF2B5EF4-FFF2-40B4-BE49-F238E27FC236}">
                <a16:creationId xmlns:a16="http://schemas.microsoft.com/office/drawing/2014/main" id="{A8E96129-F859-CD37-DA6B-E8C5638C4B6A}"/>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5392" t="26167" r="50861" b="26096"/>
          <a:stretch>
            <a:fillRect/>
          </a:stretch>
        </xdr:blipFill>
        <xdr:spPr bwMode="auto">
          <a:xfrm>
            <a:off x="5312352" y="4493938"/>
            <a:ext cx="808185" cy="901695"/>
          </a:xfrm>
          <a:prstGeom prst="rect">
            <a:avLst/>
          </a:prstGeom>
          <a:noFill/>
          <a:scene3d>
            <a:camera prst="perspectiveBelow"/>
            <a:lightRig rig="threePt" dir="t"/>
          </a:scene3d>
          <a:extLst>
            <a:ext uri="{909E8E84-426E-40DD-AFC4-6F175D3DCCD1}">
              <a14:hiddenFill xmlns:a14="http://schemas.microsoft.com/office/drawing/2010/main">
                <a:solidFill>
                  <a:srgbClr val="FFFFFF"/>
                </a:solidFill>
              </a14:hiddenFill>
            </a:ext>
          </a:extLst>
        </xdr:spPr>
      </xdr:pic>
      <xdr:sp macro="" textlink="Gender!B9">
        <xdr:nvSpPr>
          <xdr:cNvPr id="43" name="TextBox 42">
            <a:extLst>
              <a:ext uri="{FF2B5EF4-FFF2-40B4-BE49-F238E27FC236}">
                <a16:creationId xmlns:a16="http://schemas.microsoft.com/office/drawing/2014/main" id="{CE703E89-FA0A-3DE6-184E-2BDB17ED1900}"/>
              </a:ext>
            </a:extLst>
          </xdr:cNvPr>
          <xdr:cNvSpPr txBox="1"/>
        </xdr:nvSpPr>
        <xdr:spPr>
          <a:xfrm>
            <a:off x="3286125" y="4559012"/>
            <a:ext cx="701386"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107D37-E5A4-4C62-B3A7-E523CCA30AFC}" type="TxLink">
              <a:rPr lang="en-US" sz="1800" b="1" i="0" u="none" strike="noStrike">
                <a:solidFill>
                  <a:srgbClr val="000000"/>
                </a:solidFill>
                <a:latin typeface="Arial Black" panose="020B0A04020102020204" pitchFamily="34" charset="0"/>
                <a:ea typeface="Calibri"/>
                <a:cs typeface="Calibri"/>
              </a:rPr>
              <a:pPr algn="ctr"/>
              <a:t>102</a:t>
            </a:fld>
            <a:endParaRPr lang="en-US" sz="1800" b="1">
              <a:latin typeface="Arial Black" panose="020B0A04020102020204" pitchFamily="34" charset="0"/>
            </a:endParaRPr>
          </a:p>
        </xdr:txBody>
      </xdr:sp>
      <xdr:sp macro="" textlink="Gender!B10">
        <xdr:nvSpPr>
          <xdr:cNvPr id="46" name="TextBox 45">
            <a:extLst>
              <a:ext uri="{FF2B5EF4-FFF2-40B4-BE49-F238E27FC236}">
                <a16:creationId xmlns:a16="http://schemas.microsoft.com/office/drawing/2014/main" id="{867D74B3-E51A-A31F-9814-E041EAD6B85A}"/>
              </a:ext>
            </a:extLst>
          </xdr:cNvPr>
          <xdr:cNvSpPr txBox="1"/>
        </xdr:nvSpPr>
        <xdr:spPr>
          <a:xfrm>
            <a:off x="6494319" y="4533033"/>
            <a:ext cx="649432" cy="493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E469B4-0D9D-49FA-B27B-6308625001C4}" type="TxLink">
              <a:rPr lang="en-US" sz="1800" b="1" i="0" u="none" strike="noStrike">
                <a:solidFill>
                  <a:srgbClr val="000000"/>
                </a:solidFill>
                <a:latin typeface="Arial Black" panose="020B0A04020102020204" pitchFamily="34" charset="0"/>
                <a:ea typeface="Calibri"/>
                <a:cs typeface="Calibri"/>
              </a:rPr>
              <a:pPr algn="ctr"/>
              <a:t>157</a:t>
            </a:fld>
            <a:endParaRPr lang="en-US" sz="1800" b="1">
              <a:latin typeface="Arial Black" panose="020B0A04020102020204" pitchFamily="34" charset="0"/>
            </a:endParaRPr>
          </a:p>
        </xdr:txBody>
      </xdr:sp>
    </xdr:grpSp>
    <xdr:clientData/>
  </xdr:twoCellAnchor>
  <xdr:twoCellAnchor>
    <xdr:from>
      <xdr:col>1</xdr:col>
      <xdr:colOff>308019</xdr:colOff>
      <xdr:row>20</xdr:row>
      <xdr:rowOff>133597</xdr:rowOff>
    </xdr:from>
    <xdr:to>
      <xdr:col>9</xdr:col>
      <xdr:colOff>124321</xdr:colOff>
      <xdr:row>22</xdr:row>
      <xdr:rowOff>159575</xdr:rowOff>
    </xdr:to>
    <xdr:sp macro="" textlink="">
      <xdr:nvSpPr>
        <xdr:cNvPr id="49" name="TextBox 48">
          <a:extLst>
            <a:ext uri="{FF2B5EF4-FFF2-40B4-BE49-F238E27FC236}">
              <a16:creationId xmlns:a16="http://schemas.microsoft.com/office/drawing/2014/main" id="{F45C020B-CA8E-33C7-6384-A0C65D4A980D}"/>
            </a:ext>
          </a:extLst>
        </xdr:cNvPr>
        <xdr:cNvSpPr txBox="1"/>
      </xdr:nvSpPr>
      <xdr:spPr>
        <a:xfrm>
          <a:off x="920340" y="3943597"/>
          <a:ext cx="4714874" cy="40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C00000"/>
              </a:solidFill>
            </a:rPr>
            <a:t>TOTAL</a:t>
          </a:r>
          <a:r>
            <a:rPr lang="en-US" sz="2000" b="1" baseline="0">
              <a:solidFill>
                <a:srgbClr val="C00000"/>
              </a:solidFill>
            </a:rPr>
            <a:t> EMPLOYEES BY GENDER</a:t>
          </a:r>
          <a:endParaRPr lang="en-US" sz="2000" b="1">
            <a:solidFill>
              <a:srgbClr val="C00000"/>
            </a:solidFill>
          </a:endParaRPr>
        </a:p>
      </xdr:txBody>
    </xdr:sp>
    <xdr:clientData/>
  </xdr:twoCellAnchor>
  <xdr:twoCellAnchor editAs="oneCell">
    <xdr:from>
      <xdr:col>4</xdr:col>
      <xdr:colOff>139782</xdr:colOff>
      <xdr:row>22</xdr:row>
      <xdr:rowOff>132361</xdr:rowOff>
    </xdr:from>
    <xdr:to>
      <xdr:col>7</xdr:col>
      <xdr:colOff>202130</xdr:colOff>
      <xdr:row>26</xdr:row>
      <xdr:rowOff>32782</xdr:rowOff>
    </xdr:to>
    <mc:AlternateContent xmlns:mc="http://schemas.openxmlformats.org/markup-compatibility/2006" xmlns:a14="http://schemas.microsoft.com/office/drawing/2010/main">
      <mc:Choice Requires="a14">
        <xdr:graphicFrame macro="">
          <xdr:nvGraphicFramePr>
            <xdr:cNvPr id="61" name="Gender 3">
              <a:extLst>
                <a:ext uri="{FF2B5EF4-FFF2-40B4-BE49-F238E27FC236}">
                  <a16:creationId xmlns:a16="http://schemas.microsoft.com/office/drawing/2014/main" id="{9CF818B4-5123-4EA2-9DBE-A9D4FB0BD58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564327" y="4323361"/>
              <a:ext cx="1880758" cy="662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611085</xdr:colOff>
      <xdr:row>22</xdr:row>
      <xdr:rowOff>132361</xdr:rowOff>
    </xdr:from>
    <xdr:to>
      <xdr:col>18</xdr:col>
      <xdr:colOff>586713</xdr:colOff>
      <xdr:row>33</xdr:row>
      <xdr:rowOff>132360</xdr:rowOff>
    </xdr:to>
    <xdr:graphicFrame macro="">
      <xdr:nvGraphicFramePr>
        <xdr:cNvPr id="63" name="Chart 62">
          <a:extLst>
            <a:ext uri="{FF2B5EF4-FFF2-40B4-BE49-F238E27FC236}">
              <a16:creationId xmlns:a16="http://schemas.microsoft.com/office/drawing/2014/main" id="{1C7986E5-109C-45BD-87D2-647AA155A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368012</xdr:colOff>
      <xdr:row>21</xdr:row>
      <xdr:rowOff>64324</xdr:rowOff>
    </xdr:from>
    <xdr:to>
      <xdr:col>18</xdr:col>
      <xdr:colOff>419965</xdr:colOff>
      <xdr:row>22</xdr:row>
      <xdr:rowOff>176893</xdr:rowOff>
    </xdr:to>
    <xdr:sp macro="" textlink="">
      <xdr:nvSpPr>
        <xdr:cNvPr id="64" name="TextBox 63">
          <a:extLst>
            <a:ext uri="{FF2B5EF4-FFF2-40B4-BE49-F238E27FC236}">
              <a16:creationId xmlns:a16="http://schemas.microsoft.com/office/drawing/2014/main" id="{36186396-48F5-EF5F-0981-6615AA0E18D3}"/>
            </a:ext>
          </a:extLst>
        </xdr:cNvPr>
        <xdr:cNvSpPr txBox="1"/>
      </xdr:nvSpPr>
      <xdr:spPr>
        <a:xfrm>
          <a:off x="6491226" y="4064824"/>
          <a:ext cx="4950525" cy="30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C00000"/>
              </a:solidFill>
            </a:rPr>
            <a:t>EDUCATION WISE ATTRITION</a:t>
          </a:r>
        </a:p>
      </xdr:txBody>
    </xdr:sp>
    <xdr:clientData/>
  </xdr:twoCellAnchor>
  <xdr:twoCellAnchor>
    <xdr:from>
      <xdr:col>20</xdr:col>
      <xdr:colOff>53811</xdr:colOff>
      <xdr:row>22</xdr:row>
      <xdr:rowOff>5567</xdr:rowOff>
    </xdr:from>
    <xdr:to>
      <xdr:col>27</xdr:col>
      <xdr:colOff>417493</xdr:colOff>
      <xdr:row>33</xdr:row>
      <xdr:rowOff>79169</xdr:rowOff>
    </xdr:to>
    <mc:AlternateContent xmlns:mc="http://schemas.openxmlformats.org/markup-compatibility/2006">
      <mc:Choice xmlns:cx1="http://schemas.microsoft.com/office/drawing/2015/9/8/chartex" Requires="cx1">
        <xdr:graphicFrame macro="">
          <xdr:nvGraphicFramePr>
            <xdr:cNvPr id="70" name="Chart 69">
              <a:extLst>
                <a:ext uri="{FF2B5EF4-FFF2-40B4-BE49-F238E27FC236}">
                  <a16:creationId xmlns:a16="http://schemas.microsoft.com/office/drawing/2014/main" id="{44F23394-7DC3-40AC-A607-364B20F199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2245811" y="4196567"/>
              <a:ext cx="4630882" cy="216910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611086</xdr:colOff>
      <xdr:row>20</xdr:row>
      <xdr:rowOff>94012</xdr:rowOff>
    </xdr:from>
    <xdr:to>
      <xdr:col>27</xdr:col>
      <xdr:colOff>349457</xdr:colOff>
      <xdr:row>22</xdr:row>
      <xdr:rowOff>81023</xdr:rowOff>
    </xdr:to>
    <xdr:sp macro="" textlink="">
      <xdr:nvSpPr>
        <xdr:cNvPr id="71" name="TextBox 70">
          <a:extLst>
            <a:ext uri="{FF2B5EF4-FFF2-40B4-BE49-F238E27FC236}">
              <a16:creationId xmlns:a16="http://schemas.microsoft.com/office/drawing/2014/main" id="{4124AD3F-147D-A765-70C4-5920EE4F9566}"/>
            </a:ext>
          </a:extLst>
        </xdr:cNvPr>
        <xdr:cNvSpPr txBox="1"/>
      </xdr:nvSpPr>
      <xdr:spPr>
        <a:xfrm>
          <a:off x="12245193" y="3904012"/>
          <a:ext cx="4636943" cy="368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C00000"/>
              </a:solidFill>
              <a:effectLst/>
              <a:uLnTx/>
              <a:uFillTx/>
              <a:latin typeface="+mn-lt"/>
              <a:ea typeface="+mn-ea"/>
              <a:cs typeface="+mn-cs"/>
            </a:rPr>
            <a:t>ATTRITION BY JOB ROLE</a:t>
          </a:r>
        </a:p>
        <a:p>
          <a:endParaRPr lang="en-US" sz="1100"/>
        </a:p>
      </xdr:txBody>
    </xdr:sp>
    <xdr:clientData/>
  </xdr:twoCellAnchor>
  <xdr:twoCellAnchor>
    <xdr:from>
      <xdr:col>2</xdr:col>
      <xdr:colOff>173802</xdr:colOff>
      <xdr:row>35</xdr:row>
      <xdr:rowOff>190498</xdr:rowOff>
    </xdr:from>
    <xdr:to>
      <xdr:col>10</xdr:col>
      <xdr:colOff>68036</xdr:colOff>
      <xdr:row>49</xdr:row>
      <xdr:rowOff>122463</xdr:rowOff>
    </xdr:to>
    <xdr:graphicFrame macro="">
      <xdr:nvGraphicFramePr>
        <xdr:cNvPr id="73" name="Chart 72">
          <a:extLst>
            <a:ext uri="{FF2B5EF4-FFF2-40B4-BE49-F238E27FC236}">
              <a16:creationId xmlns:a16="http://schemas.microsoft.com/office/drawing/2014/main" id="{2CA7E744-D662-4737-B22D-6BE937366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513364</xdr:colOff>
      <xdr:row>33</xdr:row>
      <xdr:rowOff>119991</xdr:rowOff>
    </xdr:from>
    <xdr:to>
      <xdr:col>9</xdr:col>
      <xdr:colOff>342654</xdr:colOff>
      <xdr:row>36</xdr:row>
      <xdr:rowOff>7423</xdr:rowOff>
    </xdr:to>
    <xdr:sp macro="" textlink="">
      <xdr:nvSpPr>
        <xdr:cNvPr id="74" name="TextBox 73">
          <a:extLst>
            <a:ext uri="{FF2B5EF4-FFF2-40B4-BE49-F238E27FC236}">
              <a16:creationId xmlns:a16="http://schemas.microsoft.com/office/drawing/2014/main" id="{FE460BB7-38B9-EB1C-D11F-9463BDEAC3FA}"/>
            </a:ext>
          </a:extLst>
        </xdr:cNvPr>
        <xdr:cNvSpPr txBox="1"/>
      </xdr:nvSpPr>
      <xdr:spPr>
        <a:xfrm>
          <a:off x="1125685" y="6406491"/>
          <a:ext cx="4727862" cy="4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srgbClr val="C00000"/>
              </a:solidFill>
              <a:effectLst/>
              <a:uLnTx/>
              <a:uFillTx/>
              <a:latin typeface="+mn-lt"/>
              <a:ea typeface="+mn-ea"/>
              <a:cs typeface="+mn-cs"/>
            </a:rPr>
            <a:t>DEPT WISE ATTRITION</a:t>
          </a:r>
        </a:p>
        <a:p>
          <a:endParaRPr lang="en-US" sz="1100"/>
        </a:p>
      </xdr:txBody>
    </xdr:sp>
    <xdr:clientData/>
  </xdr:twoCellAnchor>
  <xdr:twoCellAnchor>
    <xdr:from>
      <xdr:col>10</xdr:col>
      <xdr:colOff>448419</xdr:colOff>
      <xdr:row>36</xdr:row>
      <xdr:rowOff>128032</xdr:rowOff>
    </xdr:from>
    <xdr:to>
      <xdr:col>15</xdr:col>
      <xdr:colOff>448418</xdr:colOff>
      <xdr:row>50</xdr:row>
      <xdr:rowOff>68036</xdr:rowOff>
    </xdr:to>
    <xdr:graphicFrame macro="">
      <xdr:nvGraphicFramePr>
        <xdr:cNvPr id="26" name="Chart 25">
          <a:extLst>
            <a:ext uri="{FF2B5EF4-FFF2-40B4-BE49-F238E27FC236}">
              <a16:creationId xmlns:a16="http://schemas.microsoft.com/office/drawing/2014/main" id="{ED560DD7-CA82-49AE-9D6C-1EF48AB8C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544284</xdr:colOff>
      <xdr:row>33</xdr:row>
      <xdr:rowOff>141640</xdr:rowOff>
    </xdr:from>
    <xdr:to>
      <xdr:col>15</xdr:col>
      <xdr:colOff>311727</xdr:colOff>
      <xdr:row>36</xdr:row>
      <xdr:rowOff>24742</xdr:rowOff>
    </xdr:to>
    <xdr:sp macro="" textlink="">
      <xdr:nvSpPr>
        <xdr:cNvPr id="35" name="TextBox 34">
          <a:extLst>
            <a:ext uri="{FF2B5EF4-FFF2-40B4-BE49-F238E27FC236}">
              <a16:creationId xmlns:a16="http://schemas.microsoft.com/office/drawing/2014/main" id="{C43C65AE-F873-D93B-E203-012928D81C70}"/>
            </a:ext>
          </a:extLst>
        </xdr:cNvPr>
        <xdr:cNvSpPr txBox="1"/>
      </xdr:nvSpPr>
      <xdr:spPr>
        <a:xfrm>
          <a:off x="6055177" y="6428140"/>
          <a:ext cx="3441371" cy="454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srgbClr val="C00000"/>
              </a:solidFill>
              <a:effectLst/>
              <a:uLnTx/>
              <a:uFillTx/>
              <a:latin typeface="+mn-lt"/>
              <a:ea typeface="+mn-ea"/>
              <a:cs typeface="+mn-cs"/>
            </a:rPr>
            <a:t>AGE WISE ATTRITION</a:t>
          </a:r>
        </a:p>
        <a:p>
          <a:endParaRPr lang="en-US" sz="1200"/>
        </a:p>
      </xdr:txBody>
    </xdr:sp>
    <xdr:clientData/>
  </xdr:twoCellAnchor>
  <xdr:twoCellAnchor>
    <xdr:from>
      <xdr:col>16</xdr:col>
      <xdr:colOff>455591</xdr:colOff>
      <xdr:row>37</xdr:row>
      <xdr:rowOff>38348</xdr:rowOff>
    </xdr:from>
    <xdr:to>
      <xdr:col>21</xdr:col>
      <xdr:colOff>527585</xdr:colOff>
      <xdr:row>50</xdr:row>
      <xdr:rowOff>68036</xdr:rowOff>
    </xdr:to>
    <xdr:graphicFrame macro="">
      <xdr:nvGraphicFramePr>
        <xdr:cNvPr id="38" name="Chart 37">
          <a:extLst>
            <a:ext uri="{FF2B5EF4-FFF2-40B4-BE49-F238E27FC236}">
              <a16:creationId xmlns:a16="http://schemas.microsoft.com/office/drawing/2014/main" id="{55089C92-FD54-4D1F-8794-C659389A3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13607</xdr:colOff>
      <xdr:row>33</xdr:row>
      <xdr:rowOff>162050</xdr:rowOff>
    </xdr:from>
    <xdr:to>
      <xdr:col>22</xdr:col>
      <xdr:colOff>63706</xdr:colOff>
      <xdr:row>36</xdr:row>
      <xdr:rowOff>36492</xdr:rowOff>
    </xdr:to>
    <xdr:sp macro="" textlink="">
      <xdr:nvSpPr>
        <xdr:cNvPr id="39" name="TextBox 38">
          <a:extLst>
            <a:ext uri="{FF2B5EF4-FFF2-40B4-BE49-F238E27FC236}">
              <a16:creationId xmlns:a16="http://schemas.microsoft.com/office/drawing/2014/main" id="{FB6EBAFD-1AE1-AF2E-DE33-AAD5FBAE68E7}"/>
            </a:ext>
          </a:extLst>
        </xdr:cNvPr>
        <xdr:cNvSpPr txBox="1"/>
      </xdr:nvSpPr>
      <xdr:spPr>
        <a:xfrm>
          <a:off x="9810750" y="6448550"/>
          <a:ext cx="3724027" cy="445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srgbClr val="C00000"/>
              </a:solidFill>
              <a:effectLst/>
              <a:uLnTx/>
              <a:uFillTx/>
              <a:latin typeface="+mn-lt"/>
              <a:ea typeface="+mn-ea"/>
              <a:cs typeface="+mn-cs"/>
            </a:rPr>
            <a:t>ATTRITION</a:t>
          </a:r>
          <a:r>
            <a:rPr kumimoji="0" lang="en-US" sz="2000" b="1" i="0" u="none" strike="noStrike" kern="0" cap="none" spc="0" normalizeH="0" baseline="0" noProof="0">
              <a:ln>
                <a:noFill/>
              </a:ln>
              <a:solidFill>
                <a:srgbClr val="C00000"/>
              </a:solidFill>
              <a:effectLst/>
              <a:uLnTx/>
              <a:uFillTx/>
              <a:latin typeface="+mn-lt"/>
              <a:ea typeface="+mn-ea"/>
              <a:cs typeface="+mn-cs"/>
            </a:rPr>
            <a:t> </a:t>
          </a:r>
          <a:r>
            <a:rPr kumimoji="0" lang="en-US" sz="2800" b="1" i="0" u="none" strike="noStrike" kern="0" cap="none" spc="0" normalizeH="0" baseline="0" noProof="0">
              <a:ln>
                <a:noFill/>
              </a:ln>
              <a:solidFill>
                <a:srgbClr val="C00000"/>
              </a:solidFill>
              <a:effectLst/>
              <a:uLnTx/>
              <a:uFillTx/>
              <a:latin typeface="+mn-lt"/>
              <a:ea typeface="+mn-ea"/>
              <a:cs typeface="+mn-cs"/>
            </a:rPr>
            <a:t>BY MARITAL</a:t>
          </a:r>
          <a:endParaRPr kumimoji="0" lang="en-US" sz="2000" b="1" i="0" u="none" strike="noStrike" kern="0" cap="none" spc="0" normalizeH="0" baseline="0" noProof="0">
            <a:ln>
              <a:noFill/>
            </a:ln>
            <a:solidFill>
              <a:srgbClr val="C00000"/>
            </a:solidFill>
            <a:effectLst/>
            <a:uLnTx/>
            <a:uFillTx/>
            <a:latin typeface="+mn-lt"/>
            <a:ea typeface="+mn-ea"/>
            <a:cs typeface="+mn-cs"/>
          </a:endParaRPr>
        </a:p>
        <a:p>
          <a:endParaRPr lang="en-US" sz="1100"/>
        </a:p>
      </xdr:txBody>
    </xdr:sp>
    <xdr:clientData/>
  </xdr:twoCellAnchor>
  <xdr:twoCellAnchor editAs="oneCell">
    <xdr:from>
      <xdr:col>25</xdr:col>
      <xdr:colOff>284760</xdr:colOff>
      <xdr:row>38</xdr:row>
      <xdr:rowOff>0</xdr:rowOff>
    </xdr:from>
    <xdr:to>
      <xdr:col>27</xdr:col>
      <xdr:colOff>558512</xdr:colOff>
      <xdr:row>49</xdr:row>
      <xdr:rowOff>81643</xdr:rowOff>
    </xdr:to>
    <mc:AlternateContent xmlns:mc="http://schemas.openxmlformats.org/markup-compatibility/2006" xmlns:a14="http://schemas.microsoft.com/office/drawing/2010/main">
      <mc:Choice Requires="a14">
        <xdr:graphicFrame macro="">
          <xdr:nvGraphicFramePr>
            <xdr:cNvPr id="40" name="Department 1">
              <a:extLst>
                <a:ext uri="{FF2B5EF4-FFF2-40B4-BE49-F238E27FC236}">
                  <a16:creationId xmlns:a16="http://schemas.microsoft.com/office/drawing/2014/main" id="{D8B5AAEA-3ECD-441C-982C-C7CF66CEB95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438169" y="7239000"/>
              <a:ext cx="1486025" cy="2177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299976</xdr:colOff>
      <xdr:row>37</xdr:row>
      <xdr:rowOff>155247</xdr:rowOff>
    </xdr:from>
    <xdr:to>
      <xdr:col>24</xdr:col>
      <xdr:colOff>572737</xdr:colOff>
      <xdr:row>49</xdr:row>
      <xdr:rowOff>136071</xdr:rowOff>
    </xdr:to>
    <mc:AlternateContent xmlns:mc="http://schemas.openxmlformats.org/markup-compatibility/2006" xmlns:a14="http://schemas.microsoft.com/office/drawing/2010/main">
      <mc:Choice Requires="a14">
        <xdr:graphicFrame macro="">
          <xdr:nvGraphicFramePr>
            <xdr:cNvPr id="41" name="Higher_Education 3">
              <a:extLst>
                <a:ext uri="{FF2B5EF4-FFF2-40B4-BE49-F238E27FC236}">
                  <a16:creationId xmlns:a16="http://schemas.microsoft.com/office/drawing/2014/main" id="{2121328B-7BF7-403D-BB9E-5B75AE36F0CA}"/>
                </a:ext>
              </a:extLst>
            </xdr:cNvPr>
            <xdr:cNvGraphicFramePr/>
          </xdr:nvGraphicFramePr>
          <xdr:xfrm>
            <a:off x="0" y="0"/>
            <a:ext cx="0" cy="0"/>
          </xdr:xfrm>
          <a:graphic>
            <a:graphicData uri="http://schemas.microsoft.com/office/drawing/2010/slicer">
              <sle:slicer xmlns:sle="http://schemas.microsoft.com/office/drawing/2010/slicer" name="Higher_Education 3"/>
            </a:graphicData>
          </a:graphic>
        </xdr:graphicFrame>
      </mc:Choice>
      <mc:Fallback xmlns="">
        <xdr:sp macro="" textlink="">
          <xdr:nvSpPr>
            <xdr:cNvPr id="0" name=""/>
            <xdr:cNvSpPr>
              <a:spLocks noTextEdit="1"/>
            </xdr:cNvSpPr>
          </xdr:nvSpPr>
          <xdr:spPr>
            <a:xfrm>
              <a:off x="13634976" y="7203747"/>
              <a:ext cx="1485034" cy="2266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325953</xdr:colOff>
      <xdr:row>33</xdr:row>
      <xdr:rowOff>103909</xdr:rowOff>
    </xdr:from>
    <xdr:to>
      <xdr:col>24</xdr:col>
      <xdr:colOff>571500</xdr:colOff>
      <xdr:row>36</xdr:row>
      <xdr:rowOff>108857</xdr:rowOff>
    </xdr:to>
    <xdr:sp macro="" textlink="">
      <xdr:nvSpPr>
        <xdr:cNvPr id="42" name="TextBox 41">
          <a:extLst>
            <a:ext uri="{FF2B5EF4-FFF2-40B4-BE49-F238E27FC236}">
              <a16:creationId xmlns:a16="http://schemas.microsoft.com/office/drawing/2014/main" id="{1BD39492-CD04-42BC-2EB4-CD1419BCDF07}"/>
            </a:ext>
          </a:extLst>
        </xdr:cNvPr>
        <xdr:cNvSpPr txBox="1"/>
      </xdr:nvSpPr>
      <xdr:spPr>
        <a:xfrm>
          <a:off x="13797024" y="6390409"/>
          <a:ext cx="1470190" cy="576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C00000"/>
              </a:solidFill>
            </a:rPr>
            <a:t>EDUCATION</a:t>
          </a:r>
          <a:endParaRPr lang="en-US" sz="1600" b="1">
            <a:solidFill>
              <a:srgbClr val="C00000"/>
            </a:solidFill>
          </a:endParaRPr>
        </a:p>
      </xdr:txBody>
    </xdr:sp>
    <xdr:clientData/>
  </xdr:twoCellAnchor>
  <xdr:twoCellAnchor>
    <xdr:from>
      <xdr:col>24</xdr:col>
      <xdr:colOff>585108</xdr:colOff>
      <xdr:row>33</xdr:row>
      <xdr:rowOff>47625</xdr:rowOff>
    </xdr:from>
    <xdr:to>
      <xdr:col>28</xdr:col>
      <xdr:colOff>244310</xdr:colOff>
      <xdr:row>36</xdr:row>
      <xdr:rowOff>136070</xdr:rowOff>
    </xdr:to>
    <xdr:sp macro="" textlink="">
      <xdr:nvSpPr>
        <xdr:cNvPr id="45" name="TextBox 44">
          <a:extLst>
            <a:ext uri="{FF2B5EF4-FFF2-40B4-BE49-F238E27FC236}">
              <a16:creationId xmlns:a16="http://schemas.microsoft.com/office/drawing/2014/main" id="{2A77B4B5-28F4-6645-2931-E4D9840D9C81}"/>
            </a:ext>
          </a:extLst>
        </xdr:cNvPr>
        <xdr:cNvSpPr txBox="1"/>
      </xdr:nvSpPr>
      <xdr:spPr>
        <a:xfrm>
          <a:off x="15280822" y="6334125"/>
          <a:ext cx="2108488" cy="659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C00000"/>
              </a:solidFill>
            </a:rPr>
            <a:t>DEPARTMENT</a:t>
          </a:r>
          <a:r>
            <a:rPr lang="en-US" sz="2000" b="1" baseline="0">
              <a:solidFill>
                <a:srgbClr val="C00000"/>
              </a:solidFill>
            </a:rPr>
            <a:t> </a:t>
          </a:r>
          <a:endParaRPr lang="en-US" sz="2000" b="1">
            <a:solidFill>
              <a:srgbClr val="C00000"/>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0.2619</cdr:x>
      <cdr:y>0.24706</cdr:y>
    </cdr:from>
    <cdr:to>
      <cdr:x>0.73809</cdr:x>
      <cdr:y>0.57647</cdr:y>
    </cdr:to>
    <cdr:sp macro="" textlink="Ratings!$B$6">
      <cdr:nvSpPr>
        <cdr:cNvPr id="2" name="TextBox 1">
          <a:extLst xmlns:a="http://schemas.openxmlformats.org/drawingml/2006/main">
            <a:ext uri="{FF2B5EF4-FFF2-40B4-BE49-F238E27FC236}">
              <a16:creationId xmlns:a16="http://schemas.microsoft.com/office/drawing/2014/main" id="{6999D1A6-1B09-2C85-F198-F3782FA238FA}"/>
            </a:ext>
          </a:extLst>
        </cdr:cNvPr>
        <cdr:cNvSpPr txBox="1"/>
      </cdr:nvSpPr>
      <cdr:spPr>
        <a:xfrm xmlns:a="http://schemas.openxmlformats.org/drawingml/2006/main">
          <a:off x="285749" y="272762"/>
          <a:ext cx="519540" cy="3636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D4D9CC17-3A82-405F-9597-A0642B935726}" type="TxLink">
            <a:rPr lang="en-US" sz="1800" b="1" i="0" u="none" strike="noStrike" kern="1200">
              <a:solidFill>
                <a:srgbClr val="000000"/>
              </a:solidFill>
              <a:latin typeface="Calibri"/>
              <a:ea typeface="Calibri"/>
              <a:cs typeface="Calibri"/>
            </a:rPr>
            <a:pPr/>
            <a:t>2.7</a:t>
          </a:fld>
          <a:endParaRPr lang="en-US" sz="1800" b="1" kern="1200"/>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270511</xdr:colOff>
      <xdr:row>1</xdr:row>
      <xdr:rowOff>77588</xdr:rowOff>
    </xdr:from>
    <xdr:to>
      <xdr:col>6</xdr:col>
      <xdr:colOff>195695</xdr:colOff>
      <xdr:row>7</xdr:row>
      <xdr:rowOff>114301</xdr:rowOff>
    </xdr:to>
    <xdr:graphicFrame macro="">
      <xdr:nvGraphicFramePr>
        <xdr:cNvPr id="2" name="Chart 1">
          <a:extLst>
            <a:ext uri="{FF2B5EF4-FFF2-40B4-BE49-F238E27FC236}">
              <a16:creationId xmlns:a16="http://schemas.microsoft.com/office/drawing/2014/main" id="{16918AE5-F1E4-CD97-9448-3047F6EAA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366452</xdr:colOff>
      <xdr:row>0</xdr:row>
      <xdr:rowOff>188075</xdr:rowOff>
    </xdr:from>
    <xdr:to>
      <xdr:col>10</xdr:col>
      <xdr:colOff>255616</xdr:colOff>
      <xdr:row>6</xdr:row>
      <xdr:rowOff>133350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AF84BBED-7A21-9E16-1CA1-9AC5E4ACC48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690927" y="188075"/>
              <a:ext cx="1717964" cy="108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20089</xdr:rowOff>
    </xdr:from>
    <xdr:to>
      <xdr:col>5</xdr:col>
      <xdr:colOff>549505</xdr:colOff>
      <xdr:row>15</xdr:row>
      <xdr:rowOff>169027</xdr:rowOff>
    </xdr:to>
    <xdr:graphicFrame macro="">
      <xdr:nvGraphicFramePr>
        <xdr:cNvPr id="6" name="Chart 5">
          <a:extLst>
            <a:ext uri="{FF2B5EF4-FFF2-40B4-BE49-F238E27FC236}">
              <a16:creationId xmlns:a16="http://schemas.microsoft.com/office/drawing/2014/main" id="{ABD35046-753B-DF27-06D8-232AA3C26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287653</xdr:colOff>
      <xdr:row>8</xdr:row>
      <xdr:rowOff>83300</xdr:rowOff>
    </xdr:from>
    <xdr:to>
      <xdr:col>9</xdr:col>
      <xdr:colOff>149974</xdr:colOff>
      <xdr:row>17</xdr:row>
      <xdr:rowOff>99925</xdr:rowOff>
    </xdr:to>
    <mc:AlternateContent xmlns:mc="http://schemas.openxmlformats.org/markup-compatibility/2006" xmlns:a14="http://schemas.microsoft.com/office/drawing/2010/main">
      <mc:Choice Requires="a14">
        <xdr:graphicFrame macro="">
          <xdr:nvGraphicFramePr>
            <xdr:cNvPr id="7" name="Higher_Education">
              <a:extLst>
                <a:ext uri="{FF2B5EF4-FFF2-40B4-BE49-F238E27FC236}">
                  <a16:creationId xmlns:a16="http://schemas.microsoft.com/office/drawing/2014/main" id="{F1865B0E-CE11-892E-C1B9-F9D1DF4840C9}"/>
                </a:ext>
              </a:extLst>
            </xdr:cNvPr>
            <xdr:cNvGraphicFramePr/>
          </xdr:nvGraphicFramePr>
          <xdr:xfrm>
            <a:off x="0" y="0"/>
            <a:ext cx="0" cy="0"/>
          </xdr:xfrm>
          <a:graphic>
            <a:graphicData uri="http://schemas.microsoft.com/office/drawing/2010/slicer">
              <sle:slicer xmlns:sle="http://schemas.microsoft.com/office/drawing/2010/slicer" name="Higher_Education"/>
            </a:graphicData>
          </a:graphic>
        </xdr:graphicFrame>
      </mc:Choice>
      <mc:Fallback xmlns="">
        <xdr:sp macro="" textlink="">
          <xdr:nvSpPr>
            <xdr:cNvPr id="0" name=""/>
            <xdr:cNvSpPr>
              <a:spLocks noTextEdit="1"/>
            </xdr:cNvSpPr>
          </xdr:nvSpPr>
          <xdr:spPr>
            <a:xfrm>
              <a:off x="5002528" y="1607300"/>
              <a:ext cx="1691121" cy="173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571673</xdr:colOff>
      <xdr:row>8</xdr:row>
      <xdr:rowOff>90227</xdr:rowOff>
    </xdr:from>
    <xdr:to>
      <xdr:col>6</xdr:col>
      <xdr:colOff>405418</xdr:colOff>
      <xdr:row>15</xdr:row>
      <xdr:rowOff>98540</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2BE8BCB4-3273-A885-5E43-AD700572BD3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162473" y="1614227"/>
              <a:ext cx="1662545" cy="1341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604923</xdr:colOff>
      <xdr:row>4</xdr:row>
      <xdr:rowOff>127288</xdr:rowOff>
    </xdr:from>
    <xdr:to>
      <xdr:col>9</xdr:col>
      <xdr:colOff>438669</xdr:colOff>
      <xdr:row>17</xdr:row>
      <xdr:rowOff>160714</xdr:rowOff>
    </xdr:to>
    <mc:AlternateContent xmlns:mc="http://schemas.openxmlformats.org/markup-compatibility/2006" xmlns:a14="http://schemas.microsoft.com/office/drawing/2010/main">
      <mc:Choice Requires="a14">
        <xdr:graphicFrame macro="">
          <xdr:nvGraphicFramePr>
            <xdr:cNvPr id="3" name="Higher_Education 1">
              <a:extLst>
                <a:ext uri="{FF2B5EF4-FFF2-40B4-BE49-F238E27FC236}">
                  <a16:creationId xmlns:a16="http://schemas.microsoft.com/office/drawing/2014/main" id="{63986B8D-E031-9996-67BF-391ADB7D3B67}"/>
                </a:ext>
              </a:extLst>
            </xdr:cNvPr>
            <xdr:cNvGraphicFramePr/>
          </xdr:nvGraphicFramePr>
          <xdr:xfrm>
            <a:off x="0" y="0"/>
            <a:ext cx="0" cy="0"/>
          </xdr:xfrm>
          <a:graphic>
            <a:graphicData uri="http://schemas.microsoft.com/office/drawing/2010/slicer">
              <sle:slicer xmlns:sle="http://schemas.microsoft.com/office/drawing/2010/slicer" name="Higher_Education 1"/>
            </a:graphicData>
          </a:graphic>
        </xdr:graphicFrame>
      </mc:Choice>
      <mc:Fallback xmlns="">
        <xdr:sp macro="" textlink="">
          <xdr:nvSpPr>
            <xdr:cNvPr id="0" name=""/>
            <xdr:cNvSpPr>
              <a:spLocks noTextEdit="1"/>
            </xdr:cNvSpPr>
          </xdr:nvSpPr>
          <xdr:spPr>
            <a:xfrm>
              <a:off x="5024523" y="889288"/>
              <a:ext cx="1662546" cy="2509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107892</xdr:colOff>
      <xdr:row>0</xdr:row>
      <xdr:rowOff>64423</xdr:rowOff>
    </xdr:from>
    <xdr:to>
      <xdr:col>14</xdr:col>
      <xdr:colOff>559549</xdr:colOff>
      <xdr:row>11</xdr:row>
      <xdr:rowOff>184265</xdr:rowOff>
    </xdr:to>
    <xdr:graphicFrame macro="">
      <xdr:nvGraphicFramePr>
        <xdr:cNvPr id="4" name="Chart 3">
          <a:extLst>
            <a:ext uri="{FF2B5EF4-FFF2-40B4-BE49-F238E27FC236}">
              <a16:creationId xmlns:a16="http://schemas.microsoft.com/office/drawing/2014/main" id="{06130CAF-167E-9F1D-C1EB-DE421D4AF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748145</xdr:colOff>
      <xdr:row>5</xdr:row>
      <xdr:rowOff>182880</xdr:rowOff>
    </xdr:from>
    <xdr:to>
      <xdr:col>7</xdr:col>
      <xdr:colOff>640080</xdr:colOff>
      <xdr:row>18</xdr:row>
      <xdr:rowOff>4156</xdr:rowOff>
    </xdr:to>
    <xdr:graphicFrame macro="">
      <xdr:nvGraphicFramePr>
        <xdr:cNvPr id="2" name="Chart 1">
          <a:extLst>
            <a:ext uri="{FF2B5EF4-FFF2-40B4-BE49-F238E27FC236}">
              <a16:creationId xmlns:a16="http://schemas.microsoft.com/office/drawing/2014/main" id="{329AB431-E59B-3F82-DF71-0D1BAE3F5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124690</xdr:colOff>
      <xdr:row>1</xdr:row>
      <xdr:rowOff>157941</xdr:rowOff>
    </xdr:from>
    <xdr:to>
      <xdr:col>12</xdr:col>
      <xdr:colOff>4329</xdr:colOff>
      <xdr:row>15</xdr:row>
      <xdr:rowOff>175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3237E0B7-9EAB-4970-DD67-8B4910EE4A0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171410" y="349134"/>
              <a:ext cx="1828800" cy="2518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324196</xdr:colOff>
      <xdr:row>1</xdr:row>
      <xdr:rowOff>182879</xdr:rowOff>
    </xdr:from>
    <xdr:to>
      <xdr:col>15</xdr:col>
      <xdr:colOff>157942</xdr:colOff>
      <xdr:row>15</xdr:row>
      <xdr:rowOff>25113</xdr:rowOff>
    </xdr:to>
    <mc:AlternateContent xmlns:mc="http://schemas.openxmlformats.org/markup-compatibility/2006" xmlns:a14="http://schemas.microsoft.com/office/drawing/2010/main">
      <mc:Choice Requires="a14">
        <xdr:graphicFrame macro="">
          <xdr:nvGraphicFramePr>
            <xdr:cNvPr id="4" name="Higher_Education 2">
              <a:extLst>
                <a:ext uri="{FF2B5EF4-FFF2-40B4-BE49-F238E27FC236}">
                  <a16:creationId xmlns:a16="http://schemas.microsoft.com/office/drawing/2014/main" id="{EB371CF2-FFF1-8D05-E1C8-953F427FD8B1}"/>
                </a:ext>
              </a:extLst>
            </xdr:cNvPr>
            <xdr:cNvGraphicFramePr/>
          </xdr:nvGraphicFramePr>
          <xdr:xfrm>
            <a:off x="0" y="0"/>
            <a:ext cx="0" cy="0"/>
          </xdr:xfrm>
          <a:graphic>
            <a:graphicData uri="http://schemas.microsoft.com/office/drawing/2010/slicer">
              <sle:slicer xmlns:sle="http://schemas.microsoft.com/office/drawing/2010/slicer" name="Higher_Education 2"/>
            </a:graphicData>
          </a:graphic>
        </xdr:graphicFrame>
      </mc:Choice>
      <mc:Fallback xmlns="">
        <xdr:sp macro="" textlink="">
          <xdr:nvSpPr>
            <xdr:cNvPr id="0" name=""/>
            <xdr:cNvSpPr>
              <a:spLocks noTextEdit="1"/>
            </xdr:cNvSpPr>
          </xdr:nvSpPr>
          <xdr:spPr>
            <a:xfrm>
              <a:off x="10365971" y="374072"/>
              <a:ext cx="1828800" cy="2518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490449</xdr:colOff>
      <xdr:row>2</xdr:row>
      <xdr:rowOff>120535</xdr:rowOff>
    </xdr:from>
    <xdr:to>
      <xdr:col>11</xdr:col>
      <xdr:colOff>133003</xdr:colOff>
      <xdr:row>16</xdr:row>
      <xdr:rowOff>187036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898039A-88FF-8A20-727D-4B76B4FEAC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14999" y="501535"/>
              <a:ext cx="3300154" cy="27335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1562793</xdr:colOff>
      <xdr:row>8</xdr:row>
      <xdr:rowOff>66502</xdr:rowOff>
    </xdr:from>
    <xdr:to>
      <xdr:col>7</xdr:col>
      <xdr:colOff>532014</xdr:colOff>
      <xdr:row>20</xdr:row>
      <xdr:rowOff>62345</xdr:rowOff>
    </xdr:to>
    <xdr:graphicFrame macro="">
      <xdr:nvGraphicFramePr>
        <xdr:cNvPr id="2" name="Chart 1">
          <a:extLst>
            <a:ext uri="{FF2B5EF4-FFF2-40B4-BE49-F238E27FC236}">
              <a16:creationId xmlns:a16="http://schemas.microsoft.com/office/drawing/2014/main" id="{77CC8F51-67D9-75B1-EA4F-8DCB44A22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1300942</xdr:colOff>
      <xdr:row>5</xdr:row>
      <xdr:rowOff>187036</xdr:rowOff>
    </xdr:from>
    <xdr:to>
      <xdr:col>9</xdr:col>
      <xdr:colOff>286789</xdr:colOff>
      <xdr:row>20</xdr:row>
      <xdr:rowOff>62345</xdr:rowOff>
    </xdr:to>
    <xdr:graphicFrame macro="">
      <xdr:nvGraphicFramePr>
        <xdr:cNvPr id="2" name="Chart 1">
          <a:extLst>
            <a:ext uri="{FF2B5EF4-FFF2-40B4-BE49-F238E27FC236}">
              <a16:creationId xmlns:a16="http://schemas.microsoft.com/office/drawing/2014/main" id="{835466CE-88CA-9200-2DE2-A28689A15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49876</xdr:colOff>
      <xdr:row>5</xdr:row>
      <xdr:rowOff>187036</xdr:rowOff>
    </xdr:from>
    <xdr:to>
      <xdr:col>13</xdr:col>
      <xdr:colOff>631767</xdr:colOff>
      <xdr:row>20</xdr:row>
      <xdr:rowOff>62345</xdr:rowOff>
    </xdr:to>
    <xdr:graphicFrame macro="">
      <xdr:nvGraphicFramePr>
        <xdr:cNvPr id="3" name="Chart 2">
          <a:extLst>
            <a:ext uri="{FF2B5EF4-FFF2-40B4-BE49-F238E27FC236}">
              <a16:creationId xmlns:a16="http://schemas.microsoft.com/office/drawing/2014/main" id="{0403AF0D-7B83-B532-C970-426598EDC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30.656034837964" createdVersion="8" refreshedVersion="8" minRefreshableVersion="3" recordCount="1470" xr:uid="{6EBAC4E6-4159-4908-9282-9222E7A00B3B}">
  <cacheSource type="worksheet">
    <worksheetSource name="Table1"/>
  </cacheSource>
  <cacheFields count="41">
    <cacheField name="Age" numFmtId="0">
      <sharedItems containsSemiMixedTypes="0" containsString="0" containsNumber="1" containsInteger="1" minValue="18" maxValue="60" count="43">
        <n v="37"/>
        <n v="21"/>
        <n v="45"/>
        <n v="23"/>
        <n v="22"/>
        <n v="19"/>
        <n v="28"/>
        <n v="29"/>
        <n v="18"/>
        <n v="47"/>
        <n v="48"/>
        <n v="26"/>
        <n v="38"/>
        <n v="34"/>
        <n v="30"/>
        <n v="27"/>
        <n v="50"/>
        <n v="44"/>
        <n v="40"/>
        <n v="24"/>
        <n v="33"/>
        <n v="32"/>
        <n v="42"/>
        <n v="56"/>
        <n v="59"/>
        <n v="39"/>
        <n v="36"/>
        <n v="35"/>
        <n v="31"/>
        <n v="55"/>
        <n v="20"/>
        <n v="51"/>
        <n v="58"/>
        <n v="41"/>
        <n v="43"/>
        <n v="46"/>
        <n v="57"/>
        <n v="54"/>
        <n v="25"/>
        <n v="49"/>
        <n v="60"/>
        <n v="52"/>
        <n v="53"/>
      </sharedItems>
      <fieldGroup base="0">
        <rangePr startNum="18" endNum="60" groupInterval="10"/>
        <groupItems count="7">
          <s v="&lt;18"/>
          <s v="18-27"/>
          <s v="28-37"/>
          <s v="38-47"/>
          <s v="48-57"/>
          <s v="58-67"/>
          <s v="&gt;68"/>
        </groupItems>
      </fieldGroup>
    </cacheField>
    <cacheField name="BusinessTravel" numFmtId="0">
      <sharedItems/>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Gender" numFmtId="0">
      <sharedItems count="2">
        <s v="Male"/>
        <s v="Fe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Research Scientist"/>
        <s v="Research Director"/>
        <s v="Sales Representative"/>
        <s v="Sales Executive"/>
        <s v="Manager"/>
        <s v="Manufacturing Director"/>
        <s v="Healthcare Representative"/>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YearsAtCompany" numFmtId="0">
      <sharedItems containsSemiMixedTypes="0" containsString="0" containsNumber="1" containsInteger="1" minValue="0" maxValue="40"/>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Higher_Education" numFmtId="0">
      <sharedItems count="4">
        <s v="Graduation"/>
        <s v="Post-Graduation"/>
        <s v="PHD"/>
        <s v="12th"/>
      </sharedItems>
    </cacheField>
    <cacheField name="Date_of_Hire" numFmtId="0">
      <sharedItems containsDate="1" containsMixedTypes="1" minDate="1981-08-02T00:00:00" maxDate="2021-12-06T00:00:00"/>
    </cacheField>
    <cacheField name="Date_of_termination" numFmtId="0">
      <sharedItems containsNonDate="0" containsString="0" containsBlank="1"/>
    </cacheField>
    <cacheField name="Status_of_leaving" numFmtId="0">
      <sharedItems/>
    </cacheField>
    <cacheField name="Mode_of_work" numFmtId="0">
      <sharedItems/>
    </cacheField>
    <cacheField name="Leaves" numFmtId="0">
      <sharedItems containsSemiMixedTypes="0" containsString="0" containsNumber="1" containsInteger="1" minValue="0" maxValue="5"/>
    </cacheField>
    <cacheField name="Absenteeism" numFmtId="0">
      <sharedItems containsSemiMixedTypes="0" containsString="0" containsNumber="1" containsInteger="1" minValue="0" maxValue="3"/>
    </cacheField>
    <cacheField name="Work_accident" numFmtId="0">
      <sharedItems/>
    </cacheField>
    <cacheField name="Source_of_Hire" numFmtId="0">
      <sharedItems/>
    </cacheField>
    <cacheField name="Job_mode" numFmtId="0">
      <sharedItems/>
    </cacheField>
    <cacheField name="Emp No." numFmtId="0">
      <sharedItems containsSemiMixedTypes="0" containsString="0" containsNumber="1" containsInteger="1" minValue="1" maxValue="2068"/>
    </cacheField>
    <cacheField name="Hourly Rate" numFmtId="0">
      <sharedItems containsSemiMixedTypes="0" containsString="0" containsNumber="1" containsInteger="1" minValue="30" maxValue="100"/>
    </cacheField>
    <cacheField name="Standard Hours" numFmtId="0">
      <sharedItems containsSemiMixedTypes="0" containsString="0" containsNumber="1" containsInteger="1" minValue="80" maxValue="80"/>
    </cacheField>
    <cacheField name="Years In Current Role" numFmtId="0">
      <sharedItems containsSemiMixedTypes="0" containsString="0" containsNumber="1" containsInteger="1" minValue="0" maxValue="18"/>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CF_attrition label" numFmtId="0">
      <sharedItems/>
    </cacheField>
    <cacheField name="Attrition2" numFmtId="0">
      <sharedItems/>
    </cacheField>
  </cacheFields>
  <extLst>
    <ext xmlns:x14="http://schemas.microsoft.com/office/spreadsheetml/2009/9/main" uri="{725AE2AE-9491-48be-B2B4-4EB974FC3084}">
      <x14:pivotCacheDefinition pivotCacheId="43201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n v="2"/>
    <x v="0"/>
    <n v="2"/>
    <n v="1"/>
    <x v="0"/>
    <n v="3"/>
    <x v="0"/>
    <n v="2090"/>
    <n v="6"/>
    <s v="Yes"/>
    <n v="15"/>
    <n v="3"/>
    <n v="0"/>
    <n v="7"/>
    <n v="3"/>
    <n v="0"/>
    <n v="0"/>
    <n v="0"/>
    <x v="0"/>
    <s v="21-01-2021"/>
    <m/>
    <s v="Salary"/>
    <s v="OFFICE"/>
    <n v="4"/>
    <n v="2"/>
    <s v="No"/>
    <s v="Job Event"/>
    <s v="Contract"/>
    <n v="1"/>
    <n v="94"/>
    <n v="80"/>
    <n v="4"/>
    <n v="1"/>
    <n v="1"/>
    <n v="1"/>
    <n v="0"/>
    <s v="Ex-Employees"/>
    <s v="Yes"/>
  </r>
  <r>
    <x v="1"/>
    <s v="Travel_Rarely"/>
    <x v="0"/>
    <n v="15"/>
    <x v="0"/>
    <n v="3"/>
    <n v="1"/>
    <x v="1"/>
    <n v="4"/>
    <x v="0"/>
    <n v="1232"/>
    <n v="1"/>
    <s v="No"/>
    <n v="14"/>
    <n v="3"/>
    <n v="0"/>
    <n v="0"/>
    <n v="6"/>
    <n v="0"/>
    <n v="0"/>
    <n v="0"/>
    <x v="0"/>
    <s v="13-03-2021"/>
    <m/>
    <s v="Work Accident"/>
    <s v="WFH"/>
    <n v="5"/>
    <n v="2"/>
    <s v="No"/>
    <s v="Recruiter"/>
    <s v="Part Time"/>
    <n v="2"/>
    <n v="61"/>
    <n v="80"/>
    <n v="7"/>
    <n v="0"/>
    <m/>
    <n v="0"/>
    <n v="1"/>
    <s v="Current Employees"/>
    <s v="No"/>
  </r>
  <r>
    <x v="2"/>
    <s v="Travel_Rarely"/>
    <x v="0"/>
    <n v="6"/>
    <x v="0"/>
    <n v="3"/>
    <n v="3"/>
    <x v="2"/>
    <n v="1"/>
    <x v="1"/>
    <n v="13245"/>
    <n v="4"/>
    <s v="Yes"/>
    <n v="14"/>
    <n v="3"/>
    <n v="0"/>
    <n v="17"/>
    <n v="3"/>
    <n v="0"/>
    <n v="0"/>
    <n v="0"/>
    <x v="1"/>
    <s v="23-01-2021"/>
    <m/>
    <s v="Dept.Head"/>
    <s v="WFH"/>
    <n v="1"/>
    <n v="3"/>
    <s v="No"/>
    <s v="Job Event"/>
    <s v="Contract"/>
    <n v="4"/>
    <n v="92"/>
    <n v="80"/>
    <n v="0"/>
    <n v="1"/>
    <n v="1"/>
    <n v="1"/>
    <n v="0"/>
    <s v="Ex-Employees"/>
    <s v="Yes"/>
  </r>
  <r>
    <x v="3"/>
    <s v="Travel_Rarely"/>
    <x v="1"/>
    <n v="2"/>
    <x v="0"/>
    <n v="3"/>
    <n v="1"/>
    <x v="3"/>
    <n v="1"/>
    <x v="2"/>
    <n v="2322"/>
    <n v="3"/>
    <s v="No"/>
    <n v="13"/>
    <n v="3"/>
    <n v="1"/>
    <n v="3"/>
    <n v="3"/>
    <n v="0"/>
    <n v="0"/>
    <n v="0"/>
    <x v="2"/>
    <s v="25-04-2021"/>
    <m/>
    <s v="Work Accident"/>
    <s v="OFFICE"/>
    <n v="1"/>
    <n v="0"/>
    <s v="Yes"/>
    <s v="Recruiter"/>
    <s v="FullTime"/>
    <n v="5"/>
    <n v="56"/>
    <n v="80"/>
    <n v="7"/>
    <n v="0"/>
    <m/>
    <n v="0"/>
    <n v="1"/>
    <s v="Current Employees"/>
    <s v="No"/>
  </r>
  <r>
    <x v="4"/>
    <s v="Travel_Rarely"/>
    <x v="0"/>
    <n v="15"/>
    <x v="1"/>
    <n v="3"/>
    <n v="1"/>
    <x v="0"/>
    <n v="4"/>
    <x v="0"/>
    <n v="2871"/>
    <n v="1"/>
    <s v="No"/>
    <n v="15"/>
    <n v="3"/>
    <n v="0"/>
    <n v="1"/>
    <n v="5"/>
    <n v="0"/>
    <n v="0"/>
    <n v="0"/>
    <x v="2"/>
    <s v="14-06-2021"/>
    <m/>
    <s v="Better Opportunity"/>
    <s v="WFH"/>
    <n v="5"/>
    <n v="2"/>
    <s v="No"/>
    <s v="Job Event"/>
    <s v="Contract"/>
    <n v="7"/>
    <n v="40"/>
    <n v="80"/>
    <n v="2"/>
    <n v="0"/>
    <m/>
    <n v="0"/>
    <n v="1"/>
    <s v="Current Employees"/>
    <s v="No"/>
  </r>
  <r>
    <x v="5"/>
    <s v="Travel_Rarely"/>
    <x v="1"/>
    <n v="22"/>
    <x v="0"/>
    <n v="3"/>
    <n v="1"/>
    <x v="3"/>
    <n v="3"/>
    <x v="0"/>
    <n v="1675"/>
    <n v="1"/>
    <s v="Yes"/>
    <n v="19"/>
    <n v="3"/>
    <n v="0"/>
    <n v="0"/>
    <n v="2"/>
    <n v="0"/>
    <n v="0"/>
    <n v="0"/>
    <x v="2"/>
    <s v="14-04-2021"/>
    <m/>
    <s v="Work Accident"/>
    <s v="WFH"/>
    <n v="1"/>
    <n v="1"/>
    <s v="Yes"/>
    <s v="Job Portal"/>
    <s v="Part Time"/>
    <n v="8"/>
    <n v="79"/>
    <n v="80"/>
    <n v="7"/>
    <n v="0"/>
    <m/>
    <n v="0"/>
    <n v="1"/>
    <s v="Current Employees"/>
    <s v="No"/>
  </r>
  <r>
    <x v="5"/>
    <s v="Travel_Frequently"/>
    <x v="1"/>
    <n v="1"/>
    <x v="1"/>
    <n v="1"/>
    <n v="1"/>
    <x v="3"/>
    <n v="1"/>
    <x v="0"/>
    <n v="2325"/>
    <n v="0"/>
    <s v="No"/>
    <n v="21"/>
    <n v="4"/>
    <n v="0"/>
    <n v="1"/>
    <n v="5"/>
    <n v="0"/>
    <n v="0"/>
    <n v="0"/>
    <x v="2"/>
    <d v="2021-12-01T00:00:00"/>
    <m/>
    <s v="Work Accident"/>
    <s v="WFH"/>
    <n v="2"/>
    <n v="2"/>
    <s v="No"/>
    <s v="Walk-in"/>
    <s v="Contract"/>
    <n v="10"/>
    <n v="81"/>
    <n v="80"/>
    <n v="0"/>
    <n v="0"/>
    <m/>
    <n v="0"/>
    <n v="1"/>
    <s v="Current Employees"/>
    <s v="No"/>
  </r>
  <r>
    <x v="6"/>
    <s v="Travel_Rarely"/>
    <x v="0"/>
    <n v="2"/>
    <x v="0"/>
    <n v="3"/>
    <n v="1"/>
    <x v="0"/>
    <n v="3"/>
    <x v="0"/>
    <n v="3485"/>
    <n v="2"/>
    <s v="No"/>
    <n v="11"/>
    <n v="3"/>
    <n v="0"/>
    <n v="5"/>
    <n v="5"/>
    <n v="0"/>
    <n v="0"/>
    <n v="0"/>
    <x v="1"/>
    <s v="30-05-2021"/>
    <m/>
    <s v="Work Environment"/>
    <s v="WFH"/>
    <n v="0"/>
    <n v="2"/>
    <s v="No"/>
    <s v="Walk-in"/>
    <s v="Contract"/>
    <n v="11"/>
    <n v="67"/>
    <n v="80"/>
    <n v="0"/>
    <n v="0"/>
    <m/>
    <n v="0"/>
    <n v="1"/>
    <s v="Current Employees"/>
    <s v="No"/>
  </r>
  <r>
    <x v="7"/>
    <s v="Travel_Rarely"/>
    <x v="1"/>
    <n v="2"/>
    <x v="0"/>
    <n v="2"/>
    <n v="2"/>
    <x v="4"/>
    <n v="2"/>
    <x v="1"/>
    <n v="6644"/>
    <n v="2"/>
    <s v="No"/>
    <n v="19"/>
    <n v="3"/>
    <n v="2"/>
    <n v="10"/>
    <n v="2"/>
    <n v="0"/>
    <n v="0"/>
    <n v="0"/>
    <x v="0"/>
    <s v="28-02-2021"/>
    <m/>
    <s v="Better Opportunity"/>
    <s v="OFFICE"/>
    <n v="5"/>
    <n v="2"/>
    <s v="No"/>
    <s v="Walk-in"/>
    <s v="Part Time"/>
    <n v="12"/>
    <n v="44"/>
    <n v="80"/>
    <n v="7"/>
    <n v="0"/>
    <m/>
    <n v="0"/>
    <n v="1"/>
    <s v="Current Employees"/>
    <s v="No"/>
  </r>
  <r>
    <x v="8"/>
    <s v="Travel_Rarely"/>
    <x v="0"/>
    <n v="3"/>
    <x v="0"/>
    <n v="3"/>
    <n v="1"/>
    <x v="0"/>
    <n v="3"/>
    <x v="0"/>
    <n v="1420"/>
    <n v="1"/>
    <s v="No"/>
    <n v="13"/>
    <n v="3"/>
    <n v="0"/>
    <n v="0"/>
    <n v="2"/>
    <n v="0"/>
    <n v="0"/>
    <n v="0"/>
    <x v="2"/>
    <d v="2021-06-05T00:00:00"/>
    <m/>
    <s v="Work Environment"/>
    <s v="WFH"/>
    <n v="5"/>
    <n v="2"/>
    <s v="No"/>
    <s v="Walk-in"/>
    <s v="FullTime"/>
    <n v="13"/>
    <n v="94"/>
    <n v="80"/>
    <n v="7"/>
    <n v="0"/>
    <m/>
    <n v="0"/>
    <n v="1"/>
    <s v="Current Employees"/>
    <s v="No"/>
  </r>
  <r>
    <x v="8"/>
    <s v="Travel_Rarely"/>
    <x v="1"/>
    <n v="10"/>
    <x v="1"/>
    <n v="2"/>
    <n v="1"/>
    <x v="3"/>
    <n v="3"/>
    <x v="0"/>
    <n v="1200"/>
    <n v="1"/>
    <s v="No"/>
    <n v="12"/>
    <n v="3"/>
    <n v="0"/>
    <n v="0"/>
    <n v="2"/>
    <n v="0"/>
    <n v="0"/>
    <n v="0"/>
    <x v="3"/>
    <s v="17-06-2021"/>
    <m/>
    <s v="Work Environment"/>
    <s v="WFH"/>
    <n v="1"/>
    <n v="2"/>
    <s v="Yes"/>
    <s v="Job Portal"/>
    <s v="FullTime"/>
    <n v="14"/>
    <n v="84"/>
    <n v="80"/>
    <n v="4"/>
    <n v="0"/>
    <m/>
    <n v="0"/>
    <n v="1"/>
    <s v="Current Employees"/>
    <s v="No"/>
  </r>
  <r>
    <x v="9"/>
    <s v="Travel_Frequently"/>
    <x v="1"/>
    <n v="4"/>
    <x v="0"/>
    <n v="3"/>
    <n v="2"/>
    <x v="3"/>
    <n v="3"/>
    <x v="0"/>
    <n v="2976"/>
    <n v="3"/>
    <s v="No"/>
    <n v="19"/>
    <n v="3"/>
    <n v="0"/>
    <n v="5"/>
    <n v="3"/>
    <n v="0"/>
    <n v="0"/>
    <n v="0"/>
    <x v="3"/>
    <s v="25-02-2021"/>
    <m/>
    <s v="Work Environment"/>
    <s v="WFH"/>
    <n v="5"/>
    <n v="0"/>
    <s v="Yes"/>
    <s v="Walk-in"/>
    <s v="FullTime"/>
    <n v="15"/>
    <n v="49"/>
    <n v="80"/>
    <n v="5"/>
    <n v="0"/>
    <m/>
    <n v="0"/>
    <n v="1"/>
    <s v="Current Employees"/>
    <s v="No"/>
  </r>
  <r>
    <x v="10"/>
    <s v="Travel_Rarely"/>
    <x v="1"/>
    <n v="29"/>
    <x v="1"/>
    <n v="3"/>
    <n v="3"/>
    <x v="5"/>
    <n v="3"/>
    <x v="1"/>
    <n v="12504"/>
    <n v="3"/>
    <s v="No"/>
    <n v="21"/>
    <n v="4"/>
    <n v="1"/>
    <n v="15"/>
    <n v="3"/>
    <n v="0"/>
    <n v="0"/>
    <n v="0"/>
    <x v="2"/>
    <d v="2021-06-05T00:00:00"/>
    <m/>
    <s v="Work Accident"/>
    <s v="WFH"/>
    <n v="1"/>
    <n v="2"/>
    <s v="Yes"/>
    <s v="Job Event"/>
    <s v="Part Time"/>
    <n v="16"/>
    <n v="31"/>
    <n v="80"/>
    <n v="2"/>
    <n v="0"/>
    <m/>
    <n v="0"/>
    <n v="1"/>
    <s v="Current Employees"/>
    <s v="No"/>
  </r>
  <r>
    <x v="8"/>
    <s v="Travel_Frequently"/>
    <x v="1"/>
    <n v="5"/>
    <x v="0"/>
    <n v="3"/>
    <n v="1"/>
    <x v="3"/>
    <n v="2"/>
    <x v="0"/>
    <n v="1878"/>
    <n v="1"/>
    <s v="Yes"/>
    <n v="14"/>
    <n v="3"/>
    <n v="0"/>
    <n v="0"/>
    <n v="3"/>
    <n v="0"/>
    <n v="0"/>
    <n v="0"/>
    <x v="1"/>
    <d v="2021-12-05T00:00:00"/>
    <m/>
    <s v="Work Environment"/>
    <s v="WFH"/>
    <n v="3"/>
    <n v="2"/>
    <s v="No"/>
    <s v="Job Portal"/>
    <s v="FullTime"/>
    <n v="18"/>
    <n v="93"/>
    <n v="80"/>
    <n v="2"/>
    <n v="0"/>
    <m/>
    <n v="0"/>
    <n v="1"/>
    <s v="Current Employees"/>
    <s v="No"/>
  </r>
  <r>
    <x v="11"/>
    <s v="Travel_Rarely"/>
    <x v="1"/>
    <n v="29"/>
    <x v="0"/>
    <n v="3"/>
    <n v="2"/>
    <x v="4"/>
    <n v="3"/>
    <x v="2"/>
    <n v="4306"/>
    <n v="5"/>
    <s v="No"/>
    <n v="12"/>
    <n v="3"/>
    <n v="2"/>
    <n v="8"/>
    <n v="5"/>
    <n v="0"/>
    <n v="0"/>
    <n v="0"/>
    <x v="0"/>
    <s v="25-05-2021"/>
    <m/>
    <s v="Dept.Head"/>
    <s v="WFH"/>
    <n v="0"/>
    <n v="3"/>
    <s v="Yes"/>
    <s v="Job Event"/>
    <s v="Part Time"/>
    <n v="19"/>
    <n v="50"/>
    <n v="80"/>
    <n v="2"/>
    <n v="1"/>
    <n v="1"/>
    <n v="1"/>
    <n v="0"/>
    <s v="Ex-Employees"/>
    <s v="Yes"/>
  </r>
  <r>
    <x v="12"/>
    <s v="Travel_Rarely"/>
    <x v="0"/>
    <n v="1"/>
    <x v="1"/>
    <n v="3"/>
    <n v="1"/>
    <x v="1"/>
    <n v="1"/>
    <x v="0"/>
    <n v="2619"/>
    <n v="3"/>
    <s v="No"/>
    <n v="17"/>
    <n v="3"/>
    <n v="0"/>
    <n v="8"/>
    <n v="3"/>
    <n v="0"/>
    <n v="0"/>
    <n v="0"/>
    <x v="0"/>
    <s v="30-03-2021"/>
    <m/>
    <s v="Dept.Head"/>
    <s v="WFH"/>
    <n v="2"/>
    <n v="3"/>
    <s v="No"/>
    <s v="Walk-in"/>
    <s v="FullTime"/>
    <n v="20"/>
    <n v="51"/>
    <n v="80"/>
    <n v="9"/>
    <n v="0"/>
    <m/>
    <n v="0"/>
    <n v="1"/>
    <s v="Current Employees"/>
    <s v="No"/>
  </r>
  <r>
    <x v="13"/>
    <s v="Travel_Rarely"/>
    <x v="0"/>
    <n v="8"/>
    <x v="1"/>
    <n v="3"/>
    <n v="2"/>
    <x v="6"/>
    <n v="1"/>
    <x v="2"/>
    <n v="5121"/>
    <n v="3"/>
    <s v="No"/>
    <n v="14"/>
    <n v="3"/>
    <n v="1"/>
    <n v="7"/>
    <n v="3"/>
    <n v="0"/>
    <n v="0"/>
    <n v="0"/>
    <x v="3"/>
    <s v="16-02-2021"/>
    <m/>
    <s v="Salary"/>
    <s v="WFH"/>
    <n v="3"/>
    <n v="0"/>
    <s v="No"/>
    <s v="Job Portal"/>
    <s v="Part Time"/>
    <n v="21"/>
    <n v="80"/>
    <n v="80"/>
    <n v="2"/>
    <n v="0"/>
    <m/>
    <n v="0"/>
    <n v="1"/>
    <s v="Current Employees"/>
    <s v="No"/>
  </r>
  <r>
    <x v="3"/>
    <s v="Travel_Rarely"/>
    <x v="0"/>
    <n v="6"/>
    <x v="0"/>
    <n v="4"/>
    <n v="1"/>
    <x v="0"/>
    <n v="1"/>
    <x v="1"/>
    <n v="1601"/>
    <n v="1"/>
    <s v="Yes"/>
    <n v="21"/>
    <n v="4"/>
    <n v="2"/>
    <n v="1"/>
    <n v="2"/>
    <n v="0"/>
    <n v="0"/>
    <n v="0"/>
    <x v="0"/>
    <d v="2021-10-03T00:00:00"/>
    <m/>
    <s v="Dept.Head"/>
    <s v="OFFICE"/>
    <n v="2"/>
    <n v="1"/>
    <s v="Yes"/>
    <s v="Job Event"/>
    <s v="Part Time"/>
    <n v="22"/>
    <n v="96"/>
    <n v="80"/>
    <n v="0"/>
    <n v="0"/>
    <m/>
    <n v="0"/>
    <n v="1"/>
    <s v="Current Employees"/>
    <s v="No"/>
  </r>
  <r>
    <x v="14"/>
    <s v="Travel_Rarely"/>
    <x v="0"/>
    <n v="2"/>
    <x v="1"/>
    <n v="2"/>
    <n v="2"/>
    <x v="6"/>
    <n v="4"/>
    <x v="0"/>
    <n v="6877"/>
    <n v="5"/>
    <s v="Yes"/>
    <n v="24"/>
    <n v="4"/>
    <n v="0"/>
    <n v="12"/>
    <n v="4"/>
    <n v="0"/>
    <n v="0"/>
    <n v="0"/>
    <x v="0"/>
    <s v="25-06-2021"/>
    <m/>
    <s v="Work Environment"/>
    <s v="WFH"/>
    <n v="3"/>
    <n v="3"/>
    <s v="Yes"/>
    <s v="Job Event"/>
    <s v="Part Time"/>
    <n v="23"/>
    <n v="78"/>
    <n v="80"/>
    <n v="8"/>
    <n v="0"/>
    <m/>
    <n v="0"/>
    <n v="1"/>
    <s v="Current Employees"/>
    <s v="No"/>
  </r>
  <r>
    <x v="15"/>
    <s v="Non-Travel"/>
    <x v="0"/>
    <n v="3"/>
    <x v="0"/>
    <n v="3"/>
    <n v="1"/>
    <x v="1"/>
    <n v="4"/>
    <x v="1"/>
    <n v="1706"/>
    <n v="1"/>
    <s v="No"/>
    <n v="11"/>
    <n v="3"/>
    <n v="3"/>
    <n v="0"/>
    <n v="6"/>
    <n v="0"/>
    <n v="0"/>
    <n v="0"/>
    <x v="0"/>
    <d v="2021-12-04T00:00:00"/>
    <m/>
    <s v="Dept.Head"/>
    <s v="OFFICE"/>
    <n v="3"/>
    <n v="2"/>
    <s v="No"/>
    <s v="Job Portal"/>
    <s v="Contract"/>
    <n v="24"/>
    <n v="45"/>
    <n v="80"/>
    <n v="2"/>
    <n v="0"/>
    <m/>
    <n v="0"/>
    <n v="1"/>
    <s v="Current Employees"/>
    <s v="No"/>
  </r>
  <r>
    <x v="10"/>
    <s v="Travel_Rarely"/>
    <x v="0"/>
    <n v="20"/>
    <x v="0"/>
    <n v="3"/>
    <n v="1"/>
    <x v="1"/>
    <n v="3"/>
    <x v="1"/>
    <n v="2259"/>
    <n v="4"/>
    <s v="No"/>
    <n v="17"/>
    <n v="3"/>
    <n v="2"/>
    <n v="13"/>
    <n v="2"/>
    <n v="0"/>
    <n v="0"/>
    <n v="0"/>
    <x v="1"/>
    <s v="25-04-2021"/>
    <m/>
    <s v="Dept.Head"/>
    <s v="WFH"/>
    <n v="0"/>
    <n v="2"/>
    <s v="Yes"/>
    <s v="Walk-in"/>
    <s v="FullTime"/>
    <n v="26"/>
    <n v="96"/>
    <n v="80"/>
    <n v="2"/>
    <n v="0"/>
    <m/>
    <n v="0"/>
    <n v="1"/>
    <s v="Current Employees"/>
    <s v="No"/>
  </r>
  <r>
    <x v="7"/>
    <s v="Travel_Rarely"/>
    <x v="0"/>
    <n v="10"/>
    <x v="1"/>
    <n v="2"/>
    <n v="1"/>
    <x v="1"/>
    <n v="1"/>
    <x v="0"/>
    <n v="2404"/>
    <n v="6"/>
    <s v="Yes"/>
    <n v="20"/>
    <n v="4"/>
    <n v="0"/>
    <n v="3"/>
    <n v="5"/>
    <n v="0"/>
    <n v="0"/>
    <n v="0"/>
    <x v="3"/>
    <d v="2021-11-05T00:00:00"/>
    <m/>
    <s v="Salary"/>
    <s v="WFH"/>
    <n v="1"/>
    <n v="0"/>
    <s v="No"/>
    <s v="Job Portal"/>
    <s v="FullTime"/>
    <n v="27"/>
    <n v="82"/>
    <n v="80"/>
    <n v="3"/>
    <n v="1"/>
    <n v="1"/>
    <n v="1"/>
    <n v="0"/>
    <s v="Ex-Employees"/>
    <s v="Yes"/>
  </r>
  <r>
    <x v="8"/>
    <s v="Non-Travel"/>
    <x v="0"/>
    <n v="5"/>
    <x v="0"/>
    <n v="3"/>
    <n v="1"/>
    <x v="1"/>
    <n v="4"/>
    <x v="0"/>
    <n v="1051"/>
    <n v="1"/>
    <s v="No"/>
    <n v="15"/>
    <n v="3"/>
    <n v="0"/>
    <n v="0"/>
    <n v="2"/>
    <n v="0"/>
    <n v="0"/>
    <n v="0"/>
    <x v="1"/>
    <s v="19-03-2021"/>
    <m/>
    <s v="Dept.Head"/>
    <s v="WFH"/>
    <n v="3"/>
    <n v="0"/>
    <s v="No"/>
    <s v="Job Portal"/>
    <s v="FullTime"/>
    <n v="28"/>
    <n v="53"/>
    <n v="80"/>
    <n v="6"/>
    <n v="0"/>
    <m/>
    <n v="0"/>
    <n v="1"/>
    <s v="Current Employees"/>
    <s v="No"/>
  </r>
  <r>
    <x v="16"/>
    <s v="Travel_Frequently"/>
    <x v="1"/>
    <n v="1"/>
    <x v="0"/>
    <n v="3"/>
    <n v="2"/>
    <x v="4"/>
    <n v="3"/>
    <x v="0"/>
    <n v="4728"/>
    <n v="3"/>
    <s v="Yes"/>
    <n v="14"/>
    <n v="3"/>
    <n v="0"/>
    <n v="5"/>
    <n v="4"/>
    <n v="0"/>
    <n v="0"/>
    <n v="0"/>
    <x v="0"/>
    <s v="29-04-2021"/>
    <m/>
    <s v="Dept.Head"/>
    <s v="OFFICE"/>
    <n v="1"/>
    <n v="3"/>
    <s v="No"/>
    <s v="Recruiter"/>
    <s v="Part Time"/>
    <n v="30"/>
    <n v="96"/>
    <n v="80"/>
    <n v="0"/>
    <n v="0"/>
    <m/>
    <n v="0"/>
    <n v="1"/>
    <s v="Current Employees"/>
    <s v="No"/>
  </r>
  <r>
    <x v="13"/>
    <s v="Non-Travel"/>
    <x v="0"/>
    <n v="3"/>
    <x v="0"/>
    <n v="2"/>
    <n v="1"/>
    <x v="1"/>
    <n v="4"/>
    <x v="1"/>
    <n v="2979"/>
    <n v="3"/>
    <s v="No"/>
    <n v="17"/>
    <n v="3"/>
    <n v="3"/>
    <n v="6"/>
    <n v="2"/>
    <n v="0"/>
    <n v="0"/>
    <n v="0"/>
    <x v="3"/>
    <s v="23-05-2021"/>
    <m/>
    <s v="Work Environment"/>
    <s v="WFH"/>
    <n v="0"/>
    <n v="2"/>
    <s v="No"/>
    <s v="Recruiter"/>
    <s v="Contract"/>
    <n v="31"/>
    <n v="83"/>
    <n v="80"/>
    <n v="2"/>
    <n v="1"/>
    <n v="1"/>
    <n v="1"/>
    <n v="0"/>
    <s v="Ex-Employees"/>
    <s v="Yes"/>
  </r>
  <r>
    <x v="8"/>
    <s v="Non-Travel"/>
    <x v="0"/>
    <n v="8"/>
    <x v="0"/>
    <n v="3"/>
    <n v="1"/>
    <x v="0"/>
    <n v="3"/>
    <x v="0"/>
    <n v="1904"/>
    <n v="1"/>
    <s v="No"/>
    <n v="12"/>
    <n v="3"/>
    <n v="0"/>
    <n v="0"/>
    <n v="0"/>
    <n v="0"/>
    <n v="0"/>
    <n v="0"/>
    <x v="2"/>
    <d v="2021-06-01T00:00:00"/>
    <m/>
    <s v="Work Accident"/>
    <s v="OFFICE"/>
    <n v="5"/>
    <n v="3"/>
    <s v="No"/>
    <s v="Recruiter"/>
    <s v="FullTime"/>
    <n v="32"/>
    <n v="58"/>
    <n v="80"/>
    <n v="13"/>
    <n v="0"/>
    <m/>
    <n v="0"/>
    <n v="1"/>
    <s v="Current Employees"/>
    <s v="No"/>
  </r>
  <r>
    <x v="4"/>
    <s v="Travel_Frequently"/>
    <x v="0"/>
    <n v="3"/>
    <x v="0"/>
    <n v="2"/>
    <n v="1"/>
    <x v="1"/>
    <n v="4"/>
    <x v="1"/>
    <n v="2853"/>
    <n v="0"/>
    <s v="Yes"/>
    <n v="11"/>
    <n v="3"/>
    <n v="1"/>
    <n v="1"/>
    <n v="5"/>
    <n v="0"/>
    <n v="0"/>
    <n v="0"/>
    <x v="3"/>
    <s v="26-05-2021"/>
    <m/>
    <s v="Dept.Head"/>
    <s v="WFH"/>
    <n v="5"/>
    <n v="1"/>
    <s v="No"/>
    <s v="Walk-in"/>
    <s v="FullTime"/>
    <n v="33"/>
    <n v="72"/>
    <n v="80"/>
    <n v="2"/>
    <n v="1"/>
    <n v="1"/>
    <n v="1"/>
    <n v="0"/>
    <s v="Ex-Employees"/>
    <s v="Yes"/>
  </r>
  <r>
    <x v="17"/>
    <s v="Non-Travel"/>
    <x v="0"/>
    <n v="17"/>
    <x v="0"/>
    <n v="1"/>
    <n v="1"/>
    <x v="1"/>
    <n v="3"/>
    <x v="0"/>
    <n v="2290"/>
    <n v="2"/>
    <s v="No"/>
    <n v="13"/>
    <n v="3"/>
    <n v="0"/>
    <n v="6"/>
    <n v="3"/>
    <n v="0"/>
    <n v="0"/>
    <n v="0"/>
    <x v="2"/>
    <d v="2021-04-01T00:00:00"/>
    <m/>
    <s v="Work Accident"/>
    <s v="WFH"/>
    <n v="1"/>
    <n v="3"/>
    <s v="No"/>
    <s v="Recruiter"/>
    <s v="Contract"/>
    <n v="35"/>
    <n v="48"/>
    <n v="80"/>
    <n v="7"/>
    <n v="0"/>
    <m/>
    <n v="0"/>
    <n v="1"/>
    <s v="Current Employees"/>
    <s v="No"/>
  </r>
  <r>
    <x v="18"/>
    <s v="Travel_Frequently"/>
    <x v="1"/>
    <n v="2"/>
    <x v="0"/>
    <n v="3"/>
    <n v="2"/>
    <x v="4"/>
    <n v="2"/>
    <x v="1"/>
    <n v="4327"/>
    <n v="5"/>
    <s v="No"/>
    <n v="12"/>
    <n v="3"/>
    <n v="3"/>
    <n v="5"/>
    <n v="2"/>
    <n v="0"/>
    <n v="0"/>
    <n v="0"/>
    <x v="1"/>
    <d v="2021-01-02T00:00:00"/>
    <m/>
    <s v="Salary"/>
    <s v="WFH"/>
    <n v="2"/>
    <n v="3"/>
    <s v="Yes"/>
    <s v="Walk-in"/>
    <s v="FullTime"/>
    <n v="36"/>
    <n v="42"/>
    <n v="80"/>
    <n v="6"/>
    <n v="0"/>
    <m/>
    <n v="0"/>
    <n v="1"/>
    <s v="Current Employees"/>
    <s v="No"/>
  </r>
  <r>
    <x v="2"/>
    <s v="Travel_Frequently"/>
    <x v="0"/>
    <n v="25"/>
    <x v="1"/>
    <n v="3"/>
    <n v="5"/>
    <x v="5"/>
    <n v="2"/>
    <x v="0"/>
    <n v="18061"/>
    <n v="3"/>
    <s v="No"/>
    <n v="22"/>
    <n v="4"/>
    <n v="0"/>
    <n v="22"/>
    <n v="4"/>
    <n v="0"/>
    <n v="0"/>
    <n v="0"/>
    <x v="3"/>
    <s v="16-04-2021"/>
    <m/>
    <s v="Work Accident"/>
    <s v="OFFICE"/>
    <n v="4"/>
    <n v="3"/>
    <s v="Yes"/>
    <s v="Job Portal"/>
    <s v="Contract"/>
    <n v="38"/>
    <n v="83"/>
    <n v="80"/>
    <n v="2"/>
    <n v="0"/>
    <m/>
    <n v="0"/>
    <n v="1"/>
    <s v="Current Employees"/>
    <s v="No"/>
  </r>
  <r>
    <x v="8"/>
    <s v="Non-Travel"/>
    <x v="0"/>
    <n v="1"/>
    <x v="1"/>
    <n v="3"/>
    <n v="1"/>
    <x v="0"/>
    <n v="4"/>
    <x v="0"/>
    <n v="1611"/>
    <n v="1"/>
    <s v="No"/>
    <n v="15"/>
    <n v="3"/>
    <n v="0"/>
    <n v="0"/>
    <n v="5"/>
    <n v="0"/>
    <n v="0"/>
    <n v="0"/>
    <x v="3"/>
    <d v="2021-04-01T00:00:00"/>
    <m/>
    <s v="Salary"/>
    <s v="WFH"/>
    <n v="1"/>
    <n v="3"/>
    <s v="Yes"/>
    <s v="Job Event"/>
    <s v="Part Time"/>
    <n v="39"/>
    <n v="78"/>
    <n v="80"/>
    <n v="1"/>
    <n v="0"/>
    <m/>
    <n v="0"/>
    <n v="1"/>
    <s v="Current Employees"/>
    <s v="No"/>
  </r>
  <r>
    <x v="19"/>
    <s v="Travel_Frequently"/>
    <x v="0"/>
    <n v="9"/>
    <x v="0"/>
    <n v="3"/>
    <n v="1"/>
    <x v="0"/>
    <n v="1"/>
    <x v="0"/>
    <n v="3172"/>
    <n v="2"/>
    <s v="Yes"/>
    <n v="11"/>
    <n v="3"/>
    <n v="0"/>
    <n v="4"/>
    <n v="2"/>
    <n v="0"/>
    <n v="0"/>
    <n v="0"/>
    <x v="0"/>
    <s v="22-04-2021"/>
    <m/>
    <s v="Work Environment"/>
    <s v="OFFICE"/>
    <n v="5"/>
    <n v="2"/>
    <s v="Yes"/>
    <s v="Job Event"/>
    <s v="Part Time"/>
    <n v="40"/>
    <n v="41"/>
    <n v="80"/>
    <n v="2"/>
    <n v="0"/>
    <m/>
    <n v="0"/>
    <n v="1"/>
    <s v="Current Employees"/>
    <s v="No"/>
  </r>
  <r>
    <x v="6"/>
    <s v="Travel_Frequently"/>
    <x v="0"/>
    <n v="2"/>
    <x v="0"/>
    <n v="2"/>
    <n v="1"/>
    <x v="0"/>
    <n v="1"/>
    <x v="0"/>
    <n v="2561"/>
    <n v="7"/>
    <s v="No"/>
    <n v="11"/>
    <n v="3"/>
    <n v="0"/>
    <n v="8"/>
    <n v="2"/>
    <n v="0"/>
    <n v="0"/>
    <n v="0"/>
    <x v="3"/>
    <s v="20-02-2021"/>
    <m/>
    <s v="Dept.Head"/>
    <s v="WFH"/>
    <n v="5"/>
    <n v="0"/>
    <s v="No"/>
    <s v="Job Event"/>
    <s v="FullTime"/>
    <n v="41"/>
    <n v="83"/>
    <n v="80"/>
    <n v="0"/>
    <n v="0"/>
    <m/>
    <n v="0"/>
    <n v="1"/>
    <s v="Current Employees"/>
    <s v="No"/>
  </r>
  <r>
    <x v="20"/>
    <s v="Travel_Rarely"/>
    <x v="0"/>
    <n v="8"/>
    <x v="0"/>
    <n v="3"/>
    <n v="2"/>
    <x v="7"/>
    <n v="3"/>
    <x v="0"/>
    <n v="6388"/>
    <n v="2"/>
    <s v="Yes"/>
    <n v="17"/>
    <n v="3"/>
    <n v="0"/>
    <n v="14"/>
    <n v="6"/>
    <n v="0"/>
    <n v="0"/>
    <n v="0"/>
    <x v="0"/>
    <d v="2021-06-04T00:00:00"/>
    <m/>
    <s v="Work Accident"/>
    <s v="OFFICE"/>
    <n v="3"/>
    <n v="3"/>
    <s v="No"/>
    <s v="Job Portal"/>
    <s v="FullTime"/>
    <n v="42"/>
    <n v="56"/>
    <n v="80"/>
    <n v="0"/>
    <n v="1"/>
    <n v="1"/>
    <n v="1"/>
    <n v="0"/>
    <s v="Ex-Employees"/>
    <s v="Yes"/>
  </r>
  <r>
    <x v="8"/>
    <s v="Travel_Frequently"/>
    <x v="1"/>
    <n v="3"/>
    <x v="1"/>
    <n v="3"/>
    <n v="1"/>
    <x v="3"/>
    <n v="4"/>
    <x v="0"/>
    <n v="1569"/>
    <n v="1"/>
    <s v="Yes"/>
    <n v="12"/>
    <n v="3"/>
    <n v="0"/>
    <n v="0"/>
    <n v="2"/>
    <n v="0"/>
    <n v="0"/>
    <n v="0"/>
    <x v="3"/>
    <s v="29-01-2021"/>
    <m/>
    <s v="Dept.Head"/>
    <s v="OFFICE"/>
    <n v="0"/>
    <n v="1"/>
    <s v="No"/>
    <s v="Recruiter"/>
    <s v="Part Time"/>
    <n v="45"/>
    <n v="61"/>
    <n v="80"/>
    <n v="0"/>
    <n v="1"/>
    <n v="1"/>
    <n v="1"/>
    <n v="0"/>
    <s v="Ex-Employees"/>
    <s v="Yes"/>
  </r>
  <r>
    <x v="12"/>
    <s v="Travel_Rarely"/>
    <x v="0"/>
    <n v="4"/>
    <x v="1"/>
    <n v="3"/>
    <n v="1"/>
    <x v="0"/>
    <n v="3"/>
    <x v="1"/>
    <n v="3306"/>
    <n v="7"/>
    <s v="No"/>
    <n v="19"/>
    <n v="3"/>
    <n v="1"/>
    <n v="7"/>
    <n v="5"/>
    <n v="0"/>
    <n v="0"/>
    <n v="0"/>
    <x v="1"/>
    <s v="25-01-2021"/>
    <m/>
    <s v="Dept.Head"/>
    <s v="OFFICE"/>
    <n v="2"/>
    <n v="3"/>
    <s v="Yes"/>
    <s v="Walk-in"/>
    <s v="FullTime"/>
    <n v="46"/>
    <n v="72"/>
    <n v="80"/>
    <n v="3"/>
    <n v="0"/>
    <m/>
    <n v="0"/>
    <n v="1"/>
    <s v="Current Employees"/>
    <s v="No"/>
  </r>
  <r>
    <x v="21"/>
    <s v="Travel_Rarely"/>
    <x v="1"/>
    <n v="1"/>
    <x v="0"/>
    <n v="1"/>
    <n v="2"/>
    <x v="4"/>
    <n v="2"/>
    <x v="0"/>
    <n v="6735"/>
    <n v="6"/>
    <s v="No"/>
    <n v="15"/>
    <n v="3"/>
    <n v="0"/>
    <n v="10"/>
    <n v="2"/>
    <n v="0"/>
    <n v="0"/>
    <n v="0"/>
    <x v="2"/>
    <s v="17-06-2021"/>
    <m/>
    <s v="Work Environment"/>
    <s v="WFH"/>
    <n v="1"/>
    <n v="1"/>
    <s v="Yes"/>
    <s v="Recruiter"/>
    <s v="FullTime"/>
    <n v="47"/>
    <n v="86"/>
    <n v="80"/>
    <n v="2"/>
    <n v="1"/>
    <n v="1"/>
    <n v="1"/>
    <n v="0"/>
    <s v="Ex-Employees"/>
    <s v="Yes"/>
  </r>
  <r>
    <x v="20"/>
    <s v="Travel_Rarely"/>
    <x v="1"/>
    <n v="16"/>
    <x v="1"/>
    <n v="3"/>
    <n v="3"/>
    <x v="4"/>
    <n v="1"/>
    <x v="0"/>
    <n v="8564"/>
    <n v="2"/>
    <s v="Yes"/>
    <n v="20"/>
    <n v="4"/>
    <n v="0"/>
    <n v="11"/>
    <n v="2"/>
    <n v="0"/>
    <n v="0"/>
    <n v="0"/>
    <x v="1"/>
    <d v="2021-07-01T00:00:00"/>
    <m/>
    <s v="Salary"/>
    <s v="OFFICE"/>
    <n v="5"/>
    <n v="1"/>
    <s v="No"/>
    <s v="Recruiter"/>
    <s v="Contract"/>
    <n v="49"/>
    <n v="97"/>
    <n v="80"/>
    <n v="2"/>
    <n v="0"/>
    <m/>
    <n v="0"/>
    <n v="1"/>
    <s v="Current Employees"/>
    <s v="No"/>
  </r>
  <r>
    <x v="22"/>
    <s v="Travel_Rarely"/>
    <x v="0"/>
    <n v="13"/>
    <x v="0"/>
    <n v="4"/>
    <n v="2"/>
    <x v="7"/>
    <n v="1"/>
    <x v="1"/>
    <n v="5538"/>
    <n v="5"/>
    <s v="No"/>
    <n v="18"/>
    <n v="3"/>
    <n v="2"/>
    <n v="10"/>
    <n v="2"/>
    <n v="0"/>
    <n v="0"/>
    <n v="0"/>
    <x v="1"/>
    <d v="2021-02-03T00:00:00"/>
    <m/>
    <s v="Work Accident"/>
    <s v="WFH"/>
    <n v="3"/>
    <n v="0"/>
    <s v="Yes"/>
    <s v="Job Event"/>
    <s v="Contract"/>
    <n v="51"/>
    <n v="82"/>
    <n v="80"/>
    <n v="1"/>
    <n v="0"/>
    <m/>
    <n v="0"/>
    <n v="1"/>
    <s v="Current Employees"/>
    <s v="No"/>
  </r>
  <r>
    <x v="8"/>
    <s v="Non-Travel"/>
    <x v="0"/>
    <n v="14"/>
    <x v="1"/>
    <n v="3"/>
    <n v="1"/>
    <x v="1"/>
    <n v="3"/>
    <x v="0"/>
    <n v="1514"/>
    <n v="1"/>
    <s v="No"/>
    <n v="16"/>
    <n v="3"/>
    <n v="0"/>
    <n v="0"/>
    <n v="4"/>
    <n v="0"/>
    <n v="0"/>
    <n v="0"/>
    <x v="0"/>
    <s v="23-03-2021"/>
    <m/>
    <s v="Work Environment"/>
    <s v="WFH"/>
    <n v="4"/>
    <n v="3"/>
    <s v="No"/>
    <s v="Walk-in"/>
    <s v="Contract"/>
    <n v="52"/>
    <n v="42"/>
    <n v="80"/>
    <n v="3"/>
    <n v="0"/>
    <m/>
    <n v="0"/>
    <n v="1"/>
    <s v="Current Employees"/>
    <s v="No"/>
  </r>
  <r>
    <x v="21"/>
    <s v="Travel_Frequently"/>
    <x v="1"/>
    <n v="10"/>
    <x v="0"/>
    <n v="3"/>
    <n v="2"/>
    <x v="4"/>
    <n v="4"/>
    <x v="0"/>
    <n v="4648"/>
    <n v="8"/>
    <s v="No"/>
    <n v="13"/>
    <n v="3"/>
    <n v="0"/>
    <n v="4"/>
    <n v="2"/>
    <n v="0"/>
    <n v="0"/>
    <n v="0"/>
    <x v="1"/>
    <s v="20-03-2021"/>
    <m/>
    <s v="Work Environment"/>
    <s v="OFFICE"/>
    <n v="3"/>
    <n v="3"/>
    <s v="Yes"/>
    <s v="Walk-in"/>
    <s v="Contract"/>
    <n v="53"/>
    <n v="75"/>
    <n v="80"/>
    <n v="0"/>
    <n v="0"/>
    <m/>
    <n v="0"/>
    <n v="1"/>
    <s v="Current Employees"/>
    <s v="No"/>
  </r>
  <r>
    <x v="22"/>
    <s v="Travel_Rarely"/>
    <x v="0"/>
    <n v="8"/>
    <x v="0"/>
    <n v="3"/>
    <n v="1"/>
    <x v="0"/>
    <n v="3"/>
    <x v="0"/>
    <n v="3968"/>
    <n v="4"/>
    <s v="No"/>
    <n v="13"/>
    <n v="3"/>
    <n v="0"/>
    <n v="8"/>
    <n v="3"/>
    <n v="0"/>
    <n v="0"/>
    <n v="0"/>
    <x v="0"/>
    <d v="2021-09-03T00:00:00"/>
    <m/>
    <s v="Better Opportunity"/>
    <s v="OFFICE"/>
    <n v="5"/>
    <n v="1"/>
    <s v="No"/>
    <s v="Job Portal"/>
    <s v="FullTime"/>
    <n v="54"/>
    <n v="33"/>
    <n v="80"/>
    <n v="0"/>
    <n v="0"/>
    <m/>
    <n v="0"/>
    <n v="1"/>
    <s v="Current Employees"/>
    <s v="No"/>
  </r>
  <r>
    <x v="23"/>
    <s v="Travel_Rarely"/>
    <x v="1"/>
    <n v="11"/>
    <x v="1"/>
    <n v="2"/>
    <n v="2"/>
    <x v="4"/>
    <n v="1"/>
    <x v="1"/>
    <n v="5380"/>
    <n v="4"/>
    <s v="No"/>
    <n v="16"/>
    <n v="3"/>
    <n v="1"/>
    <n v="6"/>
    <n v="3"/>
    <n v="0"/>
    <n v="0"/>
    <n v="0"/>
    <x v="2"/>
    <s v="30-05-2021"/>
    <m/>
    <s v="Better Opportunity"/>
    <s v="OFFICE"/>
    <n v="5"/>
    <n v="0"/>
    <s v="Yes"/>
    <s v="Recruiter"/>
    <s v="Contract"/>
    <n v="55"/>
    <n v="48"/>
    <n v="80"/>
    <n v="0"/>
    <n v="1"/>
    <n v="1"/>
    <n v="1"/>
    <n v="0"/>
    <s v="Ex-Employees"/>
    <s v="Yes"/>
  </r>
  <r>
    <x v="22"/>
    <s v="Travel_Rarely"/>
    <x v="1"/>
    <n v="12"/>
    <x v="0"/>
    <n v="3"/>
    <n v="2"/>
    <x v="4"/>
    <n v="4"/>
    <x v="2"/>
    <n v="5087"/>
    <n v="3"/>
    <s v="Yes"/>
    <n v="12"/>
    <n v="3"/>
    <n v="2"/>
    <n v="14"/>
    <n v="4"/>
    <n v="0"/>
    <n v="0"/>
    <n v="0"/>
    <x v="2"/>
    <d v="2021-12-02T00:00:00"/>
    <m/>
    <s v="Work Environment"/>
    <s v="OFFICE"/>
    <n v="1"/>
    <n v="2"/>
    <s v="No"/>
    <s v="Recruiter"/>
    <s v="Part Time"/>
    <n v="56"/>
    <n v="37"/>
    <n v="80"/>
    <n v="8"/>
    <n v="0"/>
    <m/>
    <n v="0"/>
    <n v="1"/>
    <s v="Current Employees"/>
    <s v="No"/>
  </r>
  <r>
    <x v="24"/>
    <s v="Travel_Rarely"/>
    <x v="0"/>
    <n v="3"/>
    <x v="1"/>
    <n v="4"/>
    <n v="1"/>
    <x v="0"/>
    <n v="1"/>
    <x v="1"/>
    <n v="2670"/>
    <n v="4"/>
    <s v="Yes"/>
    <n v="20"/>
    <n v="4"/>
    <n v="3"/>
    <n v="12"/>
    <n v="3"/>
    <n v="1"/>
    <n v="0"/>
    <n v="0"/>
    <x v="1"/>
    <d v="2020-10-05T00:00:00"/>
    <m/>
    <s v="Work Accident"/>
    <s v="OFFICE"/>
    <n v="2"/>
    <n v="1"/>
    <s v="Yes"/>
    <s v="Job Event"/>
    <s v="Contract"/>
    <n v="57"/>
    <n v="58"/>
    <n v="80"/>
    <n v="8"/>
    <n v="0"/>
    <m/>
    <n v="0"/>
    <n v="1"/>
    <s v="Current Employees"/>
    <s v="No"/>
  </r>
  <r>
    <x v="14"/>
    <s v="Travel_Rarely"/>
    <x v="0"/>
    <n v="24"/>
    <x v="0"/>
    <n v="3"/>
    <n v="1"/>
    <x v="0"/>
    <n v="3"/>
    <x v="2"/>
    <n v="2693"/>
    <n v="1"/>
    <s v="No"/>
    <n v="22"/>
    <n v="4"/>
    <n v="1"/>
    <n v="1"/>
    <n v="2"/>
    <n v="1"/>
    <n v="0"/>
    <n v="0"/>
    <x v="0"/>
    <s v="28-02-2020"/>
    <m/>
    <s v="Work Accident"/>
    <s v="WFH"/>
    <n v="2"/>
    <n v="3"/>
    <s v="No"/>
    <s v="Walk-in"/>
    <s v="Part Time"/>
    <n v="58"/>
    <n v="49"/>
    <n v="80"/>
    <n v="15"/>
    <n v="1"/>
    <n v="1"/>
    <n v="1"/>
    <n v="0"/>
    <s v="Ex-Employees"/>
    <s v="Yes"/>
  </r>
  <r>
    <x v="4"/>
    <s v="Non-Travel"/>
    <x v="0"/>
    <n v="16"/>
    <x v="0"/>
    <n v="4"/>
    <n v="1"/>
    <x v="0"/>
    <n v="4"/>
    <x v="2"/>
    <n v="2935"/>
    <n v="1"/>
    <s v="Yes"/>
    <n v="13"/>
    <n v="3"/>
    <n v="2"/>
    <n v="1"/>
    <n v="2"/>
    <n v="1"/>
    <n v="0"/>
    <n v="0"/>
    <x v="2"/>
    <s v="14-04-2020"/>
    <m/>
    <s v="Salary"/>
    <s v="OFFICE"/>
    <n v="0"/>
    <n v="0"/>
    <s v="Yes"/>
    <s v="Walk-in"/>
    <s v="Contract"/>
    <n v="60"/>
    <n v="72"/>
    <n v="80"/>
    <n v="5"/>
    <n v="0"/>
    <m/>
    <n v="0"/>
    <n v="1"/>
    <s v="Current Employees"/>
    <s v="No"/>
  </r>
  <r>
    <x v="20"/>
    <s v="Travel_Rarely"/>
    <x v="0"/>
    <n v="2"/>
    <x v="0"/>
    <n v="3"/>
    <n v="1"/>
    <x v="0"/>
    <n v="4"/>
    <x v="0"/>
    <n v="2496"/>
    <n v="4"/>
    <s v="No"/>
    <n v="11"/>
    <n v="3"/>
    <n v="0"/>
    <n v="7"/>
    <n v="3"/>
    <n v="1"/>
    <n v="0"/>
    <n v="0"/>
    <x v="2"/>
    <d v="2020-03-06T00:00:00"/>
    <m/>
    <s v="Work Environment"/>
    <s v="OFFICE"/>
    <n v="1"/>
    <n v="0"/>
    <s v="Yes"/>
    <s v="Job Event"/>
    <s v="Contract"/>
    <n v="61"/>
    <n v="73"/>
    <n v="80"/>
    <n v="0"/>
    <n v="0"/>
    <m/>
    <n v="0"/>
    <n v="1"/>
    <s v="Current Employees"/>
    <s v="No"/>
  </r>
  <r>
    <x v="25"/>
    <s v="Travel_Rarely"/>
    <x v="1"/>
    <n v="5"/>
    <x v="0"/>
    <n v="3"/>
    <n v="2"/>
    <x v="3"/>
    <n v="4"/>
    <x v="1"/>
    <n v="2086"/>
    <n v="3"/>
    <s v="No"/>
    <n v="14"/>
    <n v="3"/>
    <n v="1"/>
    <n v="19"/>
    <n v="6"/>
    <n v="1"/>
    <n v="0"/>
    <n v="0"/>
    <x v="1"/>
    <s v="27-04-2020"/>
    <m/>
    <s v="Dept.Head"/>
    <s v="OFFICE"/>
    <n v="5"/>
    <n v="0"/>
    <s v="No"/>
    <s v="Recruiter"/>
    <s v="Contract"/>
    <n v="62"/>
    <n v="98"/>
    <n v="80"/>
    <n v="6"/>
    <n v="0"/>
    <m/>
    <n v="0"/>
    <n v="1"/>
    <s v="Current Employees"/>
    <s v="No"/>
  </r>
  <r>
    <x v="26"/>
    <s v="Travel_Rarely"/>
    <x v="0"/>
    <n v="5"/>
    <x v="1"/>
    <n v="2"/>
    <n v="1"/>
    <x v="1"/>
    <n v="1"/>
    <x v="1"/>
    <n v="3419"/>
    <n v="9"/>
    <s v="Yes"/>
    <n v="14"/>
    <n v="3"/>
    <n v="1"/>
    <n v="6"/>
    <n v="3"/>
    <n v="1"/>
    <n v="0"/>
    <n v="0"/>
    <x v="0"/>
    <s v="24-03-2020"/>
    <m/>
    <s v="Work Environment"/>
    <s v="OFFICE"/>
    <n v="4"/>
    <n v="2"/>
    <s v="No"/>
    <s v="Recruiter"/>
    <s v="Part Time"/>
    <n v="63"/>
    <n v="36"/>
    <n v="80"/>
    <n v="0"/>
    <n v="0"/>
    <m/>
    <n v="0"/>
    <n v="1"/>
    <s v="Current Employees"/>
    <s v="No"/>
  </r>
  <r>
    <x v="27"/>
    <s v="Travel_Rarely"/>
    <x v="0"/>
    <n v="4"/>
    <x v="0"/>
    <n v="3"/>
    <n v="1"/>
    <x v="0"/>
    <n v="4"/>
    <x v="2"/>
    <n v="1951"/>
    <n v="1"/>
    <s v="No"/>
    <n v="12"/>
    <n v="3"/>
    <n v="1"/>
    <n v="1"/>
    <n v="3"/>
    <n v="1"/>
    <n v="0"/>
    <n v="0"/>
    <x v="0"/>
    <s v="14-06-2020"/>
    <m/>
    <s v="Better Opportunity"/>
    <s v="WFH"/>
    <n v="0"/>
    <n v="3"/>
    <s v="No"/>
    <s v="Job Portal"/>
    <s v="FullTime"/>
    <n v="64"/>
    <n v="98"/>
    <n v="80"/>
    <n v="0"/>
    <n v="1"/>
    <n v="1"/>
    <n v="1"/>
    <n v="0"/>
    <s v="Ex-Employees"/>
    <s v="Yes"/>
  </r>
  <r>
    <x v="15"/>
    <s v="Travel_Rarely"/>
    <x v="0"/>
    <n v="2"/>
    <x v="1"/>
    <n v="3"/>
    <n v="1"/>
    <x v="0"/>
    <n v="1"/>
    <x v="2"/>
    <n v="2341"/>
    <n v="1"/>
    <s v="No"/>
    <n v="13"/>
    <n v="3"/>
    <n v="1"/>
    <n v="1"/>
    <n v="6"/>
    <n v="1"/>
    <n v="0"/>
    <n v="0"/>
    <x v="3"/>
    <d v="2020-04-03T00:00:00"/>
    <m/>
    <s v="Better Opportunity"/>
    <s v="OFFICE"/>
    <n v="5"/>
    <n v="0"/>
    <s v="No"/>
    <s v="Job Event"/>
    <s v="Part Time"/>
    <n v="65"/>
    <n v="50"/>
    <n v="80"/>
    <n v="2"/>
    <n v="1"/>
    <n v="1"/>
    <n v="1"/>
    <n v="0"/>
    <s v="Ex-Employees"/>
    <s v="Yes"/>
  </r>
  <r>
    <x v="11"/>
    <s v="Travel_Rarely"/>
    <x v="0"/>
    <n v="25"/>
    <x v="0"/>
    <n v="1"/>
    <n v="1"/>
    <x v="0"/>
    <n v="3"/>
    <x v="0"/>
    <n v="2293"/>
    <n v="1"/>
    <s v="No"/>
    <n v="12"/>
    <n v="3"/>
    <n v="0"/>
    <n v="1"/>
    <n v="2"/>
    <n v="1"/>
    <n v="0"/>
    <n v="1"/>
    <x v="1"/>
    <s v="15-01-2020"/>
    <m/>
    <s v="Dept.Head"/>
    <s v="WFH"/>
    <n v="4"/>
    <n v="3"/>
    <s v="No"/>
    <s v="Job Portal"/>
    <s v="Part Time"/>
    <n v="68"/>
    <n v="75"/>
    <n v="80"/>
    <n v="3"/>
    <n v="0"/>
    <m/>
    <n v="0"/>
    <n v="1"/>
    <s v="Current Employees"/>
    <s v="No"/>
  </r>
  <r>
    <x v="0"/>
    <s v="Travel_Rarely"/>
    <x v="0"/>
    <n v="19"/>
    <x v="0"/>
    <n v="3"/>
    <n v="1"/>
    <x v="1"/>
    <n v="2"/>
    <x v="1"/>
    <n v="3022"/>
    <n v="4"/>
    <s v="No"/>
    <n v="21"/>
    <n v="4"/>
    <n v="0"/>
    <n v="8"/>
    <n v="1"/>
    <n v="1"/>
    <n v="0"/>
    <n v="0"/>
    <x v="2"/>
    <d v="2020-04-02T00:00:00"/>
    <m/>
    <s v="Work Environment"/>
    <s v="WFH"/>
    <n v="5"/>
    <n v="1"/>
    <s v="No"/>
    <s v="Job Event"/>
    <s v="Part Time"/>
    <n v="70"/>
    <n v="79"/>
    <n v="80"/>
    <n v="0"/>
    <n v="0"/>
    <m/>
    <n v="0"/>
    <n v="1"/>
    <s v="Current Employees"/>
    <s v="No"/>
  </r>
  <r>
    <x v="27"/>
    <s v="Travel_Rarely"/>
    <x v="0"/>
    <n v="8"/>
    <x v="0"/>
    <n v="4"/>
    <n v="1"/>
    <x v="0"/>
    <n v="4"/>
    <x v="1"/>
    <n v="2269"/>
    <n v="1"/>
    <s v="No"/>
    <n v="19"/>
    <n v="3"/>
    <n v="0"/>
    <n v="1"/>
    <n v="2"/>
    <n v="1"/>
    <n v="0"/>
    <n v="1"/>
    <x v="2"/>
    <s v="21-04-2020"/>
    <m/>
    <s v="Salary"/>
    <s v="OFFICE"/>
    <n v="2"/>
    <n v="2"/>
    <s v="Yes"/>
    <s v="Walk-in"/>
    <s v="FullTime"/>
    <n v="72"/>
    <n v="47"/>
    <n v="80"/>
    <n v="2"/>
    <n v="0"/>
    <m/>
    <n v="0"/>
    <n v="1"/>
    <s v="Current Employees"/>
    <s v="No"/>
  </r>
  <r>
    <x v="10"/>
    <s v="Travel_Rarely"/>
    <x v="0"/>
    <n v="1"/>
    <x v="0"/>
    <n v="2"/>
    <n v="3"/>
    <x v="0"/>
    <n v="3"/>
    <x v="0"/>
    <n v="5381"/>
    <n v="9"/>
    <s v="Yes"/>
    <n v="13"/>
    <n v="3"/>
    <n v="0"/>
    <n v="23"/>
    <n v="2"/>
    <n v="1"/>
    <n v="0"/>
    <n v="0"/>
    <x v="0"/>
    <d v="2020-08-01T00:00:00"/>
    <m/>
    <s v="Work Accident"/>
    <s v="OFFICE"/>
    <n v="4"/>
    <n v="2"/>
    <s v="No"/>
    <s v="Recruiter"/>
    <s v="Contract"/>
    <n v="73"/>
    <n v="98"/>
    <n v="80"/>
    <n v="14"/>
    <n v="0"/>
    <m/>
    <n v="0"/>
    <n v="1"/>
    <s v="Current Employees"/>
    <s v="No"/>
  </r>
  <r>
    <x v="2"/>
    <s v="Travel_Rarely"/>
    <x v="0"/>
    <n v="7"/>
    <x v="0"/>
    <n v="3"/>
    <n v="3"/>
    <x v="1"/>
    <n v="1"/>
    <x v="2"/>
    <n v="9724"/>
    <n v="2"/>
    <s v="No"/>
    <n v="17"/>
    <n v="3"/>
    <n v="1"/>
    <n v="25"/>
    <n v="2"/>
    <n v="1"/>
    <n v="0"/>
    <n v="0"/>
    <x v="0"/>
    <d v="2020-09-01T00:00:00"/>
    <m/>
    <s v="Work Environment"/>
    <s v="OFFICE"/>
    <n v="5"/>
    <n v="0"/>
    <s v="No"/>
    <s v="Job Portal"/>
    <s v="Part Time"/>
    <n v="74"/>
    <n v="71"/>
    <n v="80"/>
    <n v="8"/>
    <n v="0"/>
    <m/>
    <n v="0"/>
    <n v="1"/>
    <s v="Current Employees"/>
    <s v="No"/>
  </r>
  <r>
    <x v="26"/>
    <s v="Travel_Rarely"/>
    <x v="0"/>
    <n v="9"/>
    <x v="0"/>
    <n v="2"/>
    <n v="1"/>
    <x v="1"/>
    <n v="3"/>
    <x v="1"/>
    <n v="3388"/>
    <n v="0"/>
    <s v="Yes"/>
    <n v="17"/>
    <n v="3"/>
    <n v="1"/>
    <n v="2"/>
    <n v="0"/>
    <n v="1"/>
    <n v="0"/>
    <n v="0"/>
    <x v="1"/>
    <d v="2020-09-01T00:00:00"/>
    <m/>
    <s v="Work Accident"/>
    <s v="WFH"/>
    <n v="4"/>
    <n v="3"/>
    <s v="Yes"/>
    <s v="Job Event"/>
    <s v="FullTime"/>
    <n v="75"/>
    <n v="30"/>
    <n v="80"/>
    <n v="2"/>
    <n v="0"/>
    <m/>
    <n v="0"/>
    <n v="1"/>
    <s v="Current Employees"/>
    <s v="No"/>
  </r>
  <r>
    <x v="28"/>
    <s v="Travel_Rarely"/>
    <x v="0"/>
    <n v="1"/>
    <x v="0"/>
    <n v="3"/>
    <n v="1"/>
    <x v="1"/>
    <n v="2"/>
    <x v="0"/>
    <n v="2501"/>
    <n v="1"/>
    <s v="No"/>
    <n v="17"/>
    <n v="3"/>
    <n v="0"/>
    <n v="1"/>
    <n v="4"/>
    <n v="1"/>
    <n v="1"/>
    <n v="0"/>
    <x v="0"/>
    <s v="14-05-2020"/>
    <m/>
    <s v="Salary"/>
    <s v="WFH"/>
    <n v="0"/>
    <n v="3"/>
    <s v="No"/>
    <s v="Recruiter"/>
    <s v="Contract"/>
    <n v="76"/>
    <n v="48"/>
    <n v="80"/>
    <n v="7"/>
    <n v="0"/>
    <m/>
    <n v="0"/>
    <n v="1"/>
    <s v="Current Employees"/>
    <s v="No"/>
  </r>
  <r>
    <x v="26"/>
    <s v="Travel_Rarely"/>
    <x v="0"/>
    <n v="6"/>
    <x v="1"/>
    <n v="4"/>
    <n v="1"/>
    <x v="0"/>
    <n v="4"/>
    <x v="1"/>
    <n v="3038"/>
    <n v="3"/>
    <s v="No"/>
    <n v="12"/>
    <n v="3"/>
    <n v="0"/>
    <n v="5"/>
    <n v="3"/>
    <n v="1"/>
    <n v="0"/>
    <n v="0"/>
    <x v="3"/>
    <s v="15-01-2020"/>
    <m/>
    <s v="Dept.Head"/>
    <s v="OFFICE"/>
    <n v="3"/>
    <n v="1"/>
    <s v="Yes"/>
    <s v="Walk-in"/>
    <s v="Contract"/>
    <n v="77"/>
    <n v="51"/>
    <n v="80"/>
    <n v="5"/>
    <n v="0"/>
    <m/>
    <n v="0"/>
    <n v="1"/>
    <s v="Current Employees"/>
    <s v="No"/>
  </r>
  <r>
    <x v="29"/>
    <s v="Travel_Rarely"/>
    <x v="1"/>
    <n v="1"/>
    <x v="0"/>
    <n v="3"/>
    <n v="3"/>
    <x v="4"/>
    <n v="4"/>
    <x v="1"/>
    <n v="10239"/>
    <n v="3"/>
    <s v="No"/>
    <n v="14"/>
    <n v="3"/>
    <n v="1"/>
    <n v="24"/>
    <n v="4"/>
    <n v="1"/>
    <n v="1"/>
    <n v="0"/>
    <x v="2"/>
    <d v="2020-09-02T00:00:00"/>
    <m/>
    <s v="Work Environment"/>
    <s v="WFH"/>
    <n v="0"/>
    <n v="2"/>
    <s v="No"/>
    <s v="Job Portal"/>
    <s v="FullTime"/>
    <n v="78"/>
    <n v="33"/>
    <n v="80"/>
    <n v="8"/>
    <n v="0"/>
    <m/>
    <n v="0"/>
    <n v="1"/>
    <s v="Current Employees"/>
    <s v="No"/>
  </r>
  <r>
    <x v="21"/>
    <s v="Travel_Rarely"/>
    <x v="0"/>
    <n v="1"/>
    <x v="0"/>
    <n v="3"/>
    <n v="1"/>
    <x v="1"/>
    <n v="1"/>
    <x v="0"/>
    <n v="2956"/>
    <n v="1"/>
    <s v="No"/>
    <n v="13"/>
    <n v="3"/>
    <n v="0"/>
    <n v="1"/>
    <n v="2"/>
    <n v="1"/>
    <n v="0"/>
    <n v="0"/>
    <x v="3"/>
    <s v="20-02-2020"/>
    <m/>
    <s v="Salary"/>
    <s v="WFH"/>
    <n v="4"/>
    <n v="1"/>
    <s v="Yes"/>
    <s v="Job Portal"/>
    <s v="FullTime"/>
    <n v="79"/>
    <n v="50"/>
    <n v="80"/>
    <n v="3"/>
    <n v="0"/>
    <m/>
    <n v="0"/>
    <n v="1"/>
    <s v="Current Employees"/>
    <s v="No"/>
  </r>
  <r>
    <x v="30"/>
    <s v="Travel_Frequently"/>
    <x v="0"/>
    <n v="6"/>
    <x v="1"/>
    <n v="2"/>
    <n v="1"/>
    <x v="0"/>
    <n v="4"/>
    <x v="0"/>
    <n v="2926"/>
    <n v="1"/>
    <s v="Yes"/>
    <n v="18"/>
    <n v="3"/>
    <n v="0"/>
    <n v="1"/>
    <n v="5"/>
    <n v="1"/>
    <n v="1"/>
    <n v="0"/>
    <x v="0"/>
    <s v="27-03-2020"/>
    <m/>
    <s v="Dept.Head"/>
    <s v="WFH"/>
    <n v="3"/>
    <n v="3"/>
    <s v="No"/>
    <s v="Recruiter"/>
    <s v="Contract"/>
    <n v="80"/>
    <n v="43"/>
    <n v="80"/>
    <n v="3"/>
    <n v="0"/>
    <m/>
    <n v="0"/>
    <n v="1"/>
    <s v="Current Employees"/>
    <s v="No"/>
  </r>
  <r>
    <x v="0"/>
    <s v="Non-Travel"/>
    <x v="0"/>
    <n v="2"/>
    <x v="0"/>
    <n v="2"/>
    <n v="2"/>
    <x v="7"/>
    <n v="4"/>
    <x v="2"/>
    <n v="5163"/>
    <n v="5"/>
    <s v="No"/>
    <n v="14"/>
    <n v="3"/>
    <n v="1"/>
    <n v="17"/>
    <n v="2"/>
    <n v="1"/>
    <n v="0"/>
    <n v="0"/>
    <x v="3"/>
    <s v="24-01-2020"/>
    <m/>
    <s v="Work Environment"/>
    <s v="WFH"/>
    <n v="3"/>
    <n v="0"/>
    <s v="No"/>
    <s v="Recruiter"/>
    <s v="Contract"/>
    <n v="81"/>
    <n v="99"/>
    <n v="80"/>
    <n v="16"/>
    <n v="0"/>
    <m/>
    <n v="0"/>
    <n v="1"/>
    <s v="Current Employees"/>
    <s v="No"/>
  </r>
  <r>
    <x v="13"/>
    <s v="Travel_Rarely"/>
    <x v="0"/>
    <n v="6"/>
    <x v="1"/>
    <n v="2"/>
    <n v="2"/>
    <x v="1"/>
    <n v="2"/>
    <x v="2"/>
    <n v="4505"/>
    <n v="6"/>
    <s v="No"/>
    <n v="15"/>
    <n v="3"/>
    <n v="1"/>
    <n v="12"/>
    <n v="3"/>
    <n v="1"/>
    <n v="0"/>
    <n v="0"/>
    <x v="3"/>
    <s v="16-06-2020"/>
    <m/>
    <s v="Salary"/>
    <s v="WFH"/>
    <n v="5"/>
    <n v="2"/>
    <s v="Yes"/>
    <s v="Job Portal"/>
    <s v="Contract"/>
    <n v="83"/>
    <n v="59"/>
    <n v="80"/>
    <n v="14"/>
    <n v="0"/>
    <m/>
    <n v="0"/>
    <n v="1"/>
    <s v="Current Employees"/>
    <s v="No"/>
  </r>
  <r>
    <x v="26"/>
    <s v="Travel_Rarely"/>
    <x v="0"/>
    <n v="3"/>
    <x v="1"/>
    <n v="3"/>
    <n v="1"/>
    <x v="0"/>
    <n v="4"/>
    <x v="2"/>
    <n v="2835"/>
    <n v="5"/>
    <s v="No"/>
    <n v="22"/>
    <n v="4"/>
    <n v="1"/>
    <n v="7"/>
    <n v="2"/>
    <n v="1"/>
    <n v="0"/>
    <n v="0"/>
    <x v="0"/>
    <s v="29-03-2020"/>
    <m/>
    <s v="Salary"/>
    <s v="OFFICE"/>
    <n v="5"/>
    <n v="2"/>
    <s v="No"/>
    <s v="Job Event"/>
    <s v="FullTime"/>
    <n v="84"/>
    <n v="33"/>
    <n v="80"/>
    <n v="0"/>
    <n v="0"/>
    <m/>
    <n v="0"/>
    <n v="1"/>
    <s v="Current Employees"/>
    <s v="No"/>
  </r>
  <r>
    <x v="5"/>
    <s v="Travel_Rarely"/>
    <x v="0"/>
    <n v="3"/>
    <x v="1"/>
    <n v="3"/>
    <n v="1"/>
    <x v="0"/>
    <n v="2"/>
    <x v="0"/>
    <n v="1483"/>
    <n v="1"/>
    <s v="No"/>
    <n v="14"/>
    <n v="3"/>
    <n v="0"/>
    <n v="1"/>
    <n v="3"/>
    <n v="1"/>
    <n v="0"/>
    <n v="0"/>
    <x v="3"/>
    <s v="22-03-2020"/>
    <m/>
    <s v="Work Accident"/>
    <s v="OFFICE"/>
    <n v="0"/>
    <n v="0"/>
    <s v="No"/>
    <s v="Job Event"/>
    <s v="FullTime"/>
    <n v="85"/>
    <n v="95"/>
    <n v="80"/>
    <n v="5"/>
    <n v="0"/>
    <m/>
    <n v="0"/>
    <n v="1"/>
    <s v="Current Employees"/>
    <s v="No"/>
  </r>
  <r>
    <x v="31"/>
    <s v="Travel_Rarely"/>
    <x v="0"/>
    <n v="7"/>
    <x v="0"/>
    <n v="2"/>
    <n v="2"/>
    <x v="6"/>
    <n v="3"/>
    <x v="1"/>
    <n v="6132"/>
    <n v="2"/>
    <s v="No"/>
    <n v="17"/>
    <n v="3"/>
    <n v="0"/>
    <n v="10"/>
    <n v="2"/>
    <n v="1"/>
    <n v="0"/>
    <n v="0"/>
    <x v="1"/>
    <s v="14-04-2020"/>
    <m/>
    <s v="Work Environment"/>
    <s v="WFH"/>
    <n v="1"/>
    <n v="1"/>
    <s v="Yes"/>
    <s v="Job Event"/>
    <s v="Contract"/>
    <n v="86"/>
    <n v="59"/>
    <n v="80"/>
    <n v="0"/>
    <n v="0"/>
    <m/>
    <n v="0"/>
    <n v="1"/>
    <s v="Current Employees"/>
    <s v="No"/>
  </r>
  <r>
    <x v="32"/>
    <s v="Travel_Rarely"/>
    <x v="0"/>
    <n v="9"/>
    <x v="1"/>
    <n v="2"/>
    <n v="1"/>
    <x v="1"/>
    <n v="2"/>
    <x v="1"/>
    <n v="3346"/>
    <n v="4"/>
    <s v="Yes"/>
    <n v="20"/>
    <n v="4"/>
    <n v="1"/>
    <n v="9"/>
    <n v="3"/>
    <n v="1"/>
    <n v="0"/>
    <n v="0"/>
    <x v="0"/>
    <d v="2020-10-05T00:00:00"/>
    <m/>
    <s v="Work Accident"/>
    <s v="WFH"/>
    <n v="3"/>
    <n v="0"/>
    <s v="No"/>
    <s v="Job Event"/>
    <s v="Contract"/>
    <n v="88"/>
    <n v="79"/>
    <n v="80"/>
    <n v="2"/>
    <n v="0"/>
    <m/>
    <n v="0"/>
    <n v="1"/>
    <s v="Current Employees"/>
    <s v="No"/>
  </r>
  <r>
    <x v="15"/>
    <s v="Non-Travel"/>
    <x v="0"/>
    <n v="3"/>
    <x v="0"/>
    <n v="2"/>
    <n v="1"/>
    <x v="1"/>
    <n v="3"/>
    <x v="2"/>
    <n v="2566"/>
    <n v="1"/>
    <s v="Yes"/>
    <n v="15"/>
    <n v="3"/>
    <n v="1"/>
    <n v="1"/>
    <n v="2"/>
    <n v="1"/>
    <n v="0"/>
    <n v="1"/>
    <x v="1"/>
    <d v="2020-10-03T00:00:00"/>
    <m/>
    <s v="Work Environment"/>
    <s v="WFH"/>
    <n v="5"/>
    <n v="1"/>
    <s v="Yes"/>
    <s v="Job Event"/>
    <s v="Contract"/>
    <n v="90"/>
    <n v="79"/>
    <n v="80"/>
    <n v="0"/>
    <n v="1"/>
    <n v="1"/>
    <n v="1"/>
    <n v="0"/>
    <s v="Ex-Employees"/>
    <s v="Yes"/>
  </r>
  <r>
    <x v="5"/>
    <s v="Travel_Rarely"/>
    <x v="0"/>
    <n v="2"/>
    <x v="0"/>
    <n v="2"/>
    <n v="1"/>
    <x v="0"/>
    <n v="4"/>
    <x v="0"/>
    <n v="1102"/>
    <n v="1"/>
    <s v="No"/>
    <n v="22"/>
    <n v="4"/>
    <n v="0"/>
    <n v="1"/>
    <n v="3"/>
    <n v="1"/>
    <n v="1"/>
    <n v="0"/>
    <x v="1"/>
    <d v="2020-04-04T00:00:00"/>
    <m/>
    <s v="Work Environment"/>
    <s v="OFFICE"/>
    <n v="0"/>
    <n v="1"/>
    <s v="No"/>
    <s v="Job Portal"/>
    <s v="Contract"/>
    <n v="91"/>
    <n v="57"/>
    <n v="80"/>
    <n v="3"/>
    <n v="0"/>
    <m/>
    <n v="0"/>
    <n v="1"/>
    <s v="Current Employees"/>
    <s v="No"/>
  </r>
  <r>
    <x v="27"/>
    <s v="Travel_Rarely"/>
    <x v="0"/>
    <n v="23"/>
    <x v="0"/>
    <n v="2"/>
    <n v="2"/>
    <x v="6"/>
    <n v="3"/>
    <x v="1"/>
    <n v="5916"/>
    <n v="3"/>
    <s v="Yes"/>
    <n v="13"/>
    <n v="3"/>
    <n v="0"/>
    <n v="8"/>
    <n v="1"/>
    <n v="1"/>
    <n v="0"/>
    <n v="1"/>
    <x v="2"/>
    <s v="18-03-2020"/>
    <m/>
    <s v="Salary"/>
    <s v="WFH"/>
    <n v="0"/>
    <n v="0"/>
    <s v="Yes"/>
    <s v="Recruiter"/>
    <s v="FullTime"/>
    <n v="94"/>
    <n v="76"/>
    <n v="80"/>
    <n v="4"/>
    <n v="0"/>
    <m/>
    <n v="0"/>
    <n v="1"/>
    <s v="Current Employees"/>
    <s v="No"/>
  </r>
  <r>
    <x v="12"/>
    <s v="Travel_Rarely"/>
    <x v="0"/>
    <n v="2"/>
    <x v="0"/>
    <n v="3"/>
    <n v="2"/>
    <x v="6"/>
    <n v="3"/>
    <x v="1"/>
    <n v="6553"/>
    <n v="9"/>
    <s v="No"/>
    <n v="14"/>
    <n v="3"/>
    <n v="0"/>
    <n v="14"/>
    <n v="3"/>
    <n v="1"/>
    <n v="0"/>
    <n v="0"/>
    <x v="1"/>
    <s v="18-05-2020"/>
    <m/>
    <s v="Better Opportunity"/>
    <s v="OFFICE"/>
    <n v="3"/>
    <n v="2"/>
    <s v="Yes"/>
    <s v="Job Event"/>
    <s v="FullTime"/>
    <n v="95"/>
    <n v="87"/>
    <n v="80"/>
    <n v="1"/>
    <n v="0"/>
    <m/>
    <n v="0"/>
    <n v="1"/>
    <s v="Current Employees"/>
    <s v="No"/>
  </r>
  <r>
    <x v="12"/>
    <s v="Travel_Rarely"/>
    <x v="0"/>
    <n v="29"/>
    <x v="0"/>
    <n v="3"/>
    <n v="2"/>
    <x v="7"/>
    <n v="1"/>
    <x v="1"/>
    <n v="6673"/>
    <n v="7"/>
    <s v="Yes"/>
    <n v="19"/>
    <n v="3"/>
    <n v="0"/>
    <n v="17"/>
    <n v="2"/>
    <n v="1"/>
    <n v="0"/>
    <n v="0"/>
    <x v="1"/>
    <d v="2020-05-01T00:00:00"/>
    <m/>
    <s v="Better Opportunity"/>
    <s v="OFFICE"/>
    <n v="3"/>
    <n v="2"/>
    <s v="No"/>
    <s v="Recruiter"/>
    <s v="Part Time"/>
    <n v="96"/>
    <n v="66"/>
    <n v="80"/>
    <n v="4"/>
    <n v="0"/>
    <m/>
    <n v="0"/>
    <n v="1"/>
    <s v="Current Employees"/>
    <s v="No"/>
  </r>
  <r>
    <x v="33"/>
    <s v="Travel_Rarely"/>
    <x v="1"/>
    <n v="6"/>
    <x v="1"/>
    <n v="3"/>
    <n v="3"/>
    <x v="5"/>
    <n v="4"/>
    <x v="0"/>
    <n v="13591"/>
    <n v="3"/>
    <s v="Yes"/>
    <n v="18"/>
    <n v="3"/>
    <n v="0"/>
    <n v="16"/>
    <n v="3"/>
    <n v="1"/>
    <n v="0"/>
    <n v="0"/>
    <x v="2"/>
    <s v="16-05-2020"/>
    <m/>
    <s v="Work Accident"/>
    <s v="WFH"/>
    <n v="5"/>
    <n v="1"/>
    <s v="Yes"/>
    <s v="Walk-in"/>
    <s v="Part Time"/>
    <n v="97"/>
    <n v="55"/>
    <n v="80"/>
    <n v="0"/>
    <n v="0"/>
    <m/>
    <n v="0"/>
    <n v="1"/>
    <s v="Current Employees"/>
    <s v="No"/>
  </r>
  <r>
    <x v="24"/>
    <s v="Travel_Rarely"/>
    <x v="0"/>
    <n v="3"/>
    <x v="0"/>
    <n v="2"/>
    <n v="1"/>
    <x v="1"/>
    <n v="4"/>
    <x v="1"/>
    <n v="2177"/>
    <n v="3"/>
    <s v="No"/>
    <n v="17"/>
    <n v="3"/>
    <n v="1"/>
    <n v="7"/>
    <n v="6"/>
    <n v="1"/>
    <n v="0"/>
    <n v="0"/>
    <x v="2"/>
    <s v="17-05-2020"/>
    <m/>
    <s v="Dept.Head"/>
    <s v="OFFICE"/>
    <n v="4"/>
    <n v="1"/>
    <s v="Yes"/>
    <s v="Recruiter"/>
    <s v="Contract"/>
    <n v="98"/>
    <n v="61"/>
    <n v="80"/>
    <n v="7"/>
    <n v="0"/>
    <m/>
    <n v="0"/>
    <n v="1"/>
    <s v="Current Employees"/>
    <s v="No"/>
  </r>
  <r>
    <x v="33"/>
    <s v="Travel_Rarely"/>
    <x v="0"/>
    <n v="19"/>
    <x v="0"/>
    <n v="3"/>
    <n v="2"/>
    <x v="1"/>
    <n v="1"/>
    <x v="2"/>
    <n v="3072"/>
    <n v="2"/>
    <s v="No"/>
    <n v="16"/>
    <n v="3"/>
    <n v="2"/>
    <n v="17"/>
    <n v="2"/>
    <n v="1"/>
    <n v="0"/>
    <n v="0"/>
    <x v="0"/>
    <s v="31-05-2020"/>
    <m/>
    <s v="Dept.Head"/>
    <s v="WFH"/>
    <n v="0"/>
    <n v="1"/>
    <s v="Yes"/>
    <s v="Job Event"/>
    <s v="Part Time"/>
    <n v="100"/>
    <n v="32"/>
    <n v="80"/>
    <n v="13"/>
    <n v="0"/>
    <m/>
    <n v="0"/>
    <n v="1"/>
    <s v="Current Employees"/>
    <s v="No"/>
  </r>
  <r>
    <x v="0"/>
    <s v="Travel_Frequently"/>
    <x v="0"/>
    <n v="10"/>
    <x v="0"/>
    <n v="3"/>
    <n v="3"/>
    <x v="6"/>
    <n v="3"/>
    <x v="2"/>
    <n v="10048"/>
    <n v="6"/>
    <s v="No"/>
    <n v="11"/>
    <n v="3"/>
    <n v="2"/>
    <n v="17"/>
    <n v="5"/>
    <n v="1"/>
    <n v="0"/>
    <n v="0"/>
    <x v="0"/>
    <s v="29-05-2020"/>
    <m/>
    <s v="Salary"/>
    <s v="WFH"/>
    <n v="0"/>
    <n v="1"/>
    <s v="Yes"/>
    <s v="Recruiter"/>
    <s v="Part Time"/>
    <n v="101"/>
    <n v="52"/>
    <n v="80"/>
    <n v="0"/>
    <n v="0"/>
    <m/>
    <n v="0"/>
    <n v="1"/>
    <s v="Current Employees"/>
    <s v="No"/>
  </r>
  <r>
    <x v="31"/>
    <s v="Travel_Rarely"/>
    <x v="0"/>
    <n v="1"/>
    <x v="0"/>
    <n v="3"/>
    <n v="1"/>
    <x v="1"/>
    <n v="4"/>
    <x v="1"/>
    <n v="2723"/>
    <n v="1"/>
    <s v="No"/>
    <n v="11"/>
    <n v="3"/>
    <n v="0"/>
    <n v="1"/>
    <n v="0"/>
    <n v="1"/>
    <n v="0"/>
    <n v="0"/>
    <x v="3"/>
    <d v="2020-02-04T00:00:00"/>
    <m/>
    <s v="Better Opportunity"/>
    <s v="WFH"/>
    <n v="2"/>
    <n v="1"/>
    <s v="Yes"/>
    <s v="Recruiter"/>
    <s v="Part Time"/>
    <n v="102"/>
    <n v="30"/>
    <n v="80"/>
    <n v="2"/>
    <n v="0"/>
    <m/>
    <n v="0"/>
    <n v="1"/>
    <s v="Current Employees"/>
    <s v="No"/>
  </r>
  <r>
    <x v="17"/>
    <s v="Travel_Frequently"/>
    <x v="0"/>
    <n v="24"/>
    <x v="0"/>
    <n v="3"/>
    <n v="1"/>
    <x v="0"/>
    <n v="3"/>
    <x v="2"/>
    <n v="3161"/>
    <n v="3"/>
    <s v="Yes"/>
    <n v="22"/>
    <n v="4"/>
    <n v="1"/>
    <n v="19"/>
    <n v="0"/>
    <n v="1"/>
    <n v="0"/>
    <n v="0"/>
    <x v="1"/>
    <s v="29-01-2020"/>
    <m/>
    <s v="Work Accident"/>
    <s v="OFFICE"/>
    <n v="0"/>
    <n v="2"/>
    <s v="No"/>
    <s v="Recruiter"/>
    <s v="Contract"/>
    <n v="103"/>
    <n v="80"/>
    <n v="80"/>
    <n v="2"/>
    <n v="0"/>
    <m/>
    <n v="0"/>
    <n v="1"/>
    <s v="Current Employees"/>
    <s v="No"/>
  </r>
  <r>
    <x v="26"/>
    <s v="Travel_Frequently"/>
    <x v="0"/>
    <n v="18"/>
    <x v="0"/>
    <n v="4"/>
    <n v="1"/>
    <x v="0"/>
    <n v="4"/>
    <x v="1"/>
    <n v="3688"/>
    <n v="4"/>
    <s v="No"/>
    <n v="18"/>
    <n v="3"/>
    <n v="2"/>
    <n v="4"/>
    <n v="2"/>
    <n v="1"/>
    <n v="0"/>
    <n v="0"/>
    <x v="3"/>
    <d v="2020-06-01T00:00:00"/>
    <m/>
    <s v="Better Opportunity"/>
    <s v="OFFICE"/>
    <n v="4"/>
    <n v="0"/>
    <s v="No"/>
    <s v="Recruiter"/>
    <s v="FullTime"/>
    <n v="104"/>
    <n v="55"/>
    <n v="80"/>
    <n v="8"/>
    <n v="0"/>
    <m/>
    <n v="0"/>
    <n v="1"/>
    <s v="Current Employees"/>
    <s v="No"/>
  </r>
  <r>
    <x v="25"/>
    <s v="Travel_Rarely"/>
    <x v="1"/>
    <n v="3"/>
    <x v="1"/>
    <n v="3"/>
    <n v="2"/>
    <x v="4"/>
    <n v="3"/>
    <x v="1"/>
    <n v="5238"/>
    <n v="4"/>
    <s v="Yes"/>
    <n v="18"/>
    <n v="3"/>
    <n v="0"/>
    <n v="12"/>
    <n v="3"/>
    <n v="1"/>
    <n v="0"/>
    <n v="0"/>
    <x v="2"/>
    <d v="2020-01-05T00:00:00"/>
    <m/>
    <s v="Work Accident"/>
    <s v="OFFICE"/>
    <n v="0"/>
    <n v="1"/>
    <s v="Yes"/>
    <s v="Job Event"/>
    <s v="FullTime"/>
    <n v="105"/>
    <n v="30"/>
    <n v="80"/>
    <n v="4"/>
    <n v="0"/>
    <m/>
    <n v="0"/>
    <n v="1"/>
    <s v="Current Employees"/>
    <s v="No"/>
  </r>
  <r>
    <x v="34"/>
    <s v="Travel_Rarely"/>
    <x v="0"/>
    <n v="7"/>
    <x v="1"/>
    <n v="3"/>
    <n v="3"/>
    <x v="7"/>
    <n v="1"/>
    <x v="1"/>
    <n v="9985"/>
    <n v="8"/>
    <s v="No"/>
    <n v="16"/>
    <n v="3"/>
    <n v="1"/>
    <n v="10"/>
    <n v="1"/>
    <n v="1"/>
    <n v="0"/>
    <n v="0"/>
    <x v="0"/>
    <s v="15-04-2020"/>
    <m/>
    <s v="Dept.Head"/>
    <s v="WFH"/>
    <n v="1"/>
    <n v="3"/>
    <s v="No"/>
    <s v="Recruiter"/>
    <s v="FullTime"/>
    <n v="106"/>
    <n v="70"/>
    <n v="80"/>
    <n v="0"/>
    <n v="0"/>
    <m/>
    <n v="0"/>
    <n v="1"/>
    <s v="Current Employees"/>
    <s v="No"/>
  </r>
  <r>
    <x v="22"/>
    <s v="Travel_Rarely"/>
    <x v="0"/>
    <n v="23"/>
    <x v="1"/>
    <n v="3"/>
    <n v="4"/>
    <x v="2"/>
    <n v="4"/>
    <x v="0"/>
    <n v="15992"/>
    <n v="2"/>
    <s v="No"/>
    <n v="14"/>
    <n v="3"/>
    <n v="0"/>
    <n v="16"/>
    <n v="2"/>
    <n v="1"/>
    <n v="0"/>
    <n v="0"/>
    <x v="0"/>
    <d v="2020-11-01T00:00:00"/>
    <m/>
    <s v="Work Accident"/>
    <s v="WFH"/>
    <n v="1"/>
    <n v="0"/>
    <s v="No"/>
    <s v="Job Event"/>
    <s v="FullTime"/>
    <n v="107"/>
    <n v="79"/>
    <n v="80"/>
    <n v="11"/>
    <n v="0"/>
    <m/>
    <n v="0"/>
    <n v="1"/>
    <s v="Current Employees"/>
    <s v="No"/>
  </r>
  <r>
    <x v="22"/>
    <s v="Travel_Rarely"/>
    <x v="0"/>
    <n v="2"/>
    <x v="0"/>
    <n v="2"/>
    <n v="2"/>
    <x v="7"/>
    <n v="4"/>
    <x v="0"/>
    <n v="6781"/>
    <n v="3"/>
    <s v="No"/>
    <n v="23"/>
    <n v="4"/>
    <n v="0"/>
    <n v="14"/>
    <n v="6"/>
    <n v="1"/>
    <n v="0"/>
    <n v="0"/>
    <x v="3"/>
    <s v="26-04-2020"/>
    <m/>
    <s v="Work Accident"/>
    <s v="WFH"/>
    <n v="3"/>
    <n v="0"/>
    <s v="Yes"/>
    <s v="Job Event"/>
    <s v="Contract"/>
    <n v="110"/>
    <n v="94"/>
    <n v="80"/>
    <n v="2"/>
    <n v="0"/>
    <m/>
    <n v="0"/>
    <n v="1"/>
    <s v="Current Employees"/>
    <s v="No"/>
  </r>
  <r>
    <x v="26"/>
    <s v="Non-Travel"/>
    <x v="1"/>
    <n v="1"/>
    <x v="1"/>
    <n v="3"/>
    <n v="2"/>
    <x v="4"/>
    <n v="4"/>
    <x v="0"/>
    <n v="6653"/>
    <n v="4"/>
    <s v="No"/>
    <n v="15"/>
    <n v="3"/>
    <n v="0"/>
    <n v="7"/>
    <n v="6"/>
    <n v="1"/>
    <n v="0"/>
    <n v="0"/>
    <x v="1"/>
    <s v="26-04-2020"/>
    <m/>
    <s v="Work Environment"/>
    <s v="WFH"/>
    <n v="3"/>
    <n v="0"/>
    <s v="No"/>
    <s v="Recruiter"/>
    <s v="Contract"/>
    <n v="112"/>
    <n v="49"/>
    <n v="80"/>
    <n v="4"/>
    <n v="0"/>
    <m/>
    <n v="0"/>
    <n v="1"/>
    <s v="Current Employees"/>
    <s v="No"/>
  </r>
  <r>
    <x v="20"/>
    <s v="Travel_Rarely"/>
    <x v="1"/>
    <n v="5"/>
    <x v="1"/>
    <n v="3"/>
    <n v="1"/>
    <x v="3"/>
    <n v="3"/>
    <x v="0"/>
    <n v="2851"/>
    <n v="1"/>
    <s v="Yes"/>
    <n v="13"/>
    <n v="3"/>
    <n v="0"/>
    <n v="1"/>
    <n v="2"/>
    <n v="1"/>
    <n v="0"/>
    <n v="0"/>
    <x v="2"/>
    <s v="23-02-2020"/>
    <m/>
    <s v="Work Environment"/>
    <s v="OFFICE"/>
    <n v="0"/>
    <n v="1"/>
    <s v="No"/>
    <s v="Recruiter"/>
    <s v="Contract"/>
    <n v="113"/>
    <n v="62"/>
    <n v="80"/>
    <n v="0"/>
    <n v="0"/>
    <m/>
    <n v="0"/>
    <n v="1"/>
    <s v="Current Employees"/>
    <s v="No"/>
  </r>
  <r>
    <x v="35"/>
    <s v="Non-Travel"/>
    <x v="0"/>
    <n v="7"/>
    <x v="1"/>
    <n v="3"/>
    <n v="2"/>
    <x v="6"/>
    <n v="3"/>
    <x v="1"/>
    <n v="5258"/>
    <n v="2"/>
    <s v="No"/>
    <n v="14"/>
    <n v="3"/>
    <n v="0"/>
    <n v="7"/>
    <n v="2"/>
    <n v="1"/>
    <n v="0"/>
    <n v="0"/>
    <x v="0"/>
    <s v="21-05-2020"/>
    <m/>
    <s v="Better Opportunity"/>
    <s v="WFH"/>
    <n v="1"/>
    <n v="3"/>
    <s v="No"/>
    <s v="Walk-in"/>
    <s v="Contract"/>
    <n v="116"/>
    <n v="96"/>
    <n v="80"/>
    <n v="2"/>
    <n v="0"/>
    <m/>
    <n v="0"/>
    <n v="1"/>
    <s v="Current Employees"/>
    <s v="No"/>
  </r>
  <r>
    <x v="1"/>
    <s v="Travel_Rarely"/>
    <x v="1"/>
    <n v="12"/>
    <x v="1"/>
    <n v="4"/>
    <n v="1"/>
    <x v="3"/>
    <n v="2"/>
    <x v="0"/>
    <n v="2716"/>
    <n v="1"/>
    <s v="No"/>
    <n v="15"/>
    <n v="3"/>
    <n v="0"/>
    <n v="1"/>
    <n v="0"/>
    <n v="1"/>
    <n v="0"/>
    <n v="0"/>
    <x v="3"/>
    <s v="19-05-2020"/>
    <m/>
    <s v="Salary"/>
    <s v="WFH"/>
    <n v="1"/>
    <n v="1"/>
    <s v="Yes"/>
    <s v="Recruiter"/>
    <s v="Part Time"/>
    <n v="117"/>
    <n v="99"/>
    <n v="80"/>
    <n v="10"/>
    <n v="0"/>
    <m/>
    <n v="0"/>
    <n v="1"/>
    <s v="Current Employees"/>
    <s v="No"/>
  </r>
  <r>
    <x v="27"/>
    <s v="Travel_Rarely"/>
    <x v="0"/>
    <n v="9"/>
    <x v="0"/>
    <n v="2"/>
    <n v="2"/>
    <x v="7"/>
    <n v="2"/>
    <x v="0"/>
    <n v="6540"/>
    <n v="9"/>
    <s v="No"/>
    <n v="19"/>
    <n v="3"/>
    <n v="0"/>
    <n v="10"/>
    <n v="5"/>
    <n v="1"/>
    <n v="0"/>
    <n v="0"/>
    <x v="1"/>
    <d v="2020-12-04T00:00:00"/>
    <m/>
    <s v="Work Accident"/>
    <s v="OFFICE"/>
    <n v="1"/>
    <n v="2"/>
    <s v="No"/>
    <s v="Job Event"/>
    <s v="FullTime"/>
    <n v="118"/>
    <n v="64"/>
    <n v="80"/>
    <n v="8"/>
    <n v="1"/>
    <n v="1"/>
    <n v="1"/>
    <n v="0"/>
    <s v="Ex-Employees"/>
    <s v="Yes"/>
  </r>
  <r>
    <x v="14"/>
    <s v="Travel_Rarely"/>
    <x v="1"/>
    <n v="2"/>
    <x v="0"/>
    <n v="3"/>
    <n v="1"/>
    <x v="3"/>
    <n v="2"/>
    <x v="1"/>
    <n v="2476"/>
    <n v="1"/>
    <s v="No"/>
    <n v="18"/>
    <n v="3"/>
    <n v="1"/>
    <n v="1"/>
    <n v="3"/>
    <n v="1"/>
    <n v="0"/>
    <n v="0"/>
    <x v="2"/>
    <d v="2020-10-02T00:00:00"/>
    <m/>
    <s v="Dept.Head"/>
    <s v="WFH"/>
    <n v="4"/>
    <n v="2"/>
    <s v="No"/>
    <s v="Job Event"/>
    <s v="FullTime"/>
    <n v="119"/>
    <n v="78"/>
    <n v="80"/>
    <n v="3"/>
    <n v="0"/>
    <m/>
    <n v="0"/>
    <n v="1"/>
    <s v="Current Employees"/>
    <s v="No"/>
  </r>
  <r>
    <x v="14"/>
    <s v="Travel_Frequently"/>
    <x v="0"/>
    <n v="4"/>
    <x v="0"/>
    <n v="3"/>
    <n v="1"/>
    <x v="1"/>
    <n v="4"/>
    <x v="0"/>
    <n v="2285"/>
    <n v="9"/>
    <s v="Yes"/>
    <n v="23"/>
    <n v="4"/>
    <n v="0"/>
    <n v="3"/>
    <n v="4"/>
    <n v="1"/>
    <n v="0"/>
    <n v="0"/>
    <x v="3"/>
    <d v="2020-07-02T00:00:00"/>
    <m/>
    <s v="Work Accident"/>
    <s v="WFH"/>
    <n v="4"/>
    <n v="1"/>
    <s v="Yes"/>
    <s v="Job Event"/>
    <s v="FullTime"/>
    <n v="120"/>
    <n v="71"/>
    <n v="80"/>
    <n v="7"/>
    <n v="0"/>
    <m/>
    <n v="0"/>
    <n v="1"/>
    <s v="Current Employees"/>
    <s v="No"/>
  </r>
  <r>
    <x v="0"/>
    <s v="Travel_Rarely"/>
    <x v="0"/>
    <n v="10"/>
    <x v="0"/>
    <n v="3"/>
    <n v="2"/>
    <x v="6"/>
    <n v="2"/>
    <x v="0"/>
    <n v="4197"/>
    <n v="2"/>
    <s v="Yes"/>
    <n v="12"/>
    <n v="3"/>
    <n v="0"/>
    <n v="18"/>
    <n v="2"/>
    <n v="1"/>
    <n v="0"/>
    <n v="1"/>
    <x v="0"/>
    <d v="2020-12-05T00:00:00"/>
    <m/>
    <s v="Work Accident"/>
    <s v="OFFICE"/>
    <n v="3"/>
    <n v="3"/>
    <s v="No"/>
    <s v="Job Event"/>
    <s v="FullTime"/>
    <n v="121"/>
    <n v="63"/>
    <n v="80"/>
    <n v="8"/>
    <n v="0"/>
    <m/>
    <n v="0"/>
    <n v="1"/>
    <s v="Current Employees"/>
    <s v="No"/>
  </r>
  <r>
    <x v="18"/>
    <s v="Travel_Rarely"/>
    <x v="0"/>
    <n v="2"/>
    <x v="1"/>
    <n v="2"/>
    <n v="2"/>
    <x v="0"/>
    <n v="3"/>
    <x v="1"/>
    <n v="3448"/>
    <n v="6"/>
    <s v="No"/>
    <n v="22"/>
    <n v="4"/>
    <n v="1"/>
    <n v="20"/>
    <n v="3"/>
    <n v="1"/>
    <n v="0"/>
    <n v="0"/>
    <x v="0"/>
    <d v="2020-02-03T00:00:00"/>
    <m/>
    <s v="Salary"/>
    <s v="WFH"/>
    <n v="5"/>
    <n v="1"/>
    <s v="No"/>
    <s v="Recruiter"/>
    <s v="Contract"/>
    <n v="124"/>
    <n v="40"/>
    <n v="80"/>
    <n v="9"/>
    <n v="0"/>
    <m/>
    <n v="0"/>
    <n v="1"/>
    <s v="Current Employees"/>
    <s v="No"/>
  </r>
  <r>
    <x v="12"/>
    <s v="Travel_Frequently"/>
    <x v="0"/>
    <n v="2"/>
    <x v="0"/>
    <n v="3"/>
    <n v="1"/>
    <x v="0"/>
    <n v="4"/>
    <x v="1"/>
    <n v="1702"/>
    <n v="1"/>
    <s v="Yes"/>
    <n v="23"/>
    <n v="4"/>
    <n v="1"/>
    <n v="1"/>
    <n v="3"/>
    <n v="1"/>
    <n v="0"/>
    <n v="0"/>
    <x v="3"/>
    <s v="21-04-2020"/>
    <m/>
    <s v="Salary"/>
    <s v="WFH"/>
    <n v="5"/>
    <n v="2"/>
    <s v="No"/>
    <s v="Recruiter"/>
    <s v="FullTime"/>
    <n v="125"/>
    <n v="87"/>
    <n v="80"/>
    <n v="8"/>
    <n v="0"/>
    <m/>
    <n v="0"/>
    <n v="1"/>
    <s v="Current Employees"/>
    <s v="No"/>
  </r>
  <r>
    <x v="5"/>
    <s v="Travel_Rarely"/>
    <x v="2"/>
    <n v="2"/>
    <x v="0"/>
    <n v="2"/>
    <n v="1"/>
    <x v="8"/>
    <n v="4"/>
    <x v="0"/>
    <n v="2564"/>
    <n v="1"/>
    <s v="No"/>
    <n v="12"/>
    <n v="3"/>
    <n v="0"/>
    <n v="1"/>
    <n v="3"/>
    <n v="1"/>
    <n v="0"/>
    <n v="0"/>
    <x v="1"/>
    <s v="21-01-2020"/>
    <m/>
    <s v="Work Accident"/>
    <s v="WFH"/>
    <n v="0"/>
    <n v="0"/>
    <s v="Yes"/>
    <s v="Walk-in"/>
    <s v="FullTime"/>
    <n v="126"/>
    <n v="60"/>
    <n v="80"/>
    <n v="3"/>
    <n v="0"/>
    <m/>
    <n v="0"/>
    <n v="1"/>
    <s v="Current Employees"/>
    <s v="No"/>
  </r>
  <r>
    <x v="36"/>
    <s v="Travel_Rarely"/>
    <x v="1"/>
    <n v="29"/>
    <x v="0"/>
    <n v="2"/>
    <n v="4"/>
    <x v="5"/>
    <n v="4"/>
    <x v="2"/>
    <n v="14118"/>
    <n v="3"/>
    <s v="No"/>
    <n v="12"/>
    <n v="3"/>
    <n v="1"/>
    <n v="32"/>
    <n v="3"/>
    <n v="1"/>
    <n v="0"/>
    <n v="0"/>
    <x v="1"/>
    <s v="22-02-2020"/>
    <m/>
    <s v="Work Accident"/>
    <s v="WFH"/>
    <n v="2"/>
    <n v="3"/>
    <s v="No"/>
    <s v="Walk-in"/>
    <s v="Contract"/>
    <n v="128"/>
    <n v="33"/>
    <n v="80"/>
    <n v="2"/>
    <n v="0"/>
    <m/>
    <n v="0"/>
    <n v="1"/>
    <s v="Current Employees"/>
    <s v="No"/>
  </r>
  <r>
    <x v="37"/>
    <s v="Travel_Rarely"/>
    <x v="0"/>
    <n v="8"/>
    <x v="1"/>
    <n v="3"/>
    <n v="2"/>
    <x v="0"/>
    <n v="3"/>
    <x v="0"/>
    <n v="3780"/>
    <n v="7"/>
    <s v="No"/>
    <n v="11"/>
    <n v="3"/>
    <n v="0"/>
    <n v="19"/>
    <n v="3"/>
    <n v="1"/>
    <n v="0"/>
    <n v="0"/>
    <x v="0"/>
    <s v="17-02-2020"/>
    <m/>
    <s v="Better Opportunity"/>
    <s v="WFH"/>
    <n v="0"/>
    <n v="3"/>
    <s v="No"/>
    <s v="Job Event"/>
    <s v="FullTime"/>
    <n v="129"/>
    <n v="43"/>
    <n v="80"/>
    <n v="4"/>
    <n v="0"/>
    <m/>
    <n v="0"/>
    <n v="1"/>
    <s v="Current Employees"/>
    <s v="No"/>
  </r>
  <r>
    <x v="28"/>
    <s v="Travel_Frequently"/>
    <x v="0"/>
    <n v="20"/>
    <x v="0"/>
    <n v="3"/>
    <n v="3"/>
    <x v="7"/>
    <n v="3"/>
    <x v="1"/>
    <n v="9824"/>
    <n v="3"/>
    <s v="No"/>
    <n v="12"/>
    <n v="3"/>
    <n v="0"/>
    <n v="12"/>
    <n v="2"/>
    <n v="1"/>
    <n v="0"/>
    <n v="0"/>
    <x v="0"/>
    <d v="2020-12-04T00:00:00"/>
    <m/>
    <s v="Salary"/>
    <s v="WFH"/>
    <n v="4"/>
    <n v="0"/>
    <s v="Yes"/>
    <s v="Job Portal"/>
    <s v="FullTime"/>
    <n v="131"/>
    <n v="37"/>
    <n v="80"/>
    <n v="10"/>
    <n v="0"/>
    <m/>
    <n v="0"/>
    <n v="1"/>
    <s v="Current Employees"/>
    <s v="No"/>
  </r>
  <r>
    <x v="18"/>
    <s v="Non-Travel"/>
    <x v="1"/>
    <n v="28"/>
    <x v="0"/>
    <n v="1"/>
    <n v="3"/>
    <x v="4"/>
    <n v="1"/>
    <x v="2"/>
    <n v="10932"/>
    <n v="3"/>
    <s v="No"/>
    <n v="15"/>
    <n v="3"/>
    <n v="1"/>
    <n v="20"/>
    <n v="2"/>
    <n v="1"/>
    <n v="0"/>
    <n v="1"/>
    <x v="2"/>
    <s v="26-06-2020"/>
    <m/>
    <s v="Dept.Head"/>
    <s v="WFH"/>
    <n v="3"/>
    <n v="3"/>
    <s v="No"/>
    <s v="Walk-in"/>
    <s v="FullTime"/>
    <n v="132"/>
    <n v="67"/>
    <n v="80"/>
    <n v="2"/>
    <n v="0"/>
    <m/>
    <n v="0"/>
    <n v="1"/>
    <s v="Current Employees"/>
    <s v="No"/>
  </r>
  <r>
    <x v="11"/>
    <s v="Travel_Rarely"/>
    <x v="0"/>
    <n v="24"/>
    <x v="0"/>
    <n v="1"/>
    <n v="1"/>
    <x v="0"/>
    <n v="4"/>
    <x v="0"/>
    <n v="2340"/>
    <n v="1"/>
    <s v="Yes"/>
    <n v="18"/>
    <n v="3"/>
    <n v="0"/>
    <n v="1"/>
    <n v="3"/>
    <n v="1"/>
    <n v="0"/>
    <n v="0"/>
    <x v="3"/>
    <s v="30-04-2020"/>
    <m/>
    <s v="Salary"/>
    <s v="WFH"/>
    <n v="2"/>
    <n v="2"/>
    <s v="No"/>
    <s v="Job Portal"/>
    <s v="Contract"/>
    <n v="133"/>
    <n v="63"/>
    <n v="80"/>
    <n v="2"/>
    <n v="1"/>
    <n v="1"/>
    <n v="1"/>
    <n v="0"/>
    <s v="Ex-Employees"/>
    <s v="Yes"/>
  </r>
  <r>
    <x v="12"/>
    <s v="Travel_Rarely"/>
    <x v="0"/>
    <n v="10"/>
    <x v="1"/>
    <n v="3"/>
    <n v="2"/>
    <x v="7"/>
    <n v="3"/>
    <x v="1"/>
    <n v="9824"/>
    <n v="3"/>
    <s v="No"/>
    <n v="19"/>
    <n v="3"/>
    <n v="1"/>
    <n v="18"/>
    <n v="4"/>
    <n v="1"/>
    <n v="0"/>
    <n v="0"/>
    <x v="3"/>
    <d v="2020-04-03T00:00:00"/>
    <m/>
    <s v="Salary"/>
    <s v="WFH"/>
    <n v="0"/>
    <n v="3"/>
    <s v="No"/>
    <s v="Walk-in"/>
    <s v="Contract"/>
    <n v="134"/>
    <n v="71"/>
    <n v="80"/>
    <n v="0"/>
    <n v="0"/>
    <m/>
    <n v="0"/>
    <n v="1"/>
    <s v="Current Employees"/>
    <s v="No"/>
  </r>
  <r>
    <x v="19"/>
    <s v="Travel_Rarely"/>
    <x v="0"/>
    <n v="17"/>
    <x v="0"/>
    <n v="2"/>
    <n v="1"/>
    <x v="0"/>
    <n v="2"/>
    <x v="1"/>
    <n v="2127"/>
    <n v="1"/>
    <s v="No"/>
    <n v="21"/>
    <n v="4"/>
    <n v="1"/>
    <n v="1"/>
    <n v="2"/>
    <n v="1"/>
    <n v="0"/>
    <n v="0"/>
    <x v="2"/>
    <s v="25-02-2020"/>
    <m/>
    <s v="Work Accident"/>
    <s v="OFFICE"/>
    <n v="5"/>
    <n v="3"/>
    <s v="Yes"/>
    <s v="Job Portal"/>
    <s v="FullTime"/>
    <n v="137"/>
    <n v="66"/>
    <n v="80"/>
    <n v="0"/>
    <n v="1"/>
    <n v="1"/>
    <n v="1"/>
    <n v="0"/>
    <s v="Ex-Employees"/>
    <s v="Yes"/>
  </r>
  <r>
    <x v="14"/>
    <s v="Travel_Frequently"/>
    <x v="1"/>
    <n v="12"/>
    <x v="0"/>
    <n v="2"/>
    <n v="1"/>
    <x v="3"/>
    <n v="1"/>
    <x v="1"/>
    <n v="2033"/>
    <n v="1"/>
    <s v="No"/>
    <n v="18"/>
    <n v="3"/>
    <n v="1"/>
    <n v="1"/>
    <n v="2"/>
    <n v="1"/>
    <n v="0"/>
    <n v="0"/>
    <x v="0"/>
    <s v="21-01-2020"/>
    <m/>
    <s v="Salary"/>
    <s v="WFH"/>
    <n v="4"/>
    <n v="3"/>
    <s v="Yes"/>
    <s v="Job Event"/>
    <s v="Contract"/>
    <n v="138"/>
    <n v="41"/>
    <n v="80"/>
    <n v="13"/>
    <n v="0"/>
    <m/>
    <n v="0"/>
    <n v="1"/>
    <s v="Current Employees"/>
    <s v="No"/>
  </r>
  <r>
    <x v="30"/>
    <s v="Travel_Rarely"/>
    <x v="0"/>
    <n v="1"/>
    <x v="1"/>
    <n v="2"/>
    <n v="1"/>
    <x v="1"/>
    <n v="2"/>
    <x v="0"/>
    <n v="2836"/>
    <n v="1"/>
    <s v="No"/>
    <n v="13"/>
    <n v="3"/>
    <n v="0"/>
    <n v="1"/>
    <n v="0"/>
    <n v="1"/>
    <n v="0"/>
    <n v="0"/>
    <x v="3"/>
    <d v="2020-08-05T00:00:00"/>
    <m/>
    <s v="Salary"/>
    <s v="WFH"/>
    <n v="0"/>
    <n v="2"/>
    <s v="No"/>
    <s v="Job Portal"/>
    <s v="Part Time"/>
    <n v="139"/>
    <n v="100"/>
    <n v="80"/>
    <n v="0"/>
    <n v="0"/>
    <m/>
    <n v="0"/>
    <n v="1"/>
    <s v="Current Employees"/>
    <s v="No"/>
  </r>
  <r>
    <x v="34"/>
    <s v="Travel_Rarely"/>
    <x v="0"/>
    <n v="6"/>
    <x v="0"/>
    <n v="2"/>
    <n v="4"/>
    <x v="2"/>
    <n v="4"/>
    <x v="2"/>
    <n v="16627"/>
    <n v="4"/>
    <s v="Yes"/>
    <n v="14"/>
    <n v="3"/>
    <n v="1"/>
    <n v="21"/>
    <n v="3"/>
    <n v="1"/>
    <n v="0"/>
    <n v="0"/>
    <x v="3"/>
    <s v="13-02-2020"/>
    <m/>
    <s v="Dept.Head"/>
    <s v="WFH"/>
    <n v="4"/>
    <n v="3"/>
    <s v="No"/>
    <s v="Job Event"/>
    <s v="Contract"/>
    <n v="140"/>
    <n v="32"/>
    <n v="80"/>
    <n v="2"/>
    <n v="0"/>
    <m/>
    <n v="0"/>
    <n v="1"/>
    <s v="Current Employees"/>
    <s v="No"/>
  </r>
  <r>
    <x v="14"/>
    <s v="Travel_Frequently"/>
    <x v="0"/>
    <n v="3"/>
    <x v="1"/>
    <n v="3"/>
    <n v="1"/>
    <x v="1"/>
    <n v="3"/>
    <x v="2"/>
    <n v="2083"/>
    <n v="1"/>
    <s v="No"/>
    <n v="20"/>
    <n v="4"/>
    <n v="1"/>
    <n v="1"/>
    <n v="2"/>
    <n v="1"/>
    <n v="0"/>
    <n v="0"/>
    <x v="0"/>
    <s v="28-05-2020"/>
    <m/>
    <s v="Work Environment"/>
    <s v="WFH"/>
    <n v="4"/>
    <n v="0"/>
    <s v="Yes"/>
    <s v="Walk-in"/>
    <s v="FullTime"/>
    <n v="141"/>
    <n v="73"/>
    <n v="80"/>
    <n v="3"/>
    <n v="0"/>
    <m/>
    <n v="0"/>
    <n v="1"/>
    <s v="Current Employees"/>
    <s v="No"/>
  </r>
  <r>
    <x v="2"/>
    <s v="Travel_Frequently"/>
    <x v="1"/>
    <n v="26"/>
    <x v="1"/>
    <n v="3"/>
    <n v="2"/>
    <x v="4"/>
    <n v="1"/>
    <x v="1"/>
    <n v="4286"/>
    <n v="2"/>
    <s v="No"/>
    <n v="14"/>
    <n v="3"/>
    <n v="2"/>
    <n v="5"/>
    <n v="4"/>
    <n v="1"/>
    <n v="0"/>
    <n v="0"/>
    <x v="1"/>
    <s v="30-01-2020"/>
    <m/>
    <s v="Dept.Head"/>
    <s v="OFFICE"/>
    <n v="0"/>
    <n v="3"/>
    <s v="Yes"/>
    <s v="Job Portal"/>
    <s v="Contract"/>
    <n v="142"/>
    <n v="46"/>
    <n v="80"/>
    <n v="4"/>
    <n v="1"/>
    <n v="1"/>
    <n v="1"/>
    <n v="0"/>
    <s v="Ex-Employees"/>
    <s v="Yes"/>
  </r>
  <r>
    <x v="30"/>
    <s v="Travel_Rarely"/>
    <x v="0"/>
    <n v="10"/>
    <x v="0"/>
    <n v="3"/>
    <n v="1"/>
    <x v="1"/>
    <n v="3"/>
    <x v="0"/>
    <n v="1009"/>
    <n v="1"/>
    <s v="Yes"/>
    <n v="11"/>
    <n v="3"/>
    <n v="0"/>
    <n v="1"/>
    <n v="5"/>
    <n v="1"/>
    <n v="1"/>
    <n v="1"/>
    <x v="0"/>
    <d v="2020-09-06T00:00:00"/>
    <m/>
    <s v="Salary"/>
    <s v="OFFICE"/>
    <n v="1"/>
    <n v="3"/>
    <s v="No"/>
    <s v="Job Portal"/>
    <s v="FullTime"/>
    <n v="143"/>
    <n v="64"/>
    <n v="80"/>
    <n v="2"/>
    <n v="0"/>
    <m/>
    <n v="0"/>
    <n v="1"/>
    <s v="Current Employees"/>
    <s v="No"/>
  </r>
  <r>
    <x v="27"/>
    <s v="Non-Travel"/>
    <x v="0"/>
    <n v="3"/>
    <x v="0"/>
    <n v="2"/>
    <n v="1"/>
    <x v="0"/>
    <n v="3"/>
    <x v="1"/>
    <n v="1281"/>
    <n v="1"/>
    <s v="No"/>
    <n v="18"/>
    <n v="3"/>
    <n v="2"/>
    <n v="1"/>
    <n v="3"/>
    <n v="1"/>
    <n v="0"/>
    <n v="0"/>
    <x v="0"/>
    <s v="24-05-2020"/>
    <m/>
    <s v="Salary"/>
    <s v="WFH"/>
    <n v="0"/>
    <n v="1"/>
    <s v="Yes"/>
    <s v="Job Event"/>
    <s v="FullTime"/>
    <n v="144"/>
    <n v="59"/>
    <n v="80"/>
    <n v="0"/>
    <n v="0"/>
    <m/>
    <n v="0"/>
    <n v="1"/>
    <s v="Current Employees"/>
    <s v="No"/>
  </r>
  <r>
    <x v="0"/>
    <s v="Travel_Rarely"/>
    <x v="0"/>
    <n v="10"/>
    <x v="0"/>
    <n v="4"/>
    <n v="1"/>
    <x v="1"/>
    <n v="4"/>
    <x v="0"/>
    <n v="4680"/>
    <n v="3"/>
    <s v="No"/>
    <n v="17"/>
    <n v="3"/>
    <n v="0"/>
    <n v="4"/>
    <n v="2"/>
    <n v="1"/>
    <n v="0"/>
    <n v="0"/>
    <x v="0"/>
    <d v="2020-04-04T00:00:00"/>
    <m/>
    <s v="Work Accident"/>
    <s v="WFH"/>
    <n v="5"/>
    <n v="3"/>
    <s v="Yes"/>
    <s v="Recruiter"/>
    <s v="FullTime"/>
    <n v="145"/>
    <n v="30"/>
    <n v="80"/>
    <n v="12"/>
    <n v="0"/>
    <m/>
    <n v="0"/>
    <n v="1"/>
    <s v="Current Employees"/>
    <s v="No"/>
  </r>
  <r>
    <x v="12"/>
    <s v="Travel_Rarely"/>
    <x v="0"/>
    <n v="1"/>
    <x v="1"/>
    <n v="3"/>
    <n v="3"/>
    <x v="6"/>
    <n v="3"/>
    <x v="0"/>
    <n v="7861"/>
    <n v="4"/>
    <s v="Yes"/>
    <n v="14"/>
    <n v="3"/>
    <n v="0"/>
    <n v="10"/>
    <n v="4"/>
    <n v="1"/>
    <n v="0"/>
    <n v="0"/>
    <x v="1"/>
    <d v="2020-12-06T00:00:00"/>
    <m/>
    <s v="Better Opportunity"/>
    <s v="OFFICE"/>
    <n v="4"/>
    <n v="2"/>
    <s v="No"/>
    <s v="Job Event"/>
    <s v="Contract"/>
    <n v="147"/>
    <n v="66"/>
    <n v="80"/>
    <n v="7"/>
    <n v="1"/>
    <n v="1"/>
    <n v="1"/>
    <n v="0"/>
    <s v="Ex-Employees"/>
    <s v="Yes"/>
  </r>
  <r>
    <x v="7"/>
    <s v="Travel_Rarely"/>
    <x v="1"/>
    <n v="10"/>
    <x v="0"/>
    <n v="3"/>
    <n v="1"/>
    <x v="3"/>
    <n v="3"/>
    <x v="0"/>
    <n v="2642"/>
    <n v="1"/>
    <s v="No"/>
    <n v="11"/>
    <n v="3"/>
    <n v="0"/>
    <n v="1"/>
    <n v="6"/>
    <n v="1"/>
    <n v="0"/>
    <n v="0"/>
    <x v="3"/>
    <s v="14-04-2020"/>
    <m/>
    <s v="Salary"/>
    <s v="WFH"/>
    <n v="5"/>
    <n v="2"/>
    <s v="No"/>
    <s v="Job Event"/>
    <s v="Contract"/>
    <n v="148"/>
    <n v="30"/>
    <n v="80"/>
    <n v="3"/>
    <n v="0"/>
    <m/>
    <n v="0"/>
    <n v="1"/>
    <s v="Current Employees"/>
    <s v="No"/>
  </r>
  <r>
    <x v="27"/>
    <s v="Non-Travel"/>
    <x v="0"/>
    <n v="2"/>
    <x v="1"/>
    <n v="3"/>
    <n v="2"/>
    <x v="7"/>
    <n v="1"/>
    <x v="2"/>
    <n v="5093"/>
    <n v="2"/>
    <s v="No"/>
    <n v="11"/>
    <n v="3"/>
    <n v="1"/>
    <n v="16"/>
    <n v="2"/>
    <n v="1"/>
    <n v="0"/>
    <n v="0"/>
    <x v="1"/>
    <s v="30-06-2020"/>
    <m/>
    <s v="Work Accident"/>
    <s v="WFH"/>
    <n v="0"/>
    <n v="0"/>
    <s v="No"/>
    <s v="Walk-in"/>
    <s v="Part Time"/>
    <n v="150"/>
    <n v="52"/>
    <n v="80"/>
    <n v="3"/>
    <n v="0"/>
    <m/>
    <n v="0"/>
    <n v="1"/>
    <s v="Current Employees"/>
    <s v="No"/>
  </r>
  <r>
    <x v="12"/>
    <s v="Travel_Rarely"/>
    <x v="0"/>
    <n v="2"/>
    <x v="0"/>
    <n v="3"/>
    <n v="1"/>
    <x v="1"/>
    <n v="3"/>
    <x v="1"/>
    <n v="3057"/>
    <n v="6"/>
    <s v="Yes"/>
    <n v="13"/>
    <n v="3"/>
    <n v="1"/>
    <n v="6"/>
    <n v="0"/>
    <n v="1"/>
    <n v="0"/>
    <n v="1"/>
    <x v="1"/>
    <d v="2020-04-04T00:00:00"/>
    <m/>
    <s v="Better Opportunity"/>
    <s v="OFFICE"/>
    <n v="1"/>
    <n v="0"/>
    <s v="No"/>
    <s v="Walk-in"/>
    <s v="FullTime"/>
    <n v="151"/>
    <n v="45"/>
    <n v="80"/>
    <n v="0"/>
    <n v="0"/>
    <m/>
    <n v="0"/>
    <n v="1"/>
    <s v="Current Employees"/>
    <s v="No"/>
  </r>
  <r>
    <x v="19"/>
    <s v="Non-Travel"/>
    <x v="0"/>
    <n v="9"/>
    <x v="0"/>
    <n v="2"/>
    <n v="1"/>
    <x v="0"/>
    <n v="2"/>
    <x v="2"/>
    <n v="2694"/>
    <n v="1"/>
    <s v="No"/>
    <n v="11"/>
    <n v="3"/>
    <n v="3"/>
    <n v="1"/>
    <n v="4"/>
    <n v="1"/>
    <n v="0"/>
    <n v="0"/>
    <x v="0"/>
    <d v="2020-10-06T00:00:00"/>
    <m/>
    <s v="Work Environment"/>
    <s v="OFFICE"/>
    <n v="3"/>
    <n v="2"/>
    <s v="No"/>
    <s v="Job Event"/>
    <s v="Part Time"/>
    <n v="152"/>
    <n v="87"/>
    <n v="80"/>
    <n v="3"/>
    <n v="0"/>
    <m/>
    <n v="0"/>
    <n v="1"/>
    <s v="Current Employees"/>
    <s v="No"/>
  </r>
  <r>
    <x v="7"/>
    <s v="Travel_Rarely"/>
    <x v="0"/>
    <n v="1"/>
    <x v="1"/>
    <n v="2"/>
    <n v="1"/>
    <x v="0"/>
    <n v="1"/>
    <x v="1"/>
    <n v="2319"/>
    <n v="1"/>
    <s v="Yes"/>
    <n v="11"/>
    <n v="3"/>
    <n v="1"/>
    <n v="1"/>
    <n v="1"/>
    <n v="1"/>
    <n v="0"/>
    <n v="0"/>
    <x v="1"/>
    <s v="13-04-2020"/>
    <m/>
    <s v="Salary"/>
    <s v="OFFICE"/>
    <n v="3"/>
    <n v="1"/>
    <s v="No"/>
    <s v="Walk-in"/>
    <s v="Part Time"/>
    <n v="153"/>
    <n v="45"/>
    <n v="80"/>
    <n v="10"/>
    <n v="0"/>
    <m/>
    <n v="0"/>
    <n v="1"/>
    <s v="Current Employees"/>
    <s v="No"/>
  </r>
  <r>
    <x v="18"/>
    <s v="Travel_Frequently"/>
    <x v="0"/>
    <n v="16"/>
    <x v="0"/>
    <n v="2"/>
    <n v="2"/>
    <x v="0"/>
    <n v="3"/>
    <x v="0"/>
    <n v="5094"/>
    <n v="6"/>
    <s v="No"/>
    <n v="14"/>
    <n v="3"/>
    <n v="0"/>
    <n v="10"/>
    <n v="6"/>
    <n v="1"/>
    <n v="0"/>
    <n v="0"/>
    <x v="3"/>
    <s v="26-01-2020"/>
    <m/>
    <s v="Dept.Head"/>
    <s v="OFFICE"/>
    <n v="2"/>
    <n v="2"/>
    <s v="Yes"/>
    <s v="Recruiter"/>
    <s v="Part Time"/>
    <n v="154"/>
    <n v="92"/>
    <n v="80"/>
    <n v="7"/>
    <n v="0"/>
    <m/>
    <n v="0"/>
    <n v="1"/>
    <s v="Current Employees"/>
    <s v="No"/>
  </r>
  <r>
    <x v="2"/>
    <s v="Travel_Rarely"/>
    <x v="0"/>
    <n v="2"/>
    <x v="1"/>
    <n v="2"/>
    <n v="1"/>
    <x v="1"/>
    <n v="3"/>
    <x v="0"/>
    <n v="2274"/>
    <n v="1"/>
    <s v="No"/>
    <n v="14"/>
    <n v="3"/>
    <n v="0"/>
    <n v="1"/>
    <n v="3"/>
    <n v="1"/>
    <n v="0"/>
    <n v="0"/>
    <x v="1"/>
    <d v="2020-04-06T00:00:00"/>
    <m/>
    <s v="Dept.Head"/>
    <s v="OFFICE"/>
    <n v="4"/>
    <n v="3"/>
    <s v="Yes"/>
    <s v="Walk-in"/>
    <s v="Contract"/>
    <n v="155"/>
    <n v="39"/>
    <n v="80"/>
    <n v="0"/>
    <n v="0"/>
    <m/>
    <n v="0"/>
    <n v="1"/>
    <s v="Current Employees"/>
    <s v="No"/>
  </r>
  <r>
    <x v="0"/>
    <s v="Travel_Rarely"/>
    <x v="1"/>
    <n v="16"/>
    <x v="0"/>
    <n v="2"/>
    <n v="2"/>
    <x v="4"/>
    <n v="3"/>
    <x v="2"/>
    <n v="6334"/>
    <n v="4"/>
    <s v="No"/>
    <n v="19"/>
    <n v="3"/>
    <n v="2"/>
    <n v="9"/>
    <n v="2"/>
    <n v="1"/>
    <n v="0"/>
    <n v="0"/>
    <x v="3"/>
    <d v="2020-08-01T00:00:00"/>
    <m/>
    <s v="Work Accident"/>
    <s v="OFFICE"/>
    <n v="0"/>
    <n v="0"/>
    <s v="No"/>
    <s v="Walk-in"/>
    <s v="Part Time"/>
    <n v="158"/>
    <n v="92"/>
    <n v="80"/>
    <n v="12"/>
    <n v="0"/>
    <m/>
    <n v="0"/>
    <n v="1"/>
    <s v="Current Employees"/>
    <s v="No"/>
  </r>
  <r>
    <x v="21"/>
    <s v="Travel_Rarely"/>
    <x v="0"/>
    <n v="25"/>
    <x v="0"/>
    <n v="3"/>
    <n v="1"/>
    <x v="0"/>
    <n v="4"/>
    <x v="0"/>
    <n v="2795"/>
    <n v="1"/>
    <s v="Yes"/>
    <n v="24"/>
    <n v="4"/>
    <n v="0"/>
    <n v="1"/>
    <n v="2"/>
    <n v="1"/>
    <n v="0"/>
    <n v="1"/>
    <x v="3"/>
    <s v="30-04-2020"/>
    <m/>
    <s v="Work Accident"/>
    <s v="WFH"/>
    <n v="2"/>
    <n v="1"/>
    <s v="Yes"/>
    <s v="Job Portal"/>
    <s v="Part Time"/>
    <n v="159"/>
    <n v="96"/>
    <n v="80"/>
    <n v="7"/>
    <n v="0"/>
    <m/>
    <n v="0"/>
    <n v="1"/>
    <s v="Current Employees"/>
    <s v="No"/>
  </r>
  <r>
    <x v="32"/>
    <s v="Travel_Frequently"/>
    <x v="0"/>
    <n v="2"/>
    <x v="0"/>
    <n v="2"/>
    <n v="1"/>
    <x v="0"/>
    <n v="4"/>
    <x v="2"/>
    <n v="2380"/>
    <n v="9"/>
    <s v="Yes"/>
    <n v="14"/>
    <n v="3"/>
    <n v="1"/>
    <n v="3"/>
    <n v="3"/>
    <n v="1"/>
    <n v="0"/>
    <n v="0"/>
    <x v="2"/>
    <d v="2020-08-06T00:00:00"/>
    <m/>
    <s v="Better Opportunity"/>
    <s v="OFFICE"/>
    <n v="0"/>
    <n v="2"/>
    <s v="Yes"/>
    <s v="Recruiter"/>
    <s v="Contract"/>
    <n v="160"/>
    <n v="95"/>
    <n v="80"/>
    <n v="7"/>
    <n v="0"/>
    <m/>
    <n v="0"/>
    <n v="1"/>
    <s v="Current Employees"/>
    <s v="No"/>
  </r>
  <r>
    <x v="34"/>
    <s v="Travel_Rarely"/>
    <x v="0"/>
    <n v="8"/>
    <x v="1"/>
    <n v="3"/>
    <n v="2"/>
    <x v="6"/>
    <n v="2"/>
    <x v="2"/>
    <n v="4765"/>
    <n v="4"/>
    <s v="No"/>
    <n v="21"/>
    <n v="4"/>
    <n v="1"/>
    <n v="4"/>
    <n v="2"/>
    <n v="1"/>
    <n v="0"/>
    <n v="0"/>
    <x v="1"/>
    <d v="2020-02-02T00:00:00"/>
    <m/>
    <s v="Better Opportunity"/>
    <s v="OFFICE"/>
    <n v="3"/>
    <n v="3"/>
    <s v="No"/>
    <s v="Job Portal"/>
    <s v="FullTime"/>
    <n v="161"/>
    <n v="72"/>
    <n v="80"/>
    <n v="4"/>
    <n v="1"/>
    <n v="1"/>
    <n v="1"/>
    <n v="0"/>
    <s v="Ex-Employees"/>
    <s v="Yes"/>
  </r>
  <r>
    <x v="1"/>
    <s v="Travel_Rarely"/>
    <x v="0"/>
    <n v="18"/>
    <x v="1"/>
    <n v="3"/>
    <n v="1"/>
    <x v="1"/>
    <n v="4"/>
    <x v="0"/>
    <n v="2693"/>
    <n v="1"/>
    <s v="No"/>
    <n v="19"/>
    <n v="3"/>
    <n v="0"/>
    <n v="1"/>
    <n v="3"/>
    <n v="1"/>
    <n v="0"/>
    <n v="0"/>
    <x v="1"/>
    <d v="2020-08-06T00:00:00"/>
    <m/>
    <s v="Work Environment"/>
    <s v="WFH"/>
    <n v="4"/>
    <n v="0"/>
    <s v="No"/>
    <s v="Walk-in"/>
    <s v="Part Time"/>
    <n v="162"/>
    <n v="51"/>
    <n v="80"/>
    <n v="18"/>
    <n v="0"/>
    <m/>
    <n v="0"/>
    <n v="1"/>
    <s v="Current Employees"/>
    <s v="No"/>
  </r>
  <r>
    <x v="15"/>
    <s v="Travel_Rarely"/>
    <x v="0"/>
    <n v="4"/>
    <x v="1"/>
    <n v="3"/>
    <n v="1"/>
    <x v="1"/>
    <n v="3"/>
    <x v="0"/>
    <n v="2318"/>
    <n v="1"/>
    <s v="No"/>
    <n v="19"/>
    <n v="3"/>
    <n v="0"/>
    <n v="1"/>
    <n v="2"/>
    <n v="1"/>
    <n v="0"/>
    <n v="0"/>
    <x v="3"/>
    <s v="26-04-2020"/>
    <m/>
    <s v="Better Opportunity"/>
    <s v="OFFICE"/>
    <n v="4"/>
    <n v="3"/>
    <s v="Yes"/>
    <s v="Job Portal"/>
    <s v="FullTime"/>
    <n v="163"/>
    <n v="76"/>
    <n v="80"/>
    <n v="7"/>
    <n v="1"/>
    <n v="1"/>
    <n v="1"/>
    <n v="0"/>
    <s v="Ex-Employees"/>
    <s v="Yes"/>
  </r>
  <r>
    <x v="13"/>
    <s v="Travel_Rarely"/>
    <x v="0"/>
    <n v="10"/>
    <x v="0"/>
    <n v="3"/>
    <n v="1"/>
    <x v="0"/>
    <n v="2"/>
    <x v="2"/>
    <n v="2008"/>
    <n v="1"/>
    <s v="No"/>
    <n v="14"/>
    <n v="3"/>
    <n v="2"/>
    <n v="1"/>
    <n v="3"/>
    <n v="1"/>
    <n v="1"/>
    <n v="0"/>
    <x v="3"/>
    <s v="26-06-2020"/>
    <m/>
    <s v="Dept.Head"/>
    <s v="WFH"/>
    <n v="4"/>
    <n v="1"/>
    <s v="No"/>
    <s v="Walk-in"/>
    <s v="FullTime"/>
    <n v="164"/>
    <n v="46"/>
    <n v="80"/>
    <n v="4"/>
    <n v="0"/>
    <m/>
    <n v="0"/>
    <n v="1"/>
    <s v="Current Employees"/>
    <s v="No"/>
  </r>
  <r>
    <x v="38"/>
    <s v="Travel_Rarely"/>
    <x v="1"/>
    <n v="19"/>
    <x v="0"/>
    <n v="2"/>
    <n v="1"/>
    <x v="3"/>
    <n v="2"/>
    <x v="1"/>
    <n v="2413"/>
    <n v="1"/>
    <s v="Yes"/>
    <n v="18"/>
    <n v="3"/>
    <n v="3"/>
    <n v="1"/>
    <n v="2"/>
    <n v="1"/>
    <n v="0"/>
    <n v="0"/>
    <x v="1"/>
    <s v="24-04-2020"/>
    <m/>
    <s v="Work Accident"/>
    <s v="WFH"/>
    <n v="5"/>
    <n v="3"/>
    <s v="Yes"/>
    <s v="Walk-in"/>
    <s v="FullTime"/>
    <n v="165"/>
    <n v="94"/>
    <n v="80"/>
    <n v="10"/>
    <n v="1"/>
    <n v="1"/>
    <n v="1"/>
    <n v="0"/>
    <s v="Ex-Employees"/>
    <s v="Yes"/>
  </r>
  <r>
    <x v="18"/>
    <s v="Travel_Rarely"/>
    <x v="1"/>
    <n v="10"/>
    <x v="0"/>
    <n v="2"/>
    <n v="3"/>
    <x v="4"/>
    <n v="2"/>
    <x v="2"/>
    <n v="9705"/>
    <n v="2"/>
    <s v="No"/>
    <n v="12"/>
    <n v="3"/>
    <n v="1"/>
    <n v="11"/>
    <n v="2"/>
    <n v="1"/>
    <n v="0"/>
    <n v="0"/>
    <x v="1"/>
    <d v="2020-09-03T00:00:00"/>
    <m/>
    <s v="Dept.Head"/>
    <s v="OFFICE"/>
    <n v="4"/>
    <n v="2"/>
    <s v="No"/>
    <s v="Job Event"/>
    <s v="FullTime"/>
    <n v="167"/>
    <n v="50"/>
    <n v="80"/>
    <n v="0"/>
    <n v="1"/>
    <n v="1"/>
    <n v="1"/>
    <n v="0"/>
    <s v="Ex-Employees"/>
    <s v="Yes"/>
  </r>
  <r>
    <x v="5"/>
    <s v="Travel_Rarely"/>
    <x v="1"/>
    <n v="21"/>
    <x v="0"/>
    <n v="2"/>
    <n v="1"/>
    <x v="3"/>
    <n v="2"/>
    <x v="0"/>
    <n v="2121"/>
    <n v="1"/>
    <s v="Yes"/>
    <n v="13"/>
    <n v="3"/>
    <n v="0"/>
    <n v="1"/>
    <n v="3"/>
    <n v="1"/>
    <n v="0"/>
    <n v="0"/>
    <x v="2"/>
    <d v="2020-07-03T00:00:00"/>
    <m/>
    <s v="Work Environment"/>
    <s v="OFFICE"/>
    <n v="2"/>
    <n v="0"/>
    <s v="No"/>
    <s v="Recruiter"/>
    <s v="Contract"/>
    <n v="169"/>
    <n v="100"/>
    <n v="80"/>
    <n v="1"/>
    <n v="0"/>
    <m/>
    <n v="0"/>
    <n v="1"/>
    <s v="Current Employees"/>
    <s v="No"/>
  </r>
  <r>
    <x v="30"/>
    <s v="Travel_Rarely"/>
    <x v="0"/>
    <n v="4"/>
    <x v="0"/>
    <n v="3"/>
    <n v="1"/>
    <x v="0"/>
    <n v="1"/>
    <x v="0"/>
    <n v="2973"/>
    <n v="1"/>
    <s v="No"/>
    <n v="19"/>
    <n v="3"/>
    <n v="0"/>
    <n v="1"/>
    <n v="2"/>
    <n v="1"/>
    <n v="0"/>
    <n v="0"/>
    <x v="0"/>
    <s v="27-03-2020"/>
    <m/>
    <s v="Salary"/>
    <s v="OFFICE"/>
    <n v="0"/>
    <n v="1"/>
    <s v="Yes"/>
    <s v="Job Event"/>
    <s v="Contract"/>
    <n v="170"/>
    <n v="96"/>
    <n v="80"/>
    <n v="11"/>
    <n v="0"/>
    <m/>
    <n v="0"/>
    <n v="1"/>
    <s v="Current Employees"/>
    <s v="No"/>
  </r>
  <r>
    <x v="18"/>
    <s v="Travel_Frequently"/>
    <x v="0"/>
    <n v="9"/>
    <x v="0"/>
    <n v="3"/>
    <n v="1"/>
    <x v="1"/>
    <n v="2"/>
    <x v="2"/>
    <n v="3617"/>
    <n v="8"/>
    <s v="Yes"/>
    <n v="14"/>
    <n v="3"/>
    <n v="1"/>
    <n v="3"/>
    <n v="2"/>
    <n v="1"/>
    <n v="0"/>
    <n v="0"/>
    <x v="0"/>
    <d v="2020-07-03T00:00:00"/>
    <m/>
    <s v="Work Environment"/>
    <s v="WFH"/>
    <n v="2"/>
    <n v="0"/>
    <s v="No"/>
    <s v="Recruiter"/>
    <s v="Contract"/>
    <n v="171"/>
    <n v="72"/>
    <n v="80"/>
    <n v="2"/>
    <n v="0"/>
    <m/>
    <n v="0"/>
    <n v="1"/>
    <s v="Current Employees"/>
    <s v="No"/>
  </r>
  <r>
    <x v="32"/>
    <s v="Travel_Rarely"/>
    <x v="0"/>
    <n v="2"/>
    <x v="0"/>
    <n v="3"/>
    <n v="1"/>
    <x v="1"/>
    <n v="3"/>
    <x v="0"/>
    <n v="2479"/>
    <n v="4"/>
    <s v="No"/>
    <n v="24"/>
    <n v="4"/>
    <n v="0"/>
    <n v="7"/>
    <n v="4"/>
    <n v="1"/>
    <n v="0"/>
    <n v="0"/>
    <x v="0"/>
    <d v="2020-03-05T00:00:00"/>
    <m/>
    <s v="Work Accident"/>
    <s v="WFH"/>
    <n v="4"/>
    <n v="2"/>
    <s v="Yes"/>
    <s v="Walk-in"/>
    <s v="Contract"/>
    <n v="174"/>
    <n v="77"/>
    <n v="80"/>
    <n v="2"/>
    <n v="0"/>
    <m/>
    <n v="0"/>
    <n v="1"/>
    <s v="Current Employees"/>
    <s v="No"/>
  </r>
  <r>
    <x v="18"/>
    <s v="Non-Travel"/>
    <x v="1"/>
    <n v="24"/>
    <x v="1"/>
    <n v="4"/>
    <n v="4"/>
    <x v="4"/>
    <n v="2"/>
    <x v="0"/>
    <n v="13194"/>
    <n v="4"/>
    <s v="Yes"/>
    <n v="16"/>
    <n v="3"/>
    <n v="0"/>
    <n v="22"/>
    <n v="2"/>
    <n v="1"/>
    <n v="0"/>
    <n v="0"/>
    <x v="0"/>
    <s v="27-06-2020"/>
    <m/>
    <s v="Dept.Head"/>
    <s v="OFFICE"/>
    <n v="4"/>
    <n v="3"/>
    <s v="Yes"/>
    <s v="Recruiter"/>
    <s v="FullTime"/>
    <n v="175"/>
    <n v="71"/>
    <n v="80"/>
    <n v="2"/>
    <n v="1"/>
    <n v="1"/>
    <n v="1"/>
    <n v="0"/>
    <s v="Ex-Employees"/>
    <s v="Yes"/>
  </r>
  <r>
    <x v="30"/>
    <s v="Travel_Rarely"/>
    <x v="0"/>
    <n v="11"/>
    <x v="1"/>
    <n v="2"/>
    <n v="1"/>
    <x v="1"/>
    <n v="1"/>
    <x v="0"/>
    <n v="2600"/>
    <n v="1"/>
    <s v="Yes"/>
    <n v="15"/>
    <n v="3"/>
    <n v="0"/>
    <n v="1"/>
    <n v="2"/>
    <n v="1"/>
    <n v="0"/>
    <n v="0"/>
    <x v="0"/>
    <s v="21-01-2020"/>
    <m/>
    <s v="Better Opportunity"/>
    <s v="OFFICE"/>
    <n v="0"/>
    <n v="2"/>
    <s v="Yes"/>
    <s v="Job Portal"/>
    <s v="FullTime"/>
    <n v="176"/>
    <n v="96"/>
    <n v="80"/>
    <n v="7"/>
    <n v="0"/>
    <m/>
    <n v="0"/>
    <n v="1"/>
    <s v="Current Employees"/>
    <s v="No"/>
  </r>
  <r>
    <x v="22"/>
    <s v="Travel_Rarely"/>
    <x v="1"/>
    <n v="5"/>
    <x v="0"/>
    <n v="3"/>
    <n v="5"/>
    <x v="5"/>
    <n v="3"/>
    <x v="1"/>
    <n v="18303"/>
    <n v="6"/>
    <s v="No"/>
    <n v="13"/>
    <n v="3"/>
    <n v="0"/>
    <n v="21"/>
    <n v="3"/>
    <n v="1"/>
    <n v="0"/>
    <n v="0"/>
    <x v="0"/>
    <s v="17-05-2020"/>
    <m/>
    <s v="Work Environment"/>
    <s v="WFH"/>
    <n v="4"/>
    <n v="2"/>
    <s v="No"/>
    <s v="Job Event"/>
    <s v="Part Time"/>
    <n v="177"/>
    <n v="61"/>
    <n v="80"/>
    <n v="7"/>
    <n v="0"/>
    <m/>
    <n v="0"/>
    <n v="1"/>
    <s v="Current Employees"/>
    <s v="No"/>
  </r>
  <r>
    <x v="16"/>
    <s v="Travel_Rarely"/>
    <x v="0"/>
    <n v="9"/>
    <x v="0"/>
    <n v="3"/>
    <n v="1"/>
    <x v="0"/>
    <n v="4"/>
    <x v="1"/>
    <n v="2380"/>
    <n v="4"/>
    <s v="No"/>
    <n v="18"/>
    <n v="3"/>
    <n v="0"/>
    <n v="8"/>
    <n v="5"/>
    <n v="1"/>
    <n v="0"/>
    <n v="0"/>
    <x v="0"/>
    <d v="2020-11-06T00:00:00"/>
    <m/>
    <s v="Salary"/>
    <s v="WFH"/>
    <n v="3"/>
    <n v="0"/>
    <s v="No"/>
    <s v="Walk-in"/>
    <s v="FullTime"/>
    <n v="178"/>
    <n v="84"/>
    <n v="80"/>
    <n v="2"/>
    <n v="0"/>
    <m/>
    <n v="0"/>
    <n v="1"/>
    <s v="Current Employees"/>
    <s v="No"/>
  </r>
  <r>
    <x v="0"/>
    <s v="Travel_Rarely"/>
    <x v="0"/>
    <n v="11"/>
    <x v="1"/>
    <n v="1"/>
    <n v="2"/>
    <x v="7"/>
    <n v="2"/>
    <x v="1"/>
    <n v="4777"/>
    <n v="5"/>
    <s v="No"/>
    <n v="15"/>
    <n v="3"/>
    <n v="0"/>
    <n v="15"/>
    <n v="2"/>
    <n v="1"/>
    <n v="0"/>
    <n v="0"/>
    <x v="1"/>
    <d v="2020-09-01T00:00:00"/>
    <m/>
    <s v="Better Opportunity"/>
    <s v="OFFICE"/>
    <n v="2"/>
    <n v="0"/>
    <s v="No"/>
    <s v="Recruiter"/>
    <s v="FullTime"/>
    <n v="179"/>
    <n v="53"/>
    <n v="80"/>
    <n v="2"/>
    <n v="1"/>
    <n v="1"/>
    <n v="1"/>
    <n v="0"/>
    <s v="Ex-Employees"/>
    <s v="Yes"/>
  </r>
  <r>
    <x v="12"/>
    <s v="Travel_Rarely"/>
    <x v="1"/>
    <n v="3"/>
    <x v="0"/>
    <n v="3"/>
    <n v="2"/>
    <x v="4"/>
    <n v="4"/>
    <x v="0"/>
    <n v="6861"/>
    <n v="8"/>
    <s v="Yes"/>
    <n v="12"/>
    <n v="3"/>
    <n v="0"/>
    <n v="19"/>
    <n v="1"/>
    <n v="1"/>
    <n v="0"/>
    <n v="0"/>
    <x v="2"/>
    <s v="16-04-2020"/>
    <m/>
    <s v="Dept.Head"/>
    <s v="WFH"/>
    <n v="1"/>
    <n v="1"/>
    <s v="No"/>
    <s v="Recruiter"/>
    <s v="Contract"/>
    <n v="182"/>
    <n v="47"/>
    <n v="80"/>
    <n v="11"/>
    <n v="0"/>
    <m/>
    <n v="0"/>
    <n v="1"/>
    <s v="Current Employees"/>
    <s v="No"/>
  </r>
  <r>
    <x v="26"/>
    <s v="Travel_Rarely"/>
    <x v="0"/>
    <n v="15"/>
    <x v="0"/>
    <n v="3"/>
    <n v="2"/>
    <x v="0"/>
    <n v="3"/>
    <x v="2"/>
    <n v="4834"/>
    <n v="7"/>
    <s v="No"/>
    <n v="14"/>
    <n v="3"/>
    <n v="1"/>
    <n v="9"/>
    <n v="3"/>
    <n v="1"/>
    <n v="0"/>
    <n v="0"/>
    <x v="0"/>
    <s v="13-05-2020"/>
    <m/>
    <s v="Work Environment"/>
    <s v="OFFICE"/>
    <n v="4"/>
    <n v="2"/>
    <s v="Yes"/>
    <s v="Walk-in"/>
    <s v="FullTime"/>
    <n v="183"/>
    <n v="41"/>
    <n v="80"/>
    <n v="2"/>
    <n v="0"/>
    <m/>
    <n v="0"/>
    <n v="1"/>
    <s v="Current Employees"/>
    <s v="No"/>
  </r>
  <r>
    <x v="13"/>
    <s v="Travel_Rarely"/>
    <x v="1"/>
    <n v="10"/>
    <x v="1"/>
    <n v="3"/>
    <n v="1"/>
    <x v="3"/>
    <n v="3"/>
    <x v="1"/>
    <n v="2220"/>
    <n v="1"/>
    <s v="Yes"/>
    <n v="19"/>
    <n v="3"/>
    <n v="1"/>
    <n v="1"/>
    <n v="2"/>
    <n v="1"/>
    <n v="0"/>
    <n v="0"/>
    <x v="1"/>
    <s v="18-02-2020"/>
    <m/>
    <s v="Salary"/>
    <s v="OFFICE"/>
    <n v="0"/>
    <n v="3"/>
    <s v="Yes"/>
    <s v="Job Event"/>
    <s v="FullTime"/>
    <n v="184"/>
    <n v="48"/>
    <n v="80"/>
    <n v="9"/>
    <n v="0"/>
    <m/>
    <n v="0"/>
    <n v="1"/>
    <s v="Current Employees"/>
    <s v="No"/>
  </r>
  <r>
    <x v="6"/>
    <s v="Travel_Rarely"/>
    <x v="1"/>
    <n v="10"/>
    <x v="0"/>
    <n v="3"/>
    <n v="1"/>
    <x v="3"/>
    <n v="2"/>
    <x v="1"/>
    <n v="1052"/>
    <n v="1"/>
    <s v="No"/>
    <n v="22"/>
    <n v="4"/>
    <n v="0"/>
    <n v="1"/>
    <n v="5"/>
    <n v="1"/>
    <n v="0"/>
    <n v="0"/>
    <x v="1"/>
    <s v="25-04-2020"/>
    <m/>
    <s v="Work Environment"/>
    <s v="WFH"/>
    <n v="0"/>
    <n v="0"/>
    <s v="Yes"/>
    <s v="Job Event"/>
    <s v="Contract"/>
    <n v="190"/>
    <n v="41"/>
    <n v="80"/>
    <n v="4"/>
    <n v="1"/>
    <n v="1"/>
    <n v="1"/>
    <n v="0"/>
    <s v="Ex-Employees"/>
    <s v="Yes"/>
  </r>
  <r>
    <x v="34"/>
    <s v="Travel_Rarely"/>
    <x v="1"/>
    <n v="25"/>
    <x v="0"/>
    <n v="2"/>
    <n v="3"/>
    <x v="4"/>
    <n v="4"/>
    <x v="2"/>
    <n v="10798"/>
    <n v="5"/>
    <s v="No"/>
    <n v="13"/>
    <n v="3"/>
    <n v="1"/>
    <n v="18"/>
    <n v="5"/>
    <n v="1"/>
    <n v="0"/>
    <n v="0"/>
    <x v="1"/>
    <s v="27-06-2020"/>
    <m/>
    <s v="Work Accident"/>
    <s v="OFFICE"/>
    <n v="4"/>
    <n v="2"/>
    <s v="No"/>
    <s v="Walk-in"/>
    <s v="Part Time"/>
    <n v="192"/>
    <n v="83"/>
    <n v="80"/>
    <n v="5"/>
    <n v="0"/>
    <m/>
    <n v="0"/>
    <n v="1"/>
    <s v="Current Employees"/>
    <s v="No"/>
  </r>
  <r>
    <x v="1"/>
    <s v="Travel_Rarely"/>
    <x v="0"/>
    <n v="10"/>
    <x v="1"/>
    <n v="2"/>
    <n v="1"/>
    <x v="0"/>
    <n v="1"/>
    <x v="0"/>
    <n v="1416"/>
    <n v="1"/>
    <s v="No"/>
    <n v="13"/>
    <n v="3"/>
    <n v="0"/>
    <n v="1"/>
    <n v="6"/>
    <n v="1"/>
    <n v="1"/>
    <n v="0"/>
    <x v="3"/>
    <s v="25-06-2020"/>
    <m/>
    <s v="Work Environment"/>
    <s v="OFFICE"/>
    <n v="1"/>
    <n v="1"/>
    <s v="Yes"/>
    <s v="Recruiter"/>
    <s v="Contract"/>
    <n v="193"/>
    <n v="32"/>
    <n v="80"/>
    <n v="2"/>
    <n v="0"/>
    <m/>
    <n v="0"/>
    <n v="1"/>
    <s v="Current Employees"/>
    <s v="No"/>
  </r>
  <r>
    <x v="0"/>
    <s v="Travel_Rarely"/>
    <x v="1"/>
    <n v="10"/>
    <x v="1"/>
    <n v="2"/>
    <n v="2"/>
    <x v="4"/>
    <n v="4"/>
    <x v="2"/>
    <n v="6694"/>
    <n v="2"/>
    <s v="Yes"/>
    <n v="14"/>
    <n v="3"/>
    <n v="3"/>
    <n v="8"/>
    <n v="5"/>
    <n v="1"/>
    <n v="0"/>
    <n v="0"/>
    <x v="1"/>
    <s v="25-06-2020"/>
    <m/>
    <s v="Salary"/>
    <s v="WFH"/>
    <n v="3"/>
    <n v="2"/>
    <s v="Yes"/>
    <s v="Recruiter"/>
    <s v="Part Time"/>
    <n v="194"/>
    <n v="75"/>
    <n v="80"/>
    <n v="4"/>
    <n v="0"/>
    <m/>
    <n v="0"/>
    <n v="1"/>
    <s v="Current Employees"/>
    <s v="No"/>
  </r>
  <r>
    <x v="11"/>
    <s v="Travel_Rarely"/>
    <x v="0"/>
    <n v="21"/>
    <x v="0"/>
    <n v="3"/>
    <n v="1"/>
    <x v="0"/>
    <n v="3"/>
    <x v="2"/>
    <n v="2377"/>
    <n v="1"/>
    <s v="No"/>
    <n v="20"/>
    <n v="4"/>
    <n v="1"/>
    <n v="1"/>
    <n v="0"/>
    <n v="1"/>
    <n v="0"/>
    <n v="0"/>
    <x v="3"/>
    <s v="31-03-2020"/>
    <m/>
    <s v="Work Environment"/>
    <s v="OFFICE"/>
    <n v="0"/>
    <n v="0"/>
    <s v="No"/>
    <s v="Walk-in"/>
    <s v="FullTime"/>
    <n v="195"/>
    <n v="35"/>
    <n v="80"/>
    <n v="7"/>
    <n v="0"/>
    <m/>
    <n v="0"/>
    <n v="1"/>
    <s v="Current Employees"/>
    <s v="No"/>
  </r>
  <r>
    <x v="6"/>
    <s v="Travel_Frequently"/>
    <x v="0"/>
    <n v="1"/>
    <x v="0"/>
    <n v="2"/>
    <n v="1"/>
    <x v="0"/>
    <n v="2"/>
    <x v="2"/>
    <n v="2596"/>
    <n v="1"/>
    <s v="No"/>
    <n v="15"/>
    <n v="3"/>
    <n v="2"/>
    <n v="1"/>
    <n v="2"/>
    <n v="1"/>
    <n v="0"/>
    <n v="0"/>
    <x v="2"/>
    <s v="23-06-2020"/>
    <m/>
    <s v="Work Environment"/>
    <s v="WFH"/>
    <n v="0"/>
    <n v="2"/>
    <s v="No"/>
    <s v="Recruiter"/>
    <s v="Contract"/>
    <n v="197"/>
    <n v="84"/>
    <n v="80"/>
    <n v="2"/>
    <n v="0"/>
    <m/>
    <n v="0"/>
    <n v="1"/>
    <s v="Current Employees"/>
    <s v="No"/>
  </r>
  <r>
    <x v="12"/>
    <s v="Travel_Rarely"/>
    <x v="1"/>
    <n v="2"/>
    <x v="0"/>
    <n v="3"/>
    <n v="3"/>
    <x v="4"/>
    <n v="2"/>
    <x v="0"/>
    <n v="7351"/>
    <n v="7"/>
    <s v="No"/>
    <n v="16"/>
    <n v="3"/>
    <n v="0"/>
    <n v="10"/>
    <n v="2"/>
    <n v="1"/>
    <n v="0"/>
    <n v="0"/>
    <x v="3"/>
    <s v="29-03-2020"/>
    <m/>
    <s v="Salary"/>
    <s v="WFH"/>
    <n v="3"/>
    <n v="0"/>
    <s v="No"/>
    <s v="Recruiter"/>
    <s v="Part Time"/>
    <n v="198"/>
    <n v="35"/>
    <n v="80"/>
    <n v="3"/>
    <n v="0"/>
    <m/>
    <n v="0"/>
    <n v="1"/>
    <s v="Current Employees"/>
    <s v="No"/>
  </r>
  <r>
    <x v="22"/>
    <s v="Travel_Rarely"/>
    <x v="0"/>
    <n v="29"/>
    <x v="0"/>
    <n v="1"/>
    <n v="2"/>
    <x v="0"/>
    <n v="4"/>
    <x v="0"/>
    <n v="4272"/>
    <n v="4"/>
    <s v="No"/>
    <n v="19"/>
    <n v="3"/>
    <n v="0"/>
    <n v="16"/>
    <n v="3"/>
    <n v="1"/>
    <n v="0"/>
    <n v="0"/>
    <x v="1"/>
    <s v="17-03-2020"/>
    <m/>
    <s v="Work Environment"/>
    <s v="WFH"/>
    <n v="0"/>
    <n v="1"/>
    <s v="No"/>
    <s v="Walk-in"/>
    <s v="FullTime"/>
    <n v="199"/>
    <n v="91"/>
    <n v="80"/>
    <n v="6"/>
    <n v="0"/>
    <m/>
    <n v="0"/>
    <n v="1"/>
    <s v="Current Employees"/>
    <s v="No"/>
  </r>
  <r>
    <x v="33"/>
    <s v="Travel_Rarely"/>
    <x v="0"/>
    <n v="12"/>
    <x v="0"/>
    <n v="3"/>
    <n v="1"/>
    <x v="0"/>
    <n v="4"/>
    <x v="1"/>
    <n v="4766"/>
    <n v="3"/>
    <s v="Yes"/>
    <n v="11"/>
    <n v="3"/>
    <n v="1"/>
    <n v="6"/>
    <n v="4"/>
    <n v="1"/>
    <n v="0"/>
    <n v="0"/>
    <x v="3"/>
    <s v="30-01-2020"/>
    <m/>
    <s v="Better Opportunity"/>
    <s v="OFFICE"/>
    <n v="1"/>
    <n v="0"/>
    <s v="No"/>
    <s v="Recruiter"/>
    <s v="FullTime"/>
    <n v="200"/>
    <n v="94"/>
    <n v="80"/>
    <n v="0"/>
    <n v="0"/>
    <m/>
    <n v="0"/>
    <n v="1"/>
    <s v="Current Employees"/>
    <s v="No"/>
  </r>
  <r>
    <x v="6"/>
    <s v="Travel_Rarely"/>
    <x v="0"/>
    <n v="12"/>
    <x v="1"/>
    <n v="3"/>
    <n v="1"/>
    <x v="0"/>
    <n v="4"/>
    <x v="1"/>
    <n v="2515"/>
    <n v="1"/>
    <s v="Yes"/>
    <n v="11"/>
    <n v="3"/>
    <n v="0"/>
    <n v="1"/>
    <n v="4"/>
    <n v="1"/>
    <n v="0"/>
    <n v="0"/>
    <x v="1"/>
    <s v="14-01-2020"/>
    <m/>
    <s v="Work Environment"/>
    <s v="OFFICE"/>
    <n v="4"/>
    <n v="1"/>
    <s v="Yes"/>
    <s v="Job Portal"/>
    <s v="FullTime"/>
    <n v="201"/>
    <n v="79"/>
    <n v="80"/>
    <n v="0"/>
    <n v="0"/>
    <m/>
    <n v="0"/>
    <n v="1"/>
    <s v="Current Employees"/>
    <s v="No"/>
  </r>
  <r>
    <x v="18"/>
    <s v="Travel_Frequently"/>
    <x v="0"/>
    <n v="26"/>
    <x v="1"/>
    <n v="2"/>
    <n v="2"/>
    <x v="1"/>
    <n v="4"/>
    <x v="1"/>
    <n v="4422"/>
    <n v="3"/>
    <s v="Yes"/>
    <n v="13"/>
    <n v="3"/>
    <n v="1"/>
    <n v="16"/>
    <n v="3"/>
    <n v="1"/>
    <n v="0"/>
    <n v="0"/>
    <x v="0"/>
    <s v="29-05-2020"/>
    <m/>
    <s v="Salary"/>
    <s v="WFH"/>
    <n v="5"/>
    <n v="3"/>
    <s v="No"/>
    <s v="Recruiter"/>
    <s v="Part Time"/>
    <n v="202"/>
    <n v="54"/>
    <n v="80"/>
    <n v="7"/>
    <n v="0"/>
    <m/>
    <n v="0"/>
    <n v="1"/>
    <s v="Current Employees"/>
    <s v="No"/>
  </r>
  <r>
    <x v="21"/>
    <s v="Non-Travel"/>
    <x v="1"/>
    <n v="2"/>
    <x v="1"/>
    <n v="3"/>
    <n v="1"/>
    <x v="3"/>
    <n v="1"/>
    <x v="2"/>
    <n v="2827"/>
    <n v="1"/>
    <s v="No"/>
    <n v="12"/>
    <n v="3"/>
    <n v="3"/>
    <n v="1"/>
    <n v="3"/>
    <n v="1"/>
    <n v="0"/>
    <n v="0"/>
    <x v="1"/>
    <d v="2020-07-02T00:00:00"/>
    <m/>
    <s v="Dept.Head"/>
    <s v="OFFICE"/>
    <n v="4"/>
    <n v="0"/>
    <s v="No"/>
    <s v="Job Portal"/>
    <s v="FullTime"/>
    <n v="204"/>
    <n v="94"/>
    <n v="80"/>
    <n v="8"/>
    <n v="0"/>
    <m/>
    <n v="0"/>
    <n v="1"/>
    <s v="Current Employees"/>
    <s v="No"/>
  </r>
  <r>
    <x v="5"/>
    <s v="Travel_Rarely"/>
    <x v="0"/>
    <n v="9"/>
    <x v="0"/>
    <n v="3"/>
    <n v="1"/>
    <x v="1"/>
    <n v="1"/>
    <x v="0"/>
    <n v="2552"/>
    <n v="1"/>
    <s v="No"/>
    <n v="25"/>
    <n v="4"/>
    <n v="0"/>
    <n v="1"/>
    <n v="4"/>
    <n v="1"/>
    <n v="0"/>
    <n v="0"/>
    <x v="1"/>
    <s v="26-01-2020"/>
    <m/>
    <s v="Work Environment"/>
    <s v="WFH"/>
    <n v="5"/>
    <n v="1"/>
    <s v="Yes"/>
    <s v="Walk-in"/>
    <s v="Contract"/>
    <n v="205"/>
    <n v="34"/>
    <n v="80"/>
    <n v="7"/>
    <n v="0"/>
    <m/>
    <n v="0"/>
    <n v="1"/>
    <s v="Current Employees"/>
    <s v="No"/>
  </r>
  <r>
    <x v="33"/>
    <s v="Non-Travel"/>
    <x v="0"/>
    <n v="5"/>
    <x v="0"/>
    <n v="2"/>
    <n v="1"/>
    <x v="1"/>
    <n v="1"/>
    <x v="2"/>
    <n v="2107"/>
    <n v="6"/>
    <s v="No"/>
    <n v="17"/>
    <n v="3"/>
    <n v="1"/>
    <n v="5"/>
    <n v="2"/>
    <n v="1"/>
    <n v="0"/>
    <n v="0"/>
    <x v="3"/>
    <d v="2020-01-03T00:00:00"/>
    <m/>
    <s v="Work Accident"/>
    <s v="WFH"/>
    <n v="0"/>
    <n v="3"/>
    <s v="Yes"/>
    <s v="Job Portal"/>
    <s v="Contract"/>
    <n v="206"/>
    <n v="60"/>
    <n v="80"/>
    <n v="9"/>
    <n v="0"/>
    <m/>
    <n v="0"/>
    <n v="1"/>
    <s v="Current Employees"/>
    <s v="No"/>
  </r>
  <r>
    <x v="19"/>
    <s v="Travel_Rarely"/>
    <x v="0"/>
    <n v="17"/>
    <x v="1"/>
    <n v="3"/>
    <n v="1"/>
    <x v="0"/>
    <n v="2"/>
    <x v="1"/>
    <n v="2210"/>
    <n v="1"/>
    <s v="No"/>
    <n v="13"/>
    <n v="3"/>
    <n v="1"/>
    <n v="1"/>
    <n v="3"/>
    <n v="1"/>
    <n v="0"/>
    <n v="0"/>
    <x v="1"/>
    <s v="19-01-2020"/>
    <m/>
    <s v="Work Environment"/>
    <s v="OFFICE"/>
    <n v="5"/>
    <n v="3"/>
    <s v="No"/>
    <s v="Walk-in"/>
    <s v="FullTime"/>
    <n v="207"/>
    <n v="43"/>
    <n v="80"/>
    <n v="8"/>
    <n v="0"/>
    <m/>
    <n v="0"/>
    <n v="1"/>
    <s v="Current Employees"/>
    <s v="No"/>
  </r>
  <r>
    <x v="22"/>
    <s v="Travel_Frequently"/>
    <x v="0"/>
    <n v="26"/>
    <x v="1"/>
    <n v="3"/>
    <n v="3"/>
    <x v="2"/>
    <n v="1"/>
    <x v="1"/>
    <n v="13191"/>
    <n v="3"/>
    <s v="Yes"/>
    <n v="17"/>
    <n v="3"/>
    <n v="0"/>
    <n v="20"/>
    <n v="6"/>
    <n v="1"/>
    <n v="0"/>
    <n v="0"/>
    <x v="0"/>
    <s v="21-03-2020"/>
    <m/>
    <s v="Better Opportunity"/>
    <s v="OFFICE"/>
    <n v="1"/>
    <n v="3"/>
    <s v="No"/>
    <s v="Recruiter"/>
    <s v="Part Time"/>
    <n v="208"/>
    <n v="41"/>
    <n v="80"/>
    <n v="7"/>
    <n v="0"/>
    <m/>
    <n v="0"/>
    <n v="1"/>
    <s v="Current Employees"/>
    <s v="No"/>
  </r>
  <r>
    <x v="5"/>
    <s v="Non-Travel"/>
    <x v="0"/>
    <n v="10"/>
    <x v="1"/>
    <n v="2"/>
    <n v="1"/>
    <x v="1"/>
    <n v="2"/>
    <x v="0"/>
    <n v="1859"/>
    <n v="1"/>
    <s v="Yes"/>
    <n v="25"/>
    <n v="4"/>
    <n v="0"/>
    <n v="1"/>
    <n v="2"/>
    <n v="1"/>
    <n v="0"/>
    <n v="0"/>
    <x v="0"/>
    <d v="2020-01-04T00:00:00"/>
    <m/>
    <s v="Work Accident"/>
    <s v="OFFICE"/>
    <n v="1"/>
    <n v="1"/>
    <s v="Yes"/>
    <s v="Walk-in"/>
    <s v="Part Time"/>
    <n v="211"/>
    <n v="34"/>
    <n v="80"/>
    <n v="0"/>
    <n v="0"/>
    <m/>
    <n v="0"/>
    <n v="1"/>
    <s v="Current Employees"/>
    <s v="No"/>
  </r>
  <r>
    <x v="39"/>
    <s v="Travel_Rarely"/>
    <x v="0"/>
    <n v="4"/>
    <x v="0"/>
    <n v="2"/>
    <n v="5"/>
    <x v="5"/>
    <n v="3"/>
    <x v="1"/>
    <n v="18711"/>
    <n v="2"/>
    <s v="No"/>
    <n v="13"/>
    <n v="3"/>
    <n v="1"/>
    <n v="23"/>
    <n v="2"/>
    <n v="1"/>
    <n v="0"/>
    <n v="0"/>
    <x v="1"/>
    <s v="22-05-2020"/>
    <m/>
    <s v="Salary"/>
    <s v="OFFICE"/>
    <n v="4"/>
    <n v="1"/>
    <s v="No"/>
    <s v="Recruiter"/>
    <s v="Contract"/>
    <n v="214"/>
    <n v="75"/>
    <n v="80"/>
    <n v="0"/>
    <n v="0"/>
    <m/>
    <n v="0"/>
    <n v="1"/>
    <s v="Current Employees"/>
    <s v="No"/>
  </r>
  <r>
    <x v="10"/>
    <s v="Travel_Rarely"/>
    <x v="0"/>
    <n v="2"/>
    <x v="0"/>
    <n v="4"/>
    <n v="1"/>
    <x v="0"/>
    <n v="2"/>
    <x v="0"/>
    <n v="2559"/>
    <n v="5"/>
    <s v="No"/>
    <n v="11"/>
    <n v="3"/>
    <n v="0"/>
    <n v="7"/>
    <n v="4"/>
    <n v="1"/>
    <n v="0"/>
    <n v="0"/>
    <x v="0"/>
    <d v="2020-06-01T00:00:00"/>
    <m/>
    <s v="Work Environment"/>
    <s v="OFFICE"/>
    <n v="3"/>
    <n v="0"/>
    <s v="No"/>
    <s v="Recruiter"/>
    <s v="Part Time"/>
    <n v="215"/>
    <n v="67"/>
    <n v="80"/>
    <n v="11"/>
    <n v="0"/>
    <m/>
    <n v="0"/>
    <n v="1"/>
    <s v="Current Employees"/>
    <s v="No"/>
  </r>
  <r>
    <x v="10"/>
    <s v="Travel_Rarely"/>
    <x v="0"/>
    <n v="1"/>
    <x v="0"/>
    <n v="2"/>
    <n v="5"/>
    <x v="2"/>
    <n v="4"/>
    <x v="0"/>
    <n v="18265"/>
    <n v="6"/>
    <s v="No"/>
    <n v="12"/>
    <n v="3"/>
    <n v="0"/>
    <n v="25"/>
    <n v="3"/>
    <n v="1"/>
    <n v="0"/>
    <n v="0"/>
    <x v="0"/>
    <d v="2020-03-02T00:00:00"/>
    <m/>
    <s v="Work Environment"/>
    <s v="WFH"/>
    <n v="5"/>
    <n v="0"/>
    <s v="Yes"/>
    <s v="Walk-in"/>
    <s v="Part Time"/>
    <n v="216"/>
    <n v="75"/>
    <n v="80"/>
    <n v="3"/>
    <n v="0"/>
    <m/>
    <n v="0"/>
    <n v="1"/>
    <s v="Current Employees"/>
    <s v="No"/>
  </r>
  <r>
    <x v="13"/>
    <s v="Travel_Rarely"/>
    <x v="0"/>
    <n v="20"/>
    <x v="1"/>
    <n v="4"/>
    <n v="1"/>
    <x v="1"/>
    <n v="3"/>
    <x v="1"/>
    <n v="2585"/>
    <n v="0"/>
    <s v="No"/>
    <n v="17"/>
    <n v="3"/>
    <n v="0"/>
    <n v="2"/>
    <n v="5"/>
    <n v="1"/>
    <n v="0"/>
    <n v="0"/>
    <x v="3"/>
    <d v="2020-10-04T00:00:00"/>
    <m/>
    <s v="Dept.Head"/>
    <s v="WFH"/>
    <n v="5"/>
    <n v="2"/>
    <s v="Yes"/>
    <s v="Recruiter"/>
    <s v="FullTime"/>
    <n v="217"/>
    <n v="80"/>
    <n v="80"/>
    <n v="2"/>
    <n v="0"/>
    <m/>
    <n v="0"/>
    <n v="1"/>
    <s v="Current Employees"/>
    <s v="No"/>
  </r>
  <r>
    <x v="5"/>
    <s v="Travel_Rarely"/>
    <x v="0"/>
    <n v="25"/>
    <x v="1"/>
    <n v="4"/>
    <n v="1"/>
    <x v="1"/>
    <n v="4"/>
    <x v="0"/>
    <n v="2994"/>
    <n v="1"/>
    <s v="Yes"/>
    <n v="12"/>
    <n v="3"/>
    <n v="0"/>
    <n v="1"/>
    <n v="2"/>
    <n v="1"/>
    <n v="0"/>
    <n v="1"/>
    <x v="1"/>
    <s v="21-03-2020"/>
    <m/>
    <s v="Work Environment"/>
    <s v="WFH"/>
    <n v="3"/>
    <n v="0"/>
    <s v="No"/>
    <s v="Walk-in"/>
    <s v="Contract"/>
    <n v="218"/>
    <n v="57"/>
    <n v="80"/>
    <n v="2"/>
    <n v="0"/>
    <m/>
    <n v="0"/>
    <n v="1"/>
    <s v="Current Employees"/>
    <s v="No"/>
  </r>
  <r>
    <x v="3"/>
    <s v="Travel_Rarely"/>
    <x v="0"/>
    <n v="1"/>
    <x v="0"/>
    <n v="3"/>
    <n v="1"/>
    <x v="1"/>
    <n v="3"/>
    <x v="1"/>
    <n v="1223"/>
    <n v="1"/>
    <s v="No"/>
    <n v="22"/>
    <n v="4"/>
    <n v="1"/>
    <n v="1"/>
    <n v="2"/>
    <n v="1"/>
    <n v="0"/>
    <n v="1"/>
    <x v="0"/>
    <s v="30-03-2020"/>
    <m/>
    <s v="Better Opportunity"/>
    <s v="OFFICE"/>
    <n v="2"/>
    <n v="1"/>
    <s v="Yes"/>
    <s v="Job Event"/>
    <s v="FullTime"/>
    <n v="221"/>
    <n v="42"/>
    <n v="80"/>
    <n v="2"/>
    <n v="0"/>
    <m/>
    <n v="0"/>
    <n v="1"/>
    <s v="Current Employees"/>
    <s v="No"/>
  </r>
  <r>
    <x v="38"/>
    <s v="Travel_Frequently"/>
    <x v="1"/>
    <n v="24"/>
    <x v="0"/>
    <n v="1"/>
    <n v="1"/>
    <x v="3"/>
    <n v="4"/>
    <x v="0"/>
    <n v="1118"/>
    <n v="1"/>
    <s v="Yes"/>
    <n v="14"/>
    <n v="3"/>
    <n v="0"/>
    <n v="1"/>
    <n v="4"/>
    <n v="1"/>
    <n v="1"/>
    <n v="0"/>
    <x v="2"/>
    <s v="27-06-2020"/>
    <m/>
    <s v="Better Opportunity"/>
    <s v="OFFICE"/>
    <n v="0"/>
    <n v="1"/>
    <s v="No"/>
    <s v="Walk-in"/>
    <s v="FullTime"/>
    <n v="223"/>
    <n v="83"/>
    <n v="80"/>
    <n v="3"/>
    <n v="0"/>
    <m/>
    <n v="0"/>
    <n v="1"/>
    <s v="Current Employees"/>
    <s v="No"/>
  </r>
  <r>
    <x v="22"/>
    <s v="Travel_Rarely"/>
    <x v="0"/>
    <n v="7"/>
    <x v="1"/>
    <n v="4"/>
    <n v="2"/>
    <x v="1"/>
    <n v="2"/>
    <x v="1"/>
    <n v="2372"/>
    <n v="6"/>
    <s v="Yes"/>
    <n v="16"/>
    <n v="3"/>
    <n v="0"/>
    <n v="18"/>
    <n v="2"/>
    <n v="1"/>
    <n v="0"/>
    <n v="0"/>
    <x v="3"/>
    <s v="18-04-2020"/>
    <m/>
    <s v="Work Accident"/>
    <s v="WFH"/>
    <n v="5"/>
    <n v="3"/>
    <s v="Yes"/>
    <s v="Walk-in"/>
    <s v="FullTime"/>
    <n v="224"/>
    <n v="79"/>
    <n v="80"/>
    <n v="1"/>
    <n v="0"/>
    <m/>
    <n v="0"/>
    <n v="1"/>
    <s v="Current Employees"/>
    <s v="No"/>
  </r>
  <r>
    <x v="15"/>
    <s v="Travel_Rarely"/>
    <x v="1"/>
    <n v="11"/>
    <x v="1"/>
    <n v="4"/>
    <n v="1"/>
    <x v="3"/>
    <n v="4"/>
    <x v="1"/>
    <n v="2534"/>
    <n v="8"/>
    <s v="No"/>
    <n v="14"/>
    <n v="3"/>
    <n v="1"/>
    <n v="5"/>
    <n v="4"/>
    <n v="1"/>
    <n v="0"/>
    <n v="0"/>
    <x v="1"/>
    <s v="28-01-2020"/>
    <m/>
    <s v="Work Accident"/>
    <s v="OFFICE"/>
    <n v="2"/>
    <n v="1"/>
    <s v="Yes"/>
    <s v="Job Portal"/>
    <s v="Contract"/>
    <n v="226"/>
    <n v="53"/>
    <n v="80"/>
    <n v="4"/>
    <n v="0"/>
    <m/>
    <n v="0"/>
    <n v="1"/>
    <s v="Current Employees"/>
    <s v="No"/>
  </r>
  <r>
    <x v="28"/>
    <s v="Travel_Frequently"/>
    <x v="1"/>
    <n v="2"/>
    <x v="1"/>
    <n v="2"/>
    <n v="1"/>
    <x v="3"/>
    <n v="4"/>
    <x v="0"/>
    <n v="2785"/>
    <n v="7"/>
    <s v="No"/>
    <n v="14"/>
    <n v="3"/>
    <n v="0"/>
    <n v="3"/>
    <n v="3"/>
    <n v="1"/>
    <n v="0"/>
    <n v="0"/>
    <x v="3"/>
    <s v="27-06-2020"/>
    <m/>
    <s v="Dept.Head"/>
    <s v="WFH"/>
    <n v="1"/>
    <n v="1"/>
    <s v="No"/>
    <s v="Recruiter"/>
    <s v="Contract"/>
    <n v="227"/>
    <n v="56"/>
    <n v="80"/>
    <n v="8"/>
    <n v="0"/>
    <m/>
    <n v="0"/>
    <n v="1"/>
    <s v="Current Employees"/>
    <s v="No"/>
  </r>
  <r>
    <x v="28"/>
    <s v="Travel_Frequently"/>
    <x v="1"/>
    <n v="1"/>
    <x v="1"/>
    <n v="1"/>
    <n v="1"/>
    <x v="3"/>
    <n v="3"/>
    <x v="0"/>
    <n v="1359"/>
    <n v="1"/>
    <s v="No"/>
    <n v="12"/>
    <n v="3"/>
    <n v="0"/>
    <n v="1"/>
    <n v="3"/>
    <n v="1"/>
    <n v="0"/>
    <n v="0"/>
    <x v="0"/>
    <s v="27-06-2020"/>
    <m/>
    <s v="Dept.Head"/>
    <s v="WFH"/>
    <n v="0"/>
    <n v="1"/>
    <s v="Yes"/>
    <s v="Recruiter"/>
    <s v="Part Time"/>
    <n v="228"/>
    <n v="41"/>
    <n v="80"/>
    <n v="9"/>
    <n v="0"/>
    <m/>
    <n v="0"/>
    <n v="1"/>
    <s v="Current Employees"/>
    <s v="No"/>
  </r>
  <r>
    <x v="28"/>
    <s v="Travel_Rarely"/>
    <x v="0"/>
    <n v="8"/>
    <x v="1"/>
    <n v="2"/>
    <n v="1"/>
    <x v="1"/>
    <n v="2"/>
    <x v="0"/>
    <n v="1261"/>
    <n v="1"/>
    <s v="No"/>
    <n v="12"/>
    <n v="3"/>
    <n v="0"/>
    <n v="1"/>
    <n v="3"/>
    <n v="1"/>
    <n v="0"/>
    <n v="0"/>
    <x v="0"/>
    <s v="17-01-2020"/>
    <m/>
    <s v="Salary"/>
    <s v="WFH"/>
    <n v="5"/>
    <n v="2"/>
    <s v="Yes"/>
    <s v="Job Portal"/>
    <s v="Contract"/>
    <n v="230"/>
    <n v="59"/>
    <n v="80"/>
    <n v="3"/>
    <n v="0"/>
    <m/>
    <n v="0"/>
    <n v="1"/>
    <s v="Current Employees"/>
    <s v="No"/>
  </r>
  <r>
    <x v="25"/>
    <s v="Non-Travel"/>
    <x v="0"/>
    <n v="2"/>
    <x v="1"/>
    <n v="2"/>
    <n v="1"/>
    <x v="0"/>
    <n v="1"/>
    <x v="0"/>
    <n v="3646"/>
    <n v="2"/>
    <s v="Yes"/>
    <n v="23"/>
    <n v="4"/>
    <n v="0"/>
    <n v="11"/>
    <n v="2"/>
    <n v="1"/>
    <n v="0"/>
    <n v="0"/>
    <x v="2"/>
    <s v="18-04-2020"/>
    <m/>
    <s v="Work Accident"/>
    <s v="WFH"/>
    <n v="4"/>
    <n v="3"/>
    <s v="Yes"/>
    <s v="Walk-in"/>
    <s v="Contract"/>
    <n v="231"/>
    <n v="43"/>
    <n v="80"/>
    <n v="4"/>
    <n v="0"/>
    <m/>
    <n v="0"/>
    <n v="1"/>
    <s v="Current Employees"/>
    <s v="No"/>
  </r>
  <r>
    <x v="17"/>
    <s v="Travel_Frequently"/>
    <x v="1"/>
    <n v="1"/>
    <x v="1"/>
    <n v="3"/>
    <n v="2"/>
    <x v="4"/>
    <n v="3"/>
    <x v="1"/>
    <n v="4768"/>
    <n v="7"/>
    <s v="No"/>
    <n v="12"/>
    <n v="3"/>
    <n v="1"/>
    <n v="11"/>
    <n v="4"/>
    <n v="1"/>
    <n v="0"/>
    <n v="0"/>
    <x v="0"/>
    <s v="24-04-2020"/>
    <m/>
    <s v="Work Accident"/>
    <s v="OFFICE"/>
    <n v="0"/>
    <n v="2"/>
    <s v="No"/>
    <s v="Job Portal"/>
    <s v="Contract"/>
    <n v="233"/>
    <n v="51"/>
    <n v="80"/>
    <n v="2"/>
    <n v="0"/>
    <m/>
    <n v="0"/>
    <n v="1"/>
    <s v="Current Employees"/>
    <s v="No"/>
  </r>
  <r>
    <x v="14"/>
    <s v="Non-Travel"/>
    <x v="0"/>
    <n v="7"/>
    <x v="0"/>
    <n v="3"/>
    <n v="1"/>
    <x v="1"/>
    <n v="3"/>
    <x v="2"/>
    <n v="1274"/>
    <n v="1"/>
    <s v="No"/>
    <n v="13"/>
    <n v="3"/>
    <n v="2"/>
    <n v="1"/>
    <n v="2"/>
    <n v="1"/>
    <n v="0"/>
    <n v="0"/>
    <x v="1"/>
    <s v="31-01-2020"/>
    <m/>
    <s v="Better Opportunity"/>
    <s v="WFH"/>
    <n v="4"/>
    <n v="1"/>
    <s v="No"/>
    <s v="Recruiter"/>
    <s v="Contract"/>
    <n v="235"/>
    <n v="100"/>
    <n v="80"/>
    <n v="0"/>
    <n v="1"/>
    <n v="1"/>
    <n v="1"/>
    <n v="0"/>
    <s v="Ex-Employees"/>
    <s v="Yes"/>
  </r>
  <r>
    <x v="27"/>
    <s v="Travel_Rarely"/>
    <x v="1"/>
    <n v="7"/>
    <x v="0"/>
    <n v="3"/>
    <n v="1"/>
    <x v="3"/>
    <n v="3"/>
    <x v="1"/>
    <n v="2404"/>
    <n v="1"/>
    <s v="No"/>
    <n v="13"/>
    <n v="3"/>
    <n v="1"/>
    <n v="1"/>
    <n v="3"/>
    <n v="1"/>
    <n v="0"/>
    <n v="0"/>
    <x v="2"/>
    <d v="2020-05-04T00:00:00"/>
    <m/>
    <s v="Dept.Head"/>
    <s v="OFFICE"/>
    <n v="4"/>
    <n v="3"/>
    <s v="Yes"/>
    <s v="Job Event"/>
    <s v="Contract"/>
    <n v="238"/>
    <n v="30"/>
    <n v="80"/>
    <n v="7"/>
    <n v="0"/>
    <m/>
    <n v="0"/>
    <n v="1"/>
    <s v="Current Employees"/>
    <s v="No"/>
  </r>
  <r>
    <x v="19"/>
    <s v="Non-Travel"/>
    <x v="1"/>
    <n v="13"/>
    <x v="1"/>
    <n v="3"/>
    <n v="1"/>
    <x v="3"/>
    <n v="2"/>
    <x v="1"/>
    <n v="2033"/>
    <n v="1"/>
    <s v="No"/>
    <n v="13"/>
    <n v="3"/>
    <n v="1"/>
    <n v="1"/>
    <n v="2"/>
    <n v="1"/>
    <n v="0"/>
    <n v="0"/>
    <x v="2"/>
    <s v="27-03-2020"/>
    <m/>
    <s v="Dept.Head"/>
    <s v="OFFICE"/>
    <n v="4"/>
    <n v="1"/>
    <s v="Yes"/>
    <s v="Recruiter"/>
    <s v="FullTime"/>
    <n v="239"/>
    <n v="66"/>
    <n v="80"/>
    <n v="9"/>
    <n v="0"/>
    <m/>
    <n v="0"/>
    <n v="1"/>
    <s v="Current Employees"/>
    <s v="No"/>
  </r>
  <r>
    <x v="6"/>
    <s v="Travel_Rarely"/>
    <x v="0"/>
    <n v="1"/>
    <x v="0"/>
    <n v="2"/>
    <n v="1"/>
    <x v="1"/>
    <n v="3"/>
    <x v="2"/>
    <n v="1563"/>
    <n v="1"/>
    <s v="No"/>
    <n v="14"/>
    <n v="3"/>
    <n v="1"/>
    <n v="1"/>
    <n v="2"/>
    <n v="1"/>
    <n v="0"/>
    <n v="0"/>
    <x v="3"/>
    <s v="26-03-2020"/>
    <m/>
    <s v="Better Opportunity"/>
    <s v="OFFICE"/>
    <n v="4"/>
    <n v="3"/>
    <s v="No"/>
    <s v="Job Portal"/>
    <s v="Contract"/>
    <n v="240"/>
    <n v="30"/>
    <n v="80"/>
    <n v="4"/>
    <n v="0"/>
    <m/>
    <n v="0"/>
    <n v="1"/>
    <s v="Current Employees"/>
    <s v="No"/>
  </r>
  <r>
    <x v="22"/>
    <s v="Travel_Rarely"/>
    <x v="0"/>
    <n v="2"/>
    <x v="0"/>
    <n v="2"/>
    <n v="1"/>
    <x v="0"/>
    <n v="2"/>
    <x v="1"/>
    <n v="4841"/>
    <n v="4"/>
    <s v="No"/>
    <n v="14"/>
    <n v="3"/>
    <n v="1"/>
    <n v="4"/>
    <n v="3"/>
    <n v="1"/>
    <n v="0"/>
    <n v="0"/>
    <x v="1"/>
    <s v="19-02-2020"/>
    <m/>
    <s v="Work Accident"/>
    <s v="WFH"/>
    <n v="5"/>
    <n v="1"/>
    <s v="Yes"/>
    <s v="Walk-in"/>
    <s v="Contract"/>
    <n v="241"/>
    <n v="67"/>
    <n v="80"/>
    <n v="2"/>
    <n v="0"/>
    <m/>
    <n v="0"/>
    <n v="1"/>
    <s v="Current Employees"/>
    <s v="No"/>
  </r>
  <r>
    <x v="19"/>
    <s v="Travel_Rarely"/>
    <x v="0"/>
    <n v="21"/>
    <x v="0"/>
    <n v="2"/>
    <n v="1"/>
    <x v="0"/>
    <n v="1"/>
    <x v="2"/>
    <n v="2296"/>
    <n v="0"/>
    <s v="No"/>
    <n v="14"/>
    <n v="3"/>
    <n v="3"/>
    <n v="2"/>
    <n v="3"/>
    <n v="1"/>
    <n v="0"/>
    <n v="0"/>
    <x v="1"/>
    <d v="2020-05-03T00:00:00"/>
    <m/>
    <s v="Better Opportunity"/>
    <s v="WFH"/>
    <n v="4"/>
    <n v="3"/>
    <s v="No"/>
    <s v="Job Event"/>
    <s v="FullTime"/>
    <n v="242"/>
    <n v="90"/>
    <n v="80"/>
    <n v="1"/>
    <n v="0"/>
    <m/>
    <n v="0"/>
    <n v="1"/>
    <s v="Current Employees"/>
    <s v="No"/>
  </r>
  <r>
    <x v="7"/>
    <s v="Travel_Rarely"/>
    <x v="0"/>
    <n v="9"/>
    <x v="0"/>
    <n v="4"/>
    <n v="1"/>
    <x v="1"/>
    <n v="3"/>
    <x v="1"/>
    <n v="2451"/>
    <n v="6"/>
    <s v="No"/>
    <n v="18"/>
    <n v="3"/>
    <n v="2"/>
    <n v="5"/>
    <n v="2"/>
    <n v="1"/>
    <n v="0"/>
    <n v="0"/>
    <x v="0"/>
    <s v="14-03-2020"/>
    <m/>
    <s v="Work Environment"/>
    <s v="OFFICE"/>
    <n v="3"/>
    <n v="1"/>
    <s v="Yes"/>
    <s v="Job Portal"/>
    <s v="Contract"/>
    <n v="243"/>
    <n v="47"/>
    <n v="80"/>
    <n v="0"/>
    <n v="1"/>
    <n v="1"/>
    <n v="1"/>
    <n v="0"/>
    <s v="Ex-Employees"/>
    <s v="Yes"/>
  </r>
  <r>
    <x v="27"/>
    <s v="Travel_Rarely"/>
    <x v="0"/>
    <n v="2"/>
    <x v="1"/>
    <n v="3"/>
    <n v="1"/>
    <x v="0"/>
    <n v="1"/>
    <x v="2"/>
    <n v="2074"/>
    <n v="1"/>
    <s v="Yes"/>
    <n v="12"/>
    <n v="3"/>
    <n v="1"/>
    <n v="1"/>
    <n v="2"/>
    <n v="1"/>
    <n v="0"/>
    <n v="0"/>
    <x v="2"/>
    <s v="15-03-2020"/>
    <m/>
    <s v="Work Environment"/>
    <s v="OFFICE"/>
    <n v="3"/>
    <n v="3"/>
    <s v="No"/>
    <s v="Job Portal"/>
    <s v="FullTime"/>
    <n v="244"/>
    <n v="92"/>
    <n v="80"/>
    <n v="13"/>
    <n v="0"/>
    <m/>
    <n v="0"/>
    <n v="1"/>
    <s v="Current Employees"/>
    <s v="No"/>
  </r>
  <r>
    <x v="13"/>
    <s v="Travel_Rarely"/>
    <x v="0"/>
    <n v="7"/>
    <x v="0"/>
    <n v="3"/>
    <n v="1"/>
    <x v="1"/>
    <n v="4"/>
    <x v="0"/>
    <n v="2972"/>
    <n v="1"/>
    <s v="No"/>
    <n v="13"/>
    <n v="3"/>
    <n v="0"/>
    <n v="1"/>
    <n v="4"/>
    <n v="1"/>
    <n v="0"/>
    <n v="0"/>
    <x v="1"/>
    <s v="28-05-2020"/>
    <m/>
    <s v="Salary"/>
    <s v="OFFICE"/>
    <n v="2"/>
    <n v="0"/>
    <s v="No"/>
    <s v="Job Portal"/>
    <s v="FullTime"/>
    <n v="245"/>
    <n v="75"/>
    <n v="80"/>
    <n v="2"/>
    <n v="0"/>
    <m/>
    <n v="0"/>
    <n v="1"/>
    <s v="Current Employees"/>
    <s v="No"/>
  </r>
  <r>
    <x v="11"/>
    <s v="Travel_Rarely"/>
    <x v="0"/>
    <n v="3"/>
    <x v="1"/>
    <n v="3"/>
    <n v="1"/>
    <x v="1"/>
    <n v="4"/>
    <x v="1"/>
    <n v="2061"/>
    <n v="1"/>
    <s v="No"/>
    <n v="21"/>
    <n v="4"/>
    <n v="0"/>
    <n v="1"/>
    <n v="5"/>
    <n v="1"/>
    <n v="0"/>
    <n v="0"/>
    <x v="0"/>
    <s v="21-01-2020"/>
    <m/>
    <s v="Better Opportunity"/>
    <s v="WFH"/>
    <n v="2"/>
    <n v="2"/>
    <s v="No"/>
    <s v="Walk-in"/>
    <s v="Contract"/>
    <n v="246"/>
    <n v="95"/>
    <n v="80"/>
    <n v="2"/>
    <n v="0"/>
    <m/>
    <n v="0"/>
    <n v="1"/>
    <s v="Current Employees"/>
    <s v="No"/>
  </r>
  <r>
    <x v="26"/>
    <s v="Travel_Rarely"/>
    <x v="1"/>
    <n v="1"/>
    <x v="1"/>
    <n v="3"/>
    <n v="2"/>
    <x v="4"/>
    <n v="3"/>
    <x v="0"/>
    <n v="6815"/>
    <n v="6"/>
    <s v="No"/>
    <n v="13"/>
    <n v="3"/>
    <n v="0"/>
    <n v="15"/>
    <n v="5"/>
    <n v="1"/>
    <n v="0"/>
    <n v="0"/>
    <x v="1"/>
    <d v="2020-01-02T00:00:00"/>
    <m/>
    <s v="Better Opportunity"/>
    <s v="WFH"/>
    <n v="5"/>
    <n v="0"/>
    <s v="No"/>
    <s v="Walk-in"/>
    <s v="Part Time"/>
    <n v="247"/>
    <n v="95"/>
    <n v="80"/>
    <n v="2"/>
    <n v="0"/>
    <m/>
    <n v="0"/>
    <n v="1"/>
    <s v="Current Employees"/>
    <s v="No"/>
  </r>
  <r>
    <x v="16"/>
    <s v="Travel_Rarely"/>
    <x v="1"/>
    <n v="9"/>
    <x v="0"/>
    <n v="3"/>
    <n v="5"/>
    <x v="5"/>
    <n v="3"/>
    <x v="1"/>
    <n v="19331"/>
    <n v="4"/>
    <s v="Yes"/>
    <n v="16"/>
    <n v="3"/>
    <n v="1"/>
    <n v="27"/>
    <n v="2"/>
    <n v="1"/>
    <n v="0"/>
    <n v="0"/>
    <x v="2"/>
    <s v="23-06-2020"/>
    <m/>
    <s v="Salary"/>
    <s v="OFFICE"/>
    <n v="4"/>
    <n v="1"/>
    <s v="Yes"/>
    <s v="Recruiter"/>
    <s v="FullTime"/>
    <n v="248"/>
    <n v="70"/>
    <n v="80"/>
    <n v="3"/>
    <n v="1"/>
    <n v="1"/>
    <n v="1"/>
    <n v="0"/>
    <s v="Ex-Employees"/>
    <s v="Yes"/>
  </r>
  <r>
    <x v="22"/>
    <s v="Travel_Rarely"/>
    <x v="0"/>
    <n v="9"/>
    <x v="0"/>
    <n v="2"/>
    <n v="5"/>
    <x v="5"/>
    <n v="4"/>
    <x v="0"/>
    <n v="19613"/>
    <n v="8"/>
    <s v="No"/>
    <n v="22"/>
    <n v="4"/>
    <n v="0"/>
    <n v="24"/>
    <n v="2"/>
    <n v="1"/>
    <n v="0"/>
    <n v="1"/>
    <x v="3"/>
    <s v="17-05-2020"/>
    <m/>
    <s v="Better Opportunity"/>
    <s v="OFFICE"/>
    <n v="1"/>
    <n v="1"/>
    <s v="Yes"/>
    <s v="Job Event"/>
    <s v="Contract"/>
    <n v="249"/>
    <n v="86"/>
    <n v="80"/>
    <n v="2"/>
    <n v="0"/>
    <m/>
    <n v="0"/>
    <n v="1"/>
    <s v="Current Employees"/>
    <s v="No"/>
  </r>
  <r>
    <x v="27"/>
    <s v="Travel_Rarely"/>
    <x v="0"/>
    <n v="7"/>
    <x v="0"/>
    <n v="2"/>
    <n v="1"/>
    <x v="0"/>
    <n v="4"/>
    <x v="1"/>
    <n v="2690"/>
    <n v="1"/>
    <s v="No"/>
    <n v="18"/>
    <n v="3"/>
    <n v="1"/>
    <n v="1"/>
    <n v="5"/>
    <n v="1"/>
    <n v="0"/>
    <n v="1"/>
    <x v="3"/>
    <s v="17-02-2020"/>
    <m/>
    <s v="Work Accident"/>
    <s v="WFH"/>
    <n v="1"/>
    <n v="0"/>
    <s v="No"/>
    <s v="Recruiter"/>
    <s v="Contract"/>
    <n v="250"/>
    <n v="57"/>
    <n v="80"/>
    <n v="2"/>
    <n v="0"/>
    <m/>
    <n v="0"/>
    <n v="1"/>
    <s v="Current Employees"/>
    <s v="No"/>
  </r>
  <r>
    <x v="6"/>
    <s v="Travel_Rarely"/>
    <x v="0"/>
    <n v="24"/>
    <x v="0"/>
    <n v="3"/>
    <n v="1"/>
    <x v="0"/>
    <n v="2"/>
    <x v="1"/>
    <n v="2408"/>
    <n v="1"/>
    <s v="Yes"/>
    <n v="17"/>
    <n v="3"/>
    <n v="3"/>
    <n v="1"/>
    <n v="3"/>
    <n v="1"/>
    <n v="0"/>
    <n v="0"/>
    <x v="3"/>
    <d v="2020-08-04T00:00:00"/>
    <m/>
    <s v="Dept.Head"/>
    <s v="WFH"/>
    <n v="1"/>
    <n v="1"/>
    <s v="Yes"/>
    <s v="Recruiter"/>
    <s v="FullTime"/>
    <n v="252"/>
    <n v="72"/>
    <n v="80"/>
    <n v="7"/>
    <n v="0"/>
    <m/>
    <n v="0"/>
    <n v="1"/>
    <s v="Current Employees"/>
    <s v="No"/>
  </r>
  <r>
    <x v="21"/>
    <s v="Travel_Rarely"/>
    <x v="0"/>
    <n v="2"/>
    <x v="0"/>
    <n v="3"/>
    <n v="1"/>
    <x v="0"/>
    <n v="2"/>
    <x v="0"/>
    <n v="1393"/>
    <n v="1"/>
    <s v="No"/>
    <n v="12"/>
    <n v="3"/>
    <n v="0"/>
    <n v="1"/>
    <n v="2"/>
    <n v="1"/>
    <n v="0"/>
    <n v="0"/>
    <x v="0"/>
    <d v="2020-08-02T00:00:00"/>
    <m/>
    <s v="Salary"/>
    <s v="OFFICE"/>
    <n v="4"/>
    <n v="0"/>
    <s v="Yes"/>
    <s v="Walk-in"/>
    <s v="FullTime"/>
    <n v="253"/>
    <n v="46"/>
    <n v="80"/>
    <n v="8"/>
    <n v="0"/>
    <m/>
    <n v="0"/>
    <n v="1"/>
    <s v="Current Employees"/>
    <s v="No"/>
  </r>
  <r>
    <x v="40"/>
    <s v="Travel_Rarely"/>
    <x v="0"/>
    <n v="1"/>
    <x v="0"/>
    <n v="1"/>
    <n v="3"/>
    <x v="7"/>
    <n v="4"/>
    <x v="2"/>
    <n v="10883"/>
    <n v="3"/>
    <s v="No"/>
    <n v="20"/>
    <n v="4"/>
    <n v="1"/>
    <n v="19"/>
    <n v="2"/>
    <n v="1"/>
    <n v="0"/>
    <n v="0"/>
    <x v="3"/>
    <s v="20-05-2020"/>
    <m/>
    <s v="Salary"/>
    <s v="OFFICE"/>
    <n v="1"/>
    <n v="1"/>
    <s v="No"/>
    <s v="Recruiter"/>
    <s v="Contract"/>
    <n v="254"/>
    <n v="61"/>
    <n v="80"/>
    <n v="15"/>
    <n v="0"/>
    <m/>
    <n v="0"/>
    <n v="1"/>
    <s v="Current Employees"/>
    <s v="No"/>
  </r>
  <r>
    <x v="19"/>
    <s v="Travel_Rarely"/>
    <x v="2"/>
    <n v="22"/>
    <x v="0"/>
    <n v="1"/>
    <n v="1"/>
    <x v="8"/>
    <n v="3"/>
    <x v="1"/>
    <n v="1555"/>
    <n v="1"/>
    <s v="No"/>
    <n v="11"/>
    <n v="3"/>
    <n v="1"/>
    <n v="1"/>
    <n v="2"/>
    <n v="1"/>
    <n v="0"/>
    <n v="0"/>
    <x v="2"/>
    <d v="2020-07-02T00:00:00"/>
    <m/>
    <s v="Better Opportunity"/>
    <s v="OFFICE"/>
    <n v="1"/>
    <n v="2"/>
    <s v="No"/>
    <s v="Walk-in"/>
    <s v="FullTime"/>
    <n v="256"/>
    <n v="45"/>
    <n v="80"/>
    <n v="9"/>
    <n v="0"/>
    <m/>
    <n v="0"/>
    <n v="1"/>
    <s v="Current Employees"/>
    <s v="No"/>
  </r>
  <r>
    <x v="18"/>
    <s v="Travel_Rarely"/>
    <x v="0"/>
    <n v="8"/>
    <x v="1"/>
    <n v="3"/>
    <n v="2"/>
    <x v="6"/>
    <n v="1"/>
    <x v="1"/>
    <n v="6516"/>
    <n v="2"/>
    <s v="Yes"/>
    <n v="16"/>
    <n v="3"/>
    <n v="1"/>
    <n v="18"/>
    <n v="3"/>
    <n v="1"/>
    <n v="0"/>
    <n v="0"/>
    <x v="1"/>
    <s v="19-02-2020"/>
    <m/>
    <s v="Dept.Head"/>
    <s v="OFFICE"/>
    <n v="0"/>
    <n v="1"/>
    <s v="Yes"/>
    <s v="Recruiter"/>
    <s v="Contract"/>
    <n v="258"/>
    <n v="98"/>
    <n v="80"/>
    <n v="7"/>
    <n v="0"/>
    <m/>
    <n v="0"/>
    <n v="1"/>
    <s v="Current Employees"/>
    <s v="No"/>
  </r>
  <r>
    <x v="9"/>
    <s v="Non-Travel"/>
    <x v="1"/>
    <n v="2"/>
    <x v="0"/>
    <n v="3"/>
    <n v="2"/>
    <x v="4"/>
    <n v="2"/>
    <x v="1"/>
    <n v="4978"/>
    <n v="7"/>
    <s v="No"/>
    <n v="11"/>
    <n v="3"/>
    <n v="1"/>
    <n v="4"/>
    <n v="3"/>
    <n v="1"/>
    <n v="0"/>
    <n v="0"/>
    <x v="3"/>
    <d v="2020-10-03T00:00:00"/>
    <m/>
    <s v="Dept.Head"/>
    <s v="OFFICE"/>
    <n v="0"/>
    <n v="0"/>
    <s v="No"/>
    <s v="Job Portal"/>
    <s v="Part Time"/>
    <n v="259"/>
    <n v="65"/>
    <n v="80"/>
    <n v="18"/>
    <n v="0"/>
    <m/>
    <n v="0"/>
    <n v="1"/>
    <s v="Current Employees"/>
    <s v="No"/>
  </r>
  <r>
    <x v="28"/>
    <s v="Travel_Rarely"/>
    <x v="1"/>
    <n v="16"/>
    <x v="0"/>
    <n v="3"/>
    <n v="3"/>
    <x v="4"/>
    <n v="3"/>
    <x v="1"/>
    <n v="8161"/>
    <n v="2"/>
    <s v="No"/>
    <n v="13"/>
    <n v="3"/>
    <n v="3"/>
    <n v="10"/>
    <n v="2"/>
    <n v="1"/>
    <n v="0"/>
    <n v="0"/>
    <x v="1"/>
    <s v="13-01-2020"/>
    <m/>
    <s v="Work Accident"/>
    <s v="OFFICE"/>
    <n v="4"/>
    <n v="3"/>
    <s v="Yes"/>
    <s v="Job Event"/>
    <s v="Part Time"/>
    <n v="260"/>
    <n v="99"/>
    <n v="80"/>
    <n v="7"/>
    <n v="0"/>
    <m/>
    <n v="0"/>
    <n v="1"/>
    <s v="Current Employees"/>
    <s v="No"/>
  </r>
  <r>
    <x v="7"/>
    <s v="Travel_Rarely"/>
    <x v="0"/>
    <n v="4"/>
    <x v="1"/>
    <n v="2"/>
    <n v="1"/>
    <x v="1"/>
    <n v="1"/>
    <x v="2"/>
    <n v="2109"/>
    <n v="1"/>
    <s v="No"/>
    <n v="13"/>
    <n v="3"/>
    <n v="1"/>
    <n v="1"/>
    <n v="2"/>
    <n v="1"/>
    <n v="0"/>
    <n v="0"/>
    <x v="0"/>
    <s v="24-05-2020"/>
    <m/>
    <s v="Work Environment"/>
    <s v="OFFICE"/>
    <n v="3"/>
    <n v="3"/>
    <s v="No"/>
    <s v="Walk-in"/>
    <s v="FullTime"/>
    <n v="261"/>
    <n v="50"/>
    <n v="80"/>
    <n v="0"/>
    <n v="1"/>
    <n v="1"/>
    <n v="1"/>
    <n v="0"/>
    <s v="Ex-Employees"/>
    <s v="Yes"/>
  </r>
  <r>
    <x v="12"/>
    <s v="Travel_Rarely"/>
    <x v="0"/>
    <n v="18"/>
    <x v="0"/>
    <n v="1"/>
    <n v="2"/>
    <x v="7"/>
    <n v="4"/>
    <x v="1"/>
    <n v="5811"/>
    <n v="3"/>
    <s v="Yes"/>
    <n v="16"/>
    <n v="3"/>
    <n v="1"/>
    <n v="15"/>
    <n v="2"/>
    <n v="1"/>
    <n v="1"/>
    <n v="0"/>
    <x v="1"/>
    <s v="21-02-2020"/>
    <m/>
    <s v="Work Accident"/>
    <s v="WFH"/>
    <n v="2"/>
    <n v="1"/>
    <s v="Yes"/>
    <s v="Job Event"/>
    <s v="Part Time"/>
    <n v="262"/>
    <n v="37"/>
    <n v="80"/>
    <n v="4"/>
    <n v="0"/>
    <m/>
    <n v="0"/>
    <n v="1"/>
    <s v="Current Employees"/>
    <s v="No"/>
  </r>
  <r>
    <x v="34"/>
    <s v="Travel_Frequently"/>
    <x v="0"/>
    <n v="17"/>
    <x v="0"/>
    <n v="2"/>
    <n v="1"/>
    <x v="1"/>
    <n v="3"/>
    <x v="1"/>
    <n v="2437"/>
    <n v="9"/>
    <s v="Yes"/>
    <n v="16"/>
    <n v="3"/>
    <n v="1"/>
    <n v="6"/>
    <n v="4"/>
    <n v="1"/>
    <n v="0"/>
    <n v="0"/>
    <x v="2"/>
    <d v="2020-04-05T00:00:00"/>
    <m/>
    <s v="Dept.Head"/>
    <s v="OFFICE"/>
    <n v="3"/>
    <n v="1"/>
    <s v="No"/>
    <s v="Walk-in"/>
    <s v="Contract"/>
    <n v="264"/>
    <n v="65"/>
    <n v="80"/>
    <n v="8"/>
    <n v="0"/>
    <m/>
    <n v="0"/>
    <n v="1"/>
    <s v="Current Employees"/>
    <s v="No"/>
  </r>
  <r>
    <x v="29"/>
    <s v="Travel_Rarely"/>
    <x v="0"/>
    <n v="2"/>
    <x v="0"/>
    <n v="2"/>
    <n v="5"/>
    <x v="2"/>
    <n v="1"/>
    <x v="1"/>
    <n v="19038"/>
    <n v="8"/>
    <s v="No"/>
    <n v="12"/>
    <n v="3"/>
    <n v="3"/>
    <n v="34"/>
    <n v="2"/>
    <n v="1"/>
    <n v="0"/>
    <n v="0"/>
    <x v="2"/>
    <s v="16-03-2020"/>
    <m/>
    <s v="Better Opportunity"/>
    <s v="WFH"/>
    <n v="4"/>
    <n v="1"/>
    <s v="Yes"/>
    <s v="Recruiter"/>
    <s v="Contract"/>
    <n v="267"/>
    <n v="65"/>
    <n v="80"/>
    <n v="7"/>
    <n v="0"/>
    <m/>
    <n v="0"/>
    <n v="1"/>
    <s v="Current Employees"/>
    <s v="No"/>
  </r>
  <r>
    <x v="1"/>
    <s v="Travel_Rarely"/>
    <x v="1"/>
    <n v="7"/>
    <x v="0"/>
    <n v="3"/>
    <n v="1"/>
    <x v="3"/>
    <n v="2"/>
    <x v="0"/>
    <n v="2679"/>
    <n v="1"/>
    <s v="No"/>
    <n v="13"/>
    <n v="3"/>
    <n v="0"/>
    <n v="1"/>
    <n v="3"/>
    <n v="1"/>
    <n v="1"/>
    <n v="0"/>
    <x v="2"/>
    <s v="26-05-2020"/>
    <m/>
    <s v="Work Accident"/>
    <s v="WFH"/>
    <n v="5"/>
    <n v="2"/>
    <s v="Yes"/>
    <s v="Job Event"/>
    <s v="Part Time"/>
    <n v="269"/>
    <n v="37"/>
    <n v="80"/>
    <n v="2"/>
    <n v="0"/>
    <m/>
    <n v="0"/>
    <n v="1"/>
    <s v="Current Employees"/>
    <s v="No"/>
  </r>
  <r>
    <x v="4"/>
    <s v="Travel_Rarely"/>
    <x v="0"/>
    <n v="8"/>
    <x v="1"/>
    <n v="3"/>
    <n v="1"/>
    <x v="0"/>
    <n v="1"/>
    <x v="1"/>
    <n v="2398"/>
    <n v="1"/>
    <s v="Yes"/>
    <n v="17"/>
    <n v="3"/>
    <n v="0"/>
    <n v="1"/>
    <n v="6"/>
    <n v="1"/>
    <n v="0"/>
    <n v="0"/>
    <x v="3"/>
    <d v="2020-05-03T00:00:00"/>
    <m/>
    <s v="Salary"/>
    <s v="WFH"/>
    <n v="5"/>
    <n v="3"/>
    <s v="Yes"/>
    <s v="Job Event"/>
    <s v="FullTime"/>
    <n v="270"/>
    <n v="36"/>
    <n v="80"/>
    <n v="3"/>
    <n v="0"/>
    <m/>
    <n v="0"/>
    <n v="1"/>
    <s v="Current Employees"/>
    <s v="No"/>
  </r>
  <r>
    <x v="28"/>
    <s v="Travel_Rarely"/>
    <x v="2"/>
    <n v="18"/>
    <x v="0"/>
    <n v="4"/>
    <n v="1"/>
    <x v="8"/>
    <n v="1"/>
    <x v="1"/>
    <n v="2956"/>
    <n v="0"/>
    <s v="No"/>
    <n v="17"/>
    <n v="3"/>
    <n v="0"/>
    <n v="2"/>
    <n v="4"/>
    <n v="1"/>
    <n v="0"/>
    <n v="0"/>
    <x v="1"/>
    <s v="15-06-2020"/>
    <m/>
    <s v="Work Accident"/>
    <s v="WFH"/>
    <n v="4"/>
    <n v="1"/>
    <s v="Yes"/>
    <s v="Walk-in"/>
    <s v="Contract"/>
    <n v="271"/>
    <n v="88"/>
    <n v="80"/>
    <n v="0"/>
    <n v="0"/>
    <m/>
    <n v="0"/>
    <n v="1"/>
    <s v="Current Employees"/>
    <s v="No"/>
  </r>
  <r>
    <x v="26"/>
    <s v="Travel_Rarely"/>
    <x v="0"/>
    <n v="2"/>
    <x v="1"/>
    <n v="3"/>
    <n v="2"/>
    <x v="1"/>
    <n v="2"/>
    <x v="1"/>
    <n v="6962"/>
    <n v="4"/>
    <s v="Yes"/>
    <n v="22"/>
    <n v="4"/>
    <n v="1"/>
    <n v="15"/>
    <n v="2"/>
    <n v="1"/>
    <n v="0"/>
    <n v="0"/>
    <x v="0"/>
    <d v="2020-01-05T00:00:00"/>
    <m/>
    <s v="Work Environment"/>
    <s v="WFH"/>
    <n v="4"/>
    <n v="0"/>
    <s v="Yes"/>
    <s v="Recruiter"/>
    <s v="Part Time"/>
    <n v="273"/>
    <n v="54"/>
    <n v="80"/>
    <n v="7"/>
    <n v="0"/>
    <m/>
    <n v="0"/>
    <n v="1"/>
    <s v="Current Employees"/>
    <s v="No"/>
  </r>
  <r>
    <x v="7"/>
    <s v="Travel_Rarely"/>
    <x v="2"/>
    <n v="6"/>
    <x v="0"/>
    <n v="2"/>
    <n v="1"/>
    <x v="8"/>
    <n v="2"/>
    <x v="1"/>
    <n v="2804"/>
    <n v="1"/>
    <s v="No"/>
    <n v="11"/>
    <n v="3"/>
    <n v="0"/>
    <n v="1"/>
    <n v="3"/>
    <n v="1"/>
    <n v="0"/>
    <n v="0"/>
    <x v="1"/>
    <s v="14-02-2020"/>
    <m/>
    <s v="Dept.Head"/>
    <s v="WFH"/>
    <n v="1"/>
    <n v="3"/>
    <s v="Yes"/>
    <s v="Job Portal"/>
    <s v="Part Time"/>
    <n v="274"/>
    <n v="60"/>
    <n v="80"/>
    <n v="2"/>
    <n v="0"/>
    <m/>
    <n v="0"/>
    <n v="1"/>
    <s v="Current Employees"/>
    <s v="No"/>
  </r>
  <r>
    <x v="7"/>
    <s v="Travel_Frequently"/>
    <x v="0"/>
    <n v="24"/>
    <x v="0"/>
    <n v="2"/>
    <n v="1"/>
    <x v="1"/>
    <n v="4"/>
    <x v="0"/>
    <n v="2439"/>
    <n v="1"/>
    <s v="Yes"/>
    <n v="24"/>
    <n v="4"/>
    <n v="0"/>
    <n v="1"/>
    <n v="3"/>
    <n v="1"/>
    <n v="1"/>
    <n v="0"/>
    <x v="0"/>
    <s v="30-06-2020"/>
    <m/>
    <s v="Salary"/>
    <s v="OFFICE"/>
    <n v="3"/>
    <n v="1"/>
    <s v="Yes"/>
    <s v="Job Portal"/>
    <s v="Part Time"/>
    <n v="275"/>
    <n v="92"/>
    <n v="80"/>
    <n v="7"/>
    <n v="0"/>
    <m/>
    <n v="0"/>
    <n v="1"/>
    <s v="Current Employees"/>
    <s v="No"/>
  </r>
  <r>
    <x v="6"/>
    <s v="Travel_Rarely"/>
    <x v="1"/>
    <n v="3"/>
    <x v="1"/>
    <n v="3"/>
    <n v="1"/>
    <x v="3"/>
    <n v="2"/>
    <x v="1"/>
    <n v="2856"/>
    <n v="1"/>
    <s v="No"/>
    <n v="19"/>
    <n v="3"/>
    <n v="1"/>
    <n v="1"/>
    <n v="3"/>
    <n v="1"/>
    <n v="0"/>
    <n v="0"/>
    <x v="3"/>
    <d v="2020-04-02T00:00:00"/>
    <m/>
    <s v="Better Opportunity"/>
    <s v="OFFICE"/>
    <n v="3"/>
    <n v="2"/>
    <s v="Yes"/>
    <s v="Job Event"/>
    <s v="Contract"/>
    <n v="277"/>
    <n v="43"/>
    <n v="80"/>
    <n v="3"/>
    <n v="0"/>
    <m/>
    <n v="0"/>
    <n v="1"/>
    <s v="Current Employees"/>
    <s v="No"/>
  </r>
  <r>
    <x v="14"/>
    <s v="Travel_Rarely"/>
    <x v="1"/>
    <n v="9"/>
    <x v="0"/>
    <n v="3"/>
    <n v="1"/>
    <x v="3"/>
    <n v="4"/>
    <x v="0"/>
    <n v="1081"/>
    <n v="1"/>
    <s v="No"/>
    <n v="13"/>
    <n v="3"/>
    <n v="0"/>
    <n v="1"/>
    <n v="3"/>
    <n v="1"/>
    <n v="0"/>
    <n v="0"/>
    <x v="1"/>
    <s v="13-06-2020"/>
    <m/>
    <s v="Better Opportunity"/>
    <s v="WFH"/>
    <n v="0"/>
    <n v="0"/>
    <s v="No"/>
    <s v="Job Event"/>
    <s v="FullTime"/>
    <n v="281"/>
    <n v="99"/>
    <n v="80"/>
    <n v="2"/>
    <n v="0"/>
    <m/>
    <n v="0"/>
    <n v="1"/>
    <s v="Current Employees"/>
    <s v="No"/>
  </r>
  <r>
    <x v="4"/>
    <s v="Travel_Rarely"/>
    <x v="0"/>
    <n v="7"/>
    <x v="0"/>
    <n v="3"/>
    <n v="1"/>
    <x v="1"/>
    <n v="2"/>
    <x v="0"/>
    <n v="2472"/>
    <n v="1"/>
    <s v="Yes"/>
    <n v="23"/>
    <n v="4"/>
    <n v="0"/>
    <n v="1"/>
    <n v="2"/>
    <n v="1"/>
    <n v="0"/>
    <n v="0"/>
    <x v="1"/>
    <s v="13-05-2020"/>
    <m/>
    <s v="Work Environment"/>
    <s v="OFFICE"/>
    <n v="0"/>
    <n v="1"/>
    <s v="No"/>
    <s v="Job Portal"/>
    <s v="FullTime"/>
    <n v="282"/>
    <n v="70"/>
    <n v="80"/>
    <n v="0"/>
    <n v="1"/>
    <n v="1"/>
    <n v="1"/>
    <n v="0"/>
    <s v="Ex-Employees"/>
    <s v="Yes"/>
  </r>
  <r>
    <x v="11"/>
    <s v="Travel_Rarely"/>
    <x v="0"/>
    <n v="1"/>
    <x v="1"/>
    <n v="2"/>
    <n v="1"/>
    <x v="1"/>
    <n v="3"/>
    <x v="1"/>
    <n v="2933"/>
    <n v="1"/>
    <s v="Yes"/>
    <n v="13"/>
    <n v="3"/>
    <n v="1"/>
    <n v="1"/>
    <n v="3"/>
    <n v="1"/>
    <n v="1"/>
    <n v="0"/>
    <x v="2"/>
    <s v="29-05-2020"/>
    <m/>
    <s v="Salary"/>
    <s v="OFFICE"/>
    <n v="1"/>
    <n v="0"/>
    <s v="Yes"/>
    <s v="Job Portal"/>
    <s v="Part Time"/>
    <n v="283"/>
    <n v="35"/>
    <n v="80"/>
    <n v="4"/>
    <n v="1"/>
    <n v="1"/>
    <n v="1"/>
    <n v="0"/>
    <s v="Ex-Employees"/>
    <s v="Yes"/>
  </r>
  <r>
    <x v="7"/>
    <s v="Travel_Frequently"/>
    <x v="1"/>
    <n v="24"/>
    <x v="0"/>
    <n v="4"/>
    <n v="1"/>
    <x v="3"/>
    <n v="1"/>
    <x v="0"/>
    <n v="1091"/>
    <n v="1"/>
    <s v="No"/>
    <n v="17"/>
    <n v="3"/>
    <n v="0"/>
    <n v="1"/>
    <n v="3"/>
    <n v="1"/>
    <n v="0"/>
    <n v="0"/>
    <x v="1"/>
    <d v="2020-02-03T00:00:00"/>
    <m/>
    <s v="Dept.Head"/>
    <s v="WFH"/>
    <n v="5"/>
    <n v="0"/>
    <s v="No"/>
    <s v="Job Portal"/>
    <s v="Part Time"/>
    <n v="284"/>
    <n v="60"/>
    <n v="80"/>
    <n v="2"/>
    <n v="0"/>
    <m/>
    <n v="0"/>
    <n v="1"/>
    <s v="Current Employees"/>
    <s v="No"/>
  </r>
  <r>
    <x v="32"/>
    <s v="Travel_Rarely"/>
    <x v="1"/>
    <n v="21"/>
    <x v="1"/>
    <n v="3"/>
    <n v="4"/>
    <x v="5"/>
    <n v="4"/>
    <x v="1"/>
    <n v="17875"/>
    <n v="4"/>
    <s v="Yes"/>
    <n v="13"/>
    <n v="3"/>
    <n v="1"/>
    <n v="29"/>
    <n v="2"/>
    <n v="1"/>
    <n v="0"/>
    <n v="0"/>
    <x v="3"/>
    <s v="31-03-2020"/>
    <m/>
    <s v="Salary"/>
    <s v="WFH"/>
    <n v="2"/>
    <n v="1"/>
    <s v="No"/>
    <s v="Recruiter"/>
    <s v="Part Time"/>
    <n v="286"/>
    <n v="73"/>
    <n v="80"/>
    <n v="1"/>
    <n v="0"/>
    <m/>
    <n v="0"/>
    <n v="1"/>
    <s v="Current Employees"/>
    <s v="No"/>
  </r>
  <r>
    <x v="15"/>
    <s v="Travel_Frequently"/>
    <x v="2"/>
    <n v="22"/>
    <x v="1"/>
    <n v="2"/>
    <n v="1"/>
    <x v="8"/>
    <n v="2"/>
    <x v="1"/>
    <n v="2863"/>
    <n v="1"/>
    <s v="No"/>
    <n v="12"/>
    <n v="3"/>
    <n v="0"/>
    <n v="1"/>
    <n v="2"/>
    <n v="1"/>
    <n v="0"/>
    <n v="0"/>
    <x v="2"/>
    <s v="18-06-2020"/>
    <m/>
    <s v="Salary"/>
    <s v="OFFICE"/>
    <n v="3"/>
    <n v="3"/>
    <s v="No"/>
    <s v="Recruiter"/>
    <s v="Part Time"/>
    <n v="287"/>
    <n v="63"/>
    <n v="80"/>
    <n v="2"/>
    <n v="0"/>
    <m/>
    <n v="0"/>
    <n v="1"/>
    <s v="Current Employees"/>
    <s v="No"/>
  </r>
  <r>
    <x v="12"/>
    <s v="Travel_Rarely"/>
    <x v="1"/>
    <n v="1"/>
    <x v="0"/>
    <n v="2"/>
    <n v="1"/>
    <x v="3"/>
    <n v="1"/>
    <x v="0"/>
    <n v="2858"/>
    <n v="4"/>
    <s v="No"/>
    <n v="14"/>
    <n v="3"/>
    <n v="0"/>
    <n v="20"/>
    <n v="3"/>
    <n v="1"/>
    <n v="0"/>
    <n v="0"/>
    <x v="1"/>
    <d v="2020-08-01T00:00:00"/>
    <m/>
    <s v="Work Environment"/>
    <s v="WFH"/>
    <n v="3"/>
    <n v="1"/>
    <s v="No"/>
    <s v="Job Portal"/>
    <s v="FullTime"/>
    <n v="288"/>
    <n v="97"/>
    <n v="80"/>
    <n v="2"/>
    <n v="0"/>
    <m/>
    <n v="0"/>
    <n v="1"/>
    <s v="Current Employees"/>
    <s v="No"/>
  </r>
  <r>
    <x v="21"/>
    <s v="Travel_Rarely"/>
    <x v="0"/>
    <n v="5"/>
    <x v="0"/>
    <n v="2"/>
    <n v="2"/>
    <x v="6"/>
    <n v="4"/>
    <x v="0"/>
    <n v="9679"/>
    <n v="8"/>
    <s v="No"/>
    <n v="24"/>
    <n v="4"/>
    <n v="0"/>
    <n v="8"/>
    <n v="1"/>
    <n v="1"/>
    <n v="0"/>
    <n v="0"/>
    <x v="3"/>
    <d v="2020-08-06T00:00:00"/>
    <m/>
    <s v="Better Opportunity"/>
    <s v="WFH"/>
    <n v="3"/>
    <n v="2"/>
    <s v="No"/>
    <s v="Job Portal"/>
    <s v="Contract"/>
    <n v="291"/>
    <n v="32"/>
    <n v="80"/>
    <n v="8"/>
    <n v="1"/>
    <n v="1"/>
    <n v="1"/>
    <n v="0"/>
    <s v="Ex-Employees"/>
    <s v="Yes"/>
  </r>
  <r>
    <x v="28"/>
    <s v="Travel_Rarely"/>
    <x v="0"/>
    <n v="2"/>
    <x v="1"/>
    <n v="1"/>
    <n v="1"/>
    <x v="0"/>
    <n v="4"/>
    <x v="2"/>
    <n v="1129"/>
    <n v="1"/>
    <s v="Yes"/>
    <n v="11"/>
    <n v="3"/>
    <n v="3"/>
    <n v="1"/>
    <n v="4"/>
    <n v="1"/>
    <n v="0"/>
    <n v="0"/>
    <x v="2"/>
    <s v="30-03-2020"/>
    <m/>
    <s v="Dept.Head"/>
    <s v="OFFICE"/>
    <n v="4"/>
    <n v="3"/>
    <s v="No"/>
    <s v="Recruiter"/>
    <s v="Contract"/>
    <n v="292"/>
    <n v="88"/>
    <n v="80"/>
    <n v="8"/>
    <n v="0"/>
    <m/>
    <n v="0"/>
    <n v="1"/>
    <s v="Current Employees"/>
    <s v="No"/>
  </r>
  <r>
    <x v="20"/>
    <s v="Non-Travel"/>
    <x v="0"/>
    <n v="1"/>
    <x v="0"/>
    <n v="2"/>
    <n v="1"/>
    <x v="0"/>
    <n v="3"/>
    <x v="2"/>
    <n v="2008"/>
    <n v="1"/>
    <s v="No"/>
    <n v="12"/>
    <n v="3"/>
    <n v="3"/>
    <n v="1"/>
    <n v="2"/>
    <n v="1"/>
    <n v="0"/>
    <n v="0"/>
    <x v="2"/>
    <s v="26-05-2020"/>
    <m/>
    <s v="Better Opportunity"/>
    <s v="WFH"/>
    <n v="0"/>
    <n v="1"/>
    <s v="Yes"/>
    <s v="Walk-in"/>
    <s v="Contract"/>
    <n v="293"/>
    <n v="90"/>
    <n v="80"/>
    <n v="7"/>
    <n v="0"/>
    <m/>
    <n v="0"/>
    <n v="1"/>
    <s v="Current Employees"/>
    <s v="No"/>
  </r>
  <r>
    <x v="18"/>
    <s v="Travel_Rarely"/>
    <x v="0"/>
    <n v="1"/>
    <x v="0"/>
    <n v="3"/>
    <n v="1"/>
    <x v="0"/>
    <n v="4"/>
    <x v="1"/>
    <n v="2406"/>
    <n v="8"/>
    <s v="No"/>
    <n v="19"/>
    <n v="3"/>
    <n v="2"/>
    <n v="8"/>
    <n v="3"/>
    <n v="1"/>
    <n v="0"/>
    <n v="0"/>
    <x v="1"/>
    <s v="15-03-2020"/>
    <m/>
    <s v="Salary"/>
    <s v="WFH"/>
    <n v="1"/>
    <n v="2"/>
    <s v="Yes"/>
    <s v="Recruiter"/>
    <s v="FullTime"/>
    <n v="296"/>
    <n v="81"/>
    <n v="80"/>
    <n v="9"/>
    <n v="0"/>
    <m/>
    <n v="0"/>
    <n v="1"/>
    <s v="Current Employees"/>
    <s v="No"/>
  </r>
  <r>
    <x v="3"/>
    <s v="Travel_Frequently"/>
    <x v="1"/>
    <n v="9"/>
    <x v="0"/>
    <n v="3"/>
    <n v="1"/>
    <x v="3"/>
    <n v="1"/>
    <x v="1"/>
    <n v="1790"/>
    <n v="1"/>
    <s v="No"/>
    <n v="19"/>
    <n v="3"/>
    <n v="1"/>
    <n v="1"/>
    <n v="3"/>
    <n v="1"/>
    <n v="1"/>
    <n v="0"/>
    <x v="1"/>
    <d v="2020-02-04T00:00:00"/>
    <m/>
    <s v="Work Accident"/>
    <s v="OFFICE"/>
    <n v="2"/>
    <n v="3"/>
    <s v="No"/>
    <s v="Job Event"/>
    <s v="FullTime"/>
    <n v="297"/>
    <n v="88"/>
    <n v="80"/>
    <n v="2"/>
    <n v="1"/>
    <n v="1"/>
    <n v="1"/>
    <n v="0"/>
    <s v="Ex-Employees"/>
    <s v="Yes"/>
  </r>
  <r>
    <x v="15"/>
    <s v="Travel_Rarely"/>
    <x v="0"/>
    <n v="2"/>
    <x v="0"/>
    <n v="3"/>
    <n v="1"/>
    <x v="0"/>
    <n v="2"/>
    <x v="1"/>
    <n v="3468"/>
    <n v="9"/>
    <s v="No"/>
    <n v="12"/>
    <n v="3"/>
    <n v="1"/>
    <n v="6"/>
    <n v="3"/>
    <n v="2"/>
    <n v="2"/>
    <n v="2"/>
    <x v="0"/>
    <s v="19-02-2019"/>
    <m/>
    <s v="Dept.Head"/>
    <s v="WFH"/>
    <n v="0"/>
    <n v="2"/>
    <s v="Yes"/>
    <s v="Job Portal"/>
    <s v="Contract"/>
    <n v="298"/>
    <n v="75"/>
    <n v="80"/>
    <n v="0"/>
    <n v="0"/>
    <m/>
    <n v="0"/>
    <n v="1"/>
    <s v="Current Employees"/>
    <s v="No"/>
  </r>
  <r>
    <x v="13"/>
    <s v="Travel_Rarely"/>
    <x v="0"/>
    <n v="19"/>
    <x v="0"/>
    <n v="3"/>
    <n v="1"/>
    <x v="0"/>
    <n v="4"/>
    <x v="2"/>
    <n v="2661"/>
    <n v="0"/>
    <s v="No"/>
    <n v="11"/>
    <n v="3"/>
    <n v="1"/>
    <n v="3"/>
    <n v="2"/>
    <n v="2"/>
    <n v="1"/>
    <n v="2"/>
    <x v="2"/>
    <d v="2019-01-05T00:00:00"/>
    <m/>
    <s v="Work Environment"/>
    <s v="OFFICE"/>
    <n v="2"/>
    <n v="2"/>
    <s v="Yes"/>
    <s v="Job Event"/>
    <s v="FullTime"/>
    <n v="299"/>
    <n v="52"/>
    <n v="80"/>
    <n v="3"/>
    <n v="1"/>
    <n v="1"/>
    <n v="1"/>
    <n v="0"/>
    <s v="Ex-Employees"/>
    <s v="Yes"/>
  </r>
  <r>
    <x v="35"/>
    <s v="Travel_Rarely"/>
    <x v="1"/>
    <n v="2"/>
    <x v="1"/>
    <n v="3"/>
    <n v="5"/>
    <x v="5"/>
    <n v="1"/>
    <x v="0"/>
    <n v="18947"/>
    <n v="3"/>
    <s v="No"/>
    <n v="12"/>
    <n v="3"/>
    <n v="0"/>
    <n v="22"/>
    <n v="2"/>
    <n v="2"/>
    <n v="2"/>
    <n v="1"/>
    <x v="1"/>
    <s v="16-03-2019"/>
    <m/>
    <s v="Work Accident"/>
    <s v="WFH"/>
    <n v="2"/>
    <n v="2"/>
    <s v="No"/>
    <s v="Recruiter"/>
    <s v="Part Time"/>
    <n v="300"/>
    <n v="85"/>
    <n v="80"/>
    <n v="2"/>
    <n v="1"/>
    <n v="1"/>
    <n v="1"/>
    <n v="0"/>
    <s v="Ex-Employees"/>
    <s v="Yes"/>
  </r>
  <r>
    <x v="19"/>
    <s v="Travel_Rarely"/>
    <x v="0"/>
    <n v="1"/>
    <x v="0"/>
    <n v="3"/>
    <n v="1"/>
    <x v="1"/>
    <n v="4"/>
    <x v="1"/>
    <n v="2293"/>
    <n v="2"/>
    <s v="Yes"/>
    <n v="16"/>
    <n v="3"/>
    <n v="1"/>
    <n v="6"/>
    <n v="2"/>
    <n v="2"/>
    <n v="2"/>
    <n v="0"/>
    <x v="0"/>
    <s v="26-01-2019"/>
    <m/>
    <s v="Work Environment"/>
    <s v="WFH"/>
    <n v="1"/>
    <n v="3"/>
    <s v="Yes"/>
    <s v="Job Event"/>
    <s v="Part Time"/>
    <n v="302"/>
    <n v="57"/>
    <n v="80"/>
    <n v="7"/>
    <n v="0"/>
    <m/>
    <n v="0"/>
    <n v="1"/>
    <s v="Current Employees"/>
    <s v="No"/>
  </r>
  <r>
    <x v="27"/>
    <s v="Travel_Rarely"/>
    <x v="1"/>
    <n v="2"/>
    <x v="1"/>
    <n v="3"/>
    <n v="1"/>
    <x v="3"/>
    <n v="4"/>
    <x v="1"/>
    <n v="2014"/>
    <n v="1"/>
    <s v="No"/>
    <n v="13"/>
    <n v="3"/>
    <n v="0"/>
    <n v="2"/>
    <n v="3"/>
    <n v="2"/>
    <n v="2"/>
    <n v="2"/>
    <x v="3"/>
    <s v="16-04-2019"/>
    <m/>
    <s v="Salary"/>
    <s v="OFFICE"/>
    <n v="1"/>
    <n v="1"/>
    <s v="No"/>
    <s v="Job Event"/>
    <s v="FullTime"/>
    <n v="303"/>
    <n v="52"/>
    <n v="80"/>
    <n v="2"/>
    <n v="0"/>
    <m/>
    <n v="0"/>
    <n v="1"/>
    <s v="Current Employees"/>
    <s v="No"/>
  </r>
  <r>
    <x v="6"/>
    <s v="Travel_Rarely"/>
    <x v="0"/>
    <n v="5"/>
    <x v="0"/>
    <n v="3"/>
    <n v="1"/>
    <x v="0"/>
    <n v="3"/>
    <x v="0"/>
    <n v="3441"/>
    <n v="1"/>
    <s v="Yes"/>
    <n v="13"/>
    <n v="3"/>
    <n v="0"/>
    <n v="2"/>
    <n v="3"/>
    <n v="2"/>
    <n v="2"/>
    <n v="2"/>
    <x v="2"/>
    <d v="2019-03-05T00:00:00"/>
    <m/>
    <s v="Salary"/>
    <s v="OFFICE"/>
    <n v="2"/>
    <n v="2"/>
    <s v="Yes"/>
    <s v="Job Event"/>
    <s v="Contract"/>
    <n v="304"/>
    <n v="62"/>
    <n v="80"/>
    <n v="11"/>
    <n v="0"/>
    <m/>
    <n v="0"/>
    <n v="1"/>
    <s v="Current Employees"/>
    <s v="No"/>
  </r>
  <r>
    <x v="11"/>
    <s v="Travel_Rarely"/>
    <x v="1"/>
    <n v="23"/>
    <x v="1"/>
    <n v="2"/>
    <n v="2"/>
    <x v="4"/>
    <n v="4"/>
    <x v="1"/>
    <n v="4157"/>
    <n v="7"/>
    <s v="Yes"/>
    <n v="19"/>
    <n v="3"/>
    <n v="1"/>
    <n v="5"/>
    <n v="2"/>
    <n v="2"/>
    <n v="0"/>
    <n v="0"/>
    <x v="1"/>
    <s v="17-05-2019"/>
    <m/>
    <s v="Work Accident"/>
    <s v="WFH"/>
    <n v="4"/>
    <n v="3"/>
    <s v="Yes"/>
    <s v="Recruiter"/>
    <s v="FullTime"/>
    <n v="305"/>
    <n v="47"/>
    <n v="80"/>
    <n v="2"/>
    <n v="0"/>
    <m/>
    <n v="0"/>
    <n v="1"/>
    <s v="Current Employees"/>
    <s v="No"/>
  </r>
  <r>
    <x v="27"/>
    <s v="Travel_Rarely"/>
    <x v="0"/>
    <n v="23"/>
    <x v="1"/>
    <n v="3"/>
    <n v="1"/>
    <x v="0"/>
    <n v="1"/>
    <x v="1"/>
    <n v="4014"/>
    <n v="3"/>
    <s v="Yes"/>
    <n v="15"/>
    <n v="3"/>
    <n v="1"/>
    <n v="4"/>
    <n v="3"/>
    <n v="2"/>
    <n v="2"/>
    <n v="2"/>
    <x v="2"/>
    <d v="2019-04-02T00:00:00"/>
    <m/>
    <s v="Work Environment"/>
    <s v="WFH"/>
    <n v="3"/>
    <n v="0"/>
    <s v="No"/>
    <s v="Job Portal"/>
    <s v="Part Time"/>
    <n v="306"/>
    <n v="47"/>
    <n v="80"/>
    <n v="8"/>
    <n v="0"/>
    <m/>
    <n v="0"/>
    <n v="1"/>
    <s v="Current Employees"/>
    <s v="No"/>
  </r>
  <r>
    <x v="38"/>
    <s v="Travel_Rarely"/>
    <x v="0"/>
    <n v="7"/>
    <x v="0"/>
    <n v="2"/>
    <n v="1"/>
    <x v="1"/>
    <n v="4"/>
    <x v="1"/>
    <n v="2889"/>
    <n v="1"/>
    <s v="No"/>
    <n v="11"/>
    <n v="3"/>
    <n v="2"/>
    <n v="2"/>
    <n v="2"/>
    <n v="2"/>
    <n v="2"/>
    <n v="1"/>
    <x v="3"/>
    <s v="27-05-2019"/>
    <m/>
    <s v="Dept.Head"/>
    <s v="WFH"/>
    <n v="4"/>
    <n v="0"/>
    <s v="No"/>
    <s v="Job Portal"/>
    <s v="Contract"/>
    <n v="307"/>
    <n v="76"/>
    <n v="80"/>
    <n v="10"/>
    <n v="0"/>
    <m/>
    <n v="0"/>
    <n v="1"/>
    <s v="Current Employees"/>
    <s v="No"/>
  </r>
  <r>
    <x v="4"/>
    <s v="Travel_Rarely"/>
    <x v="0"/>
    <n v="2"/>
    <x v="0"/>
    <n v="3"/>
    <n v="1"/>
    <x v="0"/>
    <n v="4"/>
    <x v="1"/>
    <n v="2523"/>
    <n v="0"/>
    <s v="No"/>
    <n v="14"/>
    <n v="3"/>
    <n v="1"/>
    <n v="3"/>
    <n v="2"/>
    <n v="2"/>
    <n v="2"/>
    <n v="1"/>
    <x v="0"/>
    <s v="30-06-2019"/>
    <m/>
    <s v="Dept.Head"/>
    <s v="OFFICE"/>
    <n v="4"/>
    <n v="0"/>
    <s v="Yes"/>
    <s v="Walk-in"/>
    <s v="FullTime"/>
    <n v="308"/>
    <n v="90"/>
    <n v="80"/>
    <n v="4"/>
    <n v="0"/>
    <m/>
    <n v="0"/>
    <n v="1"/>
    <s v="Current Employees"/>
    <s v="No"/>
  </r>
  <r>
    <x v="16"/>
    <s v="Travel_Frequently"/>
    <x v="1"/>
    <n v="12"/>
    <x v="1"/>
    <n v="3"/>
    <n v="3"/>
    <x v="4"/>
    <n v="4"/>
    <x v="0"/>
    <n v="9208"/>
    <n v="4"/>
    <s v="No"/>
    <n v="11"/>
    <n v="3"/>
    <n v="0"/>
    <n v="16"/>
    <n v="3"/>
    <n v="2"/>
    <n v="2"/>
    <n v="1"/>
    <x v="3"/>
    <s v="16-04-2019"/>
    <m/>
    <s v="Salary"/>
    <s v="OFFICE"/>
    <n v="5"/>
    <n v="0"/>
    <s v="No"/>
    <s v="Job Portal"/>
    <s v="Contract"/>
    <n v="309"/>
    <n v="70"/>
    <n v="80"/>
    <n v="0"/>
    <n v="0"/>
    <m/>
    <n v="0"/>
    <n v="1"/>
    <s v="Current Employees"/>
    <s v="No"/>
  </r>
  <r>
    <x v="28"/>
    <s v="Travel_Rarely"/>
    <x v="1"/>
    <n v="20"/>
    <x v="1"/>
    <n v="1"/>
    <n v="2"/>
    <x v="4"/>
    <n v="3"/>
    <x v="1"/>
    <n v="4559"/>
    <n v="3"/>
    <s v="Yes"/>
    <n v="11"/>
    <n v="3"/>
    <n v="1"/>
    <n v="4"/>
    <n v="2"/>
    <n v="2"/>
    <n v="2"/>
    <n v="2"/>
    <x v="0"/>
    <d v="2019-07-06T00:00:00"/>
    <m/>
    <s v="Salary"/>
    <s v="OFFICE"/>
    <n v="0"/>
    <n v="3"/>
    <s v="No"/>
    <s v="Walk-in"/>
    <s v="Part Time"/>
    <n v="311"/>
    <n v="41"/>
    <n v="80"/>
    <n v="8"/>
    <n v="0"/>
    <m/>
    <n v="0"/>
    <n v="1"/>
    <s v="Current Employees"/>
    <s v="No"/>
  </r>
  <r>
    <x v="38"/>
    <s v="Travel_Rarely"/>
    <x v="1"/>
    <n v="28"/>
    <x v="0"/>
    <n v="2"/>
    <n v="2"/>
    <x v="4"/>
    <n v="3"/>
    <x v="1"/>
    <n v="8639"/>
    <n v="2"/>
    <s v="No"/>
    <n v="18"/>
    <n v="3"/>
    <n v="0"/>
    <n v="6"/>
    <n v="3"/>
    <n v="2"/>
    <n v="2"/>
    <n v="2"/>
    <x v="1"/>
    <d v="2019-11-02T00:00:00"/>
    <m/>
    <s v="Work Environment"/>
    <s v="OFFICE"/>
    <n v="1"/>
    <n v="2"/>
    <s v="Yes"/>
    <s v="Job Portal"/>
    <s v="Contract"/>
    <n v="312"/>
    <n v="42"/>
    <n v="80"/>
    <n v="10"/>
    <n v="0"/>
    <m/>
    <n v="0"/>
    <n v="1"/>
    <s v="Current Employees"/>
    <s v="No"/>
  </r>
  <r>
    <x v="4"/>
    <s v="Travel_Rarely"/>
    <x v="0"/>
    <n v="19"/>
    <x v="0"/>
    <n v="3"/>
    <n v="1"/>
    <x v="1"/>
    <n v="4"/>
    <x v="1"/>
    <n v="2323"/>
    <n v="1"/>
    <s v="No"/>
    <n v="24"/>
    <n v="4"/>
    <n v="2"/>
    <n v="2"/>
    <n v="6"/>
    <n v="2"/>
    <n v="2"/>
    <n v="2"/>
    <x v="3"/>
    <s v="13-04-2019"/>
    <m/>
    <s v="Work Environment"/>
    <s v="WFH"/>
    <n v="5"/>
    <n v="0"/>
    <s v="Yes"/>
    <s v="Walk-in"/>
    <s v="Part Time"/>
    <n v="314"/>
    <n v="92"/>
    <n v="80"/>
    <n v="7"/>
    <n v="0"/>
    <m/>
    <n v="0"/>
    <n v="1"/>
    <s v="Current Employees"/>
    <s v="No"/>
  </r>
  <r>
    <x v="15"/>
    <s v="Non-Travel"/>
    <x v="0"/>
    <n v="9"/>
    <x v="0"/>
    <n v="3"/>
    <n v="1"/>
    <x v="1"/>
    <n v="2"/>
    <x v="2"/>
    <n v="2024"/>
    <n v="6"/>
    <s v="No"/>
    <n v="18"/>
    <n v="3"/>
    <n v="1"/>
    <n v="6"/>
    <n v="1"/>
    <n v="2"/>
    <n v="2"/>
    <n v="2"/>
    <x v="1"/>
    <s v="19-03-2019"/>
    <m/>
    <s v="Dept.Head"/>
    <s v="OFFICE"/>
    <n v="4"/>
    <n v="1"/>
    <s v="No"/>
    <s v="Job Portal"/>
    <s v="Contract"/>
    <n v="315"/>
    <n v="86"/>
    <n v="80"/>
    <n v="3"/>
    <n v="1"/>
    <n v="1"/>
    <n v="1"/>
    <n v="0"/>
    <s v="Ex-Employees"/>
    <s v="Yes"/>
  </r>
  <r>
    <x v="23"/>
    <s v="Travel_Rarely"/>
    <x v="0"/>
    <n v="8"/>
    <x v="1"/>
    <n v="3"/>
    <n v="1"/>
    <x v="1"/>
    <n v="1"/>
    <x v="2"/>
    <n v="4257"/>
    <n v="4"/>
    <s v="Yes"/>
    <n v="18"/>
    <n v="3"/>
    <n v="1"/>
    <n v="19"/>
    <n v="3"/>
    <n v="2"/>
    <n v="2"/>
    <n v="2"/>
    <x v="0"/>
    <s v="27-04-2019"/>
    <m/>
    <s v="Dept.Head"/>
    <s v="OFFICE"/>
    <n v="1"/>
    <n v="1"/>
    <s v="No"/>
    <s v="Recruiter"/>
    <s v="Part Time"/>
    <n v="316"/>
    <n v="89"/>
    <n v="80"/>
    <n v="2"/>
    <n v="0"/>
    <m/>
    <n v="0"/>
    <n v="1"/>
    <s v="Current Employees"/>
    <s v="No"/>
  </r>
  <r>
    <x v="12"/>
    <s v="Travel_Rarely"/>
    <x v="0"/>
    <n v="9"/>
    <x v="1"/>
    <n v="3"/>
    <n v="1"/>
    <x v="0"/>
    <n v="4"/>
    <x v="0"/>
    <n v="2288"/>
    <n v="1"/>
    <s v="No"/>
    <n v="12"/>
    <n v="3"/>
    <n v="0"/>
    <n v="2"/>
    <n v="3"/>
    <n v="2"/>
    <n v="2"/>
    <n v="1"/>
    <x v="1"/>
    <s v="28-06-2019"/>
    <m/>
    <s v="Work Environment"/>
    <s v="WFH"/>
    <n v="5"/>
    <n v="1"/>
    <s v="Yes"/>
    <s v="Recruiter"/>
    <s v="FullTime"/>
    <n v="319"/>
    <n v="58"/>
    <n v="80"/>
    <n v="17"/>
    <n v="0"/>
    <m/>
    <n v="0"/>
    <n v="1"/>
    <s v="Current Employees"/>
    <s v="No"/>
  </r>
  <r>
    <x v="15"/>
    <s v="Travel_Frequently"/>
    <x v="0"/>
    <n v="1"/>
    <x v="0"/>
    <n v="2"/>
    <n v="2"/>
    <x v="6"/>
    <n v="1"/>
    <x v="1"/>
    <n v="4298"/>
    <n v="5"/>
    <s v="No"/>
    <n v="19"/>
    <n v="3"/>
    <n v="1"/>
    <n v="6"/>
    <n v="1"/>
    <n v="2"/>
    <n v="2"/>
    <n v="0"/>
    <x v="1"/>
    <d v="2019-05-05T00:00:00"/>
    <m/>
    <s v="Work Accident"/>
    <s v="WFH"/>
    <n v="4"/>
    <n v="3"/>
    <s v="Yes"/>
    <s v="Walk-in"/>
    <s v="Contract"/>
    <n v="321"/>
    <n v="52"/>
    <n v="80"/>
    <n v="2"/>
    <n v="0"/>
    <m/>
    <n v="0"/>
    <n v="1"/>
    <s v="Current Employees"/>
    <s v="No"/>
  </r>
  <r>
    <x v="41"/>
    <s v="Travel_Rarely"/>
    <x v="0"/>
    <n v="2"/>
    <x v="1"/>
    <n v="2"/>
    <n v="1"/>
    <x v="0"/>
    <n v="4"/>
    <x v="0"/>
    <n v="3212"/>
    <n v="7"/>
    <s v="No"/>
    <n v="15"/>
    <n v="3"/>
    <n v="0"/>
    <n v="6"/>
    <n v="3"/>
    <n v="2"/>
    <n v="2"/>
    <n v="2"/>
    <x v="1"/>
    <d v="2019-02-03T00:00:00"/>
    <m/>
    <s v="Dept.Head"/>
    <s v="WFH"/>
    <n v="2"/>
    <n v="3"/>
    <s v="Yes"/>
    <s v="Job Portal"/>
    <s v="Contract"/>
    <n v="323"/>
    <n v="68"/>
    <n v="80"/>
    <n v="0"/>
    <n v="0"/>
    <m/>
    <n v="0"/>
    <n v="1"/>
    <s v="Current Employees"/>
    <s v="No"/>
  </r>
  <r>
    <x v="24"/>
    <s v="Travel_Rarely"/>
    <x v="2"/>
    <n v="6"/>
    <x v="0"/>
    <n v="3"/>
    <n v="1"/>
    <x v="8"/>
    <n v="3"/>
    <x v="1"/>
    <n v="2267"/>
    <n v="8"/>
    <s v="No"/>
    <n v="17"/>
    <n v="3"/>
    <n v="0"/>
    <n v="7"/>
    <n v="2"/>
    <n v="2"/>
    <n v="2"/>
    <n v="2"/>
    <x v="3"/>
    <d v="2019-11-01T00:00:00"/>
    <m/>
    <s v="Work Accident"/>
    <s v="OFFICE"/>
    <n v="2"/>
    <n v="3"/>
    <s v="Yes"/>
    <s v="Walk-in"/>
    <s v="Contract"/>
    <n v="325"/>
    <n v="58"/>
    <n v="80"/>
    <n v="4"/>
    <n v="1"/>
    <n v="1"/>
    <n v="1"/>
    <n v="0"/>
    <s v="Ex-Employees"/>
    <s v="Yes"/>
  </r>
  <r>
    <x v="28"/>
    <s v="Travel_Frequently"/>
    <x v="0"/>
    <n v="3"/>
    <x v="0"/>
    <n v="3"/>
    <n v="3"/>
    <x v="2"/>
    <n v="3"/>
    <x v="2"/>
    <n v="13675"/>
    <n v="9"/>
    <s v="No"/>
    <n v="12"/>
    <n v="3"/>
    <n v="1"/>
    <n v="9"/>
    <n v="3"/>
    <n v="2"/>
    <n v="2"/>
    <n v="2"/>
    <x v="3"/>
    <s v="22-04-2019"/>
    <m/>
    <s v="Dept.Head"/>
    <s v="WFH"/>
    <n v="1"/>
    <n v="3"/>
    <s v="No"/>
    <s v="Job Portal"/>
    <s v="Contract"/>
    <n v="327"/>
    <n v="80"/>
    <n v="80"/>
    <n v="13"/>
    <n v="0"/>
    <m/>
    <n v="0"/>
    <n v="1"/>
    <s v="Current Employees"/>
    <s v="No"/>
  </r>
  <r>
    <x v="20"/>
    <s v="Travel_Rarely"/>
    <x v="0"/>
    <n v="5"/>
    <x v="1"/>
    <n v="2"/>
    <n v="1"/>
    <x v="1"/>
    <n v="4"/>
    <x v="1"/>
    <n v="2911"/>
    <n v="1"/>
    <s v="No"/>
    <n v="13"/>
    <n v="3"/>
    <n v="1"/>
    <n v="2"/>
    <n v="2"/>
    <n v="2"/>
    <n v="0"/>
    <n v="2"/>
    <x v="1"/>
    <d v="2019-07-06T00:00:00"/>
    <m/>
    <s v="Better Opportunity"/>
    <s v="WFH"/>
    <n v="4"/>
    <n v="2"/>
    <s v="Yes"/>
    <s v="Recruiter"/>
    <s v="Part Time"/>
    <n v="328"/>
    <n v="39"/>
    <n v="80"/>
    <n v="7"/>
    <n v="1"/>
    <n v="1"/>
    <n v="1"/>
    <n v="0"/>
    <s v="Ex-Employees"/>
    <s v="Yes"/>
  </r>
  <r>
    <x v="12"/>
    <s v="Travel_Rarely"/>
    <x v="0"/>
    <n v="23"/>
    <x v="0"/>
    <n v="3"/>
    <n v="2"/>
    <x v="7"/>
    <n v="4"/>
    <x v="2"/>
    <n v="5745"/>
    <n v="9"/>
    <s v="No"/>
    <n v="14"/>
    <n v="3"/>
    <n v="1"/>
    <n v="10"/>
    <n v="2"/>
    <n v="2"/>
    <n v="1"/>
    <n v="2"/>
    <x v="3"/>
    <s v="24-01-2019"/>
    <m/>
    <s v="Better Opportunity"/>
    <s v="OFFICE"/>
    <n v="5"/>
    <n v="2"/>
    <s v="Yes"/>
    <s v="Walk-in"/>
    <s v="FullTime"/>
    <n v="329"/>
    <n v="79"/>
    <n v="80"/>
    <n v="7"/>
    <n v="0"/>
    <m/>
    <n v="0"/>
    <n v="1"/>
    <s v="Current Employees"/>
    <s v="No"/>
  </r>
  <r>
    <x v="28"/>
    <s v="Travel_Frequently"/>
    <x v="1"/>
    <n v="5"/>
    <x v="1"/>
    <n v="3"/>
    <n v="1"/>
    <x v="3"/>
    <n v="2"/>
    <x v="2"/>
    <n v="2789"/>
    <n v="1"/>
    <s v="No"/>
    <n v="11"/>
    <n v="3"/>
    <n v="1"/>
    <n v="2"/>
    <n v="5"/>
    <n v="2"/>
    <n v="2"/>
    <n v="2"/>
    <x v="3"/>
    <d v="2019-01-01T00:00:00"/>
    <m/>
    <s v="Work Accident"/>
    <s v="WFH"/>
    <n v="0"/>
    <n v="2"/>
    <s v="No"/>
    <s v="Recruiter"/>
    <s v="FullTime"/>
    <n v="330"/>
    <n v="56"/>
    <n v="80"/>
    <n v="3"/>
    <n v="0"/>
    <m/>
    <n v="0"/>
    <n v="1"/>
    <s v="Current Employees"/>
    <s v="No"/>
  </r>
  <r>
    <x v="28"/>
    <s v="Travel_Rarely"/>
    <x v="2"/>
    <n v="2"/>
    <x v="0"/>
    <n v="2"/>
    <n v="2"/>
    <x v="8"/>
    <n v="1"/>
    <x v="1"/>
    <n v="6410"/>
    <n v="3"/>
    <s v="No"/>
    <n v="12"/>
    <n v="3"/>
    <n v="0"/>
    <n v="9"/>
    <n v="1"/>
    <n v="2"/>
    <n v="1"/>
    <n v="0"/>
    <x v="0"/>
    <s v="19-02-2019"/>
    <m/>
    <s v="Salary"/>
    <s v="OFFICE"/>
    <n v="1"/>
    <n v="1"/>
    <s v="Yes"/>
    <s v="Job Portal"/>
    <s v="Contract"/>
    <n v="331"/>
    <n v="62"/>
    <n v="80"/>
    <n v="2"/>
    <n v="1"/>
    <n v="1"/>
    <n v="1"/>
    <n v="0"/>
    <s v="Ex-Employees"/>
    <s v="Yes"/>
  </r>
  <r>
    <x v="28"/>
    <s v="Travel_Rarely"/>
    <x v="0"/>
    <n v="2"/>
    <x v="0"/>
    <n v="3"/>
    <n v="1"/>
    <x v="1"/>
    <n v="4"/>
    <x v="2"/>
    <n v="2695"/>
    <n v="0"/>
    <s v="Yes"/>
    <n v="18"/>
    <n v="3"/>
    <n v="1"/>
    <n v="3"/>
    <n v="2"/>
    <n v="2"/>
    <n v="2"/>
    <n v="2"/>
    <x v="0"/>
    <d v="2019-08-03T00:00:00"/>
    <m/>
    <s v="Better Opportunity"/>
    <s v="WFH"/>
    <n v="2"/>
    <n v="3"/>
    <s v="Yes"/>
    <s v="Job Event"/>
    <s v="Part Time"/>
    <n v="332"/>
    <n v="96"/>
    <n v="80"/>
    <n v="2"/>
    <n v="0"/>
    <m/>
    <n v="0"/>
    <n v="1"/>
    <s v="Current Employees"/>
    <s v="No"/>
  </r>
  <r>
    <x v="14"/>
    <s v="Non-Travel"/>
    <x v="1"/>
    <n v="25"/>
    <x v="1"/>
    <n v="3"/>
    <n v="2"/>
    <x v="4"/>
    <n v="3"/>
    <x v="1"/>
    <n v="4736"/>
    <n v="7"/>
    <s v="Yes"/>
    <n v="12"/>
    <n v="3"/>
    <n v="1"/>
    <n v="4"/>
    <n v="2"/>
    <n v="2"/>
    <n v="2"/>
    <n v="2"/>
    <x v="1"/>
    <s v="29-06-2019"/>
    <m/>
    <s v="Dept.Head"/>
    <s v="OFFICE"/>
    <n v="0"/>
    <n v="3"/>
    <s v="No"/>
    <s v="Walk-in"/>
    <s v="Part Time"/>
    <n v="333"/>
    <n v="100"/>
    <n v="80"/>
    <n v="2"/>
    <n v="0"/>
    <m/>
    <n v="0"/>
    <n v="1"/>
    <s v="Current Employees"/>
    <s v="No"/>
  </r>
  <r>
    <x v="28"/>
    <s v="Travel_Rarely"/>
    <x v="0"/>
    <n v="9"/>
    <x v="0"/>
    <n v="2"/>
    <n v="1"/>
    <x v="1"/>
    <n v="2"/>
    <x v="0"/>
    <n v="2657"/>
    <n v="0"/>
    <s v="Yes"/>
    <n v="16"/>
    <n v="3"/>
    <n v="0"/>
    <n v="3"/>
    <n v="5"/>
    <n v="2"/>
    <n v="2"/>
    <n v="2"/>
    <x v="1"/>
    <s v="16-03-2019"/>
    <m/>
    <s v="Salary"/>
    <s v="WFH"/>
    <n v="5"/>
    <n v="2"/>
    <s v="Yes"/>
    <s v="Recruiter"/>
    <s v="Part Time"/>
    <n v="334"/>
    <n v="36"/>
    <n v="80"/>
    <n v="0"/>
    <n v="0"/>
    <m/>
    <n v="0"/>
    <n v="1"/>
    <s v="Current Employees"/>
    <s v="No"/>
  </r>
  <r>
    <x v="26"/>
    <s v="Travel_Rarely"/>
    <x v="0"/>
    <n v="2"/>
    <x v="1"/>
    <n v="3"/>
    <n v="1"/>
    <x v="1"/>
    <n v="3"/>
    <x v="1"/>
    <n v="2543"/>
    <n v="4"/>
    <s v="No"/>
    <n v="13"/>
    <n v="3"/>
    <n v="1"/>
    <n v="6"/>
    <n v="3"/>
    <n v="2"/>
    <n v="2"/>
    <n v="2"/>
    <x v="1"/>
    <s v="21-05-2019"/>
    <m/>
    <s v="Better Opportunity"/>
    <s v="OFFICE"/>
    <n v="4"/>
    <n v="3"/>
    <s v="Yes"/>
    <s v="Recruiter"/>
    <s v="Contract"/>
    <n v="335"/>
    <n v="62"/>
    <n v="80"/>
    <n v="8"/>
    <n v="0"/>
    <m/>
    <n v="0"/>
    <n v="1"/>
    <s v="Current Employees"/>
    <s v="No"/>
  </r>
  <r>
    <x v="4"/>
    <s v="Travel_Rarely"/>
    <x v="0"/>
    <n v="11"/>
    <x v="1"/>
    <n v="3"/>
    <n v="1"/>
    <x v="1"/>
    <n v="2"/>
    <x v="1"/>
    <n v="2244"/>
    <n v="1"/>
    <s v="No"/>
    <n v="13"/>
    <n v="3"/>
    <n v="1"/>
    <n v="2"/>
    <n v="1"/>
    <n v="2"/>
    <n v="1"/>
    <n v="2"/>
    <x v="2"/>
    <d v="2019-03-06T00:00:00"/>
    <m/>
    <s v="Salary"/>
    <s v="OFFICE"/>
    <n v="4"/>
    <n v="2"/>
    <s v="Yes"/>
    <s v="Job Event"/>
    <s v="Contract"/>
    <n v="336"/>
    <n v="70"/>
    <n v="80"/>
    <n v="0"/>
    <n v="0"/>
    <m/>
    <n v="0"/>
    <n v="1"/>
    <s v="Current Employees"/>
    <s v="No"/>
  </r>
  <r>
    <x v="38"/>
    <s v="Travel_Rarely"/>
    <x v="0"/>
    <n v="3"/>
    <x v="0"/>
    <n v="3"/>
    <n v="1"/>
    <x v="0"/>
    <n v="1"/>
    <x v="1"/>
    <n v="4031"/>
    <n v="5"/>
    <s v="No"/>
    <n v="13"/>
    <n v="3"/>
    <n v="1"/>
    <n v="6"/>
    <n v="5"/>
    <n v="2"/>
    <n v="0"/>
    <n v="2"/>
    <x v="2"/>
    <s v="29-01-2019"/>
    <m/>
    <s v="Work Accident"/>
    <s v="OFFICE"/>
    <n v="2"/>
    <n v="1"/>
    <s v="No"/>
    <s v="Recruiter"/>
    <s v="Contract"/>
    <n v="337"/>
    <n v="73"/>
    <n v="80"/>
    <n v="2"/>
    <n v="0"/>
    <m/>
    <n v="0"/>
    <n v="1"/>
    <s v="Current Employees"/>
    <s v="No"/>
  </r>
  <r>
    <x v="2"/>
    <s v="Travel_Rarely"/>
    <x v="0"/>
    <n v="10"/>
    <x v="0"/>
    <n v="3"/>
    <n v="1"/>
    <x v="1"/>
    <n v="4"/>
    <x v="1"/>
    <n v="2654"/>
    <n v="3"/>
    <s v="No"/>
    <n v="21"/>
    <n v="4"/>
    <n v="2"/>
    <n v="8"/>
    <n v="3"/>
    <n v="2"/>
    <n v="0"/>
    <n v="2"/>
    <x v="1"/>
    <d v="2019-10-03T00:00:00"/>
    <m/>
    <s v="Work Environment"/>
    <s v="WFH"/>
    <n v="2"/>
    <n v="2"/>
    <s v="Yes"/>
    <s v="Walk-in"/>
    <s v="FullTime"/>
    <n v="338"/>
    <n v="63"/>
    <n v="80"/>
    <n v="2"/>
    <n v="0"/>
    <m/>
    <n v="0"/>
    <n v="1"/>
    <s v="Current Employees"/>
    <s v="No"/>
  </r>
  <r>
    <x v="13"/>
    <s v="Travel_Frequently"/>
    <x v="1"/>
    <n v="6"/>
    <x v="1"/>
    <n v="1"/>
    <n v="1"/>
    <x v="3"/>
    <n v="3"/>
    <x v="2"/>
    <n v="2351"/>
    <n v="0"/>
    <s v="No"/>
    <n v="16"/>
    <n v="3"/>
    <n v="1"/>
    <n v="3"/>
    <n v="3"/>
    <n v="2"/>
    <n v="1"/>
    <n v="0"/>
    <x v="2"/>
    <s v="25-05-2019"/>
    <m/>
    <s v="Work Accident"/>
    <s v="WFH"/>
    <n v="1"/>
    <n v="2"/>
    <s v="No"/>
    <s v="Recruiter"/>
    <s v="FullTime"/>
    <n v="339"/>
    <n v="84"/>
    <n v="80"/>
    <n v="9"/>
    <n v="0"/>
    <m/>
    <n v="0"/>
    <n v="1"/>
    <s v="Current Employees"/>
    <s v="No"/>
  </r>
  <r>
    <x v="7"/>
    <s v="Travel_Rarely"/>
    <x v="0"/>
    <n v="25"/>
    <x v="1"/>
    <n v="2"/>
    <n v="1"/>
    <x v="1"/>
    <n v="2"/>
    <x v="1"/>
    <n v="2546"/>
    <n v="5"/>
    <s v="No"/>
    <n v="16"/>
    <n v="3"/>
    <n v="0"/>
    <n v="6"/>
    <n v="2"/>
    <n v="2"/>
    <n v="1"/>
    <n v="1"/>
    <x v="0"/>
    <s v="26-01-2019"/>
    <m/>
    <s v="Dept.Head"/>
    <s v="WFH"/>
    <n v="4"/>
    <n v="3"/>
    <s v="Yes"/>
    <s v="Job Portal"/>
    <s v="FullTime"/>
    <n v="340"/>
    <n v="83"/>
    <n v="80"/>
    <n v="1"/>
    <n v="0"/>
    <m/>
    <n v="0"/>
    <n v="1"/>
    <s v="Current Employees"/>
    <s v="No"/>
  </r>
  <r>
    <x v="22"/>
    <s v="Travel_Frequently"/>
    <x v="0"/>
    <n v="5"/>
    <x v="0"/>
    <n v="3"/>
    <n v="1"/>
    <x v="0"/>
    <n v="3"/>
    <x v="1"/>
    <n v="2093"/>
    <n v="4"/>
    <s v="No"/>
    <n v="17"/>
    <n v="3"/>
    <n v="1"/>
    <n v="8"/>
    <n v="4"/>
    <n v="2"/>
    <n v="2"/>
    <n v="0"/>
    <x v="1"/>
    <s v="19-01-2019"/>
    <m/>
    <s v="Work Environment"/>
    <s v="WFH"/>
    <n v="2"/>
    <n v="1"/>
    <s v="Yes"/>
    <s v="Job Event"/>
    <s v="Contract"/>
    <n v="341"/>
    <n v="77"/>
    <n v="80"/>
    <n v="2"/>
    <n v="0"/>
    <m/>
    <n v="0"/>
    <n v="1"/>
    <s v="Current Employees"/>
    <s v="No"/>
  </r>
  <r>
    <x v="4"/>
    <s v="Travel_Frequently"/>
    <x v="0"/>
    <n v="4"/>
    <x v="0"/>
    <n v="2"/>
    <n v="1"/>
    <x v="0"/>
    <n v="3"/>
    <x v="0"/>
    <n v="3894"/>
    <n v="5"/>
    <s v="No"/>
    <n v="16"/>
    <n v="3"/>
    <n v="0"/>
    <n v="4"/>
    <n v="3"/>
    <n v="2"/>
    <n v="1"/>
    <n v="2"/>
    <x v="1"/>
    <d v="2019-04-03T00:00:00"/>
    <m/>
    <s v="Dept.Head"/>
    <s v="OFFICE"/>
    <n v="2"/>
    <n v="1"/>
    <s v="No"/>
    <s v="Job Event"/>
    <s v="Contract"/>
    <n v="342"/>
    <n v="61"/>
    <n v="80"/>
    <n v="0"/>
    <n v="1"/>
    <n v="1"/>
    <n v="1"/>
    <n v="0"/>
    <s v="Ex-Employees"/>
    <s v="Yes"/>
  </r>
  <r>
    <x v="35"/>
    <s v="Travel_Frequently"/>
    <x v="0"/>
    <n v="18"/>
    <x v="1"/>
    <n v="3"/>
    <n v="3"/>
    <x v="7"/>
    <n v="3"/>
    <x v="1"/>
    <n v="10527"/>
    <n v="5"/>
    <s v="No"/>
    <n v="11"/>
    <n v="3"/>
    <n v="0"/>
    <n v="28"/>
    <n v="3"/>
    <n v="2"/>
    <n v="1"/>
    <n v="2"/>
    <x v="1"/>
    <s v="27-04-2019"/>
    <m/>
    <s v="Better Opportunity"/>
    <s v="WFH"/>
    <n v="1"/>
    <n v="0"/>
    <s v="Yes"/>
    <s v="Job Portal"/>
    <s v="Contract"/>
    <n v="343"/>
    <n v="64"/>
    <n v="80"/>
    <n v="6"/>
    <n v="0"/>
    <m/>
    <n v="0"/>
    <n v="1"/>
    <s v="Current Employees"/>
    <s v="No"/>
  </r>
  <r>
    <x v="19"/>
    <s v="Travel_Frequently"/>
    <x v="1"/>
    <n v="24"/>
    <x v="0"/>
    <n v="3"/>
    <n v="1"/>
    <x v="3"/>
    <n v="4"/>
    <x v="1"/>
    <n v="2400"/>
    <n v="0"/>
    <s v="No"/>
    <n v="13"/>
    <n v="3"/>
    <n v="2"/>
    <n v="3"/>
    <n v="3"/>
    <n v="2"/>
    <n v="2"/>
    <n v="1"/>
    <x v="2"/>
    <d v="2019-04-02T00:00:00"/>
    <m/>
    <s v="Better Opportunity"/>
    <s v="OFFICE"/>
    <n v="2"/>
    <n v="3"/>
    <s v="No"/>
    <s v="Walk-in"/>
    <s v="FullTime"/>
    <n v="346"/>
    <n v="60"/>
    <n v="80"/>
    <n v="5"/>
    <n v="0"/>
    <m/>
    <n v="0"/>
    <n v="1"/>
    <s v="Current Employees"/>
    <s v="No"/>
  </r>
  <r>
    <x v="17"/>
    <s v="Travel_Rarely"/>
    <x v="2"/>
    <n v="1"/>
    <x v="1"/>
    <n v="2"/>
    <n v="2"/>
    <x v="8"/>
    <n v="3"/>
    <x v="0"/>
    <n v="5985"/>
    <n v="4"/>
    <s v="No"/>
    <n v="11"/>
    <n v="3"/>
    <n v="0"/>
    <n v="10"/>
    <n v="1"/>
    <n v="2"/>
    <n v="0"/>
    <n v="2"/>
    <x v="3"/>
    <d v="2019-12-04T00:00:00"/>
    <m/>
    <s v="Work Environment"/>
    <s v="OFFICE"/>
    <n v="0"/>
    <n v="0"/>
    <s v="No"/>
    <s v="Job Event"/>
    <s v="Part Time"/>
    <n v="347"/>
    <n v="82"/>
    <n v="80"/>
    <n v="2"/>
    <n v="0"/>
    <m/>
    <n v="0"/>
    <n v="1"/>
    <s v="Current Employees"/>
    <s v="No"/>
  </r>
  <r>
    <x v="17"/>
    <s v="Travel_Rarely"/>
    <x v="0"/>
    <n v="3"/>
    <x v="0"/>
    <n v="3"/>
    <n v="5"/>
    <x v="5"/>
    <n v="4"/>
    <x v="1"/>
    <n v="19513"/>
    <n v="4"/>
    <s v="Yes"/>
    <n v="12"/>
    <n v="3"/>
    <n v="1"/>
    <n v="26"/>
    <n v="2"/>
    <n v="2"/>
    <n v="0"/>
    <n v="1"/>
    <x v="1"/>
    <d v="2019-01-01T00:00:00"/>
    <m/>
    <s v="Work Environment"/>
    <s v="OFFICE"/>
    <n v="2"/>
    <n v="2"/>
    <s v="No"/>
    <s v="Recruiter"/>
    <s v="FullTime"/>
    <n v="349"/>
    <n v="45"/>
    <n v="80"/>
    <n v="2"/>
    <n v="0"/>
    <m/>
    <n v="0"/>
    <n v="1"/>
    <s v="Current Employees"/>
    <s v="No"/>
  </r>
  <r>
    <x v="4"/>
    <s v="Travel_Rarely"/>
    <x v="0"/>
    <n v="6"/>
    <x v="0"/>
    <n v="3"/>
    <n v="1"/>
    <x v="1"/>
    <n v="3"/>
    <x v="1"/>
    <n v="2773"/>
    <n v="0"/>
    <s v="No"/>
    <n v="20"/>
    <n v="4"/>
    <n v="0"/>
    <n v="3"/>
    <n v="3"/>
    <n v="2"/>
    <n v="2"/>
    <n v="2"/>
    <x v="3"/>
    <s v="30-06-2019"/>
    <m/>
    <s v="Dept.Head"/>
    <s v="OFFICE"/>
    <n v="1"/>
    <n v="1"/>
    <s v="Yes"/>
    <s v="Walk-in"/>
    <s v="FullTime"/>
    <n v="350"/>
    <n v="62"/>
    <n v="80"/>
    <n v="2"/>
    <n v="0"/>
    <m/>
    <n v="0"/>
    <n v="1"/>
    <s v="Current Employees"/>
    <s v="No"/>
  </r>
  <r>
    <x v="10"/>
    <s v="Travel_Rarely"/>
    <x v="1"/>
    <n v="2"/>
    <x v="0"/>
    <n v="4"/>
    <n v="2"/>
    <x v="4"/>
    <n v="2"/>
    <x v="1"/>
    <n v="8120"/>
    <n v="3"/>
    <s v="No"/>
    <n v="12"/>
    <n v="3"/>
    <n v="0"/>
    <n v="12"/>
    <n v="3"/>
    <n v="2"/>
    <n v="2"/>
    <n v="2"/>
    <x v="1"/>
    <s v="15-05-2019"/>
    <m/>
    <s v="Salary"/>
    <s v="OFFICE"/>
    <n v="4"/>
    <n v="1"/>
    <s v="No"/>
    <s v="Walk-in"/>
    <s v="Part Time"/>
    <n v="351"/>
    <n v="56"/>
    <n v="80"/>
    <n v="6"/>
    <n v="0"/>
    <m/>
    <n v="0"/>
    <n v="1"/>
    <s v="Current Employees"/>
    <s v="No"/>
  </r>
  <r>
    <x v="19"/>
    <s v="Travel_Rarely"/>
    <x v="1"/>
    <n v="3"/>
    <x v="1"/>
    <n v="3"/>
    <n v="2"/>
    <x v="4"/>
    <n v="3"/>
    <x v="0"/>
    <n v="4577"/>
    <n v="9"/>
    <s v="No"/>
    <n v="14"/>
    <n v="3"/>
    <n v="0"/>
    <n v="4"/>
    <n v="3"/>
    <n v="2"/>
    <n v="2"/>
    <n v="0"/>
    <x v="3"/>
    <d v="2019-01-03T00:00:00"/>
    <m/>
    <s v="Salary"/>
    <s v="OFFICE"/>
    <n v="3"/>
    <n v="0"/>
    <s v="No"/>
    <s v="Job Event"/>
    <s v="Contract"/>
    <n v="352"/>
    <n v="49"/>
    <n v="80"/>
    <n v="7"/>
    <n v="0"/>
    <m/>
    <n v="0"/>
    <n v="1"/>
    <s v="Current Employees"/>
    <s v="No"/>
  </r>
  <r>
    <x v="40"/>
    <s v="Travel_Rarely"/>
    <x v="1"/>
    <n v="16"/>
    <x v="0"/>
    <n v="3"/>
    <n v="2"/>
    <x v="4"/>
    <n v="1"/>
    <x v="0"/>
    <n v="5405"/>
    <n v="8"/>
    <s v="No"/>
    <n v="14"/>
    <n v="3"/>
    <n v="0"/>
    <n v="10"/>
    <n v="1"/>
    <n v="2"/>
    <n v="2"/>
    <n v="2"/>
    <x v="2"/>
    <d v="2019-09-01T00:00:00"/>
    <m/>
    <s v="Work Accident"/>
    <s v="WFH"/>
    <n v="1"/>
    <n v="1"/>
    <s v="Yes"/>
    <s v="Job Portal"/>
    <s v="FullTime"/>
    <n v="353"/>
    <n v="96"/>
    <n v="80"/>
    <n v="0"/>
    <n v="0"/>
    <m/>
    <n v="0"/>
    <n v="1"/>
    <s v="Current Employees"/>
    <s v="No"/>
  </r>
  <r>
    <x v="16"/>
    <s v="Travel_Rarely"/>
    <x v="1"/>
    <n v="8"/>
    <x v="0"/>
    <n v="3"/>
    <n v="1"/>
    <x v="3"/>
    <n v="2"/>
    <x v="1"/>
    <n v="3875"/>
    <n v="7"/>
    <s v="No"/>
    <n v="15"/>
    <n v="3"/>
    <n v="1"/>
    <n v="4"/>
    <n v="2"/>
    <n v="2"/>
    <n v="2"/>
    <n v="2"/>
    <x v="0"/>
    <s v="27-04-2019"/>
    <m/>
    <s v="Work Environment"/>
    <s v="WFH"/>
    <n v="3"/>
    <n v="1"/>
    <s v="No"/>
    <s v="Job Portal"/>
    <s v="Part Time"/>
    <n v="355"/>
    <n v="71"/>
    <n v="80"/>
    <n v="4"/>
    <n v="1"/>
    <n v="1"/>
    <n v="1"/>
    <n v="0"/>
    <s v="Ex-Employees"/>
    <s v="Yes"/>
  </r>
  <r>
    <x v="22"/>
    <s v="Travel_Frequently"/>
    <x v="0"/>
    <n v="19"/>
    <x v="0"/>
    <n v="4"/>
    <n v="1"/>
    <x v="1"/>
    <n v="3"/>
    <x v="2"/>
    <n v="2759"/>
    <n v="6"/>
    <s v="Yes"/>
    <n v="12"/>
    <n v="3"/>
    <n v="0"/>
    <n v="7"/>
    <n v="2"/>
    <n v="2"/>
    <n v="2"/>
    <n v="2"/>
    <x v="1"/>
    <d v="2019-08-02T00:00:00"/>
    <m/>
    <s v="Work Environment"/>
    <s v="OFFICE"/>
    <n v="4"/>
    <n v="0"/>
    <s v="Yes"/>
    <s v="Job Portal"/>
    <s v="FullTime"/>
    <n v="359"/>
    <n v="100"/>
    <n v="80"/>
    <n v="1"/>
    <n v="0"/>
    <m/>
    <n v="0"/>
    <n v="1"/>
    <s v="Current Employees"/>
    <s v="No"/>
  </r>
  <r>
    <x v="34"/>
    <s v="Travel_Frequently"/>
    <x v="1"/>
    <n v="15"/>
    <x v="0"/>
    <n v="2"/>
    <n v="2"/>
    <x v="4"/>
    <n v="4"/>
    <x v="1"/>
    <n v="6804"/>
    <n v="3"/>
    <s v="No"/>
    <n v="18"/>
    <n v="3"/>
    <n v="1"/>
    <n v="7"/>
    <n v="5"/>
    <n v="2"/>
    <n v="2"/>
    <n v="2"/>
    <x v="3"/>
    <d v="2019-04-03T00:00:00"/>
    <m/>
    <s v="Salary"/>
    <s v="WFH"/>
    <n v="5"/>
    <n v="2"/>
    <s v="Yes"/>
    <s v="Walk-in"/>
    <s v="FullTime"/>
    <n v="361"/>
    <n v="39"/>
    <n v="80"/>
    <n v="7"/>
    <n v="0"/>
    <m/>
    <n v="0"/>
    <n v="1"/>
    <s v="Current Employees"/>
    <s v="No"/>
  </r>
  <r>
    <x v="7"/>
    <s v="Travel_Rarely"/>
    <x v="1"/>
    <n v="10"/>
    <x v="0"/>
    <n v="3"/>
    <n v="1"/>
    <x v="3"/>
    <n v="2"/>
    <x v="2"/>
    <n v="2297"/>
    <n v="1"/>
    <s v="No"/>
    <n v="14"/>
    <n v="3"/>
    <n v="2"/>
    <n v="2"/>
    <n v="2"/>
    <n v="2"/>
    <n v="2"/>
    <n v="2"/>
    <x v="0"/>
    <s v="13-01-2019"/>
    <m/>
    <s v="Work Environment"/>
    <s v="WFH"/>
    <n v="5"/>
    <n v="2"/>
    <s v="No"/>
    <s v="Walk-in"/>
    <s v="FullTime"/>
    <n v="362"/>
    <n v="84"/>
    <n v="80"/>
    <n v="2"/>
    <n v="0"/>
    <m/>
    <n v="0"/>
    <n v="1"/>
    <s v="Current Employees"/>
    <s v="No"/>
  </r>
  <r>
    <x v="42"/>
    <s v="Travel_Rarely"/>
    <x v="0"/>
    <n v="6"/>
    <x v="0"/>
    <n v="3"/>
    <n v="2"/>
    <x v="0"/>
    <n v="4"/>
    <x v="0"/>
    <n v="2450"/>
    <n v="2"/>
    <s v="No"/>
    <n v="17"/>
    <n v="3"/>
    <n v="0"/>
    <n v="19"/>
    <n v="4"/>
    <n v="2"/>
    <n v="2"/>
    <n v="2"/>
    <x v="2"/>
    <s v="26-05-2019"/>
    <m/>
    <s v="Dept.Head"/>
    <s v="OFFICE"/>
    <n v="5"/>
    <n v="3"/>
    <s v="Yes"/>
    <s v="Walk-in"/>
    <s v="FullTime"/>
    <n v="363"/>
    <n v="75"/>
    <n v="80"/>
    <n v="7"/>
    <n v="0"/>
    <m/>
    <n v="0"/>
    <n v="1"/>
    <s v="Current Employees"/>
    <s v="No"/>
  </r>
  <r>
    <x v="3"/>
    <s v="Travel_Rarely"/>
    <x v="0"/>
    <n v="10"/>
    <x v="0"/>
    <n v="4"/>
    <n v="1"/>
    <x v="1"/>
    <n v="3"/>
    <x v="0"/>
    <n v="3505"/>
    <n v="1"/>
    <s v="No"/>
    <n v="18"/>
    <n v="3"/>
    <n v="0"/>
    <n v="2"/>
    <n v="3"/>
    <n v="2"/>
    <n v="0"/>
    <n v="2"/>
    <x v="1"/>
    <s v="19-04-2019"/>
    <m/>
    <s v="Better Opportunity"/>
    <s v="OFFICE"/>
    <n v="2"/>
    <n v="0"/>
    <s v="No"/>
    <s v="Recruiter"/>
    <s v="Contract"/>
    <n v="364"/>
    <n v="79"/>
    <n v="80"/>
    <n v="0"/>
    <n v="1"/>
    <n v="1"/>
    <n v="1"/>
    <n v="0"/>
    <s v="Ex-Employees"/>
    <s v="Yes"/>
  </r>
  <r>
    <x v="11"/>
    <s v="Travel_Frequently"/>
    <x v="0"/>
    <n v="1"/>
    <x v="1"/>
    <n v="1"/>
    <n v="1"/>
    <x v="0"/>
    <n v="4"/>
    <x v="2"/>
    <n v="4364"/>
    <n v="3"/>
    <s v="No"/>
    <n v="14"/>
    <n v="3"/>
    <n v="1"/>
    <n v="5"/>
    <n v="2"/>
    <n v="2"/>
    <n v="2"/>
    <n v="0"/>
    <x v="2"/>
    <s v="23-04-2019"/>
    <m/>
    <s v="Dept.Head"/>
    <s v="WFH"/>
    <n v="5"/>
    <n v="2"/>
    <s v="Yes"/>
    <s v="Job Portal"/>
    <s v="Contract"/>
    <n v="366"/>
    <n v="78"/>
    <n v="80"/>
    <n v="0"/>
    <n v="0"/>
    <m/>
    <n v="0"/>
    <n v="1"/>
    <s v="Current Employees"/>
    <s v="No"/>
  </r>
  <r>
    <x v="14"/>
    <s v="Travel_Rarely"/>
    <x v="0"/>
    <n v="1"/>
    <x v="0"/>
    <n v="1"/>
    <n v="1"/>
    <x v="0"/>
    <n v="3"/>
    <x v="1"/>
    <n v="3833"/>
    <n v="3"/>
    <s v="No"/>
    <n v="21"/>
    <n v="4"/>
    <n v="2"/>
    <n v="7"/>
    <n v="2"/>
    <n v="2"/>
    <n v="0"/>
    <n v="2"/>
    <x v="3"/>
    <s v="27-02-2019"/>
    <m/>
    <s v="Work Environment"/>
    <s v="OFFICE"/>
    <n v="0"/>
    <n v="2"/>
    <s v="Yes"/>
    <s v="Recruiter"/>
    <s v="FullTime"/>
    <n v="367"/>
    <n v="64"/>
    <n v="80"/>
    <n v="0"/>
    <n v="0"/>
    <m/>
    <n v="0"/>
    <n v="1"/>
    <s v="Current Employees"/>
    <s v="No"/>
  </r>
  <r>
    <x v="27"/>
    <s v="Travel_Rarely"/>
    <x v="0"/>
    <n v="1"/>
    <x v="1"/>
    <n v="4"/>
    <n v="1"/>
    <x v="1"/>
    <n v="3"/>
    <x v="0"/>
    <n v="2506"/>
    <n v="3"/>
    <s v="No"/>
    <n v="13"/>
    <n v="3"/>
    <n v="0"/>
    <n v="7"/>
    <n v="0"/>
    <n v="2"/>
    <n v="2"/>
    <n v="2"/>
    <x v="2"/>
    <d v="2019-12-01T00:00:00"/>
    <m/>
    <s v="Work Accident"/>
    <s v="OFFICE"/>
    <n v="3"/>
    <n v="3"/>
    <s v="Yes"/>
    <s v="Recruiter"/>
    <s v="Part Time"/>
    <n v="369"/>
    <n v="85"/>
    <n v="80"/>
    <n v="3"/>
    <n v="0"/>
    <m/>
    <n v="0"/>
    <n v="1"/>
    <s v="Current Employees"/>
    <s v="No"/>
  </r>
  <r>
    <x v="6"/>
    <s v="Travel_Rarely"/>
    <x v="0"/>
    <n v="2"/>
    <x v="0"/>
    <n v="3"/>
    <n v="1"/>
    <x v="1"/>
    <n v="3"/>
    <x v="0"/>
    <n v="4382"/>
    <n v="6"/>
    <s v="No"/>
    <n v="17"/>
    <n v="3"/>
    <n v="0"/>
    <n v="5"/>
    <n v="3"/>
    <n v="2"/>
    <n v="2"/>
    <n v="1"/>
    <x v="2"/>
    <s v="22-06-2019"/>
    <m/>
    <s v="Better Opportunity"/>
    <s v="WFH"/>
    <n v="0"/>
    <n v="2"/>
    <s v="No"/>
    <s v="Walk-in"/>
    <s v="Contract"/>
    <n v="372"/>
    <n v="79"/>
    <n v="80"/>
    <n v="7"/>
    <n v="0"/>
    <m/>
    <n v="0"/>
    <n v="1"/>
    <s v="Current Employees"/>
    <s v="No"/>
  </r>
  <r>
    <x v="4"/>
    <s v="Travel_Rarely"/>
    <x v="0"/>
    <n v="1"/>
    <x v="0"/>
    <n v="2"/>
    <n v="2"/>
    <x v="6"/>
    <n v="4"/>
    <x v="1"/>
    <n v="4775"/>
    <n v="6"/>
    <s v="No"/>
    <n v="22"/>
    <n v="4"/>
    <n v="2"/>
    <n v="4"/>
    <n v="2"/>
    <n v="2"/>
    <n v="2"/>
    <n v="2"/>
    <x v="0"/>
    <s v="22-03-2019"/>
    <m/>
    <s v="Better Opportunity"/>
    <s v="OFFICE"/>
    <n v="3"/>
    <n v="2"/>
    <s v="Yes"/>
    <s v="Job Portal"/>
    <s v="Contract"/>
    <n v="373"/>
    <n v="47"/>
    <n v="80"/>
    <n v="13"/>
    <n v="0"/>
    <m/>
    <n v="0"/>
    <n v="1"/>
    <s v="Current Employees"/>
    <s v="No"/>
  </r>
  <r>
    <x v="22"/>
    <s v="Travel_Frequently"/>
    <x v="0"/>
    <n v="2"/>
    <x v="0"/>
    <n v="3"/>
    <n v="1"/>
    <x v="1"/>
    <n v="4"/>
    <x v="0"/>
    <n v="2515"/>
    <n v="5"/>
    <s v="Yes"/>
    <n v="14"/>
    <n v="3"/>
    <n v="0"/>
    <n v="8"/>
    <n v="2"/>
    <n v="2"/>
    <n v="2"/>
    <n v="2"/>
    <x v="3"/>
    <d v="2019-12-01T00:00:00"/>
    <m/>
    <s v="Salary"/>
    <s v="WFH"/>
    <n v="1"/>
    <n v="3"/>
    <s v="No"/>
    <s v="Recruiter"/>
    <s v="Contract"/>
    <n v="374"/>
    <n v="81"/>
    <n v="80"/>
    <n v="10"/>
    <n v="0"/>
    <m/>
    <n v="0"/>
    <n v="1"/>
    <s v="Current Employees"/>
    <s v="No"/>
  </r>
  <r>
    <x v="12"/>
    <s v="Travel_Rarely"/>
    <x v="1"/>
    <n v="9"/>
    <x v="0"/>
    <n v="2"/>
    <n v="1"/>
    <x v="3"/>
    <n v="2"/>
    <x v="1"/>
    <n v="2899"/>
    <n v="0"/>
    <s v="No"/>
    <n v="19"/>
    <n v="3"/>
    <n v="1"/>
    <n v="3"/>
    <n v="3"/>
    <n v="2"/>
    <n v="1"/>
    <n v="2"/>
    <x v="0"/>
    <s v="24-02-2019"/>
    <m/>
    <s v="Work Accident"/>
    <s v="WFH"/>
    <n v="4"/>
    <n v="0"/>
    <s v="Yes"/>
    <s v="Walk-in"/>
    <s v="Part Time"/>
    <n v="376"/>
    <n v="88"/>
    <n v="80"/>
    <n v="7"/>
    <n v="1"/>
    <n v="1"/>
    <n v="1"/>
    <n v="0"/>
    <s v="Ex-Employees"/>
    <s v="Yes"/>
  </r>
  <r>
    <x v="42"/>
    <s v="Travel_Rarely"/>
    <x v="1"/>
    <n v="8"/>
    <x v="0"/>
    <n v="3"/>
    <n v="4"/>
    <x v="4"/>
    <n v="4"/>
    <x v="1"/>
    <n v="11836"/>
    <n v="5"/>
    <s v="No"/>
    <n v="14"/>
    <n v="3"/>
    <n v="1"/>
    <n v="28"/>
    <n v="3"/>
    <n v="2"/>
    <n v="2"/>
    <n v="2"/>
    <x v="0"/>
    <d v="2019-03-03T00:00:00"/>
    <m/>
    <s v="Work Environment"/>
    <s v="WFH"/>
    <n v="3"/>
    <n v="0"/>
    <s v="Yes"/>
    <s v="Recruiter"/>
    <s v="FullTime"/>
    <n v="377"/>
    <n v="94"/>
    <n v="80"/>
    <n v="2"/>
    <n v="0"/>
    <m/>
    <n v="0"/>
    <n v="1"/>
    <s v="Current Employees"/>
    <s v="No"/>
  </r>
  <r>
    <x v="30"/>
    <s v="Travel_Rarely"/>
    <x v="1"/>
    <n v="2"/>
    <x v="1"/>
    <n v="2"/>
    <n v="1"/>
    <x v="3"/>
    <n v="3"/>
    <x v="0"/>
    <n v="2044"/>
    <n v="1"/>
    <s v="No"/>
    <n v="13"/>
    <n v="3"/>
    <n v="0"/>
    <n v="2"/>
    <n v="3"/>
    <n v="2"/>
    <n v="0"/>
    <n v="2"/>
    <x v="3"/>
    <s v="18-06-2019"/>
    <m/>
    <s v="Salary"/>
    <s v="WFH"/>
    <n v="5"/>
    <n v="3"/>
    <s v="Yes"/>
    <s v="Walk-in"/>
    <s v="FullTime"/>
    <n v="378"/>
    <n v="98"/>
    <n v="80"/>
    <n v="4"/>
    <n v="0"/>
    <m/>
    <n v="0"/>
    <n v="1"/>
    <s v="Current Employees"/>
    <s v="No"/>
  </r>
  <r>
    <x v="6"/>
    <s v="Travel_Rarely"/>
    <x v="0"/>
    <n v="9"/>
    <x v="1"/>
    <n v="3"/>
    <n v="1"/>
    <x v="1"/>
    <n v="3"/>
    <x v="2"/>
    <n v="2377"/>
    <n v="5"/>
    <s v="No"/>
    <n v="18"/>
    <n v="3"/>
    <n v="1"/>
    <n v="6"/>
    <n v="2"/>
    <n v="2"/>
    <n v="2"/>
    <n v="2"/>
    <x v="0"/>
    <s v="20-04-2019"/>
    <m/>
    <s v="Dept.Head"/>
    <s v="WFH"/>
    <n v="1"/>
    <n v="0"/>
    <s v="No"/>
    <s v="Walk-in"/>
    <s v="FullTime"/>
    <n v="379"/>
    <n v="100"/>
    <n v="80"/>
    <n v="2"/>
    <n v="0"/>
    <m/>
    <n v="0"/>
    <n v="1"/>
    <s v="Current Employees"/>
    <s v="No"/>
  </r>
  <r>
    <x v="25"/>
    <s v="Travel_Rarely"/>
    <x v="0"/>
    <n v="6"/>
    <x v="0"/>
    <n v="3"/>
    <n v="1"/>
    <x v="0"/>
    <n v="1"/>
    <x v="1"/>
    <n v="2404"/>
    <n v="7"/>
    <s v="Yes"/>
    <n v="21"/>
    <n v="4"/>
    <n v="0"/>
    <n v="8"/>
    <n v="2"/>
    <n v="2"/>
    <n v="2"/>
    <n v="2"/>
    <x v="1"/>
    <s v="24-03-2019"/>
    <m/>
    <s v="Salary"/>
    <s v="WFH"/>
    <n v="0"/>
    <n v="3"/>
    <s v="Yes"/>
    <s v="Walk-in"/>
    <s v="FullTime"/>
    <n v="380"/>
    <n v="80"/>
    <n v="80"/>
    <n v="2"/>
    <n v="0"/>
    <m/>
    <n v="0"/>
    <n v="1"/>
    <s v="Current Employees"/>
    <s v="No"/>
  </r>
  <r>
    <x v="15"/>
    <s v="Travel_Rarely"/>
    <x v="0"/>
    <n v="16"/>
    <x v="1"/>
    <n v="3"/>
    <n v="1"/>
    <x v="0"/>
    <n v="2"/>
    <x v="1"/>
    <n v="2811"/>
    <n v="9"/>
    <s v="No"/>
    <n v="14"/>
    <n v="3"/>
    <n v="1"/>
    <n v="4"/>
    <n v="2"/>
    <n v="2"/>
    <n v="2"/>
    <n v="2"/>
    <x v="0"/>
    <s v="24-06-2019"/>
    <m/>
    <s v="Work Environment"/>
    <s v="WFH"/>
    <n v="5"/>
    <n v="2"/>
    <s v="Yes"/>
    <s v="Job Portal"/>
    <s v="Part Time"/>
    <n v="381"/>
    <n v="71"/>
    <n v="80"/>
    <n v="7"/>
    <n v="0"/>
    <m/>
    <n v="0"/>
    <n v="1"/>
    <s v="Current Employees"/>
    <s v="No"/>
  </r>
  <r>
    <x v="12"/>
    <s v="Travel_Frequently"/>
    <x v="0"/>
    <n v="10"/>
    <x v="0"/>
    <n v="3"/>
    <n v="1"/>
    <x v="1"/>
    <n v="3"/>
    <x v="1"/>
    <n v="2684"/>
    <n v="0"/>
    <s v="No"/>
    <n v="17"/>
    <n v="3"/>
    <n v="1"/>
    <n v="3"/>
    <n v="0"/>
    <n v="2"/>
    <n v="0"/>
    <n v="2"/>
    <x v="2"/>
    <d v="2019-02-03T00:00:00"/>
    <m/>
    <s v="Salary"/>
    <s v="WFH"/>
    <n v="3"/>
    <n v="1"/>
    <s v="No"/>
    <s v="Job Portal"/>
    <s v="Part Time"/>
    <n v="382"/>
    <n v="44"/>
    <n v="80"/>
    <n v="0"/>
    <n v="0"/>
    <m/>
    <n v="0"/>
    <n v="1"/>
    <s v="Current Employees"/>
    <s v="No"/>
  </r>
  <r>
    <x v="10"/>
    <s v="Travel_Rarely"/>
    <x v="0"/>
    <n v="6"/>
    <x v="0"/>
    <n v="2"/>
    <n v="2"/>
    <x v="7"/>
    <n v="3"/>
    <x v="0"/>
    <n v="4240"/>
    <n v="2"/>
    <s v="No"/>
    <n v="13"/>
    <n v="3"/>
    <n v="0"/>
    <n v="19"/>
    <n v="0"/>
    <n v="2"/>
    <n v="2"/>
    <n v="2"/>
    <x v="3"/>
    <s v="20-06-2019"/>
    <m/>
    <s v="Salary"/>
    <s v="WFH"/>
    <n v="2"/>
    <n v="3"/>
    <s v="No"/>
    <s v="Walk-in"/>
    <s v="FullTime"/>
    <n v="384"/>
    <n v="84"/>
    <n v="80"/>
    <n v="5"/>
    <n v="0"/>
    <m/>
    <n v="0"/>
    <n v="1"/>
    <s v="Current Employees"/>
    <s v="No"/>
  </r>
  <r>
    <x v="33"/>
    <s v="Travel_Rarely"/>
    <x v="0"/>
    <n v="7"/>
    <x v="1"/>
    <n v="3"/>
    <n v="2"/>
    <x v="6"/>
    <n v="3"/>
    <x v="0"/>
    <n v="5003"/>
    <n v="6"/>
    <s v="No"/>
    <n v="14"/>
    <n v="3"/>
    <n v="0"/>
    <n v="8"/>
    <n v="6"/>
    <n v="2"/>
    <n v="2"/>
    <n v="1"/>
    <x v="0"/>
    <d v="2019-09-04T00:00:00"/>
    <m/>
    <s v="Dept.Head"/>
    <s v="WFH"/>
    <n v="4"/>
    <n v="2"/>
    <s v="No"/>
    <s v="Job Event"/>
    <s v="Part Time"/>
    <n v="385"/>
    <n v="96"/>
    <n v="80"/>
    <n v="4"/>
    <n v="0"/>
    <m/>
    <n v="0"/>
    <n v="1"/>
    <s v="Current Employees"/>
    <s v="No"/>
  </r>
  <r>
    <x v="11"/>
    <s v="Non-Travel"/>
    <x v="1"/>
    <n v="29"/>
    <x v="0"/>
    <n v="1"/>
    <n v="2"/>
    <x v="4"/>
    <n v="1"/>
    <x v="0"/>
    <n v="4969"/>
    <n v="8"/>
    <s v="No"/>
    <n v="18"/>
    <n v="3"/>
    <n v="0"/>
    <n v="7"/>
    <n v="6"/>
    <n v="2"/>
    <n v="2"/>
    <n v="2"/>
    <x v="0"/>
    <d v="2019-11-01T00:00:00"/>
    <m/>
    <s v="Dept.Head"/>
    <s v="OFFICE"/>
    <n v="5"/>
    <n v="0"/>
    <s v="Yes"/>
    <s v="Job Portal"/>
    <s v="Contract"/>
    <n v="386"/>
    <n v="45"/>
    <n v="80"/>
    <n v="3"/>
    <n v="0"/>
    <m/>
    <n v="0"/>
    <n v="1"/>
    <s v="Current Employees"/>
    <s v="No"/>
  </r>
  <r>
    <x v="20"/>
    <s v="Non-Travel"/>
    <x v="1"/>
    <n v="8"/>
    <x v="1"/>
    <n v="2"/>
    <n v="1"/>
    <x v="3"/>
    <n v="4"/>
    <x v="0"/>
    <n v="2342"/>
    <n v="0"/>
    <s v="No"/>
    <n v="19"/>
    <n v="3"/>
    <n v="0"/>
    <n v="3"/>
    <n v="2"/>
    <n v="2"/>
    <n v="2"/>
    <n v="2"/>
    <x v="1"/>
    <s v="19-06-2019"/>
    <m/>
    <s v="Work Environment"/>
    <s v="OFFICE"/>
    <n v="5"/>
    <n v="3"/>
    <s v="Yes"/>
    <s v="Recruiter"/>
    <s v="Part Time"/>
    <n v="387"/>
    <n v="99"/>
    <n v="80"/>
    <n v="16"/>
    <n v="0"/>
    <m/>
    <n v="0"/>
    <n v="1"/>
    <s v="Current Employees"/>
    <s v="No"/>
  </r>
  <r>
    <x v="12"/>
    <s v="Travel_Frequently"/>
    <x v="0"/>
    <n v="3"/>
    <x v="0"/>
    <n v="3"/>
    <n v="1"/>
    <x v="1"/>
    <n v="3"/>
    <x v="1"/>
    <n v="2821"/>
    <n v="3"/>
    <s v="No"/>
    <n v="16"/>
    <n v="3"/>
    <n v="1"/>
    <n v="8"/>
    <n v="2"/>
    <n v="2"/>
    <n v="2"/>
    <n v="2"/>
    <x v="3"/>
    <s v="19-03-2019"/>
    <m/>
    <s v="Work Environment"/>
    <s v="WFH"/>
    <n v="4"/>
    <n v="1"/>
    <s v="No"/>
    <s v="Recruiter"/>
    <s v="FullTime"/>
    <n v="388"/>
    <n v="44"/>
    <n v="80"/>
    <n v="7"/>
    <n v="0"/>
    <m/>
    <n v="0"/>
    <n v="1"/>
    <s v="Current Employees"/>
    <s v="No"/>
  </r>
  <r>
    <x v="35"/>
    <s v="Travel_Rarely"/>
    <x v="0"/>
    <n v="1"/>
    <x v="0"/>
    <n v="3"/>
    <n v="5"/>
    <x v="2"/>
    <n v="4"/>
    <x v="2"/>
    <n v="19627"/>
    <n v="9"/>
    <s v="No"/>
    <n v="17"/>
    <n v="3"/>
    <n v="2"/>
    <n v="23"/>
    <n v="0"/>
    <n v="2"/>
    <n v="2"/>
    <n v="2"/>
    <x v="3"/>
    <s v="29-05-2019"/>
    <m/>
    <s v="Work Accident"/>
    <s v="WFH"/>
    <n v="0"/>
    <n v="1"/>
    <s v="No"/>
    <s v="Job Event"/>
    <s v="FullTime"/>
    <n v="389"/>
    <n v="37"/>
    <n v="80"/>
    <n v="7"/>
    <n v="0"/>
    <m/>
    <n v="0"/>
    <n v="1"/>
    <s v="Current Employees"/>
    <s v="No"/>
  </r>
  <r>
    <x v="30"/>
    <s v="Travel_Frequently"/>
    <x v="1"/>
    <n v="9"/>
    <x v="1"/>
    <n v="3"/>
    <n v="1"/>
    <x v="3"/>
    <n v="4"/>
    <x v="0"/>
    <n v="2323"/>
    <n v="1"/>
    <s v="Yes"/>
    <n v="14"/>
    <n v="3"/>
    <n v="0"/>
    <n v="2"/>
    <n v="3"/>
    <n v="2"/>
    <n v="0"/>
    <n v="2"/>
    <x v="2"/>
    <s v="22-01-2019"/>
    <m/>
    <s v="Work Environment"/>
    <s v="WFH"/>
    <n v="1"/>
    <n v="2"/>
    <s v="No"/>
    <s v="Recruiter"/>
    <s v="Part Time"/>
    <n v="390"/>
    <n v="60"/>
    <n v="80"/>
    <n v="3"/>
    <n v="0"/>
    <m/>
    <n v="0"/>
    <n v="1"/>
    <s v="Current Employees"/>
    <s v="No"/>
  </r>
  <r>
    <x v="20"/>
    <s v="Travel_Rarely"/>
    <x v="0"/>
    <n v="25"/>
    <x v="0"/>
    <n v="2"/>
    <n v="1"/>
    <x v="1"/>
    <n v="2"/>
    <x v="0"/>
    <n v="2313"/>
    <n v="4"/>
    <s v="Yes"/>
    <n v="20"/>
    <n v="4"/>
    <n v="0"/>
    <n v="5"/>
    <n v="0"/>
    <n v="2"/>
    <n v="2"/>
    <n v="2"/>
    <x v="0"/>
    <d v="2019-05-01T00:00:00"/>
    <m/>
    <s v="Dept.Head"/>
    <s v="WFH"/>
    <n v="2"/>
    <n v="1"/>
    <s v="No"/>
    <s v="Job Event"/>
    <s v="Contract"/>
    <n v="391"/>
    <n v="42"/>
    <n v="80"/>
    <n v="12"/>
    <n v="0"/>
    <m/>
    <n v="0"/>
    <n v="1"/>
    <s v="Current Employees"/>
    <s v="No"/>
  </r>
  <r>
    <x v="1"/>
    <s v="Travel_Rarely"/>
    <x v="0"/>
    <n v="1"/>
    <x v="1"/>
    <n v="2"/>
    <n v="1"/>
    <x v="1"/>
    <n v="2"/>
    <x v="0"/>
    <n v="2070"/>
    <n v="1"/>
    <s v="Yes"/>
    <n v="11"/>
    <n v="3"/>
    <n v="0"/>
    <n v="2"/>
    <n v="6"/>
    <n v="2"/>
    <n v="2"/>
    <n v="2"/>
    <x v="3"/>
    <d v="2019-06-05T00:00:00"/>
    <m/>
    <s v="Salary"/>
    <s v="WFH"/>
    <n v="4"/>
    <n v="2"/>
    <s v="Yes"/>
    <s v="Recruiter"/>
    <s v="Contract"/>
    <n v="392"/>
    <n v="43"/>
    <n v="80"/>
    <n v="0"/>
    <n v="1"/>
    <n v="1"/>
    <n v="1"/>
    <n v="0"/>
    <s v="Ex-Employees"/>
    <s v="Yes"/>
  </r>
  <r>
    <x v="28"/>
    <s v="Travel_Frequently"/>
    <x v="1"/>
    <n v="20"/>
    <x v="0"/>
    <n v="4"/>
    <n v="1"/>
    <x v="3"/>
    <n v="4"/>
    <x v="1"/>
    <n v="2791"/>
    <n v="0"/>
    <s v="No"/>
    <n v="12"/>
    <n v="3"/>
    <n v="1"/>
    <n v="3"/>
    <n v="4"/>
    <n v="2"/>
    <n v="2"/>
    <n v="2"/>
    <x v="3"/>
    <s v="21-02-2019"/>
    <m/>
    <s v="Work Accident"/>
    <s v="WFH"/>
    <n v="5"/>
    <n v="2"/>
    <s v="No"/>
    <s v="Job Event"/>
    <s v="FullTime"/>
    <n v="393"/>
    <n v="82"/>
    <n v="80"/>
    <n v="2"/>
    <n v="0"/>
    <m/>
    <n v="0"/>
    <n v="1"/>
    <s v="Current Employees"/>
    <s v="No"/>
  </r>
  <r>
    <x v="28"/>
    <s v="Travel_Frequently"/>
    <x v="0"/>
    <n v="15"/>
    <x v="0"/>
    <n v="3"/>
    <n v="1"/>
    <x v="0"/>
    <n v="3"/>
    <x v="1"/>
    <n v="2610"/>
    <n v="1"/>
    <s v="No"/>
    <n v="12"/>
    <n v="3"/>
    <n v="1"/>
    <n v="2"/>
    <n v="5"/>
    <n v="2"/>
    <n v="2"/>
    <n v="2"/>
    <x v="0"/>
    <s v="13-05-2019"/>
    <m/>
    <s v="Dept.Head"/>
    <s v="WFH"/>
    <n v="3"/>
    <n v="3"/>
    <s v="No"/>
    <s v="Job Portal"/>
    <s v="FullTime"/>
    <n v="394"/>
    <n v="45"/>
    <n v="80"/>
    <n v="2"/>
    <n v="1"/>
    <n v="1"/>
    <n v="1"/>
    <n v="0"/>
    <s v="Ex-Employees"/>
    <s v="Yes"/>
  </r>
  <r>
    <x v="27"/>
    <s v="Travel_Frequently"/>
    <x v="0"/>
    <n v="4"/>
    <x v="0"/>
    <n v="2"/>
    <n v="1"/>
    <x v="0"/>
    <n v="4"/>
    <x v="1"/>
    <n v="2376"/>
    <n v="1"/>
    <s v="No"/>
    <n v="13"/>
    <n v="3"/>
    <n v="1"/>
    <n v="2"/>
    <n v="2"/>
    <n v="2"/>
    <n v="2"/>
    <n v="2"/>
    <x v="3"/>
    <d v="2019-11-03T00:00:00"/>
    <m/>
    <s v="Dept.Head"/>
    <s v="WFH"/>
    <n v="5"/>
    <n v="2"/>
    <s v="No"/>
    <s v="Recruiter"/>
    <s v="FullTime"/>
    <n v="395"/>
    <n v="66"/>
    <n v="80"/>
    <n v="3"/>
    <n v="0"/>
    <m/>
    <n v="0"/>
    <n v="1"/>
    <s v="Current Employees"/>
    <s v="No"/>
  </r>
  <r>
    <x v="30"/>
    <s v="Travel_Rarely"/>
    <x v="0"/>
    <n v="3"/>
    <x v="0"/>
    <n v="2"/>
    <n v="1"/>
    <x v="0"/>
    <n v="3"/>
    <x v="0"/>
    <n v="3033"/>
    <n v="1"/>
    <s v="No"/>
    <n v="12"/>
    <n v="3"/>
    <n v="0"/>
    <n v="2"/>
    <n v="2"/>
    <n v="2"/>
    <n v="1"/>
    <n v="2"/>
    <x v="0"/>
    <s v="31-03-2019"/>
    <m/>
    <s v="Salary"/>
    <s v="WFH"/>
    <n v="1"/>
    <n v="0"/>
    <s v="No"/>
    <s v="Walk-in"/>
    <s v="Contract"/>
    <n v="396"/>
    <n v="35"/>
    <n v="80"/>
    <n v="2"/>
    <n v="0"/>
    <m/>
    <n v="0"/>
    <n v="1"/>
    <s v="Current Employees"/>
    <s v="No"/>
  </r>
  <r>
    <x v="16"/>
    <s v="Travel_Frequently"/>
    <x v="0"/>
    <n v="2"/>
    <x v="1"/>
    <n v="3"/>
    <n v="4"/>
    <x v="5"/>
    <n v="1"/>
    <x v="1"/>
    <n v="17856"/>
    <n v="2"/>
    <s v="No"/>
    <n v="22"/>
    <n v="4"/>
    <n v="1"/>
    <n v="32"/>
    <n v="3"/>
    <n v="2"/>
    <n v="2"/>
    <n v="2"/>
    <x v="2"/>
    <s v="18-06-2019"/>
    <m/>
    <s v="Salary"/>
    <s v="WFH"/>
    <n v="4"/>
    <n v="0"/>
    <s v="No"/>
    <s v="Job Portal"/>
    <s v="Part Time"/>
    <n v="397"/>
    <n v="30"/>
    <n v="80"/>
    <n v="0"/>
    <n v="0"/>
    <m/>
    <n v="0"/>
    <n v="1"/>
    <s v="Current Employees"/>
    <s v="No"/>
  </r>
  <r>
    <x v="30"/>
    <s v="Travel_Rarely"/>
    <x v="1"/>
    <n v="21"/>
    <x v="0"/>
    <n v="4"/>
    <n v="1"/>
    <x v="3"/>
    <n v="4"/>
    <x v="0"/>
    <n v="2678"/>
    <n v="1"/>
    <s v="No"/>
    <n v="17"/>
    <n v="3"/>
    <n v="0"/>
    <n v="2"/>
    <n v="2"/>
    <n v="2"/>
    <n v="2"/>
    <n v="2"/>
    <x v="0"/>
    <d v="2019-12-02T00:00:00"/>
    <m/>
    <s v="Salary"/>
    <s v="WFH"/>
    <n v="1"/>
    <n v="1"/>
    <s v="Yes"/>
    <s v="Recruiter"/>
    <s v="Contract"/>
    <n v="399"/>
    <n v="84"/>
    <n v="80"/>
    <n v="2"/>
    <n v="0"/>
    <m/>
    <n v="0"/>
    <n v="1"/>
    <s v="Current Employees"/>
    <s v="No"/>
  </r>
  <r>
    <x v="21"/>
    <s v="Travel_Frequently"/>
    <x v="0"/>
    <n v="13"/>
    <x v="1"/>
    <n v="2"/>
    <n v="1"/>
    <x v="0"/>
    <n v="2"/>
    <x v="1"/>
    <n v="2743"/>
    <n v="1"/>
    <s v="No"/>
    <n v="20"/>
    <n v="4"/>
    <n v="1"/>
    <n v="2"/>
    <n v="2"/>
    <n v="2"/>
    <n v="2"/>
    <n v="2"/>
    <x v="2"/>
    <d v="2019-12-01T00:00:00"/>
    <m/>
    <s v="Work Accident"/>
    <s v="WFH"/>
    <n v="4"/>
    <n v="3"/>
    <s v="No"/>
    <s v="Recruiter"/>
    <s v="FullTime"/>
    <n v="401"/>
    <n v="48"/>
    <n v="80"/>
    <n v="7"/>
    <n v="1"/>
    <n v="1"/>
    <n v="1"/>
    <n v="0"/>
    <s v="Ex-Employees"/>
    <s v="Yes"/>
  </r>
  <r>
    <x v="1"/>
    <s v="Travel_Frequently"/>
    <x v="0"/>
    <n v="10"/>
    <x v="1"/>
    <n v="2"/>
    <n v="1"/>
    <x v="0"/>
    <n v="3"/>
    <x v="0"/>
    <n v="2625"/>
    <n v="1"/>
    <s v="No"/>
    <n v="20"/>
    <n v="4"/>
    <n v="0"/>
    <n v="2"/>
    <n v="2"/>
    <n v="2"/>
    <n v="2"/>
    <n v="2"/>
    <x v="2"/>
    <d v="2019-12-04T00:00:00"/>
    <m/>
    <s v="Better Opportunity"/>
    <s v="OFFICE"/>
    <n v="1"/>
    <n v="0"/>
    <s v="No"/>
    <s v="Walk-in"/>
    <s v="FullTime"/>
    <n v="403"/>
    <n v="53"/>
    <n v="80"/>
    <n v="2"/>
    <n v="0"/>
    <m/>
    <n v="0"/>
    <n v="1"/>
    <s v="Current Employees"/>
    <s v="No"/>
  </r>
  <r>
    <x v="6"/>
    <s v="Travel_Frequently"/>
    <x v="0"/>
    <n v="2"/>
    <x v="0"/>
    <n v="2"/>
    <n v="1"/>
    <x v="0"/>
    <n v="4"/>
    <x v="1"/>
    <n v="3867"/>
    <n v="1"/>
    <s v="Yes"/>
    <n v="12"/>
    <n v="3"/>
    <n v="1"/>
    <n v="2"/>
    <n v="2"/>
    <n v="2"/>
    <n v="2"/>
    <n v="2"/>
    <x v="0"/>
    <s v="20-04-2019"/>
    <m/>
    <s v="Work Accident"/>
    <s v="OFFICE"/>
    <n v="3"/>
    <n v="0"/>
    <s v="No"/>
    <s v="Job Event"/>
    <s v="Contract"/>
    <n v="404"/>
    <n v="77"/>
    <n v="80"/>
    <n v="4"/>
    <n v="0"/>
    <m/>
    <n v="0"/>
    <n v="1"/>
    <s v="Current Employees"/>
    <s v="No"/>
  </r>
  <r>
    <x v="38"/>
    <s v="Travel_Rarely"/>
    <x v="0"/>
    <n v="1"/>
    <x v="1"/>
    <n v="3"/>
    <n v="1"/>
    <x v="1"/>
    <n v="2"/>
    <x v="0"/>
    <n v="2096"/>
    <n v="1"/>
    <s v="No"/>
    <n v="18"/>
    <n v="3"/>
    <n v="0"/>
    <n v="2"/>
    <n v="3"/>
    <n v="2"/>
    <n v="2"/>
    <n v="1"/>
    <x v="2"/>
    <s v="14-05-2019"/>
    <m/>
    <s v="Work Accident"/>
    <s v="WFH"/>
    <n v="2"/>
    <n v="2"/>
    <s v="Yes"/>
    <s v="Recruiter"/>
    <s v="FullTime"/>
    <n v="405"/>
    <n v="54"/>
    <n v="80"/>
    <n v="0"/>
    <n v="1"/>
    <n v="1"/>
    <n v="1"/>
    <n v="0"/>
    <s v="Ex-Employees"/>
    <s v="Yes"/>
  </r>
  <r>
    <x v="32"/>
    <s v="Travel_Rarely"/>
    <x v="0"/>
    <n v="23"/>
    <x v="0"/>
    <n v="3"/>
    <n v="1"/>
    <x v="1"/>
    <n v="3"/>
    <x v="2"/>
    <n v="2372"/>
    <n v="1"/>
    <s v="No"/>
    <n v="12"/>
    <n v="3"/>
    <n v="2"/>
    <n v="2"/>
    <n v="3"/>
    <n v="2"/>
    <n v="2"/>
    <n v="2"/>
    <x v="0"/>
    <s v="25-06-2019"/>
    <m/>
    <s v="Better Opportunity"/>
    <s v="OFFICE"/>
    <n v="3"/>
    <n v="1"/>
    <s v="Yes"/>
    <s v="Recruiter"/>
    <s v="FullTime"/>
    <n v="406"/>
    <n v="96"/>
    <n v="80"/>
    <n v="9"/>
    <n v="0"/>
    <m/>
    <n v="0"/>
    <n v="1"/>
    <s v="Current Employees"/>
    <s v="No"/>
  </r>
  <r>
    <x v="27"/>
    <s v="Travel_Frequently"/>
    <x v="0"/>
    <n v="18"/>
    <x v="0"/>
    <n v="3"/>
    <n v="3"/>
    <x v="6"/>
    <n v="4"/>
    <x v="0"/>
    <n v="9362"/>
    <n v="2"/>
    <s v="No"/>
    <n v="11"/>
    <n v="3"/>
    <n v="0"/>
    <n v="10"/>
    <n v="2"/>
    <n v="2"/>
    <n v="2"/>
    <n v="2"/>
    <x v="1"/>
    <s v="25-06-2019"/>
    <m/>
    <s v="Work Accident"/>
    <s v="WFH"/>
    <n v="3"/>
    <n v="3"/>
    <s v="Yes"/>
    <s v="Recruiter"/>
    <s v="Part Time"/>
    <n v="407"/>
    <n v="81"/>
    <n v="80"/>
    <n v="0"/>
    <n v="0"/>
    <m/>
    <n v="0"/>
    <n v="1"/>
    <s v="Current Employees"/>
    <s v="No"/>
  </r>
  <r>
    <x v="28"/>
    <s v="Travel_Frequently"/>
    <x v="0"/>
    <n v="2"/>
    <x v="0"/>
    <n v="3"/>
    <n v="1"/>
    <x v="0"/>
    <n v="4"/>
    <x v="1"/>
    <n v="3722"/>
    <n v="6"/>
    <s v="Yes"/>
    <n v="13"/>
    <n v="3"/>
    <n v="1"/>
    <n v="7"/>
    <n v="2"/>
    <n v="2"/>
    <n v="2"/>
    <n v="2"/>
    <x v="3"/>
    <s v="31-03-2019"/>
    <m/>
    <s v="Salary"/>
    <s v="WFH"/>
    <n v="0"/>
    <n v="0"/>
    <s v="Yes"/>
    <s v="Job Portal"/>
    <s v="FullTime"/>
    <n v="408"/>
    <n v="84"/>
    <n v="80"/>
    <n v="1"/>
    <n v="0"/>
    <m/>
    <n v="0"/>
    <n v="1"/>
    <s v="Current Employees"/>
    <s v="No"/>
  </r>
  <r>
    <x v="10"/>
    <s v="Travel_Rarely"/>
    <x v="1"/>
    <n v="7"/>
    <x v="0"/>
    <n v="3"/>
    <n v="2"/>
    <x v="4"/>
    <n v="1"/>
    <x v="2"/>
    <n v="5486"/>
    <n v="4"/>
    <s v="No"/>
    <n v="11"/>
    <n v="3"/>
    <n v="3"/>
    <n v="15"/>
    <n v="3"/>
    <n v="2"/>
    <n v="2"/>
    <n v="2"/>
    <x v="0"/>
    <s v="30-04-2019"/>
    <m/>
    <s v="Work Environment"/>
    <s v="OFFICE"/>
    <n v="4"/>
    <n v="3"/>
    <s v="Yes"/>
    <s v="Walk-in"/>
    <s v="FullTime"/>
    <n v="410"/>
    <n v="88"/>
    <n v="80"/>
    <n v="10"/>
    <n v="0"/>
    <m/>
    <n v="0"/>
    <n v="1"/>
    <s v="Current Employees"/>
    <s v="No"/>
  </r>
  <r>
    <x v="13"/>
    <s v="Travel_Rarely"/>
    <x v="2"/>
    <n v="9"/>
    <x v="1"/>
    <n v="3"/>
    <n v="1"/>
    <x v="8"/>
    <n v="3"/>
    <x v="1"/>
    <n v="2742"/>
    <n v="1"/>
    <s v="No"/>
    <n v="15"/>
    <n v="3"/>
    <n v="0"/>
    <n v="2"/>
    <n v="0"/>
    <n v="2"/>
    <n v="2"/>
    <n v="2"/>
    <x v="2"/>
    <d v="2019-06-02T00:00:00"/>
    <m/>
    <s v="Work Environment"/>
    <s v="OFFICE"/>
    <n v="0"/>
    <n v="0"/>
    <s v="No"/>
    <s v="Job Event"/>
    <s v="Contract"/>
    <n v="411"/>
    <n v="69"/>
    <n v="80"/>
    <n v="0"/>
    <n v="0"/>
    <m/>
    <n v="0"/>
    <n v="1"/>
    <s v="Current Employees"/>
    <s v="No"/>
  </r>
  <r>
    <x v="14"/>
    <s v="Travel_Rarely"/>
    <x v="1"/>
    <n v="16"/>
    <x v="0"/>
    <n v="3"/>
    <n v="2"/>
    <x v="4"/>
    <n v="3"/>
    <x v="1"/>
    <n v="5301"/>
    <n v="8"/>
    <s v="No"/>
    <n v="15"/>
    <n v="3"/>
    <n v="2"/>
    <n v="4"/>
    <n v="2"/>
    <n v="2"/>
    <n v="2"/>
    <n v="2"/>
    <x v="0"/>
    <d v="2019-12-06T00:00:00"/>
    <m/>
    <s v="Dept.Head"/>
    <s v="OFFICE"/>
    <n v="2"/>
    <n v="3"/>
    <s v="Yes"/>
    <s v="Job Portal"/>
    <s v="FullTime"/>
    <n v="412"/>
    <n v="68"/>
    <n v="80"/>
    <n v="3"/>
    <n v="0"/>
    <m/>
    <n v="0"/>
    <n v="1"/>
    <s v="Current Employees"/>
    <s v="No"/>
  </r>
  <r>
    <x v="17"/>
    <s v="Travel_Frequently"/>
    <x v="0"/>
    <n v="2"/>
    <x v="0"/>
    <n v="3"/>
    <n v="3"/>
    <x v="6"/>
    <n v="3"/>
    <x v="0"/>
    <n v="10209"/>
    <n v="5"/>
    <s v="Yes"/>
    <n v="18"/>
    <n v="3"/>
    <n v="0"/>
    <n v="16"/>
    <n v="2"/>
    <n v="2"/>
    <n v="2"/>
    <n v="2"/>
    <x v="0"/>
    <s v="30-04-2019"/>
    <m/>
    <s v="Salary"/>
    <s v="OFFICE"/>
    <n v="5"/>
    <n v="2"/>
    <s v="Yes"/>
    <s v="Recruiter"/>
    <s v="Contract"/>
    <n v="416"/>
    <n v="100"/>
    <n v="80"/>
    <n v="7"/>
    <n v="0"/>
    <m/>
    <n v="0"/>
    <n v="1"/>
    <s v="Current Employees"/>
    <s v="No"/>
  </r>
  <r>
    <x v="25"/>
    <s v="Travel_Rarely"/>
    <x v="0"/>
    <n v="6"/>
    <x v="1"/>
    <n v="3"/>
    <n v="3"/>
    <x v="6"/>
    <n v="2"/>
    <x v="0"/>
    <n v="8376"/>
    <n v="4"/>
    <s v="No"/>
    <n v="18"/>
    <n v="3"/>
    <n v="0"/>
    <n v="9"/>
    <n v="3"/>
    <n v="2"/>
    <n v="2"/>
    <n v="2"/>
    <x v="3"/>
    <s v="21-02-2019"/>
    <m/>
    <s v="Better Opportunity"/>
    <s v="OFFICE"/>
    <n v="0"/>
    <n v="3"/>
    <s v="Yes"/>
    <s v="Job Event"/>
    <s v="FullTime"/>
    <n v="417"/>
    <n v="48"/>
    <n v="80"/>
    <n v="10"/>
    <n v="0"/>
    <m/>
    <n v="0"/>
    <n v="1"/>
    <s v="Current Employees"/>
    <s v="No"/>
  </r>
  <r>
    <x v="18"/>
    <s v="Non-Travel"/>
    <x v="0"/>
    <n v="8"/>
    <x v="0"/>
    <n v="3"/>
    <n v="2"/>
    <x v="7"/>
    <n v="4"/>
    <x v="2"/>
    <n v="4069"/>
    <n v="3"/>
    <s v="Yes"/>
    <n v="18"/>
    <n v="3"/>
    <n v="0"/>
    <n v="8"/>
    <n v="2"/>
    <n v="2"/>
    <n v="2"/>
    <n v="2"/>
    <x v="1"/>
    <d v="2019-06-03T00:00:00"/>
    <m/>
    <s v="Work Accident"/>
    <s v="OFFICE"/>
    <n v="4"/>
    <n v="1"/>
    <s v="No"/>
    <s v="Job Event"/>
    <s v="FullTime"/>
    <n v="419"/>
    <n v="47"/>
    <n v="80"/>
    <n v="8"/>
    <n v="0"/>
    <m/>
    <n v="0"/>
    <n v="1"/>
    <s v="Current Employees"/>
    <s v="No"/>
  </r>
  <r>
    <x v="20"/>
    <s v="Travel_Rarely"/>
    <x v="1"/>
    <n v="8"/>
    <x v="0"/>
    <n v="3"/>
    <n v="2"/>
    <x v="4"/>
    <n v="1"/>
    <x v="1"/>
    <n v="6392"/>
    <n v="2"/>
    <s v="No"/>
    <n v="13"/>
    <n v="3"/>
    <n v="1"/>
    <n v="8"/>
    <n v="6"/>
    <n v="2"/>
    <n v="2"/>
    <n v="2"/>
    <x v="3"/>
    <s v="28-04-2019"/>
    <m/>
    <s v="Dept.Head"/>
    <s v="OFFICE"/>
    <n v="4"/>
    <n v="1"/>
    <s v="No"/>
    <s v="Walk-in"/>
    <s v="FullTime"/>
    <n v="420"/>
    <n v="91"/>
    <n v="80"/>
    <n v="8"/>
    <n v="0"/>
    <m/>
    <n v="0"/>
    <n v="1"/>
    <s v="Current Employees"/>
    <s v="No"/>
  </r>
  <r>
    <x v="13"/>
    <s v="Travel_Rarely"/>
    <x v="0"/>
    <n v="1"/>
    <x v="0"/>
    <n v="3"/>
    <n v="2"/>
    <x v="1"/>
    <n v="4"/>
    <x v="1"/>
    <n v="5484"/>
    <n v="9"/>
    <s v="No"/>
    <n v="17"/>
    <n v="3"/>
    <n v="1"/>
    <n v="9"/>
    <n v="3"/>
    <n v="2"/>
    <n v="2"/>
    <n v="1"/>
    <x v="0"/>
    <s v="15-03-2019"/>
    <m/>
    <s v="Salary"/>
    <s v="OFFICE"/>
    <n v="0"/>
    <n v="2"/>
    <s v="Yes"/>
    <s v="Job Event"/>
    <s v="FullTime"/>
    <n v="421"/>
    <n v="81"/>
    <n v="80"/>
    <n v="8"/>
    <n v="0"/>
    <m/>
    <n v="0"/>
    <n v="1"/>
    <s v="Current Employees"/>
    <s v="No"/>
  </r>
  <r>
    <x v="3"/>
    <s v="Travel_Rarely"/>
    <x v="0"/>
    <n v="10"/>
    <x v="0"/>
    <n v="4"/>
    <n v="1"/>
    <x v="1"/>
    <n v="3"/>
    <x v="1"/>
    <n v="2073"/>
    <n v="2"/>
    <s v="No"/>
    <n v="16"/>
    <n v="3"/>
    <n v="1"/>
    <n v="4"/>
    <n v="2"/>
    <n v="2"/>
    <n v="2"/>
    <n v="2"/>
    <x v="0"/>
    <s v="16-05-2019"/>
    <m/>
    <s v="Better Opportunity"/>
    <s v="OFFICE"/>
    <n v="0"/>
    <n v="2"/>
    <s v="No"/>
    <s v="Recruiter"/>
    <s v="FullTime"/>
    <n v="422"/>
    <n v="32"/>
    <n v="80"/>
    <n v="3"/>
    <n v="0"/>
    <m/>
    <n v="0"/>
    <n v="1"/>
    <s v="Current Employees"/>
    <s v="No"/>
  </r>
  <r>
    <x v="1"/>
    <s v="Travel_Rarely"/>
    <x v="0"/>
    <n v="5"/>
    <x v="0"/>
    <n v="3"/>
    <n v="1"/>
    <x v="1"/>
    <n v="4"/>
    <x v="0"/>
    <n v="3117"/>
    <n v="1"/>
    <s v="No"/>
    <n v="18"/>
    <n v="3"/>
    <n v="0"/>
    <n v="3"/>
    <n v="2"/>
    <n v="2"/>
    <n v="2"/>
    <n v="2"/>
    <x v="0"/>
    <d v="2019-08-01T00:00:00"/>
    <m/>
    <s v="Better Opportunity"/>
    <s v="OFFICE"/>
    <n v="4"/>
    <n v="0"/>
    <s v="No"/>
    <s v="Recruiter"/>
    <s v="FullTime"/>
    <n v="423"/>
    <n v="86"/>
    <n v="80"/>
    <n v="2"/>
    <n v="0"/>
    <m/>
    <n v="0"/>
    <n v="1"/>
    <s v="Current Employees"/>
    <s v="No"/>
  </r>
  <r>
    <x v="10"/>
    <s v="Travel_Frequently"/>
    <x v="0"/>
    <n v="4"/>
    <x v="0"/>
    <n v="2"/>
    <n v="4"/>
    <x v="5"/>
    <n v="4"/>
    <x v="1"/>
    <n v="15202"/>
    <n v="2"/>
    <s v="No"/>
    <n v="25"/>
    <n v="4"/>
    <n v="1"/>
    <n v="23"/>
    <n v="3"/>
    <n v="2"/>
    <n v="2"/>
    <n v="2"/>
    <x v="1"/>
    <d v="2019-08-04T00:00:00"/>
    <m/>
    <s v="Better Opportunity"/>
    <s v="WFH"/>
    <n v="0"/>
    <n v="1"/>
    <s v="No"/>
    <s v="Walk-in"/>
    <s v="FullTime"/>
    <n v="424"/>
    <n v="62"/>
    <n v="80"/>
    <n v="2"/>
    <n v="0"/>
    <m/>
    <n v="0"/>
    <n v="1"/>
    <s v="Current Employees"/>
    <s v="No"/>
  </r>
  <r>
    <x v="27"/>
    <s v="Travel_Rarely"/>
    <x v="1"/>
    <n v="15"/>
    <x v="0"/>
    <n v="1"/>
    <n v="2"/>
    <x v="4"/>
    <n v="4"/>
    <x v="2"/>
    <n v="5440"/>
    <n v="6"/>
    <s v="Yes"/>
    <n v="14"/>
    <n v="3"/>
    <n v="2"/>
    <n v="7"/>
    <n v="2"/>
    <n v="2"/>
    <n v="2"/>
    <n v="2"/>
    <x v="0"/>
    <s v="22-05-2019"/>
    <m/>
    <s v="Better Opportunity"/>
    <s v="OFFICE"/>
    <n v="1"/>
    <n v="2"/>
    <s v="No"/>
    <s v="Job Event"/>
    <s v="Part Time"/>
    <n v="425"/>
    <n v="97"/>
    <n v="80"/>
    <n v="9"/>
    <n v="0"/>
    <m/>
    <n v="0"/>
    <n v="1"/>
    <s v="Current Employees"/>
    <s v="No"/>
  </r>
  <r>
    <x v="30"/>
    <s v="Travel_Rarely"/>
    <x v="1"/>
    <n v="2"/>
    <x v="1"/>
    <n v="3"/>
    <n v="1"/>
    <x v="3"/>
    <n v="3"/>
    <x v="0"/>
    <n v="2783"/>
    <n v="1"/>
    <s v="No"/>
    <n v="19"/>
    <n v="3"/>
    <n v="0"/>
    <n v="2"/>
    <n v="3"/>
    <n v="2"/>
    <n v="2"/>
    <n v="2"/>
    <x v="3"/>
    <d v="2019-08-02T00:00:00"/>
    <m/>
    <s v="Dept.Head"/>
    <s v="OFFICE"/>
    <n v="1"/>
    <n v="1"/>
    <s v="No"/>
    <s v="Job Portal"/>
    <s v="Part Time"/>
    <n v="426"/>
    <n v="32"/>
    <n v="80"/>
    <n v="2"/>
    <n v="0"/>
    <m/>
    <n v="0"/>
    <n v="1"/>
    <s v="Current Employees"/>
    <s v="No"/>
  </r>
  <r>
    <x v="39"/>
    <s v="Travel_Rarely"/>
    <x v="0"/>
    <n v="16"/>
    <x v="1"/>
    <n v="3"/>
    <n v="1"/>
    <x v="0"/>
    <n v="1"/>
    <x v="2"/>
    <n v="2587"/>
    <n v="4"/>
    <s v="Yes"/>
    <n v="16"/>
    <n v="3"/>
    <n v="1"/>
    <n v="17"/>
    <n v="2"/>
    <n v="2"/>
    <n v="2"/>
    <n v="2"/>
    <x v="1"/>
    <d v="2019-07-05T00:00:00"/>
    <m/>
    <s v="Work Accident"/>
    <s v="WFH"/>
    <n v="5"/>
    <n v="1"/>
    <s v="No"/>
    <s v="Recruiter"/>
    <s v="Part Time"/>
    <n v="428"/>
    <n v="74"/>
    <n v="80"/>
    <n v="6"/>
    <n v="0"/>
    <m/>
    <n v="0"/>
    <n v="1"/>
    <s v="Current Employees"/>
    <s v="No"/>
  </r>
  <r>
    <x v="33"/>
    <s v="Travel_Rarely"/>
    <x v="1"/>
    <n v="23"/>
    <x v="0"/>
    <n v="3"/>
    <n v="3"/>
    <x v="4"/>
    <n v="3"/>
    <x v="0"/>
    <n v="7082"/>
    <n v="3"/>
    <s v="Yes"/>
    <n v="16"/>
    <n v="3"/>
    <n v="0"/>
    <n v="21"/>
    <n v="2"/>
    <n v="2"/>
    <n v="0"/>
    <n v="2"/>
    <x v="3"/>
    <s v="24-06-2019"/>
    <m/>
    <s v="Work Accident"/>
    <s v="WFH"/>
    <n v="0"/>
    <n v="2"/>
    <s v="Yes"/>
    <s v="Job Portal"/>
    <s v="Contract"/>
    <n v="429"/>
    <n v="99"/>
    <n v="80"/>
    <n v="9"/>
    <n v="0"/>
    <m/>
    <n v="0"/>
    <n v="1"/>
    <s v="Current Employees"/>
    <s v="No"/>
  </r>
  <r>
    <x v="30"/>
    <s v="Travel_Rarely"/>
    <x v="1"/>
    <n v="9"/>
    <x v="0"/>
    <n v="3"/>
    <n v="1"/>
    <x v="3"/>
    <n v="1"/>
    <x v="0"/>
    <n v="2728"/>
    <n v="1"/>
    <s v="No"/>
    <n v="11"/>
    <n v="3"/>
    <n v="0"/>
    <n v="2"/>
    <n v="3"/>
    <n v="2"/>
    <n v="0"/>
    <n v="2"/>
    <x v="0"/>
    <s v="25-06-2019"/>
    <m/>
    <s v="Salary"/>
    <s v="OFFICE"/>
    <n v="0"/>
    <n v="0"/>
    <s v="No"/>
    <s v="Walk-in"/>
    <s v="Contract"/>
    <n v="430"/>
    <n v="33"/>
    <n v="80"/>
    <n v="7"/>
    <n v="0"/>
    <m/>
    <n v="0"/>
    <n v="1"/>
    <s v="Current Employees"/>
    <s v="No"/>
  </r>
  <r>
    <x v="17"/>
    <s v="Travel_Rarely"/>
    <x v="2"/>
    <n v="1"/>
    <x v="1"/>
    <n v="3"/>
    <n v="1"/>
    <x v="8"/>
    <n v="4"/>
    <x v="2"/>
    <n v="3195"/>
    <n v="4"/>
    <s v="Yes"/>
    <n v="18"/>
    <n v="3"/>
    <n v="3"/>
    <n v="8"/>
    <n v="2"/>
    <n v="2"/>
    <n v="2"/>
    <n v="2"/>
    <x v="3"/>
    <d v="2019-12-04T00:00:00"/>
    <m/>
    <s v="Work Accident"/>
    <s v="WFH"/>
    <n v="4"/>
    <n v="3"/>
    <s v="Yes"/>
    <s v="Recruiter"/>
    <s v="FullTime"/>
    <n v="431"/>
    <n v="90"/>
    <n v="80"/>
    <n v="1"/>
    <n v="0"/>
    <m/>
    <n v="0"/>
    <n v="1"/>
    <s v="Current Employees"/>
    <s v="No"/>
  </r>
  <r>
    <x v="26"/>
    <s v="Travel_Rarely"/>
    <x v="1"/>
    <n v="13"/>
    <x v="0"/>
    <n v="2"/>
    <n v="2"/>
    <x v="4"/>
    <n v="1"/>
    <x v="2"/>
    <n v="6134"/>
    <n v="5"/>
    <s v="Yes"/>
    <n v="13"/>
    <n v="3"/>
    <n v="3"/>
    <n v="16"/>
    <n v="3"/>
    <n v="2"/>
    <n v="2"/>
    <n v="2"/>
    <x v="2"/>
    <d v="2019-12-03T00:00:00"/>
    <m/>
    <s v="Work Accident"/>
    <s v="WFH"/>
    <n v="4"/>
    <n v="0"/>
    <s v="No"/>
    <s v="Recruiter"/>
    <s v="Part Time"/>
    <n v="433"/>
    <n v="85"/>
    <n v="80"/>
    <n v="2"/>
    <n v="1"/>
    <n v="1"/>
    <n v="1"/>
    <n v="0"/>
    <s v="Ex-Employees"/>
    <s v="Yes"/>
  </r>
  <r>
    <x v="19"/>
    <s v="Travel_Frequently"/>
    <x v="2"/>
    <n v="10"/>
    <x v="0"/>
    <n v="3"/>
    <n v="1"/>
    <x v="8"/>
    <n v="4"/>
    <x v="1"/>
    <n v="2145"/>
    <n v="0"/>
    <s v="No"/>
    <n v="14"/>
    <n v="3"/>
    <n v="1"/>
    <n v="3"/>
    <n v="2"/>
    <n v="2"/>
    <n v="2"/>
    <n v="1"/>
    <x v="0"/>
    <s v="17-03-2019"/>
    <m/>
    <s v="Better Opportunity"/>
    <s v="OFFICE"/>
    <n v="2"/>
    <n v="3"/>
    <s v="No"/>
    <s v="Walk-in"/>
    <s v="FullTime"/>
    <n v="434"/>
    <n v="85"/>
    <n v="80"/>
    <n v="3"/>
    <n v="0"/>
    <m/>
    <n v="0"/>
    <n v="1"/>
    <s v="Current Employees"/>
    <s v="No"/>
  </r>
  <r>
    <x v="7"/>
    <s v="Travel_Rarely"/>
    <x v="1"/>
    <n v="9"/>
    <x v="1"/>
    <n v="1"/>
    <n v="1"/>
    <x v="3"/>
    <n v="2"/>
    <x v="0"/>
    <n v="2760"/>
    <n v="1"/>
    <s v="No"/>
    <n v="13"/>
    <n v="3"/>
    <n v="0"/>
    <n v="2"/>
    <n v="3"/>
    <n v="2"/>
    <n v="2"/>
    <n v="2"/>
    <x v="3"/>
    <s v="14-04-2019"/>
    <m/>
    <s v="Dept.Head"/>
    <s v="WFH"/>
    <n v="5"/>
    <n v="1"/>
    <s v="Yes"/>
    <s v="Walk-in"/>
    <s v="Part Time"/>
    <n v="436"/>
    <n v="65"/>
    <n v="80"/>
    <n v="12"/>
    <n v="0"/>
    <m/>
    <n v="0"/>
    <n v="1"/>
    <s v="Current Employees"/>
    <s v="No"/>
  </r>
  <r>
    <x v="13"/>
    <s v="Travel_Rarely"/>
    <x v="1"/>
    <n v="3"/>
    <x v="1"/>
    <n v="1"/>
    <n v="2"/>
    <x v="4"/>
    <n v="4"/>
    <x v="0"/>
    <n v="6029"/>
    <n v="5"/>
    <s v="No"/>
    <n v="12"/>
    <n v="3"/>
    <n v="0"/>
    <n v="6"/>
    <n v="3"/>
    <n v="2"/>
    <n v="2"/>
    <n v="2"/>
    <x v="1"/>
    <d v="2019-02-06T00:00:00"/>
    <m/>
    <s v="Dept.Head"/>
    <s v="WFH"/>
    <n v="1"/>
    <n v="1"/>
    <s v="No"/>
    <s v="Recruiter"/>
    <s v="FullTime"/>
    <n v="437"/>
    <n v="74"/>
    <n v="80"/>
    <n v="4"/>
    <n v="0"/>
    <m/>
    <n v="0"/>
    <n v="1"/>
    <s v="Current Employees"/>
    <s v="No"/>
  </r>
  <r>
    <x v="31"/>
    <s v="Travel_Rarely"/>
    <x v="0"/>
    <n v="3"/>
    <x v="1"/>
    <n v="3"/>
    <n v="3"/>
    <x v="5"/>
    <n v="3"/>
    <x v="1"/>
    <n v="13116"/>
    <n v="2"/>
    <s v="No"/>
    <n v="11"/>
    <n v="3"/>
    <n v="0"/>
    <n v="15"/>
    <n v="2"/>
    <n v="2"/>
    <n v="2"/>
    <n v="2"/>
    <x v="1"/>
    <d v="2019-02-01T00:00:00"/>
    <m/>
    <s v="Better Opportunity"/>
    <s v="OFFICE"/>
    <n v="1"/>
    <n v="2"/>
    <s v="Yes"/>
    <s v="Job Event"/>
    <s v="FullTime"/>
    <n v="438"/>
    <n v="73"/>
    <n v="80"/>
    <n v="7"/>
    <n v="0"/>
    <m/>
    <n v="0"/>
    <n v="1"/>
    <s v="Current Employees"/>
    <s v="No"/>
  </r>
  <r>
    <x v="35"/>
    <s v="Travel_Rarely"/>
    <x v="0"/>
    <n v="2"/>
    <x v="0"/>
    <n v="3"/>
    <n v="5"/>
    <x v="2"/>
    <n v="4"/>
    <x v="2"/>
    <n v="19328"/>
    <n v="7"/>
    <s v="Yes"/>
    <n v="17"/>
    <n v="3"/>
    <n v="1"/>
    <n v="24"/>
    <n v="3"/>
    <n v="2"/>
    <n v="2"/>
    <n v="2"/>
    <x v="2"/>
    <s v="19-02-2019"/>
    <m/>
    <s v="Work Environment"/>
    <s v="WFH"/>
    <n v="3"/>
    <n v="0"/>
    <s v="No"/>
    <s v="Recruiter"/>
    <s v="Contract"/>
    <n v="439"/>
    <n v="74"/>
    <n v="80"/>
    <n v="7"/>
    <n v="0"/>
    <m/>
    <n v="0"/>
    <n v="1"/>
    <s v="Current Employees"/>
    <s v="No"/>
  </r>
  <r>
    <x v="35"/>
    <s v="Non-Travel"/>
    <x v="1"/>
    <n v="26"/>
    <x v="0"/>
    <n v="2"/>
    <n v="2"/>
    <x v="4"/>
    <n v="2"/>
    <x v="0"/>
    <n v="7991"/>
    <n v="8"/>
    <s v="No"/>
    <n v="15"/>
    <n v="3"/>
    <n v="0"/>
    <n v="6"/>
    <n v="3"/>
    <n v="2"/>
    <n v="2"/>
    <n v="2"/>
    <x v="0"/>
    <s v="19-04-2019"/>
    <m/>
    <s v="Dept.Head"/>
    <s v="OFFICE"/>
    <n v="5"/>
    <n v="0"/>
    <s v="No"/>
    <s v="Job Portal"/>
    <s v="Contract"/>
    <n v="440"/>
    <n v="84"/>
    <n v="80"/>
    <n v="2"/>
    <n v="1"/>
    <n v="1"/>
    <n v="1"/>
    <n v="0"/>
    <s v="Ex-Employees"/>
    <s v="Yes"/>
  </r>
  <r>
    <x v="25"/>
    <s v="Travel_Frequently"/>
    <x v="1"/>
    <n v="20"/>
    <x v="0"/>
    <n v="3"/>
    <n v="2"/>
    <x v="4"/>
    <n v="4"/>
    <x v="2"/>
    <n v="4127"/>
    <n v="2"/>
    <s v="No"/>
    <n v="18"/>
    <n v="3"/>
    <n v="1"/>
    <n v="7"/>
    <n v="6"/>
    <n v="2"/>
    <n v="2"/>
    <n v="2"/>
    <x v="2"/>
    <d v="2019-10-03T00:00:00"/>
    <m/>
    <s v="Dept.Head"/>
    <s v="WFH"/>
    <n v="2"/>
    <n v="1"/>
    <s v="No"/>
    <s v="Job Portal"/>
    <s v="Contract"/>
    <n v="441"/>
    <n v="64"/>
    <n v="80"/>
    <n v="8"/>
    <n v="0"/>
    <m/>
    <n v="0"/>
    <n v="1"/>
    <s v="Current Employees"/>
    <s v="No"/>
  </r>
  <r>
    <x v="32"/>
    <s v="Travel_Frequently"/>
    <x v="0"/>
    <n v="15"/>
    <x v="0"/>
    <n v="3"/>
    <n v="4"/>
    <x v="2"/>
    <n v="3"/>
    <x v="1"/>
    <n v="15787"/>
    <n v="2"/>
    <s v="Yes"/>
    <n v="14"/>
    <n v="3"/>
    <n v="0"/>
    <n v="23"/>
    <n v="3"/>
    <n v="2"/>
    <n v="2"/>
    <n v="2"/>
    <x v="3"/>
    <s v="29-05-2019"/>
    <m/>
    <s v="Dept.Head"/>
    <s v="WFH"/>
    <n v="0"/>
    <n v="2"/>
    <s v="No"/>
    <s v="Walk-in"/>
    <s v="FullTime"/>
    <n v="442"/>
    <n v="48"/>
    <n v="80"/>
    <n v="9"/>
    <n v="0"/>
    <m/>
    <n v="0"/>
    <n v="1"/>
    <s v="Current Employees"/>
    <s v="No"/>
  </r>
  <r>
    <x v="7"/>
    <s v="Travel_Rarely"/>
    <x v="2"/>
    <n v="13"/>
    <x v="0"/>
    <n v="2"/>
    <n v="1"/>
    <x v="8"/>
    <n v="1"/>
    <x v="2"/>
    <n v="2335"/>
    <n v="4"/>
    <s v="Yes"/>
    <n v="15"/>
    <n v="3"/>
    <n v="3"/>
    <n v="4"/>
    <n v="3"/>
    <n v="2"/>
    <n v="2"/>
    <n v="0"/>
    <x v="3"/>
    <d v="2019-06-04T00:00:00"/>
    <m/>
    <s v="Work Accident"/>
    <s v="WFH"/>
    <n v="3"/>
    <n v="0"/>
    <s v="Yes"/>
    <s v="Job Portal"/>
    <s v="FullTime"/>
    <n v="444"/>
    <n v="54"/>
    <n v="80"/>
    <n v="9"/>
    <n v="0"/>
    <m/>
    <n v="0"/>
    <n v="1"/>
    <s v="Current Employees"/>
    <s v="No"/>
  </r>
  <r>
    <x v="9"/>
    <s v="Travel_Rarely"/>
    <x v="0"/>
    <n v="9"/>
    <x v="1"/>
    <n v="3"/>
    <n v="1"/>
    <x v="0"/>
    <n v="3"/>
    <x v="0"/>
    <n v="2105"/>
    <n v="4"/>
    <s v="No"/>
    <n v="12"/>
    <n v="3"/>
    <n v="0"/>
    <n v="7"/>
    <n v="2"/>
    <n v="2"/>
    <n v="2"/>
    <n v="0"/>
    <x v="3"/>
    <d v="2019-05-01T00:00:00"/>
    <m/>
    <s v="Better Opportunity"/>
    <s v="WFH"/>
    <n v="1"/>
    <n v="1"/>
    <s v="Yes"/>
    <s v="Recruiter"/>
    <s v="Contract"/>
    <n v="445"/>
    <n v="41"/>
    <n v="80"/>
    <n v="0"/>
    <n v="1"/>
    <n v="1"/>
    <n v="1"/>
    <n v="0"/>
    <s v="Ex-Employees"/>
    <s v="Yes"/>
  </r>
  <r>
    <x v="21"/>
    <s v="Travel_Rarely"/>
    <x v="1"/>
    <n v="2"/>
    <x v="0"/>
    <n v="2"/>
    <n v="2"/>
    <x v="4"/>
    <n v="2"/>
    <x v="0"/>
    <n v="9907"/>
    <n v="7"/>
    <s v="Yes"/>
    <n v="12"/>
    <n v="3"/>
    <n v="0"/>
    <n v="7"/>
    <n v="3"/>
    <n v="2"/>
    <n v="2"/>
    <n v="2"/>
    <x v="1"/>
    <s v="21-03-2019"/>
    <m/>
    <s v="Better Opportunity"/>
    <s v="OFFICE"/>
    <n v="5"/>
    <n v="3"/>
    <s v="No"/>
    <s v="Recruiter"/>
    <s v="Part Time"/>
    <n v="446"/>
    <n v="46"/>
    <n v="80"/>
    <n v="7"/>
    <n v="0"/>
    <m/>
    <n v="0"/>
    <n v="1"/>
    <s v="Current Employees"/>
    <s v="No"/>
  </r>
  <r>
    <x v="25"/>
    <s v="Travel_Rarely"/>
    <x v="0"/>
    <n v="19"/>
    <x v="0"/>
    <n v="3"/>
    <n v="2"/>
    <x v="1"/>
    <n v="4"/>
    <x v="2"/>
    <n v="3902"/>
    <n v="8"/>
    <s v="No"/>
    <n v="14"/>
    <n v="3"/>
    <n v="3"/>
    <n v="7"/>
    <n v="2"/>
    <n v="2"/>
    <n v="2"/>
    <n v="2"/>
    <x v="0"/>
    <d v="2019-11-03T00:00:00"/>
    <m/>
    <s v="Salary"/>
    <s v="OFFICE"/>
    <n v="1"/>
    <n v="2"/>
    <s v="Yes"/>
    <s v="Job Portal"/>
    <s v="Part Time"/>
    <n v="447"/>
    <n v="42"/>
    <n v="80"/>
    <n v="2"/>
    <n v="0"/>
    <m/>
    <n v="0"/>
    <n v="1"/>
    <s v="Current Employees"/>
    <s v="No"/>
  </r>
  <r>
    <x v="17"/>
    <s v="Travel_Rarely"/>
    <x v="0"/>
    <n v="1"/>
    <x v="0"/>
    <n v="4"/>
    <n v="2"/>
    <x v="7"/>
    <n v="1"/>
    <x v="1"/>
    <n v="5033"/>
    <n v="2"/>
    <s v="No"/>
    <n v="15"/>
    <n v="3"/>
    <n v="1"/>
    <n v="10"/>
    <n v="5"/>
    <n v="2"/>
    <n v="2"/>
    <n v="2"/>
    <x v="2"/>
    <s v="30-06-2019"/>
    <m/>
    <s v="Work Accident"/>
    <s v="WFH"/>
    <n v="0"/>
    <n v="2"/>
    <s v="No"/>
    <s v="Walk-in"/>
    <s v="FullTime"/>
    <n v="448"/>
    <n v="82"/>
    <n v="80"/>
    <n v="7"/>
    <n v="0"/>
    <m/>
    <n v="0"/>
    <n v="1"/>
    <s v="Current Employees"/>
    <s v="No"/>
  </r>
  <r>
    <x v="28"/>
    <s v="Travel_Rarely"/>
    <x v="0"/>
    <n v="4"/>
    <x v="1"/>
    <n v="4"/>
    <n v="1"/>
    <x v="0"/>
    <n v="3"/>
    <x v="2"/>
    <n v="3978"/>
    <n v="8"/>
    <s v="No"/>
    <n v="12"/>
    <n v="3"/>
    <n v="1"/>
    <n v="4"/>
    <n v="0"/>
    <n v="2"/>
    <n v="2"/>
    <n v="2"/>
    <x v="1"/>
    <d v="2019-06-03T00:00:00"/>
    <m/>
    <s v="Dept.Head"/>
    <s v="OFFICE"/>
    <n v="4"/>
    <n v="2"/>
    <s v="Yes"/>
    <s v="Recruiter"/>
    <s v="FullTime"/>
    <n v="449"/>
    <n v="73"/>
    <n v="80"/>
    <n v="4"/>
    <n v="0"/>
    <m/>
    <n v="0"/>
    <n v="1"/>
    <s v="Current Employees"/>
    <s v="No"/>
  </r>
  <r>
    <x v="6"/>
    <s v="Travel_Rarely"/>
    <x v="1"/>
    <n v="13"/>
    <x v="1"/>
    <n v="3"/>
    <n v="2"/>
    <x v="4"/>
    <n v="3"/>
    <x v="0"/>
    <n v="9854"/>
    <n v="3"/>
    <s v="Yes"/>
    <n v="11"/>
    <n v="3"/>
    <n v="0"/>
    <n v="6"/>
    <n v="0"/>
    <n v="2"/>
    <n v="2"/>
    <n v="2"/>
    <x v="3"/>
    <s v="27-06-2019"/>
    <m/>
    <s v="Work Accident"/>
    <s v="OFFICE"/>
    <n v="4"/>
    <n v="2"/>
    <s v="Yes"/>
    <s v="Walk-in"/>
    <s v="Part Time"/>
    <n v="450"/>
    <n v="31"/>
    <n v="80"/>
    <n v="3"/>
    <n v="0"/>
    <m/>
    <n v="0"/>
    <n v="1"/>
    <s v="Current Employees"/>
    <s v="No"/>
  </r>
  <r>
    <x v="42"/>
    <s v="Travel_Rarely"/>
    <x v="1"/>
    <n v="24"/>
    <x v="0"/>
    <n v="3"/>
    <n v="3"/>
    <x v="4"/>
    <n v="1"/>
    <x v="0"/>
    <n v="10448"/>
    <n v="6"/>
    <s v="Yes"/>
    <n v="13"/>
    <n v="3"/>
    <n v="0"/>
    <n v="15"/>
    <n v="2"/>
    <n v="2"/>
    <n v="2"/>
    <n v="2"/>
    <x v="3"/>
    <d v="2019-09-05T00:00:00"/>
    <m/>
    <s v="Work Environment"/>
    <s v="OFFICE"/>
    <n v="5"/>
    <n v="0"/>
    <s v="Yes"/>
    <s v="Job Portal"/>
    <s v="Contract"/>
    <n v="451"/>
    <n v="43"/>
    <n v="80"/>
    <n v="0"/>
    <n v="0"/>
    <m/>
    <n v="0"/>
    <n v="1"/>
    <s v="Current Employees"/>
    <s v="No"/>
  </r>
  <r>
    <x v="38"/>
    <s v="Travel_Rarely"/>
    <x v="2"/>
    <n v="2"/>
    <x v="1"/>
    <n v="3"/>
    <n v="1"/>
    <x v="8"/>
    <n v="2"/>
    <x v="1"/>
    <n v="2187"/>
    <n v="4"/>
    <s v="No"/>
    <n v="14"/>
    <n v="3"/>
    <n v="0"/>
    <n v="6"/>
    <n v="3"/>
    <n v="2"/>
    <n v="1"/>
    <n v="2"/>
    <x v="0"/>
    <s v="24-05-2019"/>
    <m/>
    <s v="Salary"/>
    <s v="OFFICE"/>
    <n v="3"/>
    <n v="0"/>
    <s v="No"/>
    <s v="Walk-in"/>
    <s v="Part Time"/>
    <n v="452"/>
    <n v="75"/>
    <n v="80"/>
    <n v="9"/>
    <n v="0"/>
    <m/>
    <n v="0"/>
    <n v="1"/>
    <s v="Current Employees"/>
    <s v="No"/>
  </r>
  <r>
    <x v="38"/>
    <s v="Travel_Rarely"/>
    <x v="0"/>
    <n v="2"/>
    <x v="0"/>
    <n v="3"/>
    <n v="1"/>
    <x v="0"/>
    <n v="3"/>
    <x v="2"/>
    <n v="3977"/>
    <n v="6"/>
    <s v="Yes"/>
    <n v="19"/>
    <n v="3"/>
    <n v="1"/>
    <n v="7"/>
    <n v="2"/>
    <n v="2"/>
    <n v="0"/>
    <n v="2"/>
    <x v="3"/>
    <s v="24-06-2019"/>
    <m/>
    <s v="Dept.Head"/>
    <s v="WFH"/>
    <n v="2"/>
    <n v="2"/>
    <s v="Yes"/>
    <s v="Job Event"/>
    <s v="Contract"/>
    <n v="453"/>
    <n v="57"/>
    <n v="80"/>
    <n v="3"/>
    <n v="0"/>
    <m/>
    <n v="0"/>
    <n v="1"/>
    <s v="Current Employees"/>
    <s v="No"/>
  </r>
  <r>
    <x v="28"/>
    <s v="Travel_Rarely"/>
    <x v="1"/>
    <n v="2"/>
    <x v="0"/>
    <n v="3"/>
    <n v="1"/>
    <x v="3"/>
    <n v="3"/>
    <x v="1"/>
    <n v="3067"/>
    <n v="0"/>
    <s v="No"/>
    <n v="19"/>
    <n v="3"/>
    <n v="1"/>
    <n v="3"/>
    <n v="1"/>
    <n v="2"/>
    <n v="1"/>
    <n v="2"/>
    <x v="3"/>
    <s v="15-01-2019"/>
    <m/>
    <s v="Work Accident"/>
    <s v="WFH"/>
    <n v="0"/>
    <n v="2"/>
    <s v="No"/>
    <s v="Recruiter"/>
    <s v="FullTime"/>
    <n v="454"/>
    <n v="77"/>
    <n v="80"/>
    <n v="7"/>
    <n v="1"/>
    <n v="1"/>
    <n v="1"/>
    <n v="0"/>
    <s v="Ex-Employees"/>
    <s v="Yes"/>
  </r>
  <r>
    <x v="27"/>
    <s v="Travel_Rarely"/>
    <x v="0"/>
    <n v="11"/>
    <x v="0"/>
    <n v="3"/>
    <n v="1"/>
    <x v="0"/>
    <n v="3"/>
    <x v="1"/>
    <n v="2660"/>
    <n v="7"/>
    <s v="Yes"/>
    <n v="11"/>
    <n v="3"/>
    <n v="1"/>
    <n v="5"/>
    <n v="3"/>
    <n v="2"/>
    <n v="2"/>
    <n v="2"/>
    <x v="2"/>
    <d v="2019-05-04T00:00:00"/>
    <m/>
    <s v="Work Environment"/>
    <s v="OFFICE"/>
    <n v="2"/>
    <n v="1"/>
    <s v="No"/>
    <s v="Job Portal"/>
    <s v="Part Time"/>
    <n v="455"/>
    <n v="30"/>
    <n v="80"/>
    <n v="2"/>
    <n v="0"/>
    <m/>
    <n v="0"/>
    <n v="1"/>
    <s v="Current Employees"/>
    <s v="No"/>
  </r>
  <r>
    <x v="21"/>
    <s v="Travel_Rarely"/>
    <x v="1"/>
    <n v="1"/>
    <x v="0"/>
    <n v="2"/>
    <n v="1"/>
    <x v="3"/>
    <n v="2"/>
    <x v="1"/>
    <n v="2269"/>
    <n v="0"/>
    <s v="No"/>
    <n v="14"/>
    <n v="3"/>
    <n v="1"/>
    <n v="3"/>
    <n v="2"/>
    <n v="2"/>
    <n v="2"/>
    <n v="2"/>
    <x v="0"/>
    <s v="19-04-2019"/>
    <m/>
    <s v="Work Environment"/>
    <s v="WFH"/>
    <n v="3"/>
    <n v="2"/>
    <s v="No"/>
    <s v="Walk-in"/>
    <s v="Part Time"/>
    <n v="456"/>
    <n v="30"/>
    <n v="80"/>
    <n v="9"/>
    <n v="0"/>
    <m/>
    <n v="0"/>
    <n v="1"/>
    <s v="Current Employees"/>
    <s v="No"/>
  </r>
  <r>
    <x v="1"/>
    <s v="Travel_Rarely"/>
    <x v="1"/>
    <n v="5"/>
    <x v="0"/>
    <n v="3"/>
    <n v="1"/>
    <x v="3"/>
    <n v="1"/>
    <x v="0"/>
    <n v="2380"/>
    <n v="1"/>
    <s v="Yes"/>
    <n v="11"/>
    <n v="3"/>
    <n v="0"/>
    <n v="2"/>
    <n v="6"/>
    <n v="2"/>
    <n v="1"/>
    <n v="2"/>
    <x v="3"/>
    <d v="2019-02-02T00:00:00"/>
    <m/>
    <s v="Work Environment"/>
    <s v="OFFICE"/>
    <n v="4"/>
    <n v="2"/>
    <s v="Yes"/>
    <s v="Recruiter"/>
    <s v="Part Time"/>
    <n v="458"/>
    <n v="56"/>
    <n v="80"/>
    <n v="7"/>
    <n v="0"/>
    <m/>
    <n v="0"/>
    <n v="1"/>
    <s v="Current Employees"/>
    <s v="No"/>
  </r>
  <r>
    <x v="7"/>
    <s v="Travel_Rarely"/>
    <x v="0"/>
    <n v="1"/>
    <x v="0"/>
    <n v="3"/>
    <n v="1"/>
    <x v="1"/>
    <n v="4"/>
    <x v="1"/>
    <n v="4787"/>
    <n v="9"/>
    <s v="Yes"/>
    <n v="14"/>
    <n v="3"/>
    <n v="3"/>
    <n v="4"/>
    <n v="3"/>
    <n v="2"/>
    <n v="2"/>
    <n v="2"/>
    <x v="2"/>
    <s v="21-05-2019"/>
    <m/>
    <s v="Salary"/>
    <s v="OFFICE"/>
    <n v="0"/>
    <n v="0"/>
    <s v="Yes"/>
    <s v="Recruiter"/>
    <s v="Part Time"/>
    <n v="460"/>
    <n v="61"/>
    <n v="80"/>
    <n v="2"/>
    <n v="0"/>
    <m/>
    <n v="0"/>
    <n v="1"/>
    <s v="Current Employees"/>
    <s v="No"/>
  </r>
  <r>
    <x v="18"/>
    <s v="Travel_Rarely"/>
    <x v="0"/>
    <n v="2"/>
    <x v="0"/>
    <n v="2"/>
    <n v="1"/>
    <x v="1"/>
    <n v="3"/>
    <x v="0"/>
    <n v="2809"/>
    <n v="2"/>
    <s v="No"/>
    <n v="14"/>
    <n v="3"/>
    <n v="0"/>
    <n v="8"/>
    <n v="2"/>
    <n v="2"/>
    <n v="2"/>
    <n v="2"/>
    <x v="2"/>
    <s v="23-06-2019"/>
    <m/>
    <s v="Work Environment"/>
    <s v="OFFICE"/>
    <n v="4"/>
    <n v="2"/>
    <s v="Yes"/>
    <s v="Walk-in"/>
    <s v="Part Time"/>
    <n v="461"/>
    <n v="92"/>
    <n v="80"/>
    <n v="10"/>
    <n v="0"/>
    <m/>
    <n v="0"/>
    <n v="1"/>
    <s v="Current Employees"/>
    <s v="No"/>
  </r>
  <r>
    <x v="12"/>
    <s v="Travel_Rarely"/>
    <x v="0"/>
    <n v="2"/>
    <x v="0"/>
    <n v="3"/>
    <n v="1"/>
    <x v="1"/>
    <n v="4"/>
    <x v="0"/>
    <n v="3944"/>
    <n v="5"/>
    <s v="Yes"/>
    <n v="11"/>
    <n v="3"/>
    <n v="0"/>
    <n v="6"/>
    <n v="3"/>
    <n v="3"/>
    <n v="1"/>
    <n v="2"/>
    <x v="1"/>
    <s v="17-05-2018"/>
    <m/>
    <s v="Work Accident"/>
    <s v="OFFICE"/>
    <n v="3"/>
    <n v="1"/>
    <s v="Yes"/>
    <s v="Job Event"/>
    <s v="Part Time"/>
    <n v="462"/>
    <n v="39"/>
    <n v="80"/>
    <n v="9"/>
    <n v="0"/>
    <m/>
    <n v="0"/>
    <n v="1"/>
    <s v="Current Employees"/>
    <s v="No"/>
  </r>
  <r>
    <x v="16"/>
    <s v="Travel_Rarely"/>
    <x v="1"/>
    <n v="3"/>
    <x v="0"/>
    <n v="2"/>
    <n v="1"/>
    <x v="3"/>
    <n v="3"/>
    <x v="1"/>
    <n v="2683"/>
    <n v="1"/>
    <s v="Yes"/>
    <n v="14"/>
    <n v="3"/>
    <n v="0"/>
    <n v="3"/>
    <n v="2"/>
    <n v="3"/>
    <n v="0"/>
    <n v="2"/>
    <x v="2"/>
    <s v="17-01-2018"/>
    <m/>
    <s v="Better Opportunity"/>
    <s v="WFH"/>
    <n v="3"/>
    <n v="0"/>
    <s v="Yes"/>
    <s v="Walk-in"/>
    <s v="Contract"/>
    <n v="463"/>
    <n v="39"/>
    <n v="80"/>
    <n v="7"/>
    <n v="0"/>
    <m/>
    <n v="0"/>
    <n v="1"/>
    <s v="Current Employees"/>
    <s v="No"/>
  </r>
  <r>
    <x v="27"/>
    <s v="Travel_Frequently"/>
    <x v="0"/>
    <n v="1"/>
    <x v="0"/>
    <n v="3"/>
    <n v="1"/>
    <x v="1"/>
    <n v="1"/>
    <x v="1"/>
    <n v="2194"/>
    <n v="4"/>
    <s v="No"/>
    <n v="13"/>
    <n v="3"/>
    <n v="1"/>
    <n v="5"/>
    <n v="2"/>
    <n v="3"/>
    <n v="1"/>
    <n v="2"/>
    <x v="0"/>
    <d v="2018-02-01T00:00:00"/>
    <m/>
    <s v="Work Accident"/>
    <s v="WFH"/>
    <n v="2"/>
    <n v="3"/>
    <s v="Yes"/>
    <s v="Recruiter"/>
    <s v="FullTime"/>
    <n v="464"/>
    <n v="62"/>
    <n v="80"/>
    <n v="6"/>
    <n v="0"/>
    <m/>
    <n v="0"/>
    <n v="1"/>
    <s v="Current Employees"/>
    <s v="No"/>
  </r>
  <r>
    <x v="19"/>
    <s v="Travel_Rarely"/>
    <x v="1"/>
    <n v="3"/>
    <x v="1"/>
    <n v="3"/>
    <n v="2"/>
    <x v="4"/>
    <n v="3"/>
    <x v="1"/>
    <n v="4999"/>
    <n v="0"/>
    <s v="No"/>
    <n v="21"/>
    <n v="4"/>
    <n v="1"/>
    <n v="4"/>
    <n v="2"/>
    <n v="3"/>
    <n v="0"/>
    <n v="2"/>
    <x v="0"/>
    <s v="27-04-2018"/>
    <m/>
    <s v="Dept.Head"/>
    <s v="OFFICE"/>
    <n v="1"/>
    <n v="1"/>
    <s v="No"/>
    <s v="Recruiter"/>
    <s v="FullTime"/>
    <n v="465"/>
    <n v="83"/>
    <n v="80"/>
    <n v="2"/>
    <n v="0"/>
    <m/>
    <n v="0"/>
    <n v="1"/>
    <s v="Current Employees"/>
    <s v="No"/>
  </r>
  <r>
    <x v="17"/>
    <s v="Non-Travel"/>
    <x v="0"/>
    <n v="23"/>
    <x v="0"/>
    <n v="3"/>
    <n v="2"/>
    <x v="0"/>
    <n v="2"/>
    <x v="1"/>
    <n v="2042"/>
    <n v="4"/>
    <s v="No"/>
    <n v="12"/>
    <n v="3"/>
    <n v="1"/>
    <n v="17"/>
    <n v="3"/>
    <n v="3"/>
    <n v="1"/>
    <n v="2"/>
    <x v="0"/>
    <s v="23-03-2018"/>
    <m/>
    <s v="Dept.Head"/>
    <s v="WFH"/>
    <n v="5"/>
    <n v="0"/>
    <s v="Yes"/>
    <s v="Job Event"/>
    <s v="FullTime"/>
    <n v="466"/>
    <n v="95"/>
    <n v="80"/>
    <n v="4"/>
    <n v="0"/>
    <m/>
    <n v="0"/>
    <n v="1"/>
    <s v="Current Employees"/>
    <s v="No"/>
  </r>
  <r>
    <x v="0"/>
    <s v="Travel_Rarely"/>
    <x v="2"/>
    <n v="6"/>
    <x v="0"/>
    <n v="3"/>
    <n v="1"/>
    <x v="8"/>
    <n v="1"/>
    <x v="2"/>
    <n v="2073"/>
    <n v="4"/>
    <s v="Yes"/>
    <n v="22"/>
    <n v="4"/>
    <n v="0"/>
    <n v="7"/>
    <n v="3"/>
    <n v="3"/>
    <n v="0"/>
    <n v="2"/>
    <x v="2"/>
    <s v="18-02-2018"/>
    <m/>
    <s v="Work Environment"/>
    <s v="WFH"/>
    <n v="1"/>
    <n v="0"/>
    <s v="Yes"/>
    <s v="Job Portal"/>
    <s v="FullTime"/>
    <n v="467"/>
    <n v="99"/>
    <n v="80"/>
    <n v="0"/>
    <n v="0"/>
    <m/>
    <n v="0"/>
    <n v="1"/>
    <s v="Current Employees"/>
    <s v="No"/>
  </r>
  <r>
    <x v="24"/>
    <s v="Non-Travel"/>
    <x v="2"/>
    <n v="2"/>
    <x v="1"/>
    <n v="2"/>
    <n v="5"/>
    <x v="5"/>
    <n v="4"/>
    <x v="1"/>
    <n v="18844"/>
    <n v="9"/>
    <s v="No"/>
    <n v="21"/>
    <n v="4"/>
    <n v="1"/>
    <n v="30"/>
    <n v="3"/>
    <n v="3"/>
    <n v="2"/>
    <n v="2"/>
    <x v="3"/>
    <d v="2018-02-06T00:00:00"/>
    <m/>
    <s v="Dept.Head"/>
    <s v="OFFICE"/>
    <n v="4"/>
    <n v="2"/>
    <s v="No"/>
    <s v="Job Portal"/>
    <s v="Part Time"/>
    <n v="468"/>
    <n v="44"/>
    <n v="80"/>
    <n v="0"/>
    <n v="0"/>
    <m/>
    <n v="0"/>
    <n v="1"/>
    <s v="Current Employees"/>
    <s v="No"/>
  </r>
  <r>
    <x v="34"/>
    <s v="Travel_Frequently"/>
    <x v="0"/>
    <n v="28"/>
    <x v="1"/>
    <n v="4"/>
    <n v="1"/>
    <x v="1"/>
    <n v="3"/>
    <x v="0"/>
    <n v="4739"/>
    <n v="4"/>
    <s v="No"/>
    <n v="12"/>
    <n v="3"/>
    <n v="0"/>
    <n v="18"/>
    <n v="2"/>
    <n v="3"/>
    <n v="1"/>
    <n v="2"/>
    <x v="1"/>
    <s v="13-02-2018"/>
    <m/>
    <s v="Better Opportunity"/>
    <s v="OFFICE"/>
    <n v="2"/>
    <n v="2"/>
    <s v="No"/>
    <s v="Job Portal"/>
    <s v="FullTime"/>
    <n v="469"/>
    <n v="61"/>
    <n v="80"/>
    <n v="3"/>
    <n v="0"/>
    <m/>
    <n v="0"/>
    <n v="1"/>
    <s v="Current Employees"/>
    <s v="No"/>
  </r>
  <r>
    <x v="26"/>
    <s v="Travel_Rarely"/>
    <x v="0"/>
    <n v="6"/>
    <x v="0"/>
    <n v="3"/>
    <n v="2"/>
    <x v="6"/>
    <n v="2"/>
    <x v="2"/>
    <n v="4941"/>
    <n v="6"/>
    <s v="No"/>
    <n v="20"/>
    <n v="4"/>
    <n v="2"/>
    <n v="7"/>
    <n v="0"/>
    <n v="3"/>
    <n v="0"/>
    <n v="1"/>
    <x v="0"/>
    <s v="18-06-2018"/>
    <m/>
    <s v="Better Opportunity"/>
    <s v="OFFICE"/>
    <n v="0"/>
    <n v="2"/>
    <s v="No"/>
    <s v="Job Event"/>
    <s v="FullTime"/>
    <n v="470"/>
    <n v="52"/>
    <n v="80"/>
    <n v="2"/>
    <n v="0"/>
    <m/>
    <n v="0"/>
    <n v="1"/>
    <s v="Current Employees"/>
    <s v="No"/>
  </r>
  <r>
    <x v="12"/>
    <s v="Travel_Rarely"/>
    <x v="0"/>
    <n v="3"/>
    <x v="1"/>
    <n v="3"/>
    <n v="2"/>
    <x v="1"/>
    <n v="3"/>
    <x v="0"/>
    <n v="4317"/>
    <n v="3"/>
    <s v="Yes"/>
    <n v="20"/>
    <n v="4"/>
    <n v="0"/>
    <n v="19"/>
    <n v="2"/>
    <n v="3"/>
    <n v="2"/>
    <n v="2"/>
    <x v="3"/>
    <s v="24-04-2018"/>
    <m/>
    <s v="Salary"/>
    <s v="WFH"/>
    <n v="5"/>
    <n v="0"/>
    <s v="Yes"/>
    <s v="Job Event"/>
    <s v="FullTime"/>
    <n v="471"/>
    <n v="75"/>
    <n v="80"/>
    <n v="0"/>
    <n v="0"/>
    <m/>
    <n v="0"/>
    <n v="1"/>
    <s v="Current Employees"/>
    <s v="No"/>
  </r>
  <r>
    <x v="14"/>
    <s v="Travel_Rarely"/>
    <x v="0"/>
    <n v="5"/>
    <x v="1"/>
    <n v="3"/>
    <n v="1"/>
    <x v="1"/>
    <n v="1"/>
    <x v="2"/>
    <n v="3204"/>
    <n v="5"/>
    <s v="No"/>
    <n v="14"/>
    <n v="3"/>
    <n v="1"/>
    <n v="8"/>
    <n v="3"/>
    <n v="3"/>
    <n v="2"/>
    <n v="2"/>
    <x v="3"/>
    <s v="25-05-2018"/>
    <m/>
    <s v="Dept.Head"/>
    <s v="OFFICE"/>
    <n v="0"/>
    <n v="2"/>
    <s v="No"/>
    <s v="Walk-in"/>
    <s v="FullTime"/>
    <n v="473"/>
    <n v="91"/>
    <n v="80"/>
    <n v="0"/>
    <n v="0"/>
    <m/>
    <n v="0"/>
    <n v="1"/>
    <s v="Current Employees"/>
    <s v="No"/>
  </r>
  <r>
    <x v="20"/>
    <s v="Travel_Rarely"/>
    <x v="0"/>
    <n v="2"/>
    <x v="0"/>
    <n v="3"/>
    <n v="1"/>
    <x v="1"/>
    <n v="4"/>
    <x v="0"/>
    <n v="2500"/>
    <n v="0"/>
    <s v="No"/>
    <n v="14"/>
    <n v="3"/>
    <n v="0"/>
    <n v="4"/>
    <n v="2"/>
    <n v="3"/>
    <n v="0"/>
    <n v="2"/>
    <x v="0"/>
    <d v="2018-04-01T00:00:00"/>
    <m/>
    <s v="Work Accident"/>
    <s v="OFFICE"/>
    <n v="0"/>
    <n v="0"/>
    <s v="No"/>
    <s v="Recruiter"/>
    <s v="Contract"/>
    <n v="474"/>
    <n v="51"/>
    <n v="80"/>
    <n v="7"/>
    <n v="0"/>
    <m/>
    <n v="0"/>
    <n v="1"/>
    <s v="Current Employees"/>
    <s v="No"/>
  </r>
  <r>
    <x v="13"/>
    <s v="Travel_Rarely"/>
    <x v="0"/>
    <n v="27"/>
    <x v="1"/>
    <n v="3"/>
    <n v="1"/>
    <x v="1"/>
    <n v="2"/>
    <x v="0"/>
    <n v="2311"/>
    <n v="2"/>
    <s v="No"/>
    <n v="15"/>
    <n v="3"/>
    <n v="0"/>
    <n v="9"/>
    <n v="3"/>
    <n v="3"/>
    <n v="1"/>
    <n v="2"/>
    <x v="2"/>
    <s v="24-01-2018"/>
    <m/>
    <s v="Salary"/>
    <s v="OFFICE"/>
    <n v="5"/>
    <n v="3"/>
    <s v="No"/>
    <s v="Job Portal"/>
    <s v="FullTime"/>
    <n v="475"/>
    <n v="85"/>
    <n v="80"/>
    <n v="2"/>
    <n v="0"/>
    <m/>
    <n v="0"/>
    <n v="1"/>
    <s v="Current Employees"/>
    <s v="No"/>
  </r>
  <r>
    <x v="16"/>
    <s v="Travel_Rarely"/>
    <x v="0"/>
    <n v="1"/>
    <x v="0"/>
    <n v="2"/>
    <n v="1"/>
    <x v="0"/>
    <n v="3"/>
    <x v="1"/>
    <n v="3690"/>
    <n v="2"/>
    <s v="No"/>
    <n v="15"/>
    <n v="3"/>
    <n v="1"/>
    <n v="5"/>
    <n v="2"/>
    <n v="3"/>
    <n v="0"/>
    <n v="2"/>
    <x v="3"/>
    <d v="2018-08-02T00:00:00"/>
    <m/>
    <s v="Dept.Head"/>
    <s v="WFH"/>
    <n v="5"/>
    <n v="2"/>
    <s v="Yes"/>
    <s v="Recruiter"/>
    <s v="Part Time"/>
    <n v="476"/>
    <n v="57"/>
    <n v="80"/>
    <n v="7"/>
    <n v="0"/>
    <m/>
    <n v="0"/>
    <n v="1"/>
    <s v="Current Employees"/>
    <s v="No"/>
  </r>
  <r>
    <x v="18"/>
    <s v="Non-Travel"/>
    <x v="0"/>
    <n v="9"/>
    <x v="0"/>
    <n v="2"/>
    <n v="2"/>
    <x v="7"/>
    <n v="4"/>
    <x v="1"/>
    <n v="4876"/>
    <n v="9"/>
    <s v="No"/>
    <n v="14"/>
    <n v="3"/>
    <n v="1"/>
    <n v="5"/>
    <n v="5"/>
    <n v="3"/>
    <n v="0"/>
    <n v="2"/>
    <x v="3"/>
    <d v="2018-07-03T00:00:00"/>
    <m/>
    <s v="Salary"/>
    <s v="OFFICE"/>
    <n v="3"/>
    <n v="1"/>
    <s v="Yes"/>
    <s v="Job Event"/>
    <s v="FullTime"/>
    <n v="477"/>
    <n v="98"/>
    <n v="80"/>
    <n v="0"/>
    <n v="0"/>
    <m/>
    <n v="0"/>
    <n v="1"/>
    <s v="Current Employees"/>
    <s v="No"/>
  </r>
  <r>
    <x v="20"/>
    <s v="Travel_Rarely"/>
    <x v="0"/>
    <n v="4"/>
    <x v="1"/>
    <n v="2"/>
    <n v="1"/>
    <x v="1"/>
    <n v="2"/>
    <x v="1"/>
    <n v="2622"/>
    <n v="6"/>
    <s v="No"/>
    <n v="21"/>
    <n v="4"/>
    <n v="0"/>
    <n v="7"/>
    <n v="3"/>
    <n v="3"/>
    <n v="1"/>
    <n v="1"/>
    <x v="1"/>
    <d v="2018-05-04T00:00:00"/>
    <m/>
    <s v="Dept.Head"/>
    <s v="WFH"/>
    <n v="1"/>
    <n v="1"/>
    <s v="Yes"/>
    <s v="Recruiter"/>
    <s v="Contract"/>
    <n v="478"/>
    <n v="99"/>
    <n v="80"/>
    <n v="2"/>
    <n v="1"/>
    <n v="1"/>
    <n v="1"/>
    <n v="0"/>
    <s v="Ex-Employees"/>
    <s v="Yes"/>
  </r>
  <r>
    <x v="21"/>
    <s v="Travel_Rarely"/>
    <x v="0"/>
    <n v="1"/>
    <x v="0"/>
    <n v="2"/>
    <n v="1"/>
    <x v="0"/>
    <n v="3"/>
    <x v="0"/>
    <n v="3730"/>
    <n v="0"/>
    <s v="Yes"/>
    <n v="14"/>
    <n v="3"/>
    <n v="0"/>
    <n v="4"/>
    <n v="2"/>
    <n v="3"/>
    <n v="1"/>
    <n v="2"/>
    <x v="2"/>
    <s v="21-02-2018"/>
    <m/>
    <s v="Work Environment"/>
    <s v="OFFICE"/>
    <n v="0"/>
    <n v="1"/>
    <s v="Yes"/>
    <s v="Job Event"/>
    <s v="FullTime"/>
    <n v="479"/>
    <n v="45"/>
    <n v="80"/>
    <n v="0"/>
    <n v="0"/>
    <m/>
    <n v="0"/>
    <n v="1"/>
    <s v="Current Employees"/>
    <s v="No"/>
  </r>
  <r>
    <x v="25"/>
    <s v="Travel_Rarely"/>
    <x v="0"/>
    <n v="1"/>
    <x v="1"/>
    <n v="3"/>
    <n v="1"/>
    <x v="0"/>
    <n v="3"/>
    <x v="2"/>
    <n v="2232"/>
    <n v="7"/>
    <s v="No"/>
    <n v="14"/>
    <n v="3"/>
    <n v="3"/>
    <n v="7"/>
    <n v="1"/>
    <n v="3"/>
    <n v="1"/>
    <n v="2"/>
    <x v="2"/>
    <s v="25-03-2018"/>
    <m/>
    <s v="Work Environment"/>
    <s v="OFFICE"/>
    <n v="5"/>
    <n v="2"/>
    <s v="Yes"/>
    <s v="Recruiter"/>
    <s v="Contract"/>
    <n v="481"/>
    <n v="48"/>
    <n v="80"/>
    <n v="9"/>
    <n v="0"/>
    <m/>
    <n v="0"/>
    <n v="1"/>
    <s v="Current Employees"/>
    <s v="No"/>
  </r>
  <r>
    <x v="21"/>
    <s v="Non-Travel"/>
    <x v="1"/>
    <n v="26"/>
    <x v="0"/>
    <n v="3"/>
    <n v="2"/>
    <x v="4"/>
    <n v="4"/>
    <x v="1"/>
    <n v="4465"/>
    <n v="0"/>
    <s v="No"/>
    <n v="18"/>
    <n v="3"/>
    <n v="0"/>
    <n v="4"/>
    <n v="2"/>
    <n v="3"/>
    <n v="2"/>
    <n v="2"/>
    <x v="1"/>
    <d v="2018-12-04T00:00:00"/>
    <m/>
    <s v="Salary"/>
    <s v="OFFICE"/>
    <n v="3"/>
    <n v="1"/>
    <s v="No"/>
    <s v="Job Portal"/>
    <s v="Part Time"/>
    <n v="482"/>
    <n v="88"/>
    <n v="80"/>
    <n v="2"/>
    <n v="0"/>
    <m/>
    <n v="0"/>
    <n v="1"/>
    <s v="Current Employees"/>
    <s v="No"/>
  </r>
  <r>
    <x v="0"/>
    <s v="Travel_Rarely"/>
    <x v="0"/>
    <n v="1"/>
    <x v="1"/>
    <n v="2"/>
    <n v="1"/>
    <x v="1"/>
    <n v="1"/>
    <x v="1"/>
    <n v="3920"/>
    <n v="2"/>
    <s v="No"/>
    <n v="14"/>
    <n v="3"/>
    <n v="1"/>
    <n v="17"/>
    <n v="2"/>
    <n v="3"/>
    <n v="0"/>
    <n v="2"/>
    <x v="2"/>
    <s v="26-06-2018"/>
    <m/>
    <s v="Work Environment"/>
    <s v="WFH"/>
    <n v="5"/>
    <n v="1"/>
    <s v="Yes"/>
    <s v="Recruiter"/>
    <s v="Part Time"/>
    <n v="483"/>
    <n v="46"/>
    <n v="80"/>
    <n v="7"/>
    <n v="0"/>
    <m/>
    <n v="0"/>
    <n v="1"/>
    <s v="Current Employees"/>
    <s v="No"/>
  </r>
  <r>
    <x v="2"/>
    <s v="Travel_Frequently"/>
    <x v="0"/>
    <n v="7"/>
    <x v="0"/>
    <n v="4"/>
    <n v="2"/>
    <x v="6"/>
    <n v="3"/>
    <x v="1"/>
    <n v="6434"/>
    <n v="4"/>
    <s v="No"/>
    <n v="17"/>
    <n v="3"/>
    <n v="1"/>
    <n v="9"/>
    <n v="1"/>
    <n v="3"/>
    <n v="0"/>
    <n v="2"/>
    <x v="1"/>
    <s v="17-04-2018"/>
    <m/>
    <s v="Dept.Head"/>
    <s v="OFFICE"/>
    <n v="1"/>
    <n v="3"/>
    <s v="No"/>
    <s v="Job Event"/>
    <s v="FullTime"/>
    <n v="484"/>
    <n v="39"/>
    <n v="80"/>
    <n v="2"/>
    <n v="0"/>
    <m/>
    <n v="0"/>
    <n v="1"/>
    <s v="Current Employees"/>
    <s v="No"/>
  </r>
  <r>
    <x v="22"/>
    <s v="Travel_Rarely"/>
    <x v="0"/>
    <n v="17"/>
    <x v="1"/>
    <n v="4"/>
    <n v="2"/>
    <x v="1"/>
    <n v="1"/>
    <x v="0"/>
    <n v="6545"/>
    <n v="3"/>
    <s v="Yes"/>
    <n v="13"/>
    <n v="3"/>
    <n v="0"/>
    <n v="10"/>
    <n v="1"/>
    <n v="3"/>
    <n v="0"/>
    <n v="2"/>
    <x v="1"/>
    <s v="15-04-2018"/>
    <m/>
    <s v="Work Environment"/>
    <s v="OFFICE"/>
    <n v="3"/>
    <n v="1"/>
    <s v="No"/>
    <s v="Recruiter"/>
    <s v="Contract"/>
    <n v="485"/>
    <n v="34"/>
    <n v="80"/>
    <n v="0"/>
    <n v="1"/>
    <n v="1"/>
    <n v="1"/>
    <n v="0"/>
    <s v="Ex-Employees"/>
    <s v="Yes"/>
  </r>
  <r>
    <x v="7"/>
    <s v="Travel_Rarely"/>
    <x v="1"/>
    <n v="20"/>
    <x v="0"/>
    <n v="3"/>
    <n v="2"/>
    <x v="4"/>
    <n v="4"/>
    <x v="2"/>
    <n v="6931"/>
    <n v="2"/>
    <s v="No"/>
    <n v="14"/>
    <n v="3"/>
    <n v="1"/>
    <n v="10"/>
    <n v="2"/>
    <n v="3"/>
    <n v="0"/>
    <n v="2"/>
    <x v="0"/>
    <s v="27-04-2018"/>
    <m/>
    <s v="Work Environment"/>
    <s v="OFFICE"/>
    <n v="4"/>
    <n v="2"/>
    <s v="Yes"/>
    <s v="Recruiter"/>
    <s v="Contract"/>
    <n v="486"/>
    <n v="98"/>
    <n v="80"/>
    <n v="4"/>
    <n v="0"/>
    <m/>
    <n v="0"/>
    <n v="1"/>
    <s v="Current Employees"/>
    <s v="No"/>
  </r>
  <r>
    <x v="1"/>
    <s v="Travel_Rarely"/>
    <x v="0"/>
    <n v="3"/>
    <x v="0"/>
    <n v="2"/>
    <n v="1"/>
    <x v="1"/>
    <n v="3"/>
    <x v="0"/>
    <n v="3230"/>
    <n v="1"/>
    <s v="No"/>
    <n v="17"/>
    <n v="3"/>
    <n v="0"/>
    <n v="3"/>
    <n v="4"/>
    <n v="3"/>
    <n v="1"/>
    <n v="0"/>
    <x v="0"/>
    <s v="20-03-2018"/>
    <m/>
    <s v="Dept.Head"/>
    <s v="WFH"/>
    <n v="2"/>
    <n v="0"/>
    <s v="No"/>
    <s v="Job Portal"/>
    <s v="Part Time"/>
    <n v="487"/>
    <n v="30"/>
    <n v="80"/>
    <n v="0"/>
    <n v="0"/>
    <m/>
    <n v="0"/>
    <n v="1"/>
    <s v="Current Employees"/>
    <s v="No"/>
  </r>
  <r>
    <x v="11"/>
    <s v="Travel_Rarely"/>
    <x v="0"/>
    <n v="16"/>
    <x v="0"/>
    <n v="3"/>
    <n v="1"/>
    <x v="0"/>
    <n v="2"/>
    <x v="2"/>
    <n v="2373"/>
    <n v="2"/>
    <s v="Yes"/>
    <n v="13"/>
    <n v="3"/>
    <n v="1"/>
    <n v="5"/>
    <n v="2"/>
    <n v="3"/>
    <n v="0"/>
    <n v="2"/>
    <x v="3"/>
    <d v="2018-10-05T00:00:00"/>
    <m/>
    <s v="Salary"/>
    <s v="OFFICE"/>
    <n v="2"/>
    <n v="2"/>
    <s v="Yes"/>
    <s v="Walk-in"/>
    <s v="Contract"/>
    <n v="488"/>
    <n v="56"/>
    <n v="80"/>
    <n v="7"/>
    <n v="1"/>
    <n v="1"/>
    <n v="1"/>
    <n v="0"/>
    <s v="Ex-Employees"/>
    <s v="Yes"/>
  </r>
  <r>
    <x v="39"/>
    <s v="Travel_Frequently"/>
    <x v="0"/>
    <n v="10"/>
    <x v="1"/>
    <n v="3"/>
    <n v="5"/>
    <x v="2"/>
    <n v="1"/>
    <x v="0"/>
    <n v="18665"/>
    <n v="9"/>
    <s v="Yes"/>
    <n v="11"/>
    <n v="3"/>
    <n v="0"/>
    <n v="22"/>
    <n v="4"/>
    <n v="3"/>
    <n v="1"/>
    <n v="2"/>
    <x v="0"/>
    <s v="24-02-2018"/>
    <m/>
    <s v="Dept.Head"/>
    <s v="WFH"/>
    <n v="3"/>
    <n v="2"/>
    <s v="No"/>
    <s v="Walk-in"/>
    <s v="FullTime"/>
    <n v="491"/>
    <n v="100"/>
    <n v="80"/>
    <n v="3"/>
    <n v="0"/>
    <m/>
    <n v="0"/>
    <n v="1"/>
    <s v="Current Employees"/>
    <s v="No"/>
  </r>
  <r>
    <x v="6"/>
    <s v="Travel_Rarely"/>
    <x v="0"/>
    <n v="2"/>
    <x v="0"/>
    <n v="1"/>
    <n v="1"/>
    <x v="1"/>
    <n v="4"/>
    <x v="1"/>
    <n v="3464"/>
    <n v="5"/>
    <s v="Yes"/>
    <n v="13"/>
    <n v="3"/>
    <n v="0"/>
    <n v="5"/>
    <n v="4"/>
    <n v="3"/>
    <n v="2"/>
    <n v="2"/>
    <x v="3"/>
    <s v="20-05-2018"/>
    <m/>
    <s v="Salary"/>
    <s v="OFFICE"/>
    <n v="2"/>
    <n v="3"/>
    <s v="Yes"/>
    <s v="Recruiter"/>
    <s v="FullTime"/>
    <n v="492"/>
    <n v="68"/>
    <n v="80"/>
    <n v="4"/>
    <n v="1"/>
    <n v="1"/>
    <n v="1"/>
    <n v="0"/>
    <s v="Ex-Employees"/>
    <s v="Yes"/>
  </r>
  <r>
    <x v="9"/>
    <s v="Travel_Rarely"/>
    <x v="0"/>
    <n v="5"/>
    <x v="0"/>
    <n v="3"/>
    <n v="5"/>
    <x v="2"/>
    <n v="3"/>
    <x v="1"/>
    <n v="18300"/>
    <n v="4"/>
    <s v="No"/>
    <n v="11"/>
    <n v="3"/>
    <n v="1"/>
    <n v="21"/>
    <n v="2"/>
    <n v="3"/>
    <n v="1"/>
    <n v="1"/>
    <x v="3"/>
    <s v="23-06-2018"/>
    <m/>
    <s v="Work Accident"/>
    <s v="WFH"/>
    <n v="1"/>
    <n v="2"/>
    <s v="No"/>
    <s v="Walk-in"/>
    <s v="FullTime"/>
    <n v="493"/>
    <n v="42"/>
    <n v="80"/>
    <n v="2"/>
    <n v="0"/>
    <m/>
    <n v="0"/>
    <n v="1"/>
    <s v="Current Employees"/>
    <s v="No"/>
  </r>
  <r>
    <x v="7"/>
    <s v="Travel_Rarely"/>
    <x v="0"/>
    <n v="9"/>
    <x v="0"/>
    <n v="2"/>
    <n v="1"/>
    <x v="0"/>
    <n v="4"/>
    <x v="0"/>
    <n v="3983"/>
    <n v="0"/>
    <s v="No"/>
    <n v="17"/>
    <n v="3"/>
    <n v="0"/>
    <n v="4"/>
    <n v="2"/>
    <n v="3"/>
    <n v="2"/>
    <n v="2"/>
    <x v="2"/>
    <s v="23-06-2018"/>
    <m/>
    <s v="Dept.Head"/>
    <s v="WFH"/>
    <n v="1"/>
    <n v="0"/>
    <s v="Yes"/>
    <s v="Job Event"/>
    <s v="Part Time"/>
    <n v="494"/>
    <n v="90"/>
    <n v="80"/>
    <n v="0"/>
    <n v="1"/>
    <n v="1"/>
    <n v="1"/>
    <n v="0"/>
    <s v="Ex-Employees"/>
    <s v="Yes"/>
  </r>
  <r>
    <x v="22"/>
    <s v="Travel_Rarely"/>
    <x v="2"/>
    <n v="2"/>
    <x v="0"/>
    <n v="3"/>
    <n v="1"/>
    <x v="8"/>
    <n v="3"/>
    <x v="2"/>
    <n v="2696"/>
    <n v="0"/>
    <s v="Yes"/>
    <n v="11"/>
    <n v="3"/>
    <n v="1"/>
    <n v="4"/>
    <n v="5"/>
    <n v="3"/>
    <n v="1"/>
    <n v="0"/>
    <x v="0"/>
    <d v="2018-09-01T00:00:00"/>
    <m/>
    <s v="Work Accident"/>
    <s v="OFFICE"/>
    <n v="4"/>
    <n v="2"/>
    <s v="No"/>
    <s v="Job Event"/>
    <s v="Contract"/>
    <n v="495"/>
    <n v="54"/>
    <n v="80"/>
    <n v="2"/>
    <n v="0"/>
    <m/>
    <n v="0"/>
    <n v="1"/>
    <s v="Current Employees"/>
    <s v="No"/>
  </r>
  <r>
    <x v="1"/>
    <s v="Travel_Frequently"/>
    <x v="1"/>
    <n v="1"/>
    <x v="1"/>
    <n v="2"/>
    <n v="1"/>
    <x v="3"/>
    <n v="2"/>
    <x v="0"/>
    <n v="2174"/>
    <n v="1"/>
    <s v="Yes"/>
    <n v="11"/>
    <n v="3"/>
    <n v="0"/>
    <n v="3"/>
    <n v="3"/>
    <n v="3"/>
    <n v="1"/>
    <n v="2"/>
    <x v="2"/>
    <s v="26-03-2018"/>
    <m/>
    <s v="Work Environment"/>
    <s v="WFH"/>
    <n v="3"/>
    <n v="1"/>
    <s v="No"/>
    <s v="Job Event"/>
    <s v="Part Time"/>
    <n v="496"/>
    <n v="97"/>
    <n v="80"/>
    <n v="1"/>
    <n v="0"/>
    <m/>
    <n v="0"/>
    <n v="1"/>
    <s v="Current Employees"/>
    <s v="No"/>
  </r>
  <r>
    <x v="36"/>
    <s v="Travel_Rarely"/>
    <x v="0"/>
    <n v="1"/>
    <x v="0"/>
    <n v="3"/>
    <n v="2"/>
    <x v="7"/>
    <n v="3"/>
    <x v="1"/>
    <n v="6755"/>
    <n v="2"/>
    <s v="No"/>
    <n v="11"/>
    <n v="3"/>
    <n v="0"/>
    <n v="15"/>
    <n v="2"/>
    <n v="3"/>
    <n v="1"/>
    <n v="2"/>
    <x v="0"/>
    <d v="2018-04-02T00:00:00"/>
    <m/>
    <s v="Work Accident"/>
    <s v="WFH"/>
    <n v="4"/>
    <n v="1"/>
    <s v="Yes"/>
    <s v="Job Event"/>
    <s v="Contract"/>
    <n v="497"/>
    <n v="82"/>
    <n v="80"/>
    <n v="2"/>
    <n v="0"/>
    <m/>
    <n v="0"/>
    <n v="1"/>
    <s v="Current Employees"/>
    <s v="No"/>
  </r>
  <r>
    <x v="1"/>
    <s v="Non-Travel"/>
    <x v="1"/>
    <n v="9"/>
    <x v="0"/>
    <n v="3"/>
    <n v="1"/>
    <x v="3"/>
    <n v="4"/>
    <x v="0"/>
    <n v="2610"/>
    <n v="1"/>
    <s v="No"/>
    <n v="24"/>
    <n v="4"/>
    <n v="0"/>
    <n v="3"/>
    <n v="3"/>
    <n v="3"/>
    <n v="2"/>
    <n v="2"/>
    <x v="0"/>
    <d v="2018-01-05T00:00:00"/>
    <m/>
    <s v="Dept.Head"/>
    <s v="OFFICE"/>
    <n v="3"/>
    <n v="2"/>
    <s v="No"/>
    <s v="Job Portal"/>
    <s v="Contract"/>
    <n v="498"/>
    <n v="92"/>
    <n v="80"/>
    <n v="5"/>
    <n v="0"/>
    <m/>
    <n v="0"/>
    <n v="1"/>
    <s v="Current Employees"/>
    <s v="No"/>
  </r>
  <r>
    <x v="7"/>
    <s v="Travel_Rarely"/>
    <x v="0"/>
    <n v="23"/>
    <x v="0"/>
    <n v="3"/>
    <n v="1"/>
    <x v="1"/>
    <n v="4"/>
    <x v="0"/>
    <n v="2201"/>
    <n v="9"/>
    <s v="No"/>
    <n v="16"/>
    <n v="3"/>
    <n v="0"/>
    <n v="6"/>
    <n v="4"/>
    <n v="3"/>
    <n v="1"/>
    <n v="2"/>
    <x v="1"/>
    <s v="13-02-2018"/>
    <m/>
    <s v="Dept.Head"/>
    <s v="WFH"/>
    <n v="3"/>
    <n v="0"/>
    <s v="Yes"/>
    <s v="Recruiter"/>
    <s v="FullTime"/>
    <n v="499"/>
    <n v="31"/>
    <n v="80"/>
    <n v="2"/>
    <n v="0"/>
    <m/>
    <n v="0"/>
    <n v="1"/>
    <s v="Current Employees"/>
    <s v="No"/>
  </r>
  <r>
    <x v="13"/>
    <s v="Non-Travel"/>
    <x v="1"/>
    <n v="4"/>
    <x v="1"/>
    <n v="3"/>
    <n v="2"/>
    <x v="4"/>
    <n v="3"/>
    <x v="1"/>
    <n v="6538"/>
    <n v="9"/>
    <s v="No"/>
    <n v="15"/>
    <n v="3"/>
    <n v="1"/>
    <n v="6"/>
    <n v="3"/>
    <n v="3"/>
    <n v="1"/>
    <n v="2"/>
    <x v="2"/>
    <d v="2018-03-05T00:00:00"/>
    <m/>
    <s v="Work Accident"/>
    <s v="OFFICE"/>
    <n v="4"/>
    <n v="2"/>
    <s v="Yes"/>
    <s v="Job Event"/>
    <s v="Contract"/>
    <n v="500"/>
    <n v="87"/>
    <n v="80"/>
    <n v="7"/>
    <n v="0"/>
    <m/>
    <n v="0"/>
    <n v="1"/>
    <s v="Current Employees"/>
    <s v="No"/>
  </r>
  <r>
    <x v="34"/>
    <s v="Travel_Frequently"/>
    <x v="0"/>
    <n v="21"/>
    <x v="0"/>
    <n v="3"/>
    <n v="1"/>
    <x v="0"/>
    <n v="4"/>
    <x v="1"/>
    <n v="2258"/>
    <n v="7"/>
    <s v="No"/>
    <n v="20"/>
    <n v="4"/>
    <n v="1"/>
    <n v="8"/>
    <n v="1"/>
    <n v="3"/>
    <n v="1"/>
    <n v="2"/>
    <x v="1"/>
    <s v="20-04-2018"/>
    <m/>
    <s v="Dept.Head"/>
    <s v="WFH"/>
    <n v="3"/>
    <n v="1"/>
    <s v="No"/>
    <s v="Job Portal"/>
    <s v="Contract"/>
    <n v="501"/>
    <n v="96"/>
    <n v="80"/>
    <n v="2"/>
    <n v="0"/>
    <m/>
    <n v="0"/>
    <n v="1"/>
    <s v="Current Employees"/>
    <s v="No"/>
  </r>
  <r>
    <x v="11"/>
    <s v="Travel_Rarely"/>
    <x v="0"/>
    <n v="23"/>
    <x v="1"/>
    <n v="3"/>
    <n v="1"/>
    <x v="1"/>
    <n v="4"/>
    <x v="2"/>
    <n v="2886"/>
    <n v="1"/>
    <s v="No"/>
    <n v="22"/>
    <n v="4"/>
    <n v="2"/>
    <n v="3"/>
    <n v="3"/>
    <n v="3"/>
    <n v="0"/>
    <n v="2"/>
    <x v="2"/>
    <d v="2018-07-06T00:00:00"/>
    <m/>
    <s v="Salary"/>
    <s v="OFFICE"/>
    <n v="2"/>
    <n v="2"/>
    <s v="No"/>
    <s v="Recruiter"/>
    <s v="Contract"/>
    <n v="502"/>
    <n v="67"/>
    <n v="80"/>
    <n v="2"/>
    <n v="1"/>
    <n v="1"/>
    <n v="1"/>
    <n v="0"/>
    <s v="Ex-Employees"/>
    <s v="Yes"/>
  </r>
  <r>
    <x v="35"/>
    <s v="Travel_Rarely"/>
    <x v="0"/>
    <n v="2"/>
    <x v="0"/>
    <n v="3"/>
    <n v="4"/>
    <x v="2"/>
    <n v="3"/>
    <x v="1"/>
    <n v="17861"/>
    <n v="6"/>
    <s v="No"/>
    <n v="13"/>
    <n v="3"/>
    <n v="0"/>
    <n v="26"/>
    <n v="2"/>
    <n v="3"/>
    <n v="0"/>
    <n v="1"/>
    <x v="1"/>
    <s v="23-03-2018"/>
    <m/>
    <s v="Better Opportunity"/>
    <s v="WFH"/>
    <n v="2"/>
    <n v="0"/>
    <s v="No"/>
    <s v="Recruiter"/>
    <s v="Contract"/>
    <n v="505"/>
    <n v="97"/>
    <n v="80"/>
    <n v="4"/>
    <n v="0"/>
    <m/>
    <n v="0"/>
    <n v="1"/>
    <s v="Current Employees"/>
    <s v="No"/>
  </r>
  <r>
    <x v="35"/>
    <s v="Travel_Rarely"/>
    <x v="1"/>
    <n v="10"/>
    <x v="1"/>
    <n v="2"/>
    <n v="3"/>
    <x v="4"/>
    <n v="4"/>
    <x v="1"/>
    <n v="9071"/>
    <n v="2"/>
    <s v="Yes"/>
    <n v="19"/>
    <n v="3"/>
    <n v="1"/>
    <n v="15"/>
    <n v="3"/>
    <n v="3"/>
    <n v="1"/>
    <n v="2"/>
    <x v="3"/>
    <d v="2018-10-03T00:00:00"/>
    <m/>
    <s v="Work Accident"/>
    <s v="WFH"/>
    <n v="0"/>
    <n v="1"/>
    <s v="Yes"/>
    <s v="Walk-in"/>
    <s v="Contract"/>
    <n v="507"/>
    <n v="77"/>
    <n v="80"/>
    <n v="2"/>
    <n v="0"/>
    <m/>
    <n v="0"/>
    <n v="1"/>
    <s v="Current Employees"/>
    <s v="No"/>
  </r>
  <r>
    <x v="14"/>
    <s v="Travel_Rarely"/>
    <x v="1"/>
    <n v="7"/>
    <x v="0"/>
    <n v="3"/>
    <n v="1"/>
    <x v="3"/>
    <n v="2"/>
    <x v="0"/>
    <n v="2983"/>
    <n v="0"/>
    <s v="No"/>
    <n v="14"/>
    <n v="3"/>
    <n v="0"/>
    <n v="4"/>
    <n v="3"/>
    <n v="3"/>
    <n v="1"/>
    <n v="2"/>
    <x v="1"/>
    <d v="2018-01-06T00:00:00"/>
    <m/>
    <s v="Dept.Head"/>
    <s v="OFFICE"/>
    <n v="2"/>
    <n v="0"/>
    <s v="No"/>
    <s v="Walk-in"/>
    <s v="Contract"/>
    <n v="508"/>
    <n v="72"/>
    <n v="80"/>
    <n v="0"/>
    <n v="0"/>
    <m/>
    <n v="0"/>
    <n v="1"/>
    <s v="Current Employees"/>
    <s v="No"/>
  </r>
  <r>
    <x v="13"/>
    <s v="Travel_Frequently"/>
    <x v="2"/>
    <n v="23"/>
    <x v="1"/>
    <n v="3"/>
    <n v="3"/>
    <x v="8"/>
    <n v="1"/>
    <x v="2"/>
    <n v="9950"/>
    <n v="9"/>
    <s v="Yes"/>
    <n v="15"/>
    <n v="3"/>
    <n v="3"/>
    <n v="11"/>
    <n v="2"/>
    <n v="3"/>
    <n v="0"/>
    <n v="2"/>
    <x v="2"/>
    <d v="2018-08-02T00:00:00"/>
    <m/>
    <s v="Work Accident"/>
    <s v="WFH"/>
    <n v="0"/>
    <n v="2"/>
    <s v="No"/>
    <s v="Job Portal"/>
    <s v="FullTime"/>
    <n v="510"/>
    <n v="73"/>
    <n v="80"/>
    <n v="4"/>
    <n v="1"/>
    <n v="1"/>
    <n v="1"/>
    <n v="0"/>
    <s v="Ex-Employees"/>
    <s v="Yes"/>
  </r>
  <r>
    <x v="7"/>
    <s v="Travel_Rarely"/>
    <x v="0"/>
    <n v="19"/>
    <x v="0"/>
    <n v="3"/>
    <n v="2"/>
    <x v="6"/>
    <n v="4"/>
    <x v="2"/>
    <n v="4262"/>
    <n v="4"/>
    <s v="No"/>
    <n v="12"/>
    <n v="3"/>
    <n v="2"/>
    <n v="8"/>
    <n v="2"/>
    <n v="3"/>
    <n v="1"/>
    <n v="2"/>
    <x v="0"/>
    <d v="2018-04-05T00:00:00"/>
    <m/>
    <s v="Dept.Head"/>
    <s v="OFFICE"/>
    <n v="2"/>
    <n v="3"/>
    <s v="No"/>
    <s v="Job Event"/>
    <s v="Contract"/>
    <n v="511"/>
    <n v="43"/>
    <n v="80"/>
    <n v="1"/>
    <n v="0"/>
    <m/>
    <n v="0"/>
    <n v="1"/>
    <s v="Current Employees"/>
    <s v="No"/>
  </r>
  <r>
    <x v="28"/>
    <s v="Travel_Rarely"/>
    <x v="1"/>
    <n v="13"/>
    <x v="0"/>
    <n v="3"/>
    <n v="2"/>
    <x v="4"/>
    <n v="1"/>
    <x v="2"/>
    <n v="4233"/>
    <n v="2"/>
    <s v="No"/>
    <n v="17"/>
    <n v="3"/>
    <n v="0"/>
    <n v="9"/>
    <n v="2"/>
    <n v="3"/>
    <n v="1"/>
    <n v="2"/>
    <x v="3"/>
    <s v="16-05-2018"/>
    <m/>
    <s v="Dept.Head"/>
    <s v="WFH"/>
    <n v="4"/>
    <n v="2"/>
    <s v="No"/>
    <s v="Recruiter"/>
    <s v="Contract"/>
    <n v="513"/>
    <n v="61"/>
    <n v="80"/>
    <n v="9"/>
    <n v="0"/>
    <m/>
    <n v="0"/>
    <n v="1"/>
    <s v="Current Employees"/>
    <s v="No"/>
  </r>
  <r>
    <x v="27"/>
    <s v="Travel_Rarely"/>
    <x v="0"/>
    <n v="25"/>
    <x v="0"/>
    <n v="2"/>
    <n v="2"/>
    <x v="0"/>
    <n v="4"/>
    <x v="0"/>
    <n v="3681"/>
    <n v="4"/>
    <s v="No"/>
    <n v="14"/>
    <n v="3"/>
    <n v="0"/>
    <n v="9"/>
    <n v="3"/>
    <n v="3"/>
    <n v="0"/>
    <n v="2"/>
    <x v="1"/>
    <d v="2018-06-01T00:00:00"/>
    <m/>
    <s v="Dept.Head"/>
    <s v="OFFICE"/>
    <n v="2"/>
    <n v="1"/>
    <s v="No"/>
    <s v="Job Event"/>
    <s v="Part Time"/>
    <n v="514"/>
    <n v="40"/>
    <n v="80"/>
    <n v="0"/>
    <n v="1"/>
    <n v="1"/>
    <n v="1"/>
    <n v="0"/>
    <s v="Ex-Employees"/>
    <s v="Yes"/>
  </r>
  <r>
    <x v="0"/>
    <s v="Travel_Rarely"/>
    <x v="1"/>
    <n v="2"/>
    <x v="0"/>
    <n v="3"/>
    <n v="2"/>
    <x v="4"/>
    <n v="3"/>
    <x v="1"/>
    <n v="9602"/>
    <n v="4"/>
    <s v="Yes"/>
    <n v="11"/>
    <n v="3"/>
    <n v="1"/>
    <n v="17"/>
    <n v="3"/>
    <n v="3"/>
    <n v="1"/>
    <n v="0"/>
    <x v="3"/>
    <d v="2018-02-04T00:00:00"/>
    <m/>
    <s v="Work Environment"/>
    <s v="OFFICE"/>
    <n v="4"/>
    <n v="0"/>
    <s v="Yes"/>
    <s v="Job Portal"/>
    <s v="FullTime"/>
    <n v="515"/>
    <n v="95"/>
    <n v="80"/>
    <n v="7"/>
    <n v="0"/>
    <m/>
    <n v="0"/>
    <n v="1"/>
    <s v="Current Employees"/>
    <s v="No"/>
  </r>
  <r>
    <x v="10"/>
    <s v="Travel_Rarely"/>
    <x v="0"/>
    <n v="1"/>
    <x v="1"/>
    <n v="2"/>
    <n v="4"/>
    <x v="5"/>
    <n v="1"/>
    <x v="1"/>
    <n v="15402"/>
    <n v="7"/>
    <s v="No"/>
    <n v="11"/>
    <n v="3"/>
    <n v="1"/>
    <n v="21"/>
    <n v="3"/>
    <n v="3"/>
    <n v="0"/>
    <n v="2"/>
    <x v="3"/>
    <s v="22-02-2018"/>
    <m/>
    <s v="Work Accident"/>
    <s v="WFH"/>
    <n v="4"/>
    <n v="1"/>
    <s v="Yes"/>
    <s v="Recruiter"/>
    <s v="Part Time"/>
    <n v="516"/>
    <n v="46"/>
    <n v="80"/>
    <n v="4"/>
    <n v="0"/>
    <m/>
    <n v="0"/>
    <n v="1"/>
    <s v="Current Employees"/>
    <s v="No"/>
  </r>
  <r>
    <x v="1"/>
    <s v="Travel_Rarely"/>
    <x v="1"/>
    <n v="22"/>
    <x v="0"/>
    <n v="3"/>
    <n v="1"/>
    <x v="3"/>
    <n v="3"/>
    <x v="0"/>
    <n v="3447"/>
    <n v="1"/>
    <s v="No"/>
    <n v="11"/>
    <n v="3"/>
    <n v="0"/>
    <n v="3"/>
    <n v="2"/>
    <n v="3"/>
    <n v="1"/>
    <n v="2"/>
    <x v="3"/>
    <s v="27-03-2018"/>
    <m/>
    <s v="Work Environment"/>
    <s v="WFH"/>
    <n v="4"/>
    <n v="0"/>
    <s v="Yes"/>
    <s v="Recruiter"/>
    <s v="Contract"/>
    <n v="517"/>
    <n v="95"/>
    <n v="80"/>
    <n v="2"/>
    <n v="0"/>
    <m/>
    <n v="0"/>
    <n v="1"/>
    <s v="Current Employees"/>
    <s v="No"/>
  </r>
  <r>
    <x v="11"/>
    <s v="Travel_Rarely"/>
    <x v="0"/>
    <n v="6"/>
    <x v="1"/>
    <n v="3"/>
    <n v="1"/>
    <x v="0"/>
    <n v="4"/>
    <x v="1"/>
    <n v="2659"/>
    <n v="1"/>
    <s v="Yes"/>
    <n v="13"/>
    <n v="3"/>
    <n v="1"/>
    <n v="3"/>
    <n v="2"/>
    <n v="3"/>
    <n v="0"/>
    <n v="2"/>
    <x v="2"/>
    <d v="2018-06-03T00:00:00"/>
    <m/>
    <s v="Better Opportunity"/>
    <s v="OFFICE"/>
    <n v="5"/>
    <n v="2"/>
    <s v="No"/>
    <s v="Job Portal"/>
    <s v="FullTime"/>
    <n v="518"/>
    <n v="49"/>
    <n v="80"/>
    <n v="0"/>
    <n v="0"/>
    <m/>
    <n v="0"/>
    <n v="1"/>
    <s v="Current Employees"/>
    <s v="No"/>
  </r>
  <r>
    <x v="26"/>
    <s v="Travel_Rarely"/>
    <x v="0"/>
    <n v="9"/>
    <x v="0"/>
    <n v="2"/>
    <n v="2"/>
    <x v="6"/>
    <n v="2"/>
    <x v="2"/>
    <n v="8847"/>
    <n v="2"/>
    <s v="Yes"/>
    <n v="11"/>
    <n v="3"/>
    <n v="1"/>
    <n v="13"/>
    <n v="2"/>
    <n v="3"/>
    <n v="0"/>
    <n v="2"/>
    <x v="0"/>
    <d v="2018-07-01T00:00:00"/>
    <m/>
    <s v="Better Opportunity"/>
    <s v="OFFICE"/>
    <n v="5"/>
    <n v="2"/>
    <s v="No"/>
    <s v="Walk-in"/>
    <s v="FullTime"/>
    <n v="520"/>
    <n v="59"/>
    <n v="80"/>
    <n v="10"/>
    <n v="0"/>
    <m/>
    <n v="0"/>
    <n v="1"/>
    <s v="Current Employees"/>
    <s v="No"/>
  </r>
  <r>
    <x v="3"/>
    <s v="Travel_Rarely"/>
    <x v="0"/>
    <n v="4"/>
    <x v="0"/>
    <n v="4"/>
    <n v="1"/>
    <x v="1"/>
    <n v="1"/>
    <x v="1"/>
    <n v="2819"/>
    <n v="2"/>
    <s v="No"/>
    <n v="16"/>
    <n v="3"/>
    <n v="1"/>
    <n v="5"/>
    <n v="3"/>
    <n v="3"/>
    <n v="0"/>
    <n v="2"/>
    <x v="2"/>
    <d v="2018-05-05T00:00:00"/>
    <m/>
    <s v="Work Environment"/>
    <s v="OFFICE"/>
    <n v="5"/>
    <n v="1"/>
    <s v="No"/>
    <s v="Walk-in"/>
    <s v="Part Time"/>
    <n v="521"/>
    <n v="78"/>
    <n v="80"/>
    <n v="0"/>
    <n v="0"/>
    <m/>
    <n v="0"/>
    <n v="1"/>
    <s v="Current Employees"/>
    <s v="No"/>
  </r>
  <r>
    <x v="38"/>
    <s v="Travel_Rarely"/>
    <x v="1"/>
    <n v="8"/>
    <x v="0"/>
    <n v="4"/>
    <n v="2"/>
    <x v="4"/>
    <n v="2"/>
    <x v="1"/>
    <n v="4851"/>
    <n v="0"/>
    <s v="No"/>
    <n v="22"/>
    <n v="4"/>
    <n v="1"/>
    <n v="4"/>
    <n v="4"/>
    <n v="3"/>
    <n v="1"/>
    <n v="2"/>
    <x v="3"/>
    <d v="2018-08-02T00:00:00"/>
    <m/>
    <s v="Better Opportunity"/>
    <s v="WFH"/>
    <n v="1"/>
    <n v="0"/>
    <s v="No"/>
    <s v="Job Portal"/>
    <s v="FullTime"/>
    <n v="522"/>
    <n v="86"/>
    <n v="80"/>
    <n v="2"/>
    <n v="0"/>
    <m/>
    <n v="0"/>
    <n v="1"/>
    <s v="Current Employees"/>
    <s v="No"/>
  </r>
  <r>
    <x v="27"/>
    <s v="Travel_Rarely"/>
    <x v="1"/>
    <n v="8"/>
    <x v="1"/>
    <n v="3"/>
    <n v="1"/>
    <x v="3"/>
    <n v="4"/>
    <x v="1"/>
    <n v="2572"/>
    <n v="1"/>
    <s v="No"/>
    <n v="16"/>
    <n v="3"/>
    <n v="1"/>
    <n v="3"/>
    <n v="1"/>
    <n v="3"/>
    <n v="0"/>
    <n v="2"/>
    <x v="1"/>
    <s v="29-05-2018"/>
    <m/>
    <s v="Better Opportunity"/>
    <s v="WFH"/>
    <n v="1"/>
    <n v="1"/>
    <s v="Yes"/>
    <s v="Job Portal"/>
    <s v="Part Time"/>
    <n v="523"/>
    <n v="72"/>
    <n v="80"/>
    <n v="2"/>
    <n v="0"/>
    <m/>
    <n v="0"/>
    <n v="1"/>
    <s v="Current Employees"/>
    <s v="No"/>
  </r>
  <r>
    <x v="13"/>
    <s v="Travel_Rarely"/>
    <x v="1"/>
    <n v="8"/>
    <x v="1"/>
    <n v="3"/>
    <n v="2"/>
    <x v="4"/>
    <n v="1"/>
    <x v="1"/>
    <n v="6500"/>
    <n v="5"/>
    <s v="No"/>
    <n v="17"/>
    <n v="3"/>
    <n v="1"/>
    <n v="6"/>
    <n v="1"/>
    <n v="3"/>
    <n v="1"/>
    <n v="2"/>
    <x v="1"/>
    <d v="2018-01-05T00:00:00"/>
    <m/>
    <s v="Work Environment"/>
    <s v="OFFICE"/>
    <n v="3"/>
    <n v="2"/>
    <s v="Yes"/>
    <s v="Recruiter"/>
    <s v="Part Time"/>
    <n v="524"/>
    <n v="31"/>
    <n v="80"/>
    <n v="10"/>
    <n v="0"/>
    <m/>
    <n v="0"/>
    <n v="1"/>
    <s v="Current Employees"/>
    <s v="No"/>
  </r>
  <r>
    <x v="20"/>
    <s v="Travel_Rarely"/>
    <x v="1"/>
    <n v="16"/>
    <x v="1"/>
    <n v="3"/>
    <n v="2"/>
    <x v="4"/>
    <n v="1"/>
    <x v="0"/>
    <n v="5324"/>
    <n v="5"/>
    <s v="No"/>
    <n v="15"/>
    <n v="3"/>
    <n v="0"/>
    <n v="6"/>
    <n v="3"/>
    <n v="3"/>
    <n v="0"/>
    <n v="2"/>
    <x v="1"/>
    <s v="23-02-2018"/>
    <m/>
    <s v="Work Accident"/>
    <s v="OFFICE"/>
    <n v="1"/>
    <n v="3"/>
    <s v="No"/>
    <s v="Job Portal"/>
    <s v="Contract"/>
    <n v="525"/>
    <n v="61"/>
    <n v="80"/>
    <n v="2"/>
    <n v="0"/>
    <m/>
    <n v="0"/>
    <n v="1"/>
    <s v="Current Employees"/>
    <s v="No"/>
  </r>
  <r>
    <x v="13"/>
    <s v="Travel_Rarely"/>
    <x v="2"/>
    <n v="3"/>
    <x v="0"/>
    <n v="3"/>
    <n v="1"/>
    <x v="8"/>
    <n v="4"/>
    <x v="1"/>
    <n v="3737"/>
    <n v="0"/>
    <s v="No"/>
    <n v="19"/>
    <n v="3"/>
    <n v="1"/>
    <n v="4"/>
    <n v="1"/>
    <n v="3"/>
    <n v="0"/>
    <n v="2"/>
    <x v="1"/>
    <s v="14-04-2018"/>
    <m/>
    <s v="Salary"/>
    <s v="WFH"/>
    <n v="0"/>
    <n v="1"/>
    <s v="No"/>
    <s v="Job Event"/>
    <s v="FullTime"/>
    <n v="526"/>
    <n v="74"/>
    <n v="80"/>
    <n v="2"/>
    <n v="0"/>
    <m/>
    <n v="0"/>
    <n v="1"/>
    <s v="Current Employees"/>
    <s v="No"/>
  </r>
  <r>
    <x v="17"/>
    <s v="Travel_Rarely"/>
    <x v="0"/>
    <n v="8"/>
    <x v="0"/>
    <n v="4"/>
    <n v="1"/>
    <x v="0"/>
    <n v="4"/>
    <x v="1"/>
    <n v="2818"/>
    <n v="2"/>
    <s v="Yes"/>
    <n v="24"/>
    <n v="4"/>
    <n v="1"/>
    <n v="10"/>
    <n v="2"/>
    <n v="3"/>
    <n v="0"/>
    <n v="2"/>
    <x v="3"/>
    <s v="24-01-2018"/>
    <m/>
    <s v="Work Accident"/>
    <s v="WFH"/>
    <n v="4"/>
    <n v="2"/>
    <s v="No"/>
    <s v="Recruiter"/>
    <s v="FullTime"/>
    <n v="527"/>
    <n v="99"/>
    <n v="80"/>
    <n v="4"/>
    <n v="0"/>
    <m/>
    <n v="0"/>
    <n v="1"/>
    <s v="Current Employees"/>
    <s v="No"/>
  </r>
  <r>
    <x v="21"/>
    <s v="Non-Travel"/>
    <x v="0"/>
    <n v="1"/>
    <x v="0"/>
    <n v="3"/>
    <n v="1"/>
    <x v="0"/>
    <n v="4"/>
    <x v="2"/>
    <n v="2314"/>
    <n v="0"/>
    <s v="No"/>
    <n v="12"/>
    <n v="3"/>
    <n v="1"/>
    <n v="4"/>
    <n v="2"/>
    <n v="3"/>
    <n v="0"/>
    <n v="2"/>
    <x v="2"/>
    <d v="2018-08-01T00:00:00"/>
    <m/>
    <s v="Work Accident"/>
    <s v="OFFICE"/>
    <n v="1"/>
    <n v="2"/>
    <s v="Yes"/>
    <s v="Job Portal"/>
    <s v="FullTime"/>
    <n v="529"/>
    <n v="72"/>
    <n v="80"/>
    <n v="11"/>
    <n v="0"/>
    <m/>
    <n v="0"/>
    <n v="1"/>
    <s v="Current Employees"/>
    <s v="No"/>
  </r>
  <r>
    <x v="7"/>
    <s v="Travel_Rarely"/>
    <x v="1"/>
    <n v="1"/>
    <x v="1"/>
    <n v="2"/>
    <n v="1"/>
    <x v="3"/>
    <n v="3"/>
    <x v="2"/>
    <n v="2800"/>
    <n v="6"/>
    <s v="Yes"/>
    <n v="19"/>
    <n v="3"/>
    <n v="3"/>
    <n v="5"/>
    <n v="3"/>
    <n v="3"/>
    <n v="0"/>
    <n v="2"/>
    <x v="2"/>
    <d v="2018-03-01T00:00:00"/>
    <m/>
    <s v="Work Accident"/>
    <s v="OFFICE"/>
    <n v="1"/>
    <n v="2"/>
    <s v="No"/>
    <s v="Job Portal"/>
    <s v="FullTime"/>
    <n v="530"/>
    <n v="98"/>
    <n v="80"/>
    <n v="2"/>
    <n v="0"/>
    <m/>
    <n v="0"/>
    <n v="1"/>
    <s v="Current Employees"/>
    <s v="No"/>
  </r>
  <r>
    <x v="9"/>
    <s v="Travel_Rarely"/>
    <x v="1"/>
    <n v="2"/>
    <x v="1"/>
    <n v="2"/>
    <n v="1"/>
    <x v="3"/>
    <n v="4"/>
    <x v="0"/>
    <n v="3294"/>
    <n v="1"/>
    <s v="Yes"/>
    <n v="18"/>
    <n v="3"/>
    <n v="0"/>
    <n v="3"/>
    <n v="3"/>
    <n v="3"/>
    <n v="1"/>
    <n v="2"/>
    <x v="1"/>
    <s v="28-04-2018"/>
    <m/>
    <s v="Better Opportunity"/>
    <s v="WFH"/>
    <n v="0"/>
    <n v="2"/>
    <s v="Yes"/>
    <s v="Job Portal"/>
    <s v="Part Time"/>
    <n v="531"/>
    <n v="52"/>
    <n v="80"/>
    <n v="8"/>
    <n v="0"/>
    <m/>
    <n v="0"/>
    <n v="1"/>
    <s v="Current Employees"/>
    <s v="No"/>
  </r>
  <r>
    <x v="4"/>
    <s v="Travel_Rarely"/>
    <x v="0"/>
    <n v="3"/>
    <x v="1"/>
    <n v="3"/>
    <n v="2"/>
    <x v="6"/>
    <n v="3"/>
    <x v="1"/>
    <n v="4171"/>
    <n v="0"/>
    <s v="Yes"/>
    <n v="19"/>
    <n v="3"/>
    <n v="1"/>
    <n v="4"/>
    <n v="3"/>
    <n v="3"/>
    <n v="0"/>
    <n v="2"/>
    <x v="1"/>
    <d v="2018-11-04T00:00:00"/>
    <m/>
    <s v="Dept.Head"/>
    <s v="OFFICE"/>
    <n v="5"/>
    <n v="2"/>
    <s v="No"/>
    <s v="Recruiter"/>
    <s v="Contract"/>
    <n v="532"/>
    <n v="86"/>
    <n v="80"/>
    <n v="7"/>
    <n v="0"/>
    <m/>
    <n v="0"/>
    <n v="1"/>
    <s v="Current Employees"/>
    <s v="No"/>
  </r>
  <r>
    <x v="20"/>
    <s v="Travel_Rarely"/>
    <x v="0"/>
    <n v="1"/>
    <x v="0"/>
    <n v="2"/>
    <n v="1"/>
    <x v="1"/>
    <n v="1"/>
    <x v="0"/>
    <n v="2799"/>
    <n v="3"/>
    <s v="Yes"/>
    <n v="11"/>
    <n v="3"/>
    <n v="0"/>
    <n v="6"/>
    <n v="1"/>
    <n v="3"/>
    <n v="0"/>
    <n v="2"/>
    <x v="2"/>
    <s v="22-01-2018"/>
    <m/>
    <s v="Work Environment"/>
    <s v="OFFICE"/>
    <n v="4"/>
    <n v="3"/>
    <s v="Yes"/>
    <s v="Recruiter"/>
    <s v="Part Time"/>
    <n v="533"/>
    <n v="83"/>
    <n v="80"/>
    <n v="4"/>
    <n v="0"/>
    <m/>
    <n v="0"/>
    <n v="1"/>
    <s v="Current Employees"/>
    <s v="No"/>
  </r>
  <r>
    <x v="21"/>
    <s v="Non-Travel"/>
    <x v="0"/>
    <n v="1"/>
    <x v="1"/>
    <n v="2"/>
    <n v="1"/>
    <x v="0"/>
    <n v="2"/>
    <x v="1"/>
    <n v="2332"/>
    <n v="6"/>
    <s v="No"/>
    <n v="20"/>
    <n v="4"/>
    <n v="0"/>
    <n v="5"/>
    <n v="3"/>
    <n v="3"/>
    <n v="0"/>
    <n v="2"/>
    <x v="1"/>
    <d v="2018-09-04T00:00:00"/>
    <m/>
    <s v="Salary"/>
    <s v="WFH"/>
    <n v="3"/>
    <n v="3"/>
    <s v="Yes"/>
    <s v="Recruiter"/>
    <s v="Part Time"/>
    <n v="534"/>
    <n v="49"/>
    <n v="80"/>
    <n v="7"/>
    <n v="0"/>
    <m/>
    <n v="0"/>
    <n v="1"/>
    <s v="Current Employees"/>
    <s v="No"/>
  </r>
  <r>
    <x v="7"/>
    <s v="Travel_Frequently"/>
    <x v="1"/>
    <n v="20"/>
    <x v="1"/>
    <n v="3"/>
    <n v="1"/>
    <x v="3"/>
    <n v="4"/>
    <x v="1"/>
    <n v="2157"/>
    <n v="1"/>
    <s v="No"/>
    <n v="15"/>
    <n v="3"/>
    <n v="1"/>
    <n v="3"/>
    <n v="5"/>
    <n v="3"/>
    <n v="0"/>
    <n v="2"/>
    <x v="2"/>
    <s v="16-05-2018"/>
    <m/>
    <s v="Salary"/>
    <s v="WFH"/>
    <n v="3"/>
    <n v="1"/>
    <s v="Yes"/>
    <s v="Recruiter"/>
    <s v="Part Time"/>
    <n v="536"/>
    <n v="79"/>
    <n v="80"/>
    <n v="0"/>
    <n v="0"/>
    <m/>
    <n v="0"/>
    <n v="1"/>
    <s v="Current Employees"/>
    <s v="No"/>
  </r>
  <r>
    <x v="28"/>
    <s v="Non-Travel"/>
    <x v="0"/>
    <n v="9"/>
    <x v="0"/>
    <n v="2"/>
    <n v="1"/>
    <x v="1"/>
    <n v="1"/>
    <x v="0"/>
    <n v="2321"/>
    <n v="0"/>
    <s v="Yes"/>
    <n v="22"/>
    <n v="4"/>
    <n v="0"/>
    <n v="4"/>
    <n v="0"/>
    <n v="3"/>
    <n v="1"/>
    <n v="2"/>
    <x v="2"/>
    <s v="27-04-2018"/>
    <m/>
    <s v="Dept.Head"/>
    <s v="OFFICE"/>
    <n v="1"/>
    <n v="1"/>
    <s v="Yes"/>
    <s v="Recruiter"/>
    <s v="FullTime"/>
    <n v="538"/>
    <n v="91"/>
    <n v="80"/>
    <n v="2"/>
    <n v="1"/>
    <n v="1"/>
    <n v="1"/>
    <n v="0"/>
    <s v="Ex-Employees"/>
    <s v="Yes"/>
  </r>
  <r>
    <x v="20"/>
    <s v="Travel_Rarely"/>
    <x v="0"/>
    <n v="13"/>
    <x v="1"/>
    <n v="3"/>
    <n v="1"/>
    <x v="1"/>
    <n v="4"/>
    <x v="0"/>
    <n v="3452"/>
    <n v="3"/>
    <s v="No"/>
    <n v="18"/>
    <n v="3"/>
    <n v="0"/>
    <n v="5"/>
    <n v="4"/>
    <n v="3"/>
    <n v="0"/>
    <n v="2"/>
    <x v="1"/>
    <d v="2018-01-03T00:00:00"/>
    <m/>
    <s v="Work Environment"/>
    <s v="OFFICE"/>
    <n v="5"/>
    <n v="2"/>
    <s v="No"/>
    <s v="Job Portal"/>
    <s v="FullTime"/>
    <n v="543"/>
    <n v="39"/>
    <n v="80"/>
    <n v="4"/>
    <n v="0"/>
    <m/>
    <n v="0"/>
    <n v="1"/>
    <s v="Current Employees"/>
    <s v="No"/>
  </r>
  <r>
    <x v="14"/>
    <s v="Travel_Frequently"/>
    <x v="0"/>
    <n v="5"/>
    <x v="1"/>
    <n v="3"/>
    <n v="1"/>
    <x v="0"/>
    <n v="2"/>
    <x v="0"/>
    <n v="2422"/>
    <n v="0"/>
    <s v="No"/>
    <n v="17"/>
    <n v="3"/>
    <n v="0"/>
    <n v="4"/>
    <n v="3"/>
    <n v="3"/>
    <n v="1"/>
    <n v="2"/>
    <x v="1"/>
    <d v="2018-07-03T00:00:00"/>
    <m/>
    <s v="Dept.Head"/>
    <s v="OFFICE"/>
    <n v="1"/>
    <n v="1"/>
    <s v="Yes"/>
    <s v="Walk-in"/>
    <s v="Part Time"/>
    <n v="544"/>
    <n v="69"/>
    <n v="80"/>
    <n v="2"/>
    <n v="0"/>
    <m/>
    <n v="0"/>
    <n v="1"/>
    <s v="Current Employees"/>
    <s v="No"/>
  </r>
  <r>
    <x v="15"/>
    <s v="Travel_Rarely"/>
    <x v="0"/>
    <n v="2"/>
    <x v="1"/>
    <n v="3"/>
    <n v="2"/>
    <x v="6"/>
    <n v="4"/>
    <x v="1"/>
    <n v="4227"/>
    <n v="0"/>
    <s v="No"/>
    <n v="18"/>
    <n v="3"/>
    <n v="1"/>
    <n v="4"/>
    <n v="2"/>
    <n v="3"/>
    <n v="2"/>
    <n v="2"/>
    <x v="0"/>
    <d v="2018-09-03T00:00:00"/>
    <m/>
    <s v="Work Environment"/>
    <s v="OFFICE"/>
    <n v="5"/>
    <n v="2"/>
    <s v="No"/>
    <s v="Job Portal"/>
    <s v="FullTime"/>
    <n v="546"/>
    <n v="30"/>
    <n v="80"/>
    <n v="2"/>
    <n v="0"/>
    <m/>
    <n v="0"/>
    <n v="1"/>
    <s v="Current Employees"/>
    <s v="No"/>
  </r>
  <r>
    <x v="27"/>
    <s v="Travel_Rarely"/>
    <x v="0"/>
    <n v="10"/>
    <x v="0"/>
    <n v="3"/>
    <n v="1"/>
    <x v="0"/>
    <n v="4"/>
    <x v="2"/>
    <n v="3917"/>
    <n v="1"/>
    <s v="No"/>
    <n v="20"/>
    <n v="4"/>
    <n v="1"/>
    <n v="3"/>
    <n v="4"/>
    <n v="3"/>
    <n v="1"/>
    <n v="2"/>
    <x v="2"/>
    <d v="2018-08-02T00:00:00"/>
    <m/>
    <s v="Better Opportunity"/>
    <s v="WFH"/>
    <n v="2"/>
    <n v="0"/>
    <s v="Yes"/>
    <s v="Job Portal"/>
    <s v="Part Time"/>
    <n v="547"/>
    <n v="92"/>
    <n v="80"/>
    <n v="4"/>
    <n v="0"/>
    <m/>
    <n v="0"/>
    <n v="1"/>
    <s v="Current Employees"/>
    <s v="No"/>
  </r>
  <r>
    <x v="11"/>
    <s v="Travel_Frequently"/>
    <x v="0"/>
    <n v="2"/>
    <x v="0"/>
    <n v="3"/>
    <n v="1"/>
    <x v="1"/>
    <n v="1"/>
    <x v="1"/>
    <n v="2042"/>
    <n v="6"/>
    <s v="Yes"/>
    <n v="14"/>
    <n v="3"/>
    <n v="1"/>
    <n v="6"/>
    <n v="2"/>
    <n v="3"/>
    <n v="1"/>
    <n v="2"/>
    <x v="3"/>
    <d v="2018-02-03T00:00:00"/>
    <m/>
    <s v="Salary"/>
    <s v="OFFICE"/>
    <n v="5"/>
    <n v="3"/>
    <s v="Yes"/>
    <s v="Walk-in"/>
    <s v="Contract"/>
    <n v="548"/>
    <n v="43"/>
    <n v="80"/>
    <n v="4"/>
    <n v="0"/>
    <m/>
    <n v="0"/>
    <n v="1"/>
    <s v="Current Employees"/>
    <s v="No"/>
  </r>
  <r>
    <x v="15"/>
    <s v="Non-Travel"/>
    <x v="0"/>
    <n v="8"/>
    <x v="0"/>
    <n v="1"/>
    <n v="1"/>
    <x v="0"/>
    <n v="3"/>
    <x v="1"/>
    <n v="4621"/>
    <n v="1"/>
    <s v="No"/>
    <n v="19"/>
    <n v="3"/>
    <n v="3"/>
    <n v="3"/>
    <n v="4"/>
    <n v="3"/>
    <n v="1"/>
    <n v="2"/>
    <x v="3"/>
    <s v="17-06-2018"/>
    <m/>
    <s v="Better Opportunity"/>
    <s v="WFH"/>
    <n v="0"/>
    <n v="0"/>
    <s v="No"/>
    <s v="Job Portal"/>
    <s v="FullTime"/>
    <n v="549"/>
    <n v="41"/>
    <n v="80"/>
    <n v="8"/>
    <n v="0"/>
    <m/>
    <n v="0"/>
    <n v="1"/>
    <s v="Current Employees"/>
    <s v="No"/>
  </r>
  <r>
    <x v="29"/>
    <s v="Travel_Frequently"/>
    <x v="0"/>
    <n v="2"/>
    <x v="0"/>
    <n v="3"/>
    <n v="3"/>
    <x v="6"/>
    <n v="2"/>
    <x v="1"/>
    <n v="10976"/>
    <n v="3"/>
    <s v="No"/>
    <n v="18"/>
    <n v="3"/>
    <n v="1"/>
    <n v="23"/>
    <n v="4"/>
    <n v="3"/>
    <n v="1"/>
    <n v="2"/>
    <x v="1"/>
    <s v="30-06-2018"/>
    <m/>
    <s v="Work Accident"/>
    <s v="OFFICE"/>
    <n v="1"/>
    <n v="3"/>
    <s v="Yes"/>
    <s v="Recruiter"/>
    <s v="Contract"/>
    <n v="550"/>
    <n v="87"/>
    <n v="80"/>
    <n v="7"/>
    <n v="0"/>
    <m/>
    <n v="0"/>
    <n v="1"/>
    <s v="Current Employees"/>
    <s v="No"/>
  </r>
  <r>
    <x v="20"/>
    <s v="Travel_Rarely"/>
    <x v="0"/>
    <n v="5"/>
    <x v="0"/>
    <n v="2"/>
    <n v="3"/>
    <x v="7"/>
    <n v="4"/>
    <x v="2"/>
    <n v="7119"/>
    <n v="4"/>
    <s v="No"/>
    <n v="15"/>
    <n v="3"/>
    <n v="1"/>
    <n v="9"/>
    <n v="2"/>
    <n v="3"/>
    <n v="1"/>
    <n v="2"/>
    <x v="1"/>
    <d v="2018-02-05T00:00:00"/>
    <m/>
    <s v="Work Environment"/>
    <s v="WFH"/>
    <n v="4"/>
    <n v="0"/>
    <s v="Yes"/>
    <s v="Job Event"/>
    <s v="FullTime"/>
    <n v="551"/>
    <n v="88"/>
    <n v="80"/>
    <n v="5"/>
    <n v="0"/>
    <m/>
    <n v="0"/>
    <n v="1"/>
    <s v="Current Employees"/>
    <s v="No"/>
  </r>
  <r>
    <x v="20"/>
    <s v="Travel_Frequently"/>
    <x v="1"/>
    <n v="7"/>
    <x v="1"/>
    <n v="3"/>
    <n v="2"/>
    <x v="4"/>
    <n v="2"/>
    <x v="1"/>
    <n v="4302"/>
    <n v="0"/>
    <s v="No"/>
    <n v="17"/>
    <n v="3"/>
    <n v="1"/>
    <n v="4"/>
    <n v="3"/>
    <n v="3"/>
    <n v="0"/>
    <n v="2"/>
    <x v="1"/>
    <d v="2018-03-02T00:00:00"/>
    <m/>
    <s v="Better Opportunity"/>
    <s v="OFFICE"/>
    <n v="5"/>
    <n v="2"/>
    <s v="No"/>
    <s v="Job Portal"/>
    <s v="Part Time"/>
    <n v="554"/>
    <n v="62"/>
    <n v="80"/>
    <n v="3"/>
    <n v="1"/>
    <n v="1"/>
    <n v="1"/>
    <n v="0"/>
    <s v="Ex-Employees"/>
    <s v="Yes"/>
  </r>
  <r>
    <x v="13"/>
    <s v="Travel_Frequently"/>
    <x v="0"/>
    <n v="2"/>
    <x v="0"/>
    <n v="3"/>
    <n v="2"/>
    <x v="6"/>
    <n v="3"/>
    <x v="0"/>
    <n v="4033"/>
    <n v="2"/>
    <s v="No"/>
    <n v="11"/>
    <n v="3"/>
    <n v="0"/>
    <n v="5"/>
    <n v="3"/>
    <n v="3"/>
    <n v="0"/>
    <n v="2"/>
    <x v="3"/>
    <d v="2018-05-03T00:00:00"/>
    <m/>
    <s v="Better Opportunity"/>
    <s v="OFFICE"/>
    <n v="4"/>
    <n v="1"/>
    <s v="No"/>
    <s v="Job Portal"/>
    <s v="Contract"/>
    <n v="555"/>
    <n v="33"/>
    <n v="80"/>
    <n v="2"/>
    <n v="1"/>
    <n v="1"/>
    <n v="1"/>
    <n v="0"/>
    <s v="Ex-Employees"/>
    <s v="Yes"/>
  </r>
  <r>
    <x v="6"/>
    <s v="Travel_Frequently"/>
    <x v="0"/>
    <n v="6"/>
    <x v="0"/>
    <n v="2"/>
    <n v="1"/>
    <x v="1"/>
    <n v="3"/>
    <x v="2"/>
    <n v="2703"/>
    <n v="1"/>
    <s v="Yes"/>
    <n v="14"/>
    <n v="3"/>
    <n v="1"/>
    <n v="3"/>
    <n v="2"/>
    <n v="3"/>
    <n v="0"/>
    <n v="2"/>
    <x v="1"/>
    <s v="30-01-2018"/>
    <m/>
    <s v="Work Environment"/>
    <s v="WFH"/>
    <n v="4"/>
    <n v="3"/>
    <s v="No"/>
    <s v="Recruiter"/>
    <s v="Part Time"/>
    <n v="556"/>
    <n v="42"/>
    <n v="80"/>
    <n v="0"/>
    <n v="0"/>
    <m/>
    <n v="0"/>
    <n v="1"/>
    <s v="Current Employees"/>
    <s v="No"/>
  </r>
  <r>
    <x v="2"/>
    <s v="Travel_Rarely"/>
    <x v="0"/>
    <n v="7"/>
    <x v="1"/>
    <n v="3"/>
    <n v="1"/>
    <x v="1"/>
    <n v="3"/>
    <x v="1"/>
    <n v="4477"/>
    <n v="4"/>
    <s v="Yes"/>
    <n v="19"/>
    <n v="3"/>
    <n v="1"/>
    <n v="7"/>
    <n v="2"/>
    <n v="3"/>
    <n v="0"/>
    <n v="2"/>
    <x v="1"/>
    <s v="30-03-2018"/>
    <m/>
    <s v="Salary"/>
    <s v="OFFICE"/>
    <n v="0"/>
    <n v="1"/>
    <s v="Yes"/>
    <s v="Job Portal"/>
    <s v="FullTime"/>
    <n v="558"/>
    <n v="79"/>
    <n v="80"/>
    <n v="15"/>
    <n v="0"/>
    <m/>
    <n v="0"/>
    <n v="1"/>
    <s v="Current Employees"/>
    <s v="No"/>
  </r>
  <r>
    <x v="7"/>
    <s v="Travel_Rarely"/>
    <x v="0"/>
    <n v="1"/>
    <x v="1"/>
    <n v="3"/>
    <n v="1"/>
    <x v="1"/>
    <n v="4"/>
    <x v="2"/>
    <n v="3760"/>
    <n v="1"/>
    <s v="No"/>
    <n v="15"/>
    <n v="3"/>
    <n v="3"/>
    <n v="3"/>
    <n v="5"/>
    <n v="3"/>
    <n v="1"/>
    <n v="2"/>
    <x v="2"/>
    <s v="14-06-2018"/>
    <m/>
    <s v="Better Opportunity"/>
    <s v="WFH"/>
    <n v="0"/>
    <n v="2"/>
    <s v="Yes"/>
    <s v="Job Event"/>
    <s v="Contract"/>
    <n v="560"/>
    <n v="90"/>
    <n v="80"/>
    <n v="2"/>
    <n v="0"/>
    <m/>
    <n v="0"/>
    <n v="1"/>
    <s v="Current Employees"/>
    <s v="No"/>
  </r>
  <r>
    <x v="13"/>
    <s v="Travel_Rarely"/>
    <x v="1"/>
    <n v="2"/>
    <x v="1"/>
    <n v="3"/>
    <n v="2"/>
    <x v="4"/>
    <n v="1"/>
    <x v="0"/>
    <n v="4538"/>
    <n v="0"/>
    <s v="Yes"/>
    <n v="12"/>
    <n v="3"/>
    <n v="0"/>
    <n v="4"/>
    <n v="3"/>
    <n v="3"/>
    <n v="0"/>
    <n v="2"/>
    <x v="1"/>
    <s v="25-02-2018"/>
    <m/>
    <s v="Dept.Head"/>
    <s v="OFFICE"/>
    <n v="1"/>
    <n v="3"/>
    <s v="No"/>
    <s v="Walk-in"/>
    <s v="FullTime"/>
    <n v="562"/>
    <n v="53"/>
    <n v="80"/>
    <n v="3"/>
    <n v="0"/>
    <m/>
    <n v="0"/>
    <n v="1"/>
    <s v="Current Employees"/>
    <s v="No"/>
  </r>
  <r>
    <x v="27"/>
    <s v="Travel_Rarely"/>
    <x v="0"/>
    <n v="6"/>
    <x v="0"/>
    <n v="3"/>
    <n v="1"/>
    <x v="1"/>
    <n v="3"/>
    <x v="1"/>
    <n v="3506"/>
    <n v="0"/>
    <s v="Yes"/>
    <n v="14"/>
    <n v="3"/>
    <n v="0"/>
    <n v="4"/>
    <n v="3"/>
    <n v="3"/>
    <n v="2"/>
    <n v="2"/>
    <x v="1"/>
    <d v="2018-03-03T00:00:00"/>
    <m/>
    <s v="Work Environment"/>
    <s v="WFH"/>
    <n v="0"/>
    <n v="2"/>
    <s v="No"/>
    <s v="Recruiter"/>
    <s v="FullTime"/>
    <n v="564"/>
    <n v="93"/>
    <n v="80"/>
    <n v="2"/>
    <n v="0"/>
    <m/>
    <n v="0"/>
    <n v="1"/>
    <s v="Current Employees"/>
    <s v="No"/>
  </r>
  <r>
    <x v="6"/>
    <s v="Travel_Rarely"/>
    <x v="0"/>
    <n v="1"/>
    <x v="0"/>
    <n v="3"/>
    <n v="1"/>
    <x v="1"/>
    <n v="1"/>
    <x v="0"/>
    <n v="2080"/>
    <n v="2"/>
    <s v="No"/>
    <n v="11"/>
    <n v="3"/>
    <n v="0"/>
    <n v="5"/>
    <n v="2"/>
    <n v="3"/>
    <n v="1"/>
    <n v="2"/>
    <x v="1"/>
    <s v="18-04-2018"/>
    <m/>
    <s v="Work Accident"/>
    <s v="OFFICE"/>
    <n v="3"/>
    <n v="1"/>
    <s v="Yes"/>
    <s v="Walk-in"/>
    <s v="Part Time"/>
    <n v="565"/>
    <n v="71"/>
    <n v="80"/>
    <n v="2"/>
    <n v="1"/>
    <n v="1"/>
    <n v="1"/>
    <n v="0"/>
    <s v="Ex-Employees"/>
    <s v="Yes"/>
  </r>
  <r>
    <x v="16"/>
    <s v="Travel_Rarely"/>
    <x v="0"/>
    <n v="28"/>
    <x v="1"/>
    <n v="3"/>
    <n v="4"/>
    <x v="2"/>
    <n v="1"/>
    <x v="1"/>
    <n v="16880"/>
    <n v="4"/>
    <s v="Yes"/>
    <n v="11"/>
    <n v="3"/>
    <n v="0"/>
    <n v="25"/>
    <n v="2"/>
    <n v="3"/>
    <n v="1"/>
    <n v="2"/>
    <x v="3"/>
    <d v="2018-04-05T00:00:00"/>
    <m/>
    <s v="Work Accident"/>
    <s v="OFFICE"/>
    <n v="0"/>
    <n v="1"/>
    <s v="Yes"/>
    <s v="Job Portal"/>
    <s v="Part Time"/>
    <n v="566"/>
    <n v="52"/>
    <n v="80"/>
    <n v="0"/>
    <n v="1"/>
    <n v="1"/>
    <n v="1"/>
    <n v="0"/>
    <s v="Ex-Employees"/>
    <s v="Yes"/>
  </r>
  <r>
    <x v="28"/>
    <s v="Travel_Frequently"/>
    <x v="1"/>
    <n v="1"/>
    <x v="1"/>
    <n v="3"/>
    <n v="1"/>
    <x v="3"/>
    <n v="2"/>
    <x v="0"/>
    <n v="2302"/>
    <n v="1"/>
    <s v="Yes"/>
    <n v="11"/>
    <n v="3"/>
    <n v="0"/>
    <n v="3"/>
    <n v="2"/>
    <n v="3"/>
    <n v="2"/>
    <n v="2"/>
    <x v="3"/>
    <d v="2018-11-04T00:00:00"/>
    <m/>
    <s v="Dept.Head"/>
    <s v="OFFICE"/>
    <n v="4"/>
    <n v="3"/>
    <s v="No"/>
    <s v="Recruiter"/>
    <s v="Part Time"/>
    <n v="567"/>
    <n v="69"/>
    <n v="80"/>
    <n v="8"/>
    <n v="0"/>
    <m/>
    <n v="0"/>
    <n v="1"/>
    <s v="Current Employees"/>
    <s v="No"/>
  </r>
  <r>
    <x v="17"/>
    <s v="Travel_Rarely"/>
    <x v="0"/>
    <n v="3"/>
    <x v="0"/>
    <n v="3"/>
    <n v="1"/>
    <x v="0"/>
    <n v="1"/>
    <x v="1"/>
    <n v="2362"/>
    <n v="4"/>
    <s v="No"/>
    <n v="12"/>
    <n v="3"/>
    <n v="0"/>
    <n v="10"/>
    <n v="4"/>
    <n v="3"/>
    <n v="1"/>
    <n v="2"/>
    <x v="1"/>
    <s v="17-04-2018"/>
    <m/>
    <s v="Dept.Head"/>
    <s v="OFFICE"/>
    <n v="1"/>
    <n v="1"/>
    <s v="Yes"/>
    <s v="Walk-in"/>
    <s v="FullTime"/>
    <n v="568"/>
    <n v="56"/>
    <n v="80"/>
    <n v="0"/>
    <n v="0"/>
    <m/>
    <n v="0"/>
    <n v="1"/>
    <s v="Current Employees"/>
    <s v="No"/>
  </r>
  <r>
    <x v="38"/>
    <s v="Travel_Rarely"/>
    <x v="0"/>
    <n v="19"/>
    <x v="0"/>
    <n v="3"/>
    <n v="1"/>
    <x v="0"/>
    <n v="4"/>
    <x v="1"/>
    <n v="3669"/>
    <n v="3"/>
    <s v="No"/>
    <n v="11"/>
    <n v="3"/>
    <n v="3"/>
    <n v="7"/>
    <n v="6"/>
    <n v="3"/>
    <n v="1"/>
    <n v="2"/>
    <x v="1"/>
    <d v="2018-03-05T00:00:00"/>
    <m/>
    <s v="Salary"/>
    <s v="OFFICE"/>
    <n v="3"/>
    <n v="0"/>
    <s v="No"/>
    <s v="Walk-in"/>
    <s v="FullTime"/>
    <n v="569"/>
    <n v="88"/>
    <n v="80"/>
    <n v="10"/>
    <n v="0"/>
    <m/>
    <n v="0"/>
    <n v="1"/>
    <s v="Current Employees"/>
    <s v="No"/>
  </r>
  <r>
    <x v="21"/>
    <s v="Travel_Rarely"/>
    <x v="1"/>
    <n v="2"/>
    <x v="0"/>
    <n v="3"/>
    <n v="2"/>
    <x v="4"/>
    <n v="2"/>
    <x v="1"/>
    <n v="4078"/>
    <n v="0"/>
    <s v="Yes"/>
    <n v="13"/>
    <n v="3"/>
    <n v="3"/>
    <n v="4"/>
    <n v="3"/>
    <n v="3"/>
    <n v="1"/>
    <n v="2"/>
    <x v="2"/>
    <d v="2018-08-06T00:00:00"/>
    <m/>
    <s v="Work Environment"/>
    <s v="WFH"/>
    <n v="2"/>
    <n v="3"/>
    <s v="No"/>
    <s v="Job Event"/>
    <s v="Contract"/>
    <n v="571"/>
    <n v="49"/>
    <n v="80"/>
    <n v="7"/>
    <n v="0"/>
    <m/>
    <n v="0"/>
    <n v="1"/>
    <s v="Current Employees"/>
    <s v="No"/>
  </r>
  <r>
    <x v="38"/>
    <s v="Travel_Rarely"/>
    <x v="1"/>
    <n v="18"/>
    <x v="0"/>
    <n v="4"/>
    <n v="2"/>
    <x v="4"/>
    <n v="3"/>
    <x v="1"/>
    <n v="6232"/>
    <n v="2"/>
    <s v="No"/>
    <n v="11"/>
    <n v="3"/>
    <n v="0"/>
    <n v="6"/>
    <n v="3"/>
    <n v="3"/>
    <n v="1"/>
    <n v="2"/>
    <x v="2"/>
    <d v="2018-02-01T00:00:00"/>
    <m/>
    <s v="Salary"/>
    <s v="WFH"/>
    <n v="0"/>
    <n v="0"/>
    <s v="Yes"/>
    <s v="Job Portal"/>
    <s v="FullTime"/>
    <n v="573"/>
    <n v="80"/>
    <n v="80"/>
    <n v="13"/>
    <n v="0"/>
    <m/>
    <n v="0"/>
    <n v="1"/>
    <s v="Current Employees"/>
    <s v="No"/>
  </r>
  <r>
    <x v="0"/>
    <s v="Travel_Rarely"/>
    <x v="0"/>
    <n v="11"/>
    <x v="1"/>
    <n v="3"/>
    <n v="1"/>
    <x v="0"/>
    <n v="3"/>
    <x v="0"/>
    <n v="3629"/>
    <n v="4"/>
    <s v="No"/>
    <n v="18"/>
    <n v="3"/>
    <n v="0"/>
    <n v="8"/>
    <n v="6"/>
    <n v="3"/>
    <n v="0"/>
    <n v="2"/>
    <x v="3"/>
    <s v="20-02-2018"/>
    <m/>
    <s v="Salary"/>
    <s v="OFFICE"/>
    <n v="5"/>
    <n v="2"/>
    <s v="Yes"/>
    <s v="Walk-in"/>
    <s v="FullTime"/>
    <n v="574"/>
    <n v="65"/>
    <n v="80"/>
    <n v="0"/>
    <n v="0"/>
    <m/>
    <n v="0"/>
    <n v="1"/>
    <s v="Current Employees"/>
    <s v="No"/>
  </r>
  <r>
    <x v="38"/>
    <s v="Travel_Rarely"/>
    <x v="0"/>
    <n v="1"/>
    <x v="0"/>
    <n v="3"/>
    <n v="1"/>
    <x v="0"/>
    <n v="4"/>
    <x v="1"/>
    <n v="3229"/>
    <n v="4"/>
    <s v="No"/>
    <n v="11"/>
    <n v="3"/>
    <n v="1"/>
    <n v="7"/>
    <n v="2"/>
    <n v="3"/>
    <n v="0"/>
    <n v="2"/>
    <x v="1"/>
    <s v="24-03-2018"/>
    <m/>
    <s v="Work Environment"/>
    <s v="WFH"/>
    <n v="1"/>
    <n v="3"/>
    <s v="No"/>
    <s v="Job Portal"/>
    <s v="FullTime"/>
    <n v="575"/>
    <n v="51"/>
    <n v="80"/>
    <n v="2"/>
    <n v="0"/>
    <m/>
    <n v="0"/>
    <n v="1"/>
    <s v="Current Employees"/>
    <s v="No"/>
  </r>
  <r>
    <x v="14"/>
    <s v="Travel_Rarely"/>
    <x v="1"/>
    <n v="7"/>
    <x v="1"/>
    <n v="3"/>
    <n v="2"/>
    <x v="4"/>
    <n v="1"/>
    <x v="2"/>
    <n v="4779"/>
    <n v="7"/>
    <s v="No"/>
    <n v="14"/>
    <n v="3"/>
    <n v="2"/>
    <n v="8"/>
    <n v="3"/>
    <n v="3"/>
    <n v="0"/>
    <n v="2"/>
    <x v="3"/>
    <s v="16-01-2018"/>
    <m/>
    <s v="Salary"/>
    <s v="OFFICE"/>
    <n v="4"/>
    <n v="2"/>
    <s v="No"/>
    <s v="Recruiter"/>
    <s v="Part Time"/>
    <n v="577"/>
    <n v="46"/>
    <n v="80"/>
    <n v="4"/>
    <n v="0"/>
    <m/>
    <n v="0"/>
    <n v="1"/>
    <s v="Current Employees"/>
    <s v="No"/>
  </r>
  <r>
    <x v="28"/>
    <s v="Travel_Rarely"/>
    <x v="0"/>
    <n v="8"/>
    <x v="1"/>
    <n v="3"/>
    <n v="4"/>
    <x v="2"/>
    <n v="2"/>
    <x v="0"/>
    <n v="16422"/>
    <n v="3"/>
    <s v="No"/>
    <n v="11"/>
    <n v="3"/>
    <n v="0"/>
    <n v="9"/>
    <n v="3"/>
    <n v="3"/>
    <n v="1"/>
    <n v="0"/>
    <x v="3"/>
    <s v="18-05-2018"/>
    <m/>
    <s v="Work Accident"/>
    <s v="OFFICE"/>
    <n v="5"/>
    <n v="3"/>
    <s v="Yes"/>
    <s v="Recruiter"/>
    <s v="Part Time"/>
    <n v="578"/>
    <n v="42"/>
    <n v="80"/>
    <n v="0"/>
    <n v="0"/>
    <m/>
    <n v="0"/>
    <n v="1"/>
    <s v="Current Employees"/>
    <s v="No"/>
  </r>
  <r>
    <x v="26"/>
    <s v="Travel_Rarely"/>
    <x v="1"/>
    <n v="16"/>
    <x v="1"/>
    <n v="2"/>
    <n v="2"/>
    <x v="4"/>
    <n v="1"/>
    <x v="1"/>
    <n v="5647"/>
    <n v="4"/>
    <s v="No"/>
    <n v="13"/>
    <n v="3"/>
    <n v="2"/>
    <n v="11"/>
    <n v="3"/>
    <n v="3"/>
    <n v="0"/>
    <n v="2"/>
    <x v="2"/>
    <s v="20-03-2018"/>
    <m/>
    <s v="Work Accident"/>
    <s v="WFH"/>
    <n v="2"/>
    <n v="2"/>
    <s v="Yes"/>
    <s v="Recruiter"/>
    <s v="FullTime"/>
    <n v="579"/>
    <n v="62"/>
    <n v="80"/>
    <n v="3"/>
    <n v="0"/>
    <m/>
    <n v="0"/>
    <n v="1"/>
    <s v="Current Employees"/>
    <s v="No"/>
  </r>
  <r>
    <x v="38"/>
    <s v="Travel_Rarely"/>
    <x v="1"/>
    <n v="9"/>
    <x v="0"/>
    <n v="2"/>
    <n v="1"/>
    <x v="3"/>
    <n v="1"/>
    <x v="1"/>
    <n v="4400"/>
    <n v="3"/>
    <s v="No"/>
    <n v="12"/>
    <n v="3"/>
    <n v="0"/>
    <n v="6"/>
    <n v="2"/>
    <n v="3"/>
    <n v="2"/>
    <n v="2"/>
    <x v="3"/>
    <d v="2018-07-06T00:00:00"/>
    <m/>
    <s v="Better Opportunity"/>
    <s v="WFH"/>
    <n v="0"/>
    <n v="2"/>
    <s v="Yes"/>
    <s v="Job Portal"/>
    <s v="Part Time"/>
    <n v="580"/>
    <n v="94"/>
    <n v="80"/>
    <n v="2"/>
    <n v="0"/>
    <m/>
    <n v="0"/>
    <n v="1"/>
    <s v="Current Employees"/>
    <s v="No"/>
  </r>
  <r>
    <x v="23"/>
    <s v="Travel_Rarely"/>
    <x v="0"/>
    <n v="1"/>
    <x v="1"/>
    <n v="3"/>
    <n v="1"/>
    <x v="1"/>
    <n v="1"/>
    <x v="1"/>
    <n v="2066"/>
    <n v="2"/>
    <s v="No"/>
    <n v="22"/>
    <n v="4"/>
    <n v="1"/>
    <n v="5"/>
    <n v="3"/>
    <n v="3"/>
    <n v="1"/>
    <n v="0"/>
    <x v="1"/>
    <s v="22-02-2018"/>
    <m/>
    <s v="Work Environment"/>
    <s v="WFH"/>
    <n v="2"/>
    <n v="3"/>
    <s v="No"/>
    <s v="Walk-in"/>
    <s v="Part Time"/>
    <n v="581"/>
    <n v="33"/>
    <n v="80"/>
    <n v="8"/>
    <n v="0"/>
    <m/>
    <n v="0"/>
    <n v="1"/>
    <s v="Current Employees"/>
    <s v="No"/>
  </r>
  <r>
    <x v="28"/>
    <s v="Travel_Rarely"/>
    <x v="2"/>
    <n v="8"/>
    <x v="1"/>
    <n v="4"/>
    <n v="1"/>
    <x v="8"/>
    <n v="2"/>
    <x v="0"/>
    <n v="2109"/>
    <n v="9"/>
    <s v="No"/>
    <n v="18"/>
    <n v="3"/>
    <n v="0"/>
    <n v="8"/>
    <n v="3"/>
    <n v="3"/>
    <n v="0"/>
    <n v="2"/>
    <x v="0"/>
    <d v="2018-12-06T00:00:00"/>
    <m/>
    <s v="Work Accident"/>
    <s v="WFH"/>
    <n v="5"/>
    <n v="3"/>
    <s v="Yes"/>
    <s v="Job Portal"/>
    <s v="Part Time"/>
    <n v="582"/>
    <n v="56"/>
    <n v="80"/>
    <n v="6"/>
    <n v="1"/>
    <n v="1"/>
    <n v="1"/>
    <n v="0"/>
    <s v="Ex-Employees"/>
    <s v="Yes"/>
  </r>
  <r>
    <x v="2"/>
    <s v="Travel_Rarely"/>
    <x v="0"/>
    <n v="29"/>
    <x v="0"/>
    <n v="3"/>
    <n v="3"/>
    <x v="6"/>
    <n v="4"/>
    <x v="1"/>
    <n v="9380"/>
    <n v="4"/>
    <s v="Yes"/>
    <n v="18"/>
    <n v="3"/>
    <n v="2"/>
    <n v="10"/>
    <n v="4"/>
    <n v="3"/>
    <n v="1"/>
    <n v="2"/>
    <x v="3"/>
    <s v="29-03-2018"/>
    <m/>
    <s v="Work Environment"/>
    <s v="WFH"/>
    <n v="5"/>
    <n v="1"/>
    <s v="No"/>
    <s v="Job Event"/>
    <s v="FullTime"/>
    <n v="584"/>
    <n v="38"/>
    <n v="80"/>
    <n v="3"/>
    <n v="1"/>
    <n v="1"/>
    <n v="1"/>
    <n v="0"/>
    <s v="Ex-Employees"/>
    <s v="Yes"/>
  </r>
  <r>
    <x v="39"/>
    <s v="Travel_Rarely"/>
    <x v="0"/>
    <n v="5"/>
    <x v="0"/>
    <n v="3"/>
    <n v="2"/>
    <x v="7"/>
    <n v="3"/>
    <x v="1"/>
    <n v="6651"/>
    <n v="2"/>
    <s v="No"/>
    <n v="14"/>
    <n v="3"/>
    <n v="1"/>
    <n v="20"/>
    <n v="0"/>
    <n v="3"/>
    <n v="1"/>
    <n v="2"/>
    <x v="3"/>
    <s v="23-02-2018"/>
    <m/>
    <s v="Salary"/>
    <s v="WFH"/>
    <n v="4"/>
    <n v="0"/>
    <s v="Yes"/>
    <s v="Job Event"/>
    <s v="FullTime"/>
    <n v="585"/>
    <n v="57"/>
    <n v="80"/>
    <n v="2"/>
    <n v="0"/>
    <m/>
    <n v="0"/>
    <n v="1"/>
    <s v="Current Employees"/>
    <s v="No"/>
  </r>
  <r>
    <x v="18"/>
    <s v="Travel_Rarely"/>
    <x v="0"/>
    <n v="2"/>
    <x v="0"/>
    <n v="3"/>
    <n v="1"/>
    <x v="1"/>
    <n v="3"/>
    <x v="2"/>
    <n v="2345"/>
    <n v="2"/>
    <s v="No"/>
    <n v="14"/>
    <n v="3"/>
    <n v="1"/>
    <n v="8"/>
    <n v="3"/>
    <n v="3"/>
    <n v="1"/>
    <n v="2"/>
    <x v="2"/>
    <d v="2018-07-04T00:00:00"/>
    <m/>
    <s v="Work Environment"/>
    <s v="WFH"/>
    <n v="4"/>
    <n v="1"/>
    <s v="No"/>
    <s v="Recruiter"/>
    <s v="FullTime"/>
    <n v="586"/>
    <n v="72"/>
    <n v="80"/>
    <n v="7"/>
    <n v="0"/>
    <m/>
    <n v="0"/>
    <n v="1"/>
    <s v="Current Employees"/>
    <s v="No"/>
  </r>
  <r>
    <x v="6"/>
    <s v="Travel_Frequently"/>
    <x v="1"/>
    <n v="1"/>
    <x v="0"/>
    <n v="3"/>
    <n v="1"/>
    <x v="3"/>
    <n v="3"/>
    <x v="1"/>
    <n v="2909"/>
    <n v="3"/>
    <s v="No"/>
    <n v="15"/>
    <n v="3"/>
    <n v="1"/>
    <n v="5"/>
    <n v="3"/>
    <n v="3"/>
    <n v="1"/>
    <n v="2"/>
    <x v="2"/>
    <d v="2018-04-03T00:00:00"/>
    <m/>
    <s v="Better Opportunity"/>
    <s v="OFFICE"/>
    <n v="1"/>
    <n v="0"/>
    <s v="No"/>
    <s v="Recruiter"/>
    <s v="Part Time"/>
    <n v="587"/>
    <n v="66"/>
    <n v="80"/>
    <n v="0"/>
    <n v="1"/>
    <n v="1"/>
    <n v="1"/>
    <n v="0"/>
    <s v="Ex-Employees"/>
    <s v="Yes"/>
  </r>
  <r>
    <x v="29"/>
    <s v="Travel_Rarely"/>
    <x v="0"/>
    <n v="4"/>
    <x v="0"/>
    <n v="3"/>
    <n v="2"/>
    <x v="7"/>
    <n v="3"/>
    <x v="1"/>
    <n v="4035"/>
    <n v="0"/>
    <s v="Yes"/>
    <n v="16"/>
    <n v="3"/>
    <n v="0"/>
    <n v="4"/>
    <n v="2"/>
    <n v="3"/>
    <n v="1"/>
    <n v="2"/>
    <x v="3"/>
    <d v="2018-03-02T00:00:00"/>
    <m/>
    <s v="Work Environment"/>
    <s v="WFH"/>
    <n v="0"/>
    <n v="2"/>
    <s v="No"/>
    <s v="Walk-in"/>
    <s v="Contract"/>
    <n v="590"/>
    <n v="43"/>
    <n v="80"/>
    <n v="2"/>
    <n v="1"/>
    <n v="1"/>
    <n v="1"/>
    <n v="0"/>
    <s v="Ex-Employees"/>
    <s v="Yes"/>
  </r>
  <r>
    <x v="39"/>
    <s v="Travel_Rarely"/>
    <x v="0"/>
    <n v="3"/>
    <x v="1"/>
    <n v="2"/>
    <n v="2"/>
    <x v="0"/>
    <n v="1"/>
    <x v="1"/>
    <n v="4789"/>
    <n v="4"/>
    <s v="No"/>
    <n v="25"/>
    <n v="4"/>
    <n v="1"/>
    <n v="10"/>
    <n v="3"/>
    <n v="3"/>
    <n v="1"/>
    <n v="2"/>
    <x v="3"/>
    <s v="14-03-2018"/>
    <m/>
    <s v="Better Opportunity"/>
    <s v="OFFICE"/>
    <n v="3"/>
    <n v="2"/>
    <s v="Yes"/>
    <s v="Recruiter"/>
    <s v="Part Time"/>
    <n v="591"/>
    <n v="97"/>
    <n v="80"/>
    <n v="2"/>
    <n v="0"/>
    <m/>
    <n v="0"/>
    <n v="1"/>
    <s v="Current Employees"/>
    <s v="No"/>
  </r>
  <r>
    <x v="7"/>
    <s v="Travel_Frequently"/>
    <x v="0"/>
    <n v="2"/>
    <x v="1"/>
    <n v="3"/>
    <n v="1"/>
    <x v="0"/>
    <n v="2"/>
    <x v="1"/>
    <n v="3180"/>
    <n v="0"/>
    <s v="No"/>
    <n v="13"/>
    <n v="3"/>
    <n v="3"/>
    <n v="4"/>
    <n v="3"/>
    <n v="3"/>
    <n v="0"/>
    <n v="2"/>
    <x v="3"/>
    <s v="27-04-2018"/>
    <m/>
    <s v="Salary"/>
    <s v="OFFICE"/>
    <n v="2"/>
    <n v="2"/>
    <s v="No"/>
    <s v="Recruiter"/>
    <s v="Contract"/>
    <n v="592"/>
    <n v="32"/>
    <n v="80"/>
    <n v="3"/>
    <n v="0"/>
    <m/>
    <n v="0"/>
    <n v="1"/>
    <s v="Current Employees"/>
    <s v="No"/>
  </r>
  <r>
    <x v="26"/>
    <s v="Travel_Rarely"/>
    <x v="1"/>
    <n v="2"/>
    <x v="0"/>
    <n v="3"/>
    <n v="1"/>
    <x v="3"/>
    <n v="4"/>
    <x v="0"/>
    <n v="2644"/>
    <n v="3"/>
    <s v="Yes"/>
    <n v="21"/>
    <n v="4"/>
    <n v="0"/>
    <n v="7"/>
    <n v="3"/>
    <n v="3"/>
    <n v="1"/>
    <n v="2"/>
    <x v="3"/>
    <s v="27-02-2018"/>
    <m/>
    <s v="Better Opportunity"/>
    <s v="OFFICE"/>
    <n v="5"/>
    <n v="0"/>
    <s v="Yes"/>
    <s v="Walk-in"/>
    <s v="FullTime"/>
    <n v="593"/>
    <n v="99"/>
    <n v="80"/>
    <n v="2"/>
    <n v="1"/>
    <n v="1"/>
    <n v="1"/>
    <n v="0"/>
    <s v="Ex-Employees"/>
    <s v="Yes"/>
  </r>
  <r>
    <x v="27"/>
    <s v="Travel_Rarely"/>
    <x v="0"/>
    <n v="1"/>
    <x v="0"/>
    <n v="2"/>
    <n v="1"/>
    <x v="0"/>
    <n v="1"/>
    <x v="0"/>
    <n v="2450"/>
    <n v="1"/>
    <s v="No"/>
    <n v="19"/>
    <n v="3"/>
    <n v="0"/>
    <n v="3"/>
    <n v="3"/>
    <n v="3"/>
    <n v="1"/>
    <n v="2"/>
    <x v="0"/>
    <d v="2018-01-06T00:00:00"/>
    <m/>
    <s v="Better Opportunity"/>
    <s v="WFH"/>
    <n v="3"/>
    <n v="3"/>
    <s v="Yes"/>
    <s v="Recruiter"/>
    <s v="Part Time"/>
    <n v="595"/>
    <n v="37"/>
    <n v="80"/>
    <n v="7"/>
    <n v="0"/>
    <m/>
    <n v="0"/>
    <n v="1"/>
    <s v="Current Employees"/>
    <s v="No"/>
  </r>
  <r>
    <x v="12"/>
    <s v="Travel_Rarely"/>
    <x v="1"/>
    <n v="16"/>
    <x v="1"/>
    <n v="3"/>
    <n v="2"/>
    <x v="4"/>
    <n v="2"/>
    <x v="0"/>
    <n v="4198"/>
    <n v="2"/>
    <s v="No"/>
    <n v="12"/>
    <n v="3"/>
    <n v="0"/>
    <n v="8"/>
    <n v="5"/>
    <n v="3"/>
    <n v="1"/>
    <n v="2"/>
    <x v="3"/>
    <d v="2018-11-04T00:00:00"/>
    <m/>
    <s v="Work Accident"/>
    <s v="WFH"/>
    <n v="5"/>
    <n v="1"/>
    <s v="No"/>
    <s v="Job Event"/>
    <s v="FullTime"/>
    <n v="597"/>
    <n v="83"/>
    <n v="80"/>
    <n v="9"/>
    <n v="0"/>
    <m/>
    <n v="0"/>
    <n v="1"/>
    <s v="Current Employees"/>
    <s v="No"/>
  </r>
  <r>
    <x v="26"/>
    <s v="Travel_Frequently"/>
    <x v="0"/>
    <n v="6"/>
    <x v="0"/>
    <n v="4"/>
    <n v="2"/>
    <x v="0"/>
    <n v="1"/>
    <x v="1"/>
    <n v="5562"/>
    <n v="3"/>
    <s v="Yes"/>
    <n v="13"/>
    <n v="3"/>
    <n v="1"/>
    <n v="9"/>
    <n v="3"/>
    <n v="3"/>
    <n v="0"/>
    <n v="2"/>
    <x v="0"/>
    <d v="2018-05-02T00:00:00"/>
    <m/>
    <s v="Better Opportunity"/>
    <s v="WFH"/>
    <n v="0"/>
    <n v="3"/>
    <s v="Yes"/>
    <s v="Job Event"/>
    <s v="Part Time"/>
    <n v="599"/>
    <n v="56"/>
    <n v="80"/>
    <n v="3"/>
    <n v="0"/>
    <m/>
    <n v="0"/>
    <n v="1"/>
    <s v="Current Employees"/>
    <s v="No"/>
  </r>
  <r>
    <x v="21"/>
    <s v="Travel_Rarely"/>
    <x v="0"/>
    <n v="5"/>
    <x v="1"/>
    <n v="4"/>
    <n v="1"/>
    <x v="1"/>
    <n v="4"/>
    <x v="1"/>
    <n v="3312"/>
    <n v="3"/>
    <s v="No"/>
    <n v="17"/>
    <n v="3"/>
    <n v="2"/>
    <n v="6"/>
    <n v="3"/>
    <n v="3"/>
    <n v="0"/>
    <n v="2"/>
    <x v="0"/>
    <d v="2018-01-01T00:00:00"/>
    <m/>
    <s v="Work Accident"/>
    <s v="OFFICE"/>
    <n v="1"/>
    <n v="3"/>
    <s v="Yes"/>
    <s v="Recruiter"/>
    <s v="Part Time"/>
    <n v="600"/>
    <n v="85"/>
    <n v="80"/>
    <n v="9"/>
    <n v="0"/>
    <m/>
    <n v="0"/>
    <n v="1"/>
    <s v="Current Employees"/>
    <s v="No"/>
  </r>
  <r>
    <x v="26"/>
    <s v="Travel_Rarely"/>
    <x v="0"/>
    <n v="12"/>
    <x v="1"/>
    <n v="3"/>
    <n v="2"/>
    <x v="6"/>
    <n v="3"/>
    <x v="1"/>
    <n v="4663"/>
    <n v="9"/>
    <s v="Yes"/>
    <n v="12"/>
    <n v="3"/>
    <n v="2"/>
    <n v="7"/>
    <n v="2"/>
    <n v="3"/>
    <n v="1"/>
    <n v="1"/>
    <x v="1"/>
    <s v="16-01-2018"/>
    <m/>
    <s v="Work Accident"/>
    <s v="WFH"/>
    <n v="3"/>
    <n v="1"/>
    <s v="Yes"/>
    <s v="Walk-in"/>
    <s v="Part Time"/>
    <n v="601"/>
    <n v="75"/>
    <n v="80"/>
    <n v="6"/>
    <n v="0"/>
    <m/>
    <n v="0"/>
    <n v="1"/>
    <s v="Current Employees"/>
    <s v="No"/>
  </r>
  <r>
    <x v="15"/>
    <s v="Travel_Rarely"/>
    <x v="0"/>
    <n v="8"/>
    <x v="1"/>
    <n v="4"/>
    <n v="1"/>
    <x v="1"/>
    <n v="3"/>
    <x v="1"/>
    <n v="3517"/>
    <n v="7"/>
    <s v="No"/>
    <n v="17"/>
    <n v="3"/>
    <n v="0"/>
    <n v="5"/>
    <n v="0"/>
    <n v="3"/>
    <n v="0"/>
    <n v="2"/>
    <x v="2"/>
    <d v="2018-05-03T00:00:00"/>
    <m/>
    <s v="Work Environment"/>
    <s v="WFH"/>
    <n v="3"/>
    <n v="1"/>
    <s v="Yes"/>
    <s v="Job Event"/>
    <s v="FullTime"/>
    <n v="602"/>
    <n v="48"/>
    <n v="80"/>
    <n v="3"/>
    <n v="0"/>
    <m/>
    <n v="0"/>
    <n v="1"/>
    <s v="Current Employees"/>
    <s v="No"/>
  </r>
  <r>
    <x v="26"/>
    <s v="Travel_Rarely"/>
    <x v="0"/>
    <n v="5"/>
    <x v="1"/>
    <n v="3"/>
    <n v="3"/>
    <x v="7"/>
    <n v="1"/>
    <x v="1"/>
    <n v="8008"/>
    <n v="4"/>
    <s v="No"/>
    <n v="12"/>
    <n v="3"/>
    <n v="2"/>
    <n v="9"/>
    <n v="6"/>
    <n v="3"/>
    <n v="0"/>
    <n v="2"/>
    <x v="0"/>
    <d v="2018-06-03T00:00:00"/>
    <m/>
    <s v="Better Opportunity"/>
    <s v="OFFICE"/>
    <n v="2"/>
    <n v="3"/>
    <s v="Yes"/>
    <s v="Walk-in"/>
    <s v="Contract"/>
    <n v="604"/>
    <n v="77"/>
    <n v="80"/>
    <n v="5"/>
    <n v="0"/>
    <m/>
    <n v="0"/>
    <n v="1"/>
    <s v="Current Employees"/>
    <s v="No"/>
  </r>
  <r>
    <x v="26"/>
    <s v="Non-Travel"/>
    <x v="0"/>
    <n v="1"/>
    <x v="1"/>
    <n v="2"/>
    <n v="2"/>
    <x v="6"/>
    <n v="3"/>
    <x v="1"/>
    <n v="4374"/>
    <n v="0"/>
    <s v="No"/>
    <n v="15"/>
    <n v="3"/>
    <n v="0"/>
    <n v="4"/>
    <n v="6"/>
    <n v="3"/>
    <n v="1"/>
    <n v="2"/>
    <x v="3"/>
    <s v="17-03-2018"/>
    <m/>
    <s v="Dept.Head"/>
    <s v="WFH"/>
    <n v="0"/>
    <n v="0"/>
    <s v="No"/>
    <s v="Walk-in"/>
    <s v="Part Time"/>
    <n v="605"/>
    <n v="56"/>
    <n v="80"/>
    <n v="9"/>
    <n v="0"/>
    <m/>
    <n v="0"/>
    <n v="1"/>
    <s v="Current Employees"/>
    <s v="No"/>
  </r>
  <r>
    <x v="9"/>
    <s v="Travel_Rarely"/>
    <x v="1"/>
    <n v="2"/>
    <x v="1"/>
    <n v="4"/>
    <n v="4"/>
    <x v="5"/>
    <n v="2"/>
    <x v="2"/>
    <n v="15972"/>
    <n v="6"/>
    <s v="No"/>
    <n v="14"/>
    <n v="3"/>
    <n v="3"/>
    <n v="29"/>
    <n v="2"/>
    <n v="3"/>
    <n v="1"/>
    <n v="2"/>
    <x v="0"/>
    <s v="14-03-2018"/>
    <m/>
    <s v="Salary"/>
    <s v="WFH"/>
    <n v="3"/>
    <n v="1"/>
    <s v="Yes"/>
    <s v="Walk-in"/>
    <s v="FullTime"/>
    <n v="606"/>
    <n v="61"/>
    <n v="80"/>
    <n v="7"/>
    <n v="0"/>
    <m/>
    <n v="0"/>
    <n v="1"/>
    <s v="Current Employees"/>
    <s v="No"/>
  </r>
  <r>
    <x v="26"/>
    <s v="Travel_Rarely"/>
    <x v="0"/>
    <n v="26"/>
    <x v="0"/>
    <n v="3"/>
    <n v="2"/>
    <x v="7"/>
    <n v="3"/>
    <x v="1"/>
    <n v="5347"/>
    <n v="6"/>
    <s v="No"/>
    <n v="14"/>
    <n v="3"/>
    <n v="2"/>
    <n v="10"/>
    <n v="2"/>
    <n v="3"/>
    <n v="0"/>
    <n v="2"/>
    <x v="3"/>
    <s v="19-06-2018"/>
    <m/>
    <s v="Better Opportunity"/>
    <s v="WFH"/>
    <n v="0"/>
    <n v="0"/>
    <s v="Yes"/>
    <s v="Job Event"/>
    <s v="Contract"/>
    <n v="608"/>
    <n v="58"/>
    <n v="80"/>
    <n v="7"/>
    <n v="1"/>
    <n v="1"/>
    <n v="1"/>
    <n v="0"/>
    <s v="Ex-Employees"/>
    <s v="Yes"/>
  </r>
  <r>
    <x v="3"/>
    <s v="Travel_Rarely"/>
    <x v="1"/>
    <n v="7"/>
    <x v="0"/>
    <n v="3"/>
    <n v="1"/>
    <x v="3"/>
    <n v="4"/>
    <x v="2"/>
    <n v="2275"/>
    <n v="1"/>
    <s v="Yes"/>
    <n v="21"/>
    <n v="4"/>
    <n v="1"/>
    <n v="3"/>
    <n v="2"/>
    <n v="3"/>
    <n v="0"/>
    <n v="2"/>
    <x v="0"/>
    <d v="2018-10-04T00:00:00"/>
    <m/>
    <s v="Better Opportunity"/>
    <s v="WFH"/>
    <n v="5"/>
    <n v="3"/>
    <s v="No"/>
    <s v="Job Portal"/>
    <s v="FullTime"/>
    <n v="611"/>
    <n v="34"/>
    <n v="80"/>
    <n v="2"/>
    <n v="0"/>
    <m/>
    <n v="0"/>
    <n v="1"/>
    <s v="Current Employees"/>
    <s v="No"/>
  </r>
  <r>
    <x v="11"/>
    <s v="Travel_Rarely"/>
    <x v="0"/>
    <n v="17"/>
    <x v="0"/>
    <n v="1"/>
    <n v="1"/>
    <x v="0"/>
    <n v="3"/>
    <x v="1"/>
    <n v="2305"/>
    <n v="1"/>
    <s v="No"/>
    <n v="15"/>
    <n v="3"/>
    <n v="3"/>
    <n v="3"/>
    <n v="3"/>
    <n v="3"/>
    <n v="0"/>
    <n v="2"/>
    <x v="1"/>
    <s v="21-05-2018"/>
    <m/>
    <s v="Work Environment"/>
    <s v="WFH"/>
    <n v="1"/>
    <n v="2"/>
    <s v="No"/>
    <s v="Job Event"/>
    <s v="Contract"/>
    <n v="612"/>
    <n v="95"/>
    <n v="80"/>
    <n v="1"/>
    <n v="0"/>
    <m/>
    <n v="0"/>
    <n v="1"/>
    <s v="Current Employees"/>
    <s v="No"/>
  </r>
  <r>
    <x v="33"/>
    <s v="Non-Travel"/>
    <x v="2"/>
    <n v="4"/>
    <x v="0"/>
    <n v="1"/>
    <n v="2"/>
    <x v="8"/>
    <n v="2"/>
    <x v="1"/>
    <n v="6430"/>
    <n v="6"/>
    <s v="No"/>
    <n v="19"/>
    <n v="3"/>
    <n v="1"/>
    <n v="10"/>
    <n v="4"/>
    <n v="3"/>
    <n v="1"/>
    <n v="2"/>
    <x v="3"/>
    <s v="17-06-2018"/>
    <m/>
    <s v="Better Opportunity"/>
    <s v="WFH"/>
    <n v="1"/>
    <n v="1"/>
    <s v="Yes"/>
    <s v="Walk-in"/>
    <s v="Part Time"/>
    <n v="613"/>
    <n v="44"/>
    <n v="80"/>
    <n v="4"/>
    <n v="0"/>
    <m/>
    <n v="0"/>
    <n v="1"/>
    <s v="Current Employees"/>
    <s v="No"/>
  </r>
  <r>
    <x v="3"/>
    <s v="Travel_Rarely"/>
    <x v="0"/>
    <n v="4"/>
    <x v="1"/>
    <n v="3"/>
    <n v="1"/>
    <x v="0"/>
    <n v="2"/>
    <x v="0"/>
    <n v="3295"/>
    <n v="1"/>
    <s v="No"/>
    <n v="13"/>
    <n v="3"/>
    <n v="0"/>
    <n v="3"/>
    <n v="3"/>
    <n v="3"/>
    <n v="1"/>
    <n v="2"/>
    <x v="2"/>
    <s v="24-03-2018"/>
    <m/>
    <s v="Better Opportunity"/>
    <s v="WFH"/>
    <n v="1"/>
    <n v="2"/>
    <s v="No"/>
    <s v="Job Event"/>
    <s v="Part Time"/>
    <n v="614"/>
    <n v="69"/>
    <n v="80"/>
    <n v="0"/>
    <n v="1"/>
    <n v="1"/>
    <n v="1"/>
    <n v="0"/>
    <s v="Ex-Employees"/>
    <s v="Yes"/>
  </r>
  <r>
    <x v="7"/>
    <s v="Travel_Frequently"/>
    <x v="0"/>
    <n v="1"/>
    <x v="0"/>
    <n v="4"/>
    <n v="2"/>
    <x v="7"/>
    <n v="3"/>
    <x v="0"/>
    <n v="6294"/>
    <n v="8"/>
    <s v="Yes"/>
    <n v="12"/>
    <n v="3"/>
    <n v="0"/>
    <n v="10"/>
    <n v="5"/>
    <n v="3"/>
    <n v="0"/>
    <n v="2"/>
    <x v="2"/>
    <s v="21-04-2018"/>
    <m/>
    <s v="Salary"/>
    <s v="OFFICE"/>
    <n v="4"/>
    <n v="2"/>
    <s v="No"/>
    <s v="Recruiter"/>
    <s v="Contract"/>
    <n v="615"/>
    <n v="58"/>
    <n v="80"/>
    <n v="0"/>
    <n v="0"/>
    <m/>
    <n v="0"/>
    <n v="1"/>
    <s v="Current Employees"/>
    <s v="No"/>
  </r>
  <r>
    <x v="42"/>
    <s v="Non-Travel"/>
    <x v="0"/>
    <n v="1"/>
    <x v="1"/>
    <n v="2"/>
    <n v="4"/>
    <x v="6"/>
    <n v="3"/>
    <x v="1"/>
    <n v="12965"/>
    <n v="4"/>
    <s v="Yes"/>
    <n v="20"/>
    <n v="4"/>
    <n v="3"/>
    <n v="27"/>
    <n v="2"/>
    <n v="3"/>
    <n v="0"/>
    <n v="2"/>
    <x v="1"/>
    <s v="22-02-2018"/>
    <m/>
    <s v="Better Opportunity"/>
    <s v="OFFICE"/>
    <n v="5"/>
    <n v="1"/>
    <s v="No"/>
    <s v="Job Portal"/>
    <s v="Contract"/>
    <n v="616"/>
    <n v="62"/>
    <n v="80"/>
    <n v="7"/>
    <n v="0"/>
    <m/>
    <n v="0"/>
    <n v="1"/>
    <s v="Current Employees"/>
    <s v="No"/>
  </r>
  <r>
    <x v="34"/>
    <s v="Non-Travel"/>
    <x v="0"/>
    <n v="9"/>
    <x v="0"/>
    <n v="3"/>
    <n v="1"/>
    <x v="1"/>
    <n v="3"/>
    <x v="0"/>
    <n v="2438"/>
    <n v="4"/>
    <s v="No"/>
    <n v="13"/>
    <n v="3"/>
    <n v="0"/>
    <n v="7"/>
    <n v="2"/>
    <n v="3"/>
    <n v="1"/>
    <n v="2"/>
    <x v="2"/>
    <d v="2018-05-04T00:00:00"/>
    <m/>
    <s v="Work Accident"/>
    <s v="OFFICE"/>
    <n v="5"/>
    <n v="2"/>
    <s v="Yes"/>
    <s v="Recruiter"/>
    <s v="Part Time"/>
    <n v="618"/>
    <n v="45"/>
    <n v="80"/>
    <n v="0"/>
    <n v="0"/>
    <m/>
    <n v="0"/>
    <n v="1"/>
    <s v="Current Employees"/>
    <s v="No"/>
  </r>
  <r>
    <x v="33"/>
    <s v="Travel_Rarely"/>
    <x v="0"/>
    <n v="5"/>
    <x v="0"/>
    <n v="4"/>
    <n v="2"/>
    <x v="7"/>
    <n v="2"/>
    <x v="0"/>
    <n v="6870"/>
    <n v="3"/>
    <s v="No"/>
    <n v="12"/>
    <n v="3"/>
    <n v="0"/>
    <n v="11"/>
    <n v="3"/>
    <n v="3"/>
    <n v="1"/>
    <n v="2"/>
    <x v="2"/>
    <d v="2018-02-05T00:00:00"/>
    <m/>
    <s v="Dept.Head"/>
    <s v="WFH"/>
    <n v="3"/>
    <n v="2"/>
    <s v="Yes"/>
    <s v="Job Event"/>
    <s v="Part Time"/>
    <n v="620"/>
    <n v="80"/>
    <n v="80"/>
    <n v="4"/>
    <n v="0"/>
    <m/>
    <n v="0"/>
    <n v="1"/>
    <s v="Current Employees"/>
    <s v="No"/>
  </r>
  <r>
    <x v="28"/>
    <s v="Travel_Frequently"/>
    <x v="1"/>
    <n v="7"/>
    <x v="1"/>
    <n v="3"/>
    <n v="3"/>
    <x v="4"/>
    <n v="1"/>
    <x v="1"/>
    <n v="9637"/>
    <n v="2"/>
    <s v="No"/>
    <n v="14"/>
    <n v="3"/>
    <n v="2"/>
    <n v="9"/>
    <n v="3"/>
    <n v="3"/>
    <n v="2"/>
    <n v="2"/>
    <x v="1"/>
    <s v="26-05-2018"/>
    <m/>
    <s v="Dept.Head"/>
    <s v="OFFICE"/>
    <n v="1"/>
    <n v="2"/>
    <s v="Yes"/>
    <s v="Job Portal"/>
    <s v="FullTime"/>
    <n v="621"/>
    <n v="74"/>
    <n v="80"/>
    <n v="7"/>
    <n v="0"/>
    <m/>
    <n v="0"/>
    <n v="1"/>
    <s v="Current Employees"/>
    <s v="No"/>
  </r>
  <r>
    <x v="6"/>
    <s v="Travel_Rarely"/>
    <x v="0"/>
    <n v="1"/>
    <x v="1"/>
    <n v="3"/>
    <n v="1"/>
    <x v="1"/>
    <n v="1"/>
    <x v="1"/>
    <n v="3591"/>
    <n v="1"/>
    <s v="No"/>
    <n v="25"/>
    <n v="4"/>
    <n v="1"/>
    <n v="3"/>
    <n v="3"/>
    <n v="3"/>
    <n v="1"/>
    <n v="2"/>
    <x v="0"/>
    <s v="28-01-2018"/>
    <m/>
    <s v="Salary"/>
    <s v="OFFICE"/>
    <n v="2"/>
    <n v="2"/>
    <s v="Yes"/>
    <s v="Job Event"/>
    <s v="Part Time"/>
    <n v="622"/>
    <n v="66"/>
    <n v="80"/>
    <n v="0"/>
    <n v="1"/>
    <n v="1"/>
    <n v="1"/>
    <n v="0"/>
    <s v="Ex-Employees"/>
    <s v="Yes"/>
  </r>
  <r>
    <x v="6"/>
    <s v="Non-Travel"/>
    <x v="2"/>
    <n v="1"/>
    <x v="0"/>
    <n v="3"/>
    <n v="1"/>
    <x v="8"/>
    <n v="4"/>
    <x v="2"/>
    <n v="2706"/>
    <n v="1"/>
    <s v="No"/>
    <n v="15"/>
    <n v="3"/>
    <n v="1"/>
    <n v="3"/>
    <n v="2"/>
    <n v="3"/>
    <n v="2"/>
    <n v="2"/>
    <x v="1"/>
    <d v="2018-07-02T00:00:00"/>
    <m/>
    <s v="Work Accident"/>
    <s v="OFFICE"/>
    <n v="2"/>
    <n v="0"/>
    <s v="Yes"/>
    <s v="Recruiter"/>
    <s v="Part Time"/>
    <n v="623"/>
    <n v="59"/>
    <n v="80"/>
    <n v="5"/>
    <n v="0"/>
    <m/>
    <n v="0"/>
    <n v="1"/>
    <s v="Current Employees"/>
    <s v="No"/>
  </r>
  <r>
    <x v="7"/>
    <s v="Travel_Rarely"/>
    <x v="0"/>
    <n v="7"/>
    <x v="0"/>
    <n v="3"/>
    <n v="1"/>
    <x v="0"/>
    <n v="1"/>
    <x v="0"/>
    <n v="2062"/>
    <n v="3"/>
    <s v="No"/>
    <n v="14"/>
    <n v="3"/>
    <n v="0"/>
    <n v="11"/>
    <n v="2"/>
    <n v="3"/>
    <n v="1"/>
    <n v="2"/>
    <x v="2"/>
    <s v="16-03-2018"/>
    <m/>
    <s v="Work Accident"/>
    <s v="WFH"/>
    <n v="5"/>
    <n v="0"/>
    <s v="Yes"/>
    <s v="Job Event"/>
    <s v="FullTime"/>
    <n v="624"/>
    <n v="86"/>
    <n v="80"/>
    <n v="2"/>
    <n v="0"/>
    <m/>
    <n v="0"/>
    <n v="1"/>
    <s v="Current Employees"/>
    <s v="No"/>
  </r>
  <r>
    <x v="27"/>
    <s v="Travel_Rarely"/>
    <x v="0"/>
    <n v="16"/>
    <x v="1"/>
    <n v="2"/>
    <n v="2"/>
    <x v="6"/>
    <n v="2"/>
    <x v="1"/>
    <n v="4788"/>
    <n v="0"/>
    <s v="Yes"/>
    <n v="11"/>
    <n v="3"/>
    <n v="0"/>
    <n v="4"/>
    <n v="2"/>
    <n v="3"/>
    <n v="0"/>
    <n v="2"/>
    <x v="0"/>
    <d v="2018-06-05T00:00:00"/>
    <m/>
    <s v="Dept.Head"/>
    <s v="OFFICE"/>
    <n v="0"/>
    <n v="1"/>
    <s v="Yes"/>
    <s v="Job Portal"/>
    <s v="Contract"/>
    <n v="625"/>
    <n v="91"/>
    <n v="80"/>
    <n v="16"/>
    <n v="0"/>
    <m/>
    <n v="0"/>
    <n v="1"/>
    <s v="Current Employees"/>
    <s v="No"/>
  </r>
  <r>
    <x v="25"/>
    <s v="Non-Travel"/>
    <x v="1"/>
    <n v="21"/>
    <x v="1"/>
    <n v="1"/>
    <n v="2"/>
    <x v="4"/>
    <n v="3"/>
    <x v="1"/>
    <n v="5736"/>
    <n v="6"/>
    <s v="No"/>
    <n v="19"/>
    <n v="3"/>
    <n v="1"/>
    <n v="10"/>
    <n v="1"/>
    <n v="3"/>
    <n v="1"/>
    <n v="2"/>
    <x v="2"/>
    <d v="2018-08-06T00:00:00"/>
    <m/>
    <s v="Work Environment"/>
    <s v="OFFICE"/>
    <n v="5"/>
    <n v="0"/>
    <s v="No"/>
    <s v="Walk-in"/>
    <s v="Contract"/>
    <n v="626"/>
    <n v="69"/>
    <n v="80"/>
    <n v="5"/>
    <n v="0"/>
    <m/>
    <n v="0"/>
    <n v="1"/>
    <s v="Current Employees"/>
    <s v="No"/>
  </r>
  <r>
    <x v="4"/>
    <s v="Travel_Rarely"/>
    <x v="0"/>
    <n v="1"/>
    <x v="0"/>
    <n v="3"/>
    <n v="1"/>
    <x v="1"/>
    <n v="3"/>
    <x v="0"/>
    <n v="3375"/>
    <n v="0"/>
    <s v="No"/>
    <n v="12"/>
    <n v="3"/>
    <n v="0"/>
    <n v="4"/>
    <n v="2"/>
    <n v="3"/>
    <n v="1"/>
    <n v="2"/>
    <x v="3"/>
    <d v="2018-01-01T00:00:00"/>
    <m/>
    <s v="Salary"/>
    <s v="WFH"/>
    <n v="0"/>
    <n v="1"/>
    <s v="No"/>
    <s v="Recruiter"/>
    <s v="Contract"/>
    <n v="630"/>
    <n v="78"/>
    <n v="80"/>
    <n v="9"/>
    <n v="0"/>
    <m/>
    <n v="0"/>
    <n v="1"/>
    <s v="Current Employees"/>
    <s v="No"/>
  </r>
  <r>
    <x v="16"/>
    <s v="Travel_Rarely"/>
    <x v="1"/>
    <n v="28"/>
    <x v="0"/>
    <n v="2"/>
    <n v="3"/>
    <x v="4"/>
    <n v="1"/>
    <x v="2"/>
    <n v="10854"/>
    <n v="4"/>
    <s v="Yes"/>
    <n v="13"/>
    <n v="3"/>
    <n v="1"/>
    <n v="20"/>
    <n v="3"/>
    <n v="3"/>
    <n v="2"/>
    <n v="0"/>
    <x v="0"/>
    <d v="2018-11-04T00:00:00"/>
    <m/>
    <s v="Better Opportunity"/>
    <s v="OFFICE"/>
    <n v="3"/>
    <n v="2"/>
    <s v="Yes"/>
    <s v="Job Event"/>
    <s v="Contract"/>
    <n v="631"/>
    <n v="60"/>
    <n v="80"/>
    <n v="2"/>
    <n v="1"/>
    <n v="1"/>
    <n v="1"/>
    <n v="0"/>
    <s v="Ex-Employees"/>
    <s v="Yes"/>
  </r>
  <r>
    <x v="6"/>
    <s v="Travel_Rarely"/>
    <x v="0"/>
    <n v="24"/>
    <x v="0"/>
    <n v="2"/>
    <n v="1"/>
    <x v="0"/>
    <n v="3"/>
    <x v="0"/>
    <n v="2028"/>
    <n v="5"/>
    <s v="Yes"/>
    <n v="14"/>
    <n v="3"/>
    <n v="0"/>
    <n v="6"/>
    <n v="4"/>
    <n v="4"/>
    <n v="0"/>
    <n v="3"/>
    <x v="0"/>
    <s v="15-05-2017"/>
    <m/>
    <s v="Dept.Head"/>
    <s v="WFH"/>
    <n v="2"/>
    <n v="0"/>
    <s v="No"/>
    <s v="Job Portal"/>
    <s v="FullTime"/>
    <n v="632"/>
    <n v="38"/>
    <n v="80"/>
    <n v="2"/>
    <n v="0"/>
    <m/>
    <n v="0"/>
    <n v="1"/>
    <s v="Current Employees"/>
    <s v="No"/>
  </r>
  <r>
    <x v="19"/>
    <s v="Non-Travel"/>
    <x v="0"/>
    <n v="11"/>
    <x v="1"/>
    <n v="4"/>
    <n v="2"/>
    <x v="6"/>
    <n v="3"/>
    <x v="2"/>
    <n v="4011"/>
    <n v="0"/>
    <s v="No"/>
    <n v="18"/>
    <n v="3"/>
    <n v="1"/>
    <n v="5"/>
    <n v="5"/>
    <n v="4"/>
    <n v="1"/>
    <n v="3"/>
    <x v="0"/>
    <d v="2017-05-04T00:00:00"/>
    <m/>
    <s v="Work Accident"/>
    <s v="WFH"/>
    <n v="3"/>
    <n v="1"/>
    <s v="Yes"/>
    <s v="Walk-in"/>
    <s v="FullTime"/>
    <n v="634"/>
    <n v="76"/>
    <n v="80"/>
    <n v="0"/>
    <n v="0"/>
    <m/>
    <n v="0"/>
    <n v="1"/>
    <s v="Current Employees"/>
    <s v="No"/>
  </r>
  <r>
    <x v="13"/>
    <s v="Travel_Rarely"/>
    <x v="0"/>
    <n v="6"/>
    <x v="0"/>
    <n v="3"/>
    <n v="1"/>
    <x v="1"/>
    <n v="1"/>
    <x v="0"/>
    <n v="2960"/>
    <n v="2"/>
    <s v="No"/>
    <n v="11"/>
    <n v="3"/>
    <n v="0"/>
    <n v="8"/>
    <n v="2"/>
    <n v="4"/>
    <n v="1"/>
    <n v="3"/>
    <x v="1"/>
    <d v="2017-05-04T00:00:00"/>
    <m/>
    <s v="Dept.Head"/>
    <s v="WFH"/>
    <n v="1"/>
    <n v="1"/>
    <s v="Yes"/>
    <s v="Recruiter"/>
    <s v="FullTime"/>
    <n v="635"/>
    <n v="65"/>
    <n v="80"/>
    <n v="5"/>
    <n v="0"/>
    <m/>
    <n v="0"/>
    <n v="1"/>
    <s v="Current Employees"/>
    <s v="No"/>
  </r>
  <r>
    <x v="17"/>
    <s v="Travel_Rarely"/>
    <x v="0"/>
    <n v="10"/>
    <x v="0"/>
    <n v="3"/>
    <n v="2"/>
    <x v="7"/>
    <n v="4"/>
    <x v="1"/>
    <n v="6465"/>
    <n v="2"/>
    <s v="Yes"/>
    <n v="13"/>
    <n v="3"/>
    <n v="0"/>
    <n v="9"/>
    <n v="5"/>
    <n v="4"/>
    <n v="1"/>
    <n v="3"/>
    <x v="3"/>
    <s v="29-01-2017"/>
    <m/>
    <s v="Work Accident"/>
    <s v="OFFICE"/>
    <n v="5"/>
    <n v="3"/>
    <s v="Yes"/>
    <s v="Job Event"/>
    <s v="Part Time"/>
    <n v="638"/>
    <n v="58"/>
    <n v="80"/>
    <n v="9"/>
    <n v="0"/>
    <m/>
    <n v="0"/>
    <n v="1"/>
    <s v="Current Employees"/>
    <s v="No"/>
  </r>
  <r>
    <x v="17"/>
    <s v="Travel_Rarely"/>
    <x v="1"/>
    <n v="1"/>
    <x v="1"/>
    <n v="3"/>
    <n v="2"/>
    <x v="4"/>
    <n v="1"/>
    <x v="2"/>
    <n v="5454"/>
    <n v="5"/>
    <s v="Yes"/>
    <n v="21"/>
    <n v="4"/>
    <n v="1"/>
    <n v="9"/>
    <n v="2"/>
    <n v="4"/>
    <n v="1"/>
    <n v="3"/>
    <x v="3"/>
    <s v="27-06-2017"/>
    <m/>
    <s v="Salary"/>
    <s v="OFFICE"/>
    <n v="5"/>
    <n v="3"/>
    <s v="Yes"/>
    <s v="Walk-in"/>
    <s v="FullTime"/>
    <n v="639"/>
    <n v="89"/>
    <n v="80"/>
    <n v="5"/>
    <n v="0"/>
    <m/>
    <n v="0"/>
    <n v="1"/>
    <s v="Current Employees"/>
    <s v="No"/>
  </r>
  <r>
    <x v="27"/>
    <s v="Non-Travel"/>
    <x v="0"/>
    <n v="11"/>
    <x v="0"/>
    <n v="2"/>
    <n v="3"/>
    <x v="7"/>
    <n v="1"/>
    <x v="1"/>
    <n v="9884"/>
    <n v="2"/>
    <s v="Yes"/>
    <n v="13"/>
    <n v="3"/>
    <n v="1"/>
    <n v="10"/>
    <n v="3"/>
    <n v="4"/>
    <n v="2"/>
    <n v="3"/>
    <x v="1"/>
    <s v="22-05-2017"/>
    <m/>
    <s v="Salary"/>
    <s v="OFFICE"/>
    <n v="1"/>
    <n v="1"/>
    <s v="Yes"/>
    <s v="Recruiter"/>
    <s v="Part Time"/>
    <n v="641"/>
    <n v="66"/>
    <n v="80"/>
    <n v="3"/>
    <n v="0"/>
    <m/>
    <n v="0"/>
    <n v="1"/>
    <s v="Current Employees"/>
    <s v="No"/>
  </r>
  <r>
    <x v="24"/>
    <s v="Travel_Frequently"/>
    <x v="1"/>
    <n v="1"/>
    <x v="1"/>
    <n v="2"/>
    <n v="2"/>
    <x v="4"/>
    <n v="3"/>
    <x v="0"/>
    <n v="5473"/>
    <n v="7"/>
    <s v="No"/>
    <n v="11"/>
    <n v="3"/>
    <n v="0"/>
    <n v="20"/>
    <n v="2"/>
    <n v="4"/>
    <n v="1"/>
    <n v="3"/>
    <x v="1"/>
    <d v="2017-07-03T00:00:00"/>
    <m/>
    <s v="Better Opportunity"/>
    <s v="WFH"/>
    <n v="1"/>
    <n v="0"/>
    <s v="Yes"/>
    <s v="Walk-in"/>
    <s v="Part Time"/>
    <n v="643"/>
    <n v="94"/>
    <n v="80"/>
    <n v="0"/>
    <n v="0"/>
    <m/>
    <n v="0"/>
    <n v="1"/>
    <s v="Current Employees"/>
    <s v="No"/>
  </r>
  <r>
    <x v="35"/>
    <s v="Travel_Rarely"/>
    <x v="2"/>
    <n v="5"/>
    <x v="0"/>
    <n v="3"/>
    <n v="2"/>
    <x v="8"/>
    <n v="2"/>
    <x v="2"/>
    <n v="5021"/>
    <n v="8"/>
    <s v="Yes"/>
    <n v="22"/>
    <n v="4"/>
    <n v="1"/>
    <n v="16"/>
    <n v="2"/>
    <n v="4"/>
    <n v="0"/>
    <n v="2"/>
    <x v="0"/>
    <s v="27-02-2017"/>
    <m/>
    <s v="Work Accident"/>
    <s v="WFH"/>
    <n v="2"/>
    <n v="3"/>
    <s v="No"/>
    <s v="Walk-in"/>
    <s v="FullTime"/>
    <n v="644"/>
    <n v="99"/>
    <n v="80"/>
    <n v="5"/>
    <n v="0"/>
    <m/>
    <n v="0"/>
    <n v="1"/>
    <s v="Current Employees"/>
    <s v="No"/>
  </r>
  <r>
    <x v="31"/>
    <s v="Travel_Rarely"/>
    <x v="0"/>
    <n v="9"/>
    <x v="0"/>
    <n v="3"/>
    <n v="1"/>
    <x v="0"/>
    <n v="4"/>
    <x v="1"/>
    <n v="2075"/>
    <n v="3"/>
    <s v="No"/>
    <n v="23"/>
    <n v="4"/>
    <n v="2"/>
    <n v="10"/>
    <n v="4"/>
    <n v="4"/>
    <n v="0"/>
    <n v="3"/>
    <x v="1"/>
    <d v="2017-11-02T00:00:00"/>
    <m/>
    <s v="Work Environment"/>
    <s v="OFFICE"/>
    <n v="4"/>
    <n v="0"/>
    <s v="Yes"/>
    <s v="Job Portal"/>
    <s v="Contract"/>
    <n v="645"/>
    <n v="40"/>
    <n v="80"/>
    <n v="4"/>
    <n v="0"/>
    <m/>
    <n v="0"/>
    <n v="1"/>
    <s v="Current Employees"/>
    <s v="No"/>
  </r>
  <r>
    <x v="37"/>
    <s v="Travel_Rarely"/>
    <x v="0"/>
    <n v="2"/>
    <x v="1"/>
    <n v="3"/>
    <n v="3"/>
    <x v="2"/>
    <n v="3"/>
    <x v="1"/>
    <n v="13549"/>
    <n v="9"/>
    <s v="No"/>
    <n v="12"/>
    <n v="3"/>
    <n v="1"/>
    <n v="16"/>
    <n v="5"/>
    <n v="4"/>
    <n v="0"/>
    <n v="3"/>
    <x v="0"/>
    <s v="16-02-2017"/>
    <m/>
    <s v="Work Accident"/>
    <s v="WFH"/>
    <n v="4"/>
    <n v="0"/>
    <s v="No"/>
    <s v="Job Event"/>
    <s v="FullTime"/>
    <n v="647"/>
    <n v="55"/>
    <n v="80"/>
    <n v="3"/>
    <n v="1"/>
    <n v="1"/>
    <n v="1"/>
    <n v="0"/>
    <s v="Ex-Employees"/>
    <s v="Yes"/>
  </r>
  <r>
    <x v="31"/>
    <s v="Travel_Frequently"/>
    <x v="0"/>
    <n v="8"/>
    <x v="0"/>
    <n v="1"/>
    <n v="3"/>
    <x v="6"/>
    <n v="4"/>
    <x v="0"/>
    <n v="10650"/>
    <n v="2"/>
    <s v="No"/>
    <n v="15"/>
    <n v="3"/>
    <n v="0"/>
    <n v="18"/>
    <n v="2"/>
    <n v="4"/>
    <n v="0"/>
    <n v="3"/>
    <x v="0"/>
    <s v="23-04-2017"/>
    <m/>
    <s v="Salary"/>
    <s v="WFH"/>
    <n v="1"/>
    <n v="2"/>
    <s v="Yes"/>
    <s v="Job Event"/>
    <s v="Contract"/>
    <n v="648"/>
    <n v="74"/>
    <n v="80"/>
    <n v="0"/>
    <n v="1"/>
    <n v="1"/>
    <n v="1"/>
    <n v="0"/>
    <s v="Ex-Employees"/>
    <s v="Yes"/>
  </r>
  <r>
    <x v="13"/>
    <s v="Travel_Frequently"/>
    <x v="1"/>
    <n v="2"/>
    <x v="1"/>
    <n v="3"/>
    <n v="1"/>
    <x v="3"/>
    <n v="3"/>
    <x v="1"/>
    <n v="2231"/>
    <n v="6"/>
    <s v="No"/>
    <n v="18"/>
    <n v="3"/>
    <n v="1"/>
    <n v="6"/>
    <n v="3"/>
    <n v="4"/>
    <n v="1"/>
    <n v="2"/>
    <x v="2"/>
    <s v="21-05-2017"/>
    <m/>
    <s v="Salary"/>
    <s v="OFFICE"/>
    <n v="3"/>
    <n v="0"/>
    <s v="No"/>
    <s v="Walk-in"/>
    <s v="FullTime"/>
    <n v="649"/>
    <n v="83"/>
    <n v="80"/>
    <n v="5"/>
    <n v="0"/>
    <m/>
    <n v="0"/>
    <n v="1"/>
    <s v="Current Employees"/>
    <s v="No"/>
  </r>
  <r>
    <x v="28"/>
    <s v="Travel_Rarely"/>
    <x v="0"/>
    <n v="12"/>
    <x v="1"/>
    <n v="3"/>
    <n v="1"/>
    <x v="1"/>
    <n v="4"/>
    <x v="1"/>
    <n v="3929"/>
    <n v="8"/>
    <s v="Yes"/>
    <n v="23"/>
    <n v="4"/>
    <n v="1"/>
    <n v="7"/>
    <n v="0"/>
    <n v="4"/>
    <n v="0"/>
    <n v="2"/>
    <x v="1"/>
    <d v="2017-12-02T00:00:00"/>
    <m/>
    <s v="Work Accident"/>
    <s v="OFFICE"/>
    <n v="0"/>
    <n v="3"/>
    <s v="Yes"/>
    <s v="Recruiter"/>
    <s v="FullTime"/>
    <n v="650"/>
    <n v="46"/>
    <n v="80"/>
    <n v="1"/>
    <n v="1"/>
    <n v="1"/>
    <n v="1"/>
    <n v="0"/>
    <s v="Ex-Employees"/>
    <s v="Yes"/>
  </r>
  <r>
    <x v="33"/>
    <s v="Travel_Rarely"/>
    <x v="1"/>
    <n v="20"/>
    <x v="1"/>
    <n v="3"/>
    <n v="1"/>
    <x v="3"/>
    <n v="2"/>
    <x v="0"/>
    <n v="3140"/>
    <n v="1"/>
    <s v="Yes"/>
    <n v="22"/>
    <n v="4"/>
    <n v="0"/>
    <n v="4"/>
    <n v="5"/>
    <n v="4"/>
    <n v="0"/>
    <n v="2"/>
    <x v="1"/>
    <d v="2017-03-04T00:00:00"/>
    <m/>
    <s v="Better Opportunity"/>
    <s v="WFH"/>
    <n v="3"/>
    <n v="0"/>
    <s v="Yes"/>
    <s v="Recruiter"/>
    <s v="FullTime"/>
    <n v="652"/>
    <n v="54"/>
    <n v="80"/>
    <n v="2"/>
    <n v="0"/>
    <m/>
    <n v="0"/>
    <n v="1"/>
    <s v="Current Employees"/>
    <s v="No"/>
  </r>
  <r>
    <x v="42"/>
    <s v="Travel_Rarely"/>
    <x v="0"/>
    <n v="13"/>
    <x v="1"/>
    <n v="4"/>
    <n v="2"/>
    <x v="6"/>
    <n v="1"/>
    <x v="2"/>
    <n v="4450"/>
    <n v="1"/>
    <s v="No"/>
    <n v="11"/>
    <n v="3"/>
    <n v="2"/>
    <n v="5"/>
    <n v="3"/>
    <n v="4"/>
    <n v="1"/>
    <n v="3"/>
    <x v="3"/>
    <s v="22-02-2017"/>
    <m/>
    <s v="Dept.Head"/>
    <s v="OFFICE"/>
    <n v="1"/>
    <n v="2"/>
    <s v="No"/>
    <s v="Walk-in"/>
    <s v="Contract"/>
    <n v="653"/>
    <n v="66"/>
    <n v="80"/>
    <n v="7"/>
    <n v="0"/>
    <m/>
    <n v="0"/>
    <n v="1"/>
    <s v="Current Employees"/>
    <s v="No"/>
  </r>
  <r>
    <x v="4"/>
    <s v="Travel_Rarely"/>
    <x v="0"/>
    <n v="5"/>
    <x v="0"/>
    <n v="4"/>
    <n v="1"/>
    <x v="1"/>
    <n v="2"/>
    <x v="2"/>
    <n v="2328"/>
    <n v="1"/>
    <s v="Yes"/>
    <n v="16"/>
    <n v="3"/>
    <n v="1"/>
    <n v="4"/>
    <n v="2"/>
    <n v="4"/>
    <n v="2"/>
    <n v="2"/>
    <x v="0"/>
    <s v="17-02-2017"/>
    <m/>
    <s v="Work Environment"/>
    <s v="WFH"/>
    <n v="4"/>
    <n v="2"/>
    <s v="No"/>
    <s v="Job Portal"/>
    <s v="FullTime"/>
    <n v="655"/>
    <n v="66"/>
    <n v="80"/>
    <n v="3"/>
    <n v="0"/>
    <m/>
    <n v="0"/>
    <n v="1"/>
    <s v="Current Employees"/>
    <s v="No"/>
  </r>
  <r>
    <x v="35"/>
    <s v="Travel_Rarely"/>
    <x v="0"/>
    <n v="1"/>
    <x v="0"/>
    <n v="3"/>
    <n v="3"/>
    <x v="7"/>
    <n v="1"/>
    <x v="2"/>
    <n v="9396"/>
    <n v="7"/>
    <s v="No"/>
    <n v="16"/>
    <n v="3"/>
    <n v="1"/>
    <n v="17"/>
    <n v="3"/>
    <n v="4"/>
    <n v="0"/>
    <n v="3"/>
    <x v="3"/>
    <s v="28-02-2017"/>
    <m/>
    <s v="Salary"/>
    <s v="OFFICE"/>
    <n v="4"/>
    <n v="3"/>
    <s v="No"/>
    <s v="Job Event"/>
    <s v="Contract"/>
    <n v="656"/>
    <n v="75"/>
    <n v="80"/>
    <n v="0"/>
    <n v="0"/>
    <m/>
    <n v="0"/>
    <n v="1"/>
    <s v="Current Employees"/>
    <s v="No"/>
  </r>
  <r>
    <x v="7"/>
    <s v="Travel_Rarely"/>
    <x v="0"/>
    <n v="18"/>
    <x v="0"/>
    <n v="2"/>
    <n v="1"/>
    <x v="1"/>
    <n v="4"/>
    <x v="0"/>
    <n v="2389"/>
    <n v="1"/>
    <s v="Yes"/>
    <n v="13"/>
    <n v="3"/>
    <n v="0"/>
    <n v="4"/>
    <n v="3"/>
    <n v="4"/>
    <n v="0"/>
    <n v="1"/>
    <x v="2"/>
    <d v="2017-05-01T00:00:00"/>
    <m/>
    <s v="Salary"/>
    <s v="OFFICE"/>
    <n v="4"/>
    <n v="2"/>
    <s v="Yes"/>
    <s v="Job Event"/>
    <s v="Contract"/>
    <n v="657"/>
    <n v="83"/>
    <n v="80"/>
    <n v="0"/>
    <n v="0"/>
    <m/>
    <n v="0"/>
    <n v="1"/>
    <s v="Current Employees"/>
    <s v="No"/>
  </r>
  <r>
    <x v="21"/>
    <s v="Travel_Rarely"/>
    <x v="1"/>
    <n v="4"/>
    <x v="1"/>
    <n v="3"/>
    <n v="1"/>
    <x v="3"/>
    <n v="2"/>
    <x v="1"/>
    <n v="3931"/>
    <n v="2"/>
    <s v="No"/>
    <n v="11"/>
    <n v="3"/>
    <n v="1"/>
    <n v="6"/>
    <n v="5"/>
    <n v="4"/>
    <n v="1"/>
    <n v="2"/>
    <x v="1"/>
    <d v="2017-11-05T00:00:00"/>
    <m/>
    <s v="Work Environment"/>
    <s v="WFH"/>
    <n v="2"/>
    <n v="1"/>
    <s v="No"/>
    <s v="Recruiter"/>
    <s v="FullTime"/>
    <n v="659"/>
    <n v="81"/>
    <n v="80"/>
    <n v="2"/>
    <n v="0"/>
    <m/>
    <n v="0"/>
    <n v="1"/>
    <s v="Current Employees"/>
    <s v="No"/>
  </r>
  <r>
    <x v="38"/>
    <s v="Travel_Rarely"/>
    <x v="0"/>
    <n v="1"/>
    <x v="1"/>
    <n v="3"/>
    <n v="2"/>
    <x v="6"/>
    <n v="3"/>
    <x v="1"/>
    <n v="4898"/>
    <n v="0"/>
    <s v="No"/>
    <n v="12"/>
    <n v="3"/>
    <n v="2"/>
    <n v="5"/>
    <n v="3"/>
    <n v="4"/>
    <n v="1"/>
    <n v="2"/>
    <x v="0"/>
    <d v="2017-04-03T00:00:00"/>
    <m/>
    <s v="Work Accident"/>
    <s v="OFFICE"/>
    <n v="4"/>
    <n v="2"/>
    <s v="Yes"/>
    <s v="Job Portal"/>
    <s v="Part Time"/>
    <n v="661"/>
    <n v="50"/>
    <n v="80"/>
    <n v="0"/>
    <n v="0"/>
    <m/>
    <n v="0"/>
    <n v="1"/>
    <s v="Current Employees"/>
    <s v="No"/>
  </r>
  <r>
    <x v="0"/>
    <s v="Travel_Frequently"/>
    <x v="0"/>
    <n v="9"/>
    <x v="0"/>
    <n v="3"/>
    <n v="1"/>
    <x v="1"/>
    <n v="4"/>
    <x v="1"/>
    <n v="2326"/>
    <n v="1"/>
    <s v="Yes"/>
    <n v="12"/>
    <n v="3"/>
    <n v="3"/>
    <n v="4"/>
    <n v="3"/>
    <n v="4"/>
    <n v="1"/>
    <n v="2"/>
    <x v="3"/>
    <d v="2017-07-05T00:00:00"/>
    <m/>
    <s v="Work Accident"/>
    <s v="WFH"/>
    <n v="0"/>
    <n v="1"/>
    <s v="Yes"/>
    <s v="Recruiter"/>
    <s v="FullTime"/>
    <n v="662"/>
    <n v="43"/>
    <n v="80"/>
    <n v="0"/>
    <n v="0"/>
    <m/>
    <n v="0"/>
    <n v="1"/>
    <s v="Current Employees"/>
    <s v="No"/>
  </r>
  <r>
    <x v="31"/>
    <s v="Travel_Rarely"/>
    <x v="0"/>
    <n v="2"/>
    <x v="0"/>
    <n v="1"/>
    <n v="2"/>
    <x v="6"/>
    <n v="2"/>
    <x v="2"/>
    <n v="5482"/>
    <n v="5"/>
    <s v="No"/>
    <n v="18"/>
    <n v="3"/>
    <n v="1"/>
    <n v="13"/>
    <n v="3"/>
    <n v="4"/>
    <n v="1"/>
    <n v="2"/>
    <x v="3"/>
    <s v="21-03-2017"/>
    <m/>
    <s v="Dept.Head"/>
    <s v="OFFICE"/>
    <n v="2"/>
    <n v="3"/>
    <s v="No"/>
    <s v="Recruiter"/>
    <s v="Contract"/>
    <n v="663"/>
    <n v="72"/>
    <n v="80"/>
    <n v="7"/>
    <n v="0"/>
    <m/>
    <n v="0"/>
    <n v="1"/>
    <s v="Current Employees"/>
    <s v="No"/>
  </r>
  <r>
    <x v="15"/>
    <s v="Travel_Rarely"/>
    <x v="0"/>
    <n v="5"/>
    <x v="1"/>
    <n v="3"/>
    <n v="1"/>
    <x v="1"/>
    <n v="2"/>
    <x v="0"/>
    <n v="2478"/>
    <n v="1"/>
    <s v="Yes"/>
    <n v="12"/>
    <n v="3"/>
    <n v="0"/>
    <n v="4"/>
    <n v="2"/>
    <n v="4"/>
    <n v="1"/>
    <n v="2"/>
    <x v="1"/>
    <d v="2017-12-06T00:00:00"/>
    <m/>
    <s v="Better Opportunity"/>
    <s v="WFH"/>
    <n v="0"/>
    <n v="1"/>
    <s v="No"/>
    <s v="Job Event"/>
    <s v="Contract"/>
    <n v="664"/>
    <n v="40"/>
    <n v="80"/>
    <n v="2"/>
    <n v="0"/>
    <m/>
    <n v="0"/>
    <n v="1"/>
    <s v="Current Employees"/>
    <s v="No"/>
  </r>
  <r>
    <x v="37"/>
    <s v="Travel_Frequently"/>
    <x v="0"/>
    <n v="20"/>
    <x v="1"/>
    <n v="3"/>
    <n v="2"/>
    <x v="1"/>
    <n v="3"/>
    <x v="0"/>
    <n v="4869"/>
    <n v="3"/>
    <s v="No"/>
    <n v="12"/>
    <n v="3"/>
    <n v="0"/>
    <n v="20"/>
    <n v="4"/>
    <n v="4"/>
    <n v="0"/>
    <n v="3"/>
    <x v="2"/>
    <d v="2017-03-04T00:00:00"/>
    <m/>
    <s v="Better Opportunity"/>
    <s v="WFH"/>
    <n v="2"/>
    <n v="1"/>
    <s v="No"/>
    <s v="Job Event"/>
    <s v="Contract"/>
    <n v="665"/>
    <n v="50"/>
    <n v="80"/>
    <n v="2"/>
    <n v="0"/>
    <m/>
    <n v="0"/>
    <n v="1"/>
    <s v="Current Employees"/>
    <s v="No"/>
  </r>
  <r>
    <x v="18"/>
    <s v="Travel_Rarely"/>
    <x v="1"/>
    <n v="1"/>
    <x v="0"/>
    <n v="1"/>
    <n v="2"/>
    <x v="4"/>
    <n v="4"/>
    <x v="1"/>
    <n v="7457"/>
    <n v="2"/>
    <s v="Yes"/>
    <n v="22"/>
    <n v="4"/>
    <n v="3"/>
    <n v="6"/>
    <n v="2"/>
    <n v="4"/>
    <n v="0"/>
    <n v="2"/>
    <x v="1"/>
    <s v="24-04-2017"/>
    <m/>
    <s v="Work Environment"/>
    <s v="WFH"/>
    <n v="0"/>
    <n v="3"/>
    <s v="Yes"/>
    <s v="Job Event"/>
    <s v="Contract"/>
    <n v="666"/>
    <n v="31"/>
    <n v="80"/>
    <n v="2"/>
    <n v="0"/>
    <m/>
    <n v="0"/>
    <n v="1"/>
    <s v="Current Employees"/>
    <s v="No"/>
  </r>
  <r>
    <x v="3"/>
    <s v="Travel_Rarely"/>
    <x v="0"/>
    <n v="26"/>
    <x v="0"/>
    <n v="3"/>
    <n v="1"/>
    <x v="1"/>
    <n v="4"/>
    <x v="2"/>
    <n v="2904"/>
    <n v="1"/>
    <s v="No"/>
    <n v="12"/>
    <n v="3"/>
    <n v="2"/>
    <n v="4"/>
    <n v="2"/>
    <n v="4"/>
    <n v="0"/>
    <n v="2"/>
    <x v="0"/>
    <s v="29-04-2017"/>
    <m/>
    <s v="Dept.Head"/>
    <s v="OFFICE"/>
    <n v="0"/>
    <n v="2"/>
    <s v="Yes"/>
    <s v="Job Event"/>
    <s v="FullTime"/>
    <n v="667"/>
    <n v="85"/>
    <n v="80"/>
    <n v="3"/>
    <n v="1"/>
    <n v="1"/>
    <n v="1"/>
    <n v="0"/>
    <s v="Ex-Employees"/>
    <s v="Yes"/>
  </r>
  <r>
    <x v="7"/>
    <s v="Non-Travel"/>
    <x v="1"/>
    <n v="2"/>
    <x v="0"/>
    <n v="3"/>
    <n v="2"/>
    <x v="4"/>
    <n v="3"/>
    <x v="1"/>
    <n v="4649"/>
    <n v="1"/>
    <s v="No"/>
    <n v="14"/>
    <n v="3"/>
    <n v="1"/>
    <n v="4"/>
    <n v="3"/>
    <n v="4"/>
    <n v="0"/>
    <n v="2"/>
    <x v="1"/>
    <s v="22-04-2017"/>
    <m/>
    <s v="Dept.Head"/>
    <s v="WFH"/>
    <n v="2"/>
    <n v="3"/>
    <s v="No"/>
    <s v="Job Portal"/>
    <s v="FullTime"/>
    <n v="669"/>
    <n v="49"/>
    <n v="80"/>
    <n v="2"/>
    <n v="0"/>
    <m/>
    <n v="0"/>
    <n v="1"/>
    <s v="Current Employees"/>
    <s v="No"/>
  </r>
  <r>
    <x v="16"/>
    <s v="Travel_Rarely"/>
    <x v="0"/>
    <n v="10"/>
    <x v="0"/>
    <n v="2"/>
    <n v="3"/>
    <x v="7"/>
    <n v="4"/>
    <x v="0"/>
    <n v="10496"/>
    <n v="6"/>
    <s v="No"/>
    <n v="15"/>
    <n v="3"/>
    <n v="0"/>
    <n v="20"/>
    <n v="2"/>
    <n v="4"/>
    <n v="1"/>
    <n v="3"/>
    <x v="0"/>
    <s v="14-06-2017"/>
    <m/>
    <s v="Dept.Head"/>
    <s v="WFH"/>
    <n v="2"/>
    <n v="1"/>
    <s v="Yes"/>
    <s v="Walk-in"/>
    <s v="Contract"/>
    <n v="671"/>
    <n v="35"/>
    <n v="80"/>
    <n v="2"/>
    <n v="0"/>
    <m/>
    <n v="0"/>
    <n v="1"/>
    <s v="Current Employees"/>
    <s v="No"/>
  </r>
  <r>
    <x v="37"/>
    <s v="Travel_Rarely"/>
    <x v="0"/>
    <n v="5"/>
    <x v="0"/>
    <n v="3"/>
    <n v="5"/>
    <x v="2"/>
    <n v="1"/>
    <x v="1"/>
    <n v="19406"/>
    <n v="4"/>
    <s v="No"/>
    <n v="11"/>
    <n v="3"/>
    <n v="1"/>
    <n v="24"/>
    <n v="4"/>
    <n v="4"/>
    <n v="1"/>
    <n v="2"/>
    <x v="1"/>
    <s v="25-05-2017"/>
    <m/>
    <s v="Dept.Head"/>
    <s v="WFH"/>
    <n v="0"/>
    <n v="3"/>
    <s v="Yes"/>
    <s v="Recruiter"/>
    <s v="Part Time"/>
    <n v="675"/>
    <n v="69"/>
    <n v="80"/>
    <n v="2"/>
    <n v="0"/>
    <m/>
    <n v="0"/>
    <n v="1"/>
    <s v="Current Employees"/>
    <s v="No"/>
  </r>
  <r>
    <x v="28"/>
    <s v="Travel_Rarely"/>
    <x v="0"/>
    <n v="1"/>
    <x v="0"/>
    <n v="2"/>
    <n v="1"/>
    <x v="0"/>
    <n v="1"/>
    <x v="1"/>
    <n v="2218"/>
    <n v="1"/>
    <s v="No"/>
    <n v="12"/>
    <n v="3"/>
    <n v="1"/>
    <n v="4"/>
    <n v="3"/>
    <n v="4"/>
    <n v="3"/>
    <n v="2"/>
    <x v="0"/>
    <d v="2017-12-06T00:00:00"/>
    <m/>
    <s v="Work Environment"/>
    <s v="OFFICE"/>
    <n v="0"/>
    <n v="1"/>
    <s v="No"/>
    <s v="Job Portal"/>
    <s v="FullTime"/>
    <n v="677"/>
    <n v="39"/>
    <n v="80"/>
    <n v="0"/>
    <n v="0"/>
    <m/>
    <n v="0"/>
    <n v="1"/>
    <s v="Current Employees"/>
    <s v="No"/>
  </r>
  <r>
    <x v="20"/>
    <s v="Travel_Rarely"/>
    <x v="0"/>
    <n v="10"/>
    <x v="0"/>
    <n v="1"/>
    <n v="1"/>
    <x v="0"/>
    <n v="4"/>
    <x v="2"/>
    <n v="3408"/>
    <n v="7"/>
    <s v="No"/>
    <n v="13"/>
    <n v="3"/>
    <n v="3"/>
    <n v="8"/>
    <n v="2"/>
    <n v="4"/>
    <n v="1"/>
    <n v="3"/>
    <x v="3"/>
    <s v="24-02-2017"/>
    <m/>
    <s v="Better Opportunity"/>
    <s v="WFH"/>
    <n v="2"/>
    <n v="2"/>
    <s v="No"/>
    <s v="Walk-in"/>
    <s v="Part Time"/>
    <n v="679"/>
    <n v="92"/>
    <n v="80"/>
    <n v="4"/>
    <n v="0"/>
    <m/>
    <n v="0"/>
    <n v="1"/>
    <s v="Current Employees"/>
    <s v="No"/>
  </r>
  <r>
    <x v="21"/>
    <s v="Non-Travel"/>
    <x v="1"/>
    <n v="11"/>
    <x v="0"/>
    <n v="4"/>
    <n v="2"/>
    <x v="4"/>
    <n v="3"/>
    <x v="1"/>
    <n v="4707"/>
    <n v="8"/>
    <s v="No"/>
    <n v="12"/>
    <n v="3"/>
    <n v="0"/>
    <n v="6"/>
    <n v="2"/>
    <n v="4"/>
    <n v="1"/>
    <n v="2"/>
    <x v="1"/>
    <s v="15-05-2017"/>
    <m/>
    <s v="Better Opportunity"/>
    <s v="WFH"/>
    <n v="0"/>
    <n v="1"/>
    <s v="No"/>
    <s v="Walk-in"/>
    <s v="FullTime"/>
    <n v="680"/>
    <n v="71"/>
    <n v="80"/>
    <n v="0"/>
    <n v="0"/>
    <m/>
    <n v="0"/>
    <n v="1"/>
    <s v="Current Employees"/>
    <s v="No"/>
  </r>
  <r>
    <x v="15"/>
    <s v="Travel_Rarely"/>
    <x v="1"/>
    <n v="2"/>
    <x v="0"/>
    <n v="3"/>
    <n v="1"/>
    <x v="3"/>
    <n v="1"/>
    <x v="2"/>
    <n v="3041"/>
    <n v="0"/>
    <s v="No"/>
    <n v="11"/>
    <n v="3"/>
    <n v="1"/>
    <n v="5"/>
    <n v="3"/>
    <n v="4"/>
    <n v="0"/>
    <n v="2"/>
    <x v="3"/>
    <d v="2017-09-04T00:00:00"/>
    <m/>
    <s v="Dept.Head"/>
    <s v="OFFICE"/>
    <n v="0"/>
    <n v="2"/>
    <s v="No"/>
    <s v="Job Portal"/>
    <s v="Part Time"/>
    <n v="682"/>
    <n v="34"/>
    <n v="80"/>
    <n v="7"/>
    <n v="0"/>
    <m/>
    <n v="0"/>
    <n v="1"/>
    <s v="Current Employees"/>
    <s v="No"/>
  </r>
  <r>
    <x v="15"/>
    <s v="Travel_Rarely"/>
    <x v="0"/>
    <n v="3"/>
    <x v="0"/>
    <n v="2"/>
    <n v="1"/>
    <x v="1"/>
    <n v="4"/>
    <x v="0"/>
    <n v="2045"/>
    <n v="0"/>
    <s v="No"/>
    <n v="13"/>
    <n v="3"/>
    <n v="0"/>
    <n v="5"/>
    <n v="0"/>
    <n v="4"/>
    <n v="1"/>
    <n v="1"/>
    <x v="3"/>
    <d v="2017-11-04T00:00:00"/>
    <m/>
    <s v="Work Environment"/>
    <s v="WFH"/>
    <n v="0"/>
    <n v="2"/>
    <s v="No"/>
    <s v="Recruiter"/>
    <s v="FullTime"/>
    <n v="683"/>
    <n v="42"/>
    <n v="80"/>
    <n v="9"/>
    <n v="0"/>
    <m/>
    <n v="0"/>
    <n v="1"/>
    <s v="Current Employees"/>
    <s v="No"/>
  </r>
  <r>
    <x v="16"/>
    <s v="Travel_Frequently"/>
    <x v="1"/>
    <n v="8"/>
    <x v="0"/>
    <n v="3"/>
    <n v="2"/>
    <x v="4"/>
    <n v="3"/>
    <x v="1"/>
    <n v="6796"/>
    <n v="3"/>
    <s v="Yes"/>
    <n v="14"/>
    <n v="3"/>
    <n v="1"/>
    <n v="18"/>
    <n v="4"/>
    <n v="4"/>
    <n v="1"/>
    <n v="3"/>
    <x v="3"/>
    <s v="15-06-2017"/>
    <m/>
    <s v="Better Opportunity"/>
    <s v="OFFICE"/>
    <n v="3"/>
    <n v="1"/>
    <s v="No"/>
    <s v="Recruiter"/>
    <s v="FullTime"/>
    <n v="684"/>
    <n v="100"/>
    <n v="80"/>
    <n v="1"/>
    <n v="1"/>
    <n v="1"/>
    <n v="1"/>
    <n v="0"/>
    <s v="Ex-Employees"/>
    <s v="Yes"/>
  </r>
  <r>
    <x v="3"/>
    <s v="Travel_Rarely"/>
    <x v="0"/>
    <n v="9"/>
    <x v="0"/>
    <n v="3"/>
    <n v="1"/>
    <x v="0"/>
    <n v="1"/>
    <x v="1"/>
    <n v="2500"/>
    <n v="1"/>
    <s v="No"/>
    <n v="14"/>
    <n v="3"/>
    <n v="1"/>
    <n v="5"/>
    <n v="2"/>
    <n v="4"/>
    <n v="0"/>
    <n v="2"/>
    <x v="3"/>
    <d v="2017-03-04T00:00:00"/>
    <m/>
    <s v="Work Accident"/>
    <s v="OFFICE"/>
    <n v="3"/>
    <n v="0"/>
    <s v="Yes"/>
    <s v="Job Portal"/>
    <s v="Part Time"/>
    <n v="686"/>
    <n v="71"/>
    <n v="80"/>
    <n v="2"/>
    <n v="0"/>
    <m/>
    <n v="0"/>
    <n v="1"/>
    <s v="Current Employees"/>
    <s v="No"/>
  </r>
  <r>
    <x v="18"/>
    <s v="Travel_Rarely"/>
    <x v="0"/>
    <n v="2"/>
    <x v="1"/>
    <n v="2"/>
    <n v="1"/>
    <x v="1"/>
    <n v="4"/>
    <x v="0"/>
    <n v="2342"/>
    <n v="0"/>
    <s v="Yes"/>
    <n v="20"/>
    <n v="4"/>
    <n v="0"/>
    <n v="5"/>
    <n v="2"/>
    <n v="4"/>
    <n v="2"/>
    <n v="3"/>
    <x v="1"/>
    <d v="2017-07-06T00:00:00"/>
    <m/>
    <s v="Dept.Head"/>
    <s v="WFH"/>
    <n v="3"/>
    <n v="3"/>
    <s v="No"/>
    <s v="Job Event"/>
    <s v="Part Time"/>
    <n v="689"/>
    <n v="36"/>
    <n v="80"/>
    <n v="7"/>
    <n v="0"/>
    <m/>
    <n v="0"/>
    <n v="1"/>
    <s v="Current Employees"/>
    <s v="No"/>
  </r>
  <r>
    <x v="41"/>
    <s v="Non-Travel"/>
    <x v="0"/>
    <n v="19"/>
    <x v="0"/>
    <n v="3"/>
    <n v="1"/>
    <x v="1"/>
    <n v="4"/>
    <x v="1"/>
    <n v="4258"/>
    <n v="0"/>
    <s v="No"/>
    <n v="18"/>
    <n v="3"/>
    <n v="1"/>
    <n v="5"/>
    <n v="3"/>
    <n v="4"/>
    <n v="1"/>
    <n v="2"/>
    <x v="0"/>
    <d v="2017-05-05T00:00:00"/>
    <m/>
    <s v="Work Accident"/>
    <s v="WFH"/>
    <n v="0"/>
    <n v="1"/>
    <s v="No"/>
    <s v="Recruiter"/>
    <s v="FullTime"/>
    <n v="690"/>
    <n v="62"/>
    <n v="80"/>
    <n v="0"/>
    <n v="0"/>
    <m/>
    <n v="0"/>
    <n v="1"/>
    <s v="Current Employees"/>
    <s v="No"/>
  </r>
  <r>
    <x v="11"/>
    <s v="Travel_Rarely"/>
    <x v="1"/>
    <n v="8"/>
    <x v="0"/>
    <n v="2"/>
    <n v="2"/>
    <x v="4"/>
    <n v="1"/>
    <x v="0"/>
    <n v="5326"/>
    <n v="6"/>
    <s v="No"/>
    <n v="17"/>
    <n v="3"/>
    <n v="0"/>
    <n v="6"/>
    <n v="2"/>
    <n v="4"/>
    <n v="1"/>
    <n v="2"/>
    <x v="3"/>
    <d v="2017-04-04T00:00:00"/>
    <m/>
    <s v="Dept.Head"/>
    <s v="WFH"/>
    <n v="0"/>
    <n v="1"/>
    <s v="Yes"/>
    <s v="Recruiter"/>
    <s v="Part Time"/>
    <n v="691"/>
    <n v="82"/>
    <n v="80"/>
    <n v="11"/>
    <n v="0"/>
    <m/>
    <n v="0"/>
    <n v="1"/>
    <s v="Current Employees"/>
    <s v="No"/>
  </r>
  <r>
    <x v="13"/>
    <s v="Travel_Rarely"/>
    <x v="0"/>
    <n v="1"/>
    <x v="1"/>
    <n v="4"/>
    <n v="1"/>
    <x v="1"/>
    <n v="4"/>
    <x v="0"/>
    <n v="3280"/>
    <n v="2"/>
    <s v="No"/>
    <n v="16"/>
    <n v="3"/>
    <n v="0"/>
    <n v="10"/>
    <n v="2"/>
    <n v="4"/>
    <n v="1"/>
    <n v="3"/>
    <x v="1"/>
    <d v="2017-07-02T00:00:00"/>
    <m/>
    <s v="Dept.Head"/>
    <s v="WFH"/>
    <n v="1"/>
    <n v="2"/>
    <s v="Yes"/>
    <s v="Walk-in"/>
    <s v="Contract"/>
    <n v="692"/>
    <n v="30"/>
    <n v="80"/>
    <n v="11"/>
    <n v="0"/>
    <m/>
    <n v="0"/>
    <n v="1"/>
    <s v="Current Employees"/>
    <s v="No"/>
  </r>
  <r>
    <x v="15"/>
    <s v="Travel_Frequently"/>
    <x v="1"/>
    <n v="8"/>
    <x v="0"/>
    <n v="3"/>
    <n v="2"/>
    <x v="4"/>
    <n v="4"/>
    <x v="1"/>
    <n v="4342"/>
    <n v="0"/>
    <s v="No"/>
    <n v="19"/>
    <n v="3"/>
    <n v="1"/>
    <n v="5"/>
    <n v="3"/>
    <n v="4"/>
    <n v="1"/>
    <n v="1"/>
    <x v="3"/>
    <s v="24-04-2017"/>
    <m/>
    <s v="Work Accident"/>
    <s v="OFFICE"/>
    <n v="4"/>
    <n v="2"/>
    <s v="Yes"/>
    <s v="Recruiter"/>
    <s v="Part Time"/>
    <n v="698"/>
    <n v="88"/>
    <n v="80"/>
    <n v="7"/>
    <n v="0"/>
    <m/>
    <n v="0"/>
    <n v="1"/>
    <s v="Current Employees"/>
    <s v="No"/>
  </r>
  <r>
    <x v="16"/>
    <s v="Travel_Rarely"/>
    <x v="0"/>
    <n v="2"/>
    <x v="0"/>
    <n v="3"/>
    <n v="4"/>
    <x v="2"/>
    <n v="3"/>
    <x v="1"/>
    <n v="17639"/>
    <n v="5"/>
    <s v="No"/>
    <n v="16"/>
    <n v="3"/>
    <n v="0"/>
    <n v="30"/>
    <n v="3"/>
    <n v="4"/>
    <n v="0"/>
    <n v="3"/>
    <x v="1"/>
    <s v="16-03-2017"/>
    <m/>
    <s v="Salary"/>
    <s v="OFFICE"/>
    <n v="1"/>
    <n v="3"/>
    <s v="Yes"/>
    <s v="Job Portal"/>
    <s v="Part Time"/>
    <n v="699"/>
    <n v="48"/>
    <n v="80"/>
    <n v="2"/>
    <n v="0"/>
    <m/>
    <n v="0"/>
    <n v="1"/>
    <s v="Current Employees"/>
    <s v="No"/>
  </r>
  <r>
    <x v="22"/>
    <s v="Travel_Rarely"/>
    <x v="0"/>
    <n v="1"/>
    <x v="1"/>
    <n v="2"/>
    <n v="2"/>
    <x v="6"/>
    <n v="4"/>
    <x v="1"/>
    <n v="6062"/>
    <n v="9"/>
    <s v="Yes"/>
    <n v="13"/>
    <n v="3"/>
    <n v="1"/>
    <n v="8"/>
    <n v="4"/>
    <n v="4"/>
    <n v="0"/>
    <n v="2"/>
    <x v="0"/>
    <d v="2017-07-01T00:00:00"/>
    <m/>
    <s v="Work Accident"/>
    <s v="WFH"/>
    <n v="0"/>
    <n v="0"/>
    <s v="No"/>
    <s v="Job Event"/>
    <s v="FullTime"/>
    <n v="700"/>
    <n v="54"/>
    <n v="80"/>
    <n v="2"/>
    <n v="0"/>
    <m/>
    <n v="0"/>
    <n v="1"/>
    <s v="Current Employees"/>
    <s v="No"/>
  </r>
  <r>
    <x v="12"/>
    <s v="Travel_Frequently"/>
    <x v="0"/>
    <n v="12"/>
    <x v="0"/>
    <n v="2"/>
    <n v="2"/>
    <x v="7"/>
    <n v="1"/>
    <x v="2"/>
    <n v="6288"/>
    <n v="2"/>
    <s v="No"/>
    <n v="15"/>
    <n v="3"/>
    <n v="1"/>
    <n v="13"/>
    <n v="3"/>
    <n v="4"/>
    <n v="1"/>
    <n v="2"/>
    <x v="1"/>
    <d v="2017-07-02T00:00:00"/>
    <m/>
    <s v="Dept.Head"/>
    <s v="OFFICE"/>
    <n v="1"/>
    <n v="3"/>
    <s v="Yes"/>
    <s v="Recruiter"/>
    <s v="Contract"/>
    <n v="701"/>
    <n v="32"/>
    <n v="80"/>
    <n v="0"/>
    <n v="1"/>
    <n v="1"/>
    <n v="1"/>
    <n v="0"/>
    <s v="Ex-Employees"/>
    <s v="Yes"/>
  </r>
  <r>
    <x v="34"/>
    <s v="Travel_Rarely"/>
    <x v="0"/>
    <n v="14"/>
    <x v="0"/>
    <n v="3"/>
    <n v="4"/>
    <x v="2"/>
    <n v="1"/>
    <x v="1"/>
    <n v="17159"/>
    <n v="6"/>
    <s v="No"/>
    <n v="24"/>
    <n v="4"/>
    <n v="1"/>
    <n v="22"/>
    <n v="3"/>
    <n v="4"/>
    <n v="1"/>
    <n v="0"/>
    <x v="1"/>
    <s v="13-05-2017"/>
    <m/>
    <s v="Dept.Head"/>
    <s v="WFH"/>
    <n v="5"/>
    <n v="2"/>
    <s v="No"/>
    <s v="Recruiter"/>
    <s v="Contract"/>
    <n v="702"/>
    <n v="70"/>
    <n v="80"/>
    <n v="8"/>
    <n v="1"/>
    <n v="1"/>
    <n v="1"/>
    <n v="0"/>
    <s v="Ex-Employees"/>
    <s v="Yes"/>
  </r>
  <r>
    <x v="38"/>
    <s v="Travel_Rarely"/>
    <x v="0"/>
    <n v="2"/>
    <x v="0"/>
    <n v="4"/>
    <n v="1"/>
    <x v="1"/>
    <n v="1"/>
    <x v="0"/>
    <n v="3424"/>
    <n v="7"/>
    <s v="No"/>
    <n v="13"/>
    <n v="3"/>
    <n v="0"/>
    <n v="6"/>
    <n v="3"/>
    <n v="4"/>
    <n v="0"/>
    <n v="1"/>
    <x v="0"/>
    <d v="2017-02-05T00:00:00"/>
    <m/>
    <s v="Dept.Head"/>
    <s v="WFH"/>
    <n v="5"/>
    <n v="1"/>
    <s v="Yes"/>
    <s v="Job Event"/>
    <s v="FullTime"/>
    <n v="704"/>
    <n v="41"/>
    <n v="80"/>
    <n v="0"/>
    <n v="0"/>
    <m/>
    <n v="0"/>
    <n v="1"/>
    <s v="Current Employees"/>
    <s v="No"/>
  </r>
  <r>
    <x v="39"/>
    <s v="Travel_Rarely"/>
    <x v="0"/>
    <n v="1"/>
    <x v="1"/>
    <n v="3"/>
    <n v="1"/>
    <x v="1"/>
    <n v="1"/>
    <x v="1"/>
    <n v="3580"/>
    <n v="2"/>
    <s v="No"/>
    <n v="16"/>
    <n v="3"/>
    <n v="1"/>
    <n v="7"/>
    <n v="2"/>
    <n v="4"/>
    <n v="0"/>
    <n v="2"/>
    <x v="0"/>
    <s v="24-01-2017"/>
    <m/>
    <s v="Work Environment"/>
    <s v="OFFICE"/>
    <n v="3"/>
    <n v="1"/>
    <s v="Yes"/>
    <s v="Recruiter"/>
    <s v="Contract"/>
    <n v="705"/>
    <n v="58"/>
    <n v="80"/>
    <n v="2"/>
    <n v="0"/>
    <m/>
    <n v="0"/>
    <n v="1"/>
    <s v="Current Employees"/>
    <s v="No"/>
  </r>
  <r>
    <x v="20"/>
    <s v="Travel_Rarely"/>
    <x v="2"/>
    <n v="3"/>
    <x v="0"/>
    <n v="3"/>
    <n v="1"/>
    <x v="8"/>
    <n v="2"/>
    <x v="2"/>
    <n v="2277"/>
    <n v="3"/>
    <s v="Yes"/>
    <n v="11"/>
    <n v="3"/>
    <n v="1"/>
    <n v="7"/>
    <n v="4"/>
    <n v="4"/>
    <n v="0"/>
    <n v="3"/>
    <x v="0"/>
    <s v="29-04-2017"/>
    <m/>
    <s v="Dept.Head"/>
    <s v="WFH"/>
    <n v="4"/>
    <n v="0"/>
    <s v="Yes"/>
    <s v="Recruiter"/>
    <s v="Part Time"/>
    <n v="707"/>
    <n v="57"/>
    <n v="80"/>
    <n v="2"/>
    <n v="0"/>
    <m/>
    <n v="0"/>
    <n v="1"/>
    <s v="Current Employees"/>
    <s v="No"/>
  </r>
  <r>
    <x v="7"/>
    <s v="Travel_Rarely"/>
    <x v="0"/>
    <n v="7"/>
    <x v="1"/>
    <n v="2"/>
    <n v="1"/>
    <x v="0"/>
    <n v="4"/>
    <x v="2"/>
    <n v="2532"/>
    <n v="6"/>
    <s v="No"/>
    <n v="14"/>
    <n v="3"/>
    <n v="3"/>
    <n v="8"/>
    <n v="5"/>
    <n v="4"/>
    <n v="0"/>
    <n v="3"/>
    <x v="2"/>
    <d v="2017-12-02T00:00:00"/>
    <m/>
    <s v="Better Opportunity"/>
    <s v="OFFICE"/>
    <n v="5"/>
    <n v="3"/>
    <s v="Yes"/>
    <s v="Walk-in"/>
    <s v="Contract"/>
    <n v="709"/>
    <n v="46"/>
    <n v="80"/>
    <n v="7"/>
    <n v="0"/>
    <m/>
    <n v="0"/>
    <n v="1"/>
    <s v="Current Employees"/>
    <s v="No"/>
  </r>
  <r>
    <x v="6"/>
    <s v="Travel_Rarely"/>
    <x v="1"/>
    <n v="5"/>
    <x v="0"/>
    <n v="3"/>
    <n v="2"/>
    <x v="4"/>
    <n v="4"/>
    <x v="0"/>
    <n v="4908"/>
    <n v="1"/>
    <s v="No"/>
    <n v="14"/>
    <n v="3"/>
    <n v="0"/>
    <n v="4"/>
    <n v="3"/>
    <n v="4"/>
    <n v="0"/>
    <n v="2"/>
    <x v="1"/>
    <d v="2017-02-03T00:00:00"/>
    <m/>
    <s v="Salary"/>
    <s v="OFFICE"/>
    <n v="5"/>
    <n v="2"/>
    <s v="No"/>
    <s v="Job Portal"/>
    <s v="Part Time"/>
    <n v="710"/>
    <n v="76"/>
    <n v="80"/>
    <n v="7"/>
    <n v="0"/>
    <m/>
    <n v="0"/>
    <n v="1"/>
    <s v="Current Employees"/>
    <s v="No"/>
  </r>
  <r>
    <x v="19"/>
    <s v="Travel_Rarely"/>
    <x v="0"/>
    <n v="17"/>
    <x v="1"/>
    <n v="2"/>
    <n v="2"/>
    <x v="6"/>
    <n v="3"/>
    <x v="2"/>
    <n v="4377"/>
    <n v="1"/>
    <s v="No"/>
    <n v="15"/>
    <n v="3"/>
    <n v="2"/>
    <n v="5"/>
    <n v="6"/>
    <n v="4"/>
    <n v="3"/>
    <n v="2"/>
    <x v="0"/>
    <d v="2017-02-04T00:00:00"/>
    <m/>
    <s v="Dept.Head"/>
    <s v="OFFICE"/>
    <n v="5"/>
    <n v="1"/>
    <s v="Yes"/>
    <s v="Walk-in"/>
    <s v="Part Time"/>
    <n v="712"/>
    <n v="56"/>
    <n v="80"/>
    <n v="2"/>
    <n v="0"/>
    <m/>
    <n v="0"/>
    <n v="1"/>
    <s v="Current Employees"/>
    <s v="No"/>
  </r>
  <r>
    <x v="27"/>
    <s v="Travel_Rarely"/>
    <x v="0"/>
    <n v="14"/>
    <x v="0"/>
    <n v="2"/>
    <n v="1"/>
    <x v="0"/>
    <n v="2"/>
    <x v="2"/>
    <n v="3743"/>
    <n v="1"/>
    <s v="Yes"/>
    <n v="24"/>
    <n v="4"/>
    <n v="1"/>
    <n v="5"/>
    <n v="2"/>
    <n v="4"/>
    <n v="0"/>
    <n v="2"/>
    <x v="1"/>
    <s v="14-05-2017"/>
    <m/>
    <s v="Work Environment"/>
    <s v="OFFICE"/>
    <n v="5"/>
    <n v="1"/>
    <s v="Yes"/>
    <s v="Walk-in"/>
    <s v="Contract"/>
    <n v="714"/>
    <n v="71"/>
    <n v="80"/>
    <n v="5"/>
    <n v="0"/>
    <m/>
    <n v="0"/>
    <n v="1"/>
    <s v="Current Employees"/>
    <s v="No"/>
  </r>
  <r>
    <x v="28"/>
    <s v="Travel_Frequently"/>
    <x v="0"/>
    <n v="1"/>
    <x v="1"/>
    <n v="3"/>
    <n v="2"/>
    <x v="6"/>
    <n v="1"/>
    <x v="1"/>
    <n v="4148"/>
    <n v="1"/>
    <s v="No"/>
    <n v="12"/>
    <n v="3"/>
    <n v="1"/>
    <n v="4"/>
    <n v="1"/>
    <n v="4"/>
    <n v="0"/>
    <n v="3"/>
    <x v="1"/>
    <s v="18-03-2017"/>
    <m/>
    <s v="Better Opportunity"/>
    <s v="OFFICE"/>
    <n v="4"/>
    <n v="2"/>
    <s v="No"/>
    <s v="Job Portal"/>
    <s v="FullTime"/>
    <n v="715"/>
    <n v="80"/>
    <n v="80"/>
    <n v="0"/>
    <n v="0"/>
    <m/>
    <n v="0"/>
    <n v="1"/>
    <s v="Current Employees"/>
    <s v="No"/>
  </r>
  <r>
    <x v="4"/>
    <s v="Travel_Rarely"/>
    <x v="0"/>
    <n v="8"/>
    <x v="0"/>
    <n v="1"/>
    <n v="1"/>
    <x v="0"/>
    <n v="1"/>
    <x v="1"/>
    <n v="2451"/>
    <n v="1"/>
    <s v="No"/>
    <n v="15"/>
    <n v="3"/>
    <n v="1"/>
    <n v="4"/>
    <n v="3"/>
    <n v="4"/>
    <n v="1"/>
    <n v="1"/>
    <x v="1"/>
    <d v="2017-12-04T00:00:00"/>
    <m/>
    <s v="Better Opportunity"/>
    <s v="WFH"/>
    <n v="3"/>
    <n v="3"/>
    <s v="No"/>
    <s v="Job Portal"/>
    <s v="Part Time"/>
    <n v="716"/>
    <n v="74"/>
    <n v="80"/>
    <n v="8"/>
    <n v="0"/>
    <m/>
    <n v="0"/>
    <n v="1"/>
    <s v="Current Employees"/>
    <s v="No"/>
  </r>
  <r>
    <x v="0"/>
    <s v="Travel_Rarely"/>
    <x v="0"/>
    <n v="3"/>
    <x v="1"/>
    <n v="3"/>
    <n v="2"/>
    <x v="7"/>
    <n v="2"/>
    <x v="0"/>
    <n v="4107"/>
    <n v="3"/>
    <s v="No"/>
    <n v="15"/>
    <n v="3"/>
    <n v="0"/>
    <n v="8"/>
    <n v="3"/>
    <n v="4"/>
    <n v="0"/>
    <n v="1"/>
    <x v="3"/>
    <d v="2017-10-05T00:00:00"/>
    <m/>
    <s v="Salary"/>
    <s v="WFH"/>
    <n v="1"/>
    <n v="3"/>
    <s v="No"/>
    <s v="Recruiter"/>
    <s v="FullTime"/>
    <n v="717"/>
    <n v="46"/>
    <n v="80"/>
    <n v="7"/>
    <n v="0"/>
    <m/>
    <n v="0"/>
    <n v="1"/>
    <s v="Current Employees"/>
    <s v="No"/>
  </r>
  <r>
    <x v="6"/>
    <s v="Travel_Rarely"/>
    <x v="0"/>
    <n v="15"/>
    <x v="0"/>
    <n v="3"/>
    <n v="1"/>
    <x v="0"/>
    <n v="3"/>
    <x v="2"/>
    <n v="2207"/>
    <n v="1"/>
    <s v="No"/>
    <n v="16"/>
    <n v="3"/>
    <n v="1"/>
    <n v="4"/>
    <n v="5"/>
    <n v="4"/>
    <n v="2"/>
    <n v="2"/>
    <x v="2"/>
    <d v="2017-02-03T00:00:00"/>
    <m/>
    <s v="Salary"/>
    <s v="OFFICE"/>
    <n v="0"/>
    <n v="2"/>
    <s v="Yes"/>
    <s v="Job Event"/>
    <s v="Part Time"/>
    <n v="720"/>
    <n v="65"/>
    <n v="80"/>
    <n v="2"/>
    <n v="1"/>
    <n v="1"/>
    <n v="1"/>
    <n v="0"/>
    <s v="Ex-Employees"/>
    <s v="Yes"/>
  </r>
  <r>
    <x v="15"/>
    <s v="Travel_Rarely"/>
    <x v="0"/>
    <n v="6"/>
    <x v="0"/>
    <n v="2"/>
    <n v="1"/>
    <x v="1"/>
    <n v="3"/>
    <x v="1"/>
    <n v="2539"/>
    <n v="1"/>
    <s v="No"/>
    <n v="13"/>
    <n v="3"/>
    <n v="1"/>
    <n v="4"/>
    <n v="0"/>
    <n v="4"/>
    <n v="2"/>
    <n v="2"/>
    <x v="1"/>
    <d v="2017-03-01T00:00:00"/>
    <m/>
    <s v="Better Opportunity"/>
    <s v="OFFICE"/>
    <n v="1"/>
    <n v="3"/>
    <s v="No"/>
    <s v="Job Event"/>
    <s v="FullTime"/>
    <n v="721"/>
    <n v="80"/>
    <n v="80"/>
    <n v="7"/>
    <n v="0"/>
    <m/>
    <n v="0"/>
    <n v="1"/>
    <s v="Current Employees"/>
    <s v="No"/>
  </r>
  <r>
    <x v="19"/>
    <s v="Travel_Rarely"/>
    <x v="0"/>
    <n v="24"/>
    <x v="0"/>
    <n v="3"/>
    <n v="1"/>
    <x v="0"/>
    <n v="2"/>
    <x v="0"/>
    <n v="3597"/>
    <n v="8"/>
    <s v="No"/>
    <n v="22"/>
    <n v="4"/>
    <n v="0"/>
    <n v="6"/>
    <n v="2"/>
    <n v="4"/>
    <n v="1"/>
    <n v="2"/>
    <x v="3"/>
    <s v="25-04-2017"/>
    <m/>
    <s v="Dept.Head"/>
    <s v="OFFICE"/>
    <n v="2"/>
    <n v="1"/>
    <s v="No"/>
    <s v="Job Event"/>
    <s v="Part Time"/>
    <n v="722"/>
    <n v="55"/>
    <n v="80"/>
    <n v="7"/>
    <n v="0"/>
    <m/>
    <n v="0"/>
    <n v="1"/>
    <s v="Current Employees"/>
    <s v="No"/>
  </r>
  <r>
    <x v="34"/>
    <s v="Travel_Rarely"/>
    <x v="1"/>
    <n v="9"/>
    <x v="1"/>
    <n v="1"/>
    <n v="2"/>
    <x v="4"/>
    <n v="3"/>
    <x v="0"/>
    <n v="5346"/>
    <n v="8"/>
    <s v="No"/>
    <n v="13"/>
    <n v="3"/>
    <n v="0"/>
    <n v="7"/>
    <n v="2"/>
    <n v="4"/>
    <n v="1"/>
    <n v="3"/>
    <x v="2"/>
    <d v="2017-01-03T00:00:00"/>
    <m/>
    <s v="Better Opportunity"/>
    <s v="OFFICE"/>
    <n v="5"/>
    <n v="0"/>
    <s v="Yes"/>
    <s v="Recruiter"/>
    <s v="Part Time"/>
    <n v="723"/>
    <n v="50"/>
    <n v="80"/>
    <n v="3"/>
    <n v="1"/>
    <n v="1"/>
    <n v="1"/>
    <n v="0"/>
    <s v="Ex-Employees"/>
    <s v="Yes"/>
  </r>
  <r>
    <x v="14"/>
    <s v="Travel_Rarely"/>
    <x v="1"/>
    <n v="29"/>
    <x v="0"/>
    <n v="3"/>
    <n v="2"/>
    <x v="4"/>
    <n v="1"/>
    <x v="2"/>
    <n v="4115"/>
    <n v="8"/>
    <s v="No"/>
    <n v="19"/>
    <n v="3"/>
    <n v="3"/>
    <n v="8"/>
    <n v="3"/>
    <n v="4"/>
    <n v="0"/>
    <n v="3"/>
    <x v="2"/>
    <d v="2017-12-04T00:00:00"/>
    <m/>
    <s v="Work Environment"/>
    <s v="WFH"/>
    <n v="2"/>
    <n v="1"/>
    <s v="No"/>
    <s v="Job Event"/>
    <s v="Contract"/>
    <n v="724"/>
    <n v="33"/>
    <n v="80"/>
    <n v="7"/>
    <n v="0"/>
    <m/>
    <n v="0"/>
    <n v="1"/>
    <s v="Current Employees"/>
    <s v="No"/>
  </r>
  <r>
    <x v="35"/>
    <s v="Travel_Rarely"/>
    <x v="0"/>
    <n v="15"/>
    <x v="0"/>
    <n v="3"/>
    <n v="5"/>
    <x v="2"/>
    <n v="2"/>
    <x v="1"/>
    <n v="19081"/>
    <n v="5"/>
    <s v="No"/>
    <n v="11"/>
    <n v="3"/>
    <n v="1"/>
    <n v="25"/>
    <n v="2"/>
    <n v="4"/>
    <n v="0"/>
    <n v="3"/>
    <x v="0"/>
    <s v="29-05-2017"/>
    <m/>
    <s v="Work Environment"/>
    <s v="WFH"/>
    <n v="1"/>
    <n v="2"/>
    <s v="Yes"/>
    <s v="Recruiter"/>
    <s v="Part Time"/>
    <n v="725"/>
    <n v="68"/>
    <n v="80"/>
    <n v="7"/>
    <n v="0"/>
    <m/>
    <n v="0"/>
    <n v="1"/>
    <s v="Current Employees"/>
    <s v="No"/>
  </r>
  <r>
    <x v="22"/>
    <s v="Non-Travel"/>
    <x v="2"/>
    <n v="2"/>
    <x v="0"/>
    <n v="4"/>
    <n v="2"/>
    <x v="8"/>
    <n v="1"/>
    <x v="1"/>
    <n v="6272"/>
    <n v="7"/>
    <s v="No"/>
    <n v="16"/>
    <n v="3"/>
    <n v="1"/>
    <n v="10"/>
    <n v="3"/>
    <n v="4"/>
    <n v="0"/>
    <n v="3"/>
    <x v="2"/>
    <s v="22-01-2017"/>
    <m/>
    <s v="Work Environment"/>
    <s v="OFFICE"/>
    <n v="4"/>
    <n v="3"/>
    <s v="No"/>
    <s v="Job Portal"/>
    <s v="Part Time"/>
    <n v="727"/>
    <n v="39"/>
    <n v="80"/>
    <n v="7"/>
    <n v="0"/>
    <m/>
    <n v="0"/>
    <n v="1"/>
    <s v="Current Employees"/>
    <s v="No"/>
  </r>
  <r>
    <x v="38"/>
    <s v="Travel_Rarely"/>
    <x v="1"/>
    <n v="10"/>
    <x v="0"/>
    <n v="3"/>
    <n v="2"/>
    <x v="4"/>
    <n v="4"/>
    <x v="0"/>
    <n v="4950"/>
    <n v="0"/>
    <s v="No"/>
    <n v="14"/>
    <n v="3"/>
    <n v="0"/>
    <n v="5"/>
    <n v="4"/>
    <n v="4"/>
    <n v="1"/>
    <n v="1"/>
    <x v="0"/>
    <s v="15-02-2017"/>
    <m/>
    <s v="Better Opportunity"/>
    <s v="OFFICE"/>
    <n v="3"/>
    <n v="3"/>
    <s v="No"/>
    <s v="Job Event"/>
    <s v="Part Time"/>
    <n v="728"/>
    <n v="42"/>
    <n v="80"/>
    <n v="7"/>
    <n v="0"/>
    <m/>
    <n v="0"/>
    <n v="1"/>
    <s v="Current Employees"/>
    <s v="No"/>
  </r>
  <r>
    <x v="6"/>
    <s v="Travel_Frequently"/>
    <x v="0"/>
    <n v="1"/>
    <x v="0"/>
    <n v="3"/>
    <n v="1"/>
    <x v="0"/>
    <n v="3"/>
    <x v="0"/>
    <n v="2154"/>
    <n v="0"/>
    <s v="Yes"/>
    <n v="11"/>
    <n v="3"/>
    <n v="0"/>
    <n v="5"/>
    <n v="2"/>
    <n v="4"/>
    <n v="0"/>
    <n v="2"/>
    <x v="2"/>
    <s v="22-05-2017"/>
    <m/>
    <s v="Work Accident"/>
    <s v="WFH"/>
    <n v="2"/>
    <n v="3"/>
    <s v="No"/>
    <s v="Walk-in"/>
    <s v="Contract"/>
    <n v="729"/>
    <n v="48"/>
    <n v="80"/>
    <n v="13"/>
    <n v="0"/>
    <m/>
    <n v="0"/>
    <n v="1"/>
    <s v="Current Employees"/>
    <s v="No"/>
  </r>
  <r>
    <x v="18"/>
    <s v="Non-Travel"/>
    <x v="0"/>
    <n v="16"/>
    <x v="0"/>
    <n v="3"/>
    <n v="1"/>
    <x v="1"/>
    <n v="3"/>
    <x v="2"/>
    <n v="3544"/>
    <n v="9"/>
    <s v="No"/>
    <n v="16"/>
    <n v="3"/>
    <n v="1"/>
    <n v="6"/>
    <n v="0"/>
    <n v="4"/>
    <n v="0"/>
    <n v="0"/>
    <x v="3"/>
    <s v="22-05-2017"/>
    <m/>
    <s v="Work Accident"/>
    <s v="WFH"/>
    <n v="5"/>
    <n v="1"/>
    <s v="No"/>
    <s v="Job Event"/>
    <s v="Part Time"/>
    <n v="730"/>
    <n v="59"/>
    <n v="80"/>
    <n v="1"/>
    <n v="0"/>
    <m/>
    <n v="0"/>
    <n v="1"/>
    <s v="Current Employees"/>
    <s v="No"/>
  </r>
  <r>
    <x v="18"/>
    <s v="Travel_Rarely"/>
    <x v="0"/>
    <n v="1"/>
    <x v="0"/>
    <n v="3"/>
    <n v="1"/>
    <x v="0"/>
    <n v="2"/>
    <x v="1"/>
    <n v="2387"/>
    <n v="3"/>
    <s v="No"/>
    <n v="22"/>
    <n v="4"/>
    <n v="1"/>
    <n v="7"/>
    <n v="3"/>
    <n v="4"/>
    <n v="0"/>
    <n v="3"/>
    <x v="1"/>
    <d v="2017-07-05T00:00:00"/>
    <m/>
    <s v="Salary"/>
    <s v="OFFICE"/>
    <n v="5"/>
    <n v="3"/>
    <s v="No"/>
    <s v="Job Portal"/>
    <s v="Part Time"/>
    <n v="731"/>
    <n v="73"/>
    <n v="80"/>
    <n v="6"/>
    <n v="0"/>
    <m/>
    <n v="0"/>
    <n v="1"/>
    <s v="Current Employees"/>
    <s v="No"/>
  </r>
  <r>
    <x v="27"/>
    <s v="Travel_Frequently"/>
    <x v="1"/>
    <n v="18"/>
    <x v="1"/>
    <n v="3"/>
    <n v="2"/>
    <x v="4"/>
    <n v="3"/>
    <x v="1"/>
    <n v="4614"/>
    <n v="0"/>
    <s v="Yes"/>
    <n v="18"/>
    <n v="3"/>
    <n v="1"/>
    <n v="5"/>
    <n v="0"/>
    <n v="4"/>
    <n v="3"/>
    <n v="2"/>
    <x v="2"/>
    <s v="20-01-2017"/>
    <m/>
    <s v="Dept.Head"/>
    <s v="OFFICE"/>
    <n v="4"/>
    <n v="2"/>
    <s v="Yes"/>
    <s v="Recruiter"/>
    <s v="FullTime"/>
    <n v="732"/>
    <n v="84"/>
    <n v="80"/>
    <n v="2"/>
    <n v="0"/>
    <m/>
    <n v="0"/>
    <n v="1"/>
    <s v="Current Employees"/>
    <s v="No"/>
  </r>
  <r>
    <x v="12"/>
    <s v="Travel_Frequently"/>
    <x v="0"/>
    <n v="7"/>
    <x v="0"/>
    <n v="4"/>
    <n v="1"/>
    <x v="1"/>
    <n v="3"/>
    <x v="2"/>
    <n v="2610"/>
    <n v="1"/>
    <s v="No"/>
    <n v="11"/>
    <n v="3"/>
    <n v="3"/>
    <n v="4"/>
    <n v="2"/>
    <n v="4"/>
    <n v="0"/>
    <n v="3"/>
    <x v="0"/>
    <d v="2017-06-04T00:00:00"/>
    <m/>
    <s v="Salary"/>
    <s v="WFH"/>
    <n v="4"/>
    <n v="3"/>
    <s v="Yes"/>
    <s v="Walk-in"/>
    <s v="FullTime"/>
    <n v="733"/>
    <n v="32"/>
    <n v="80"/>
    <n v="7"/>
    <n v="0"/>
    <m/>
    <n v="0"/>
    <n v="1"/>
    <s v="Current Employees"/>
    <s v="No"/>
  </r>
  <r>
    <x v="31"/>
    <s v="Travel_Frequently"/>
    <x v="1"/>
    <n v="2"/>
    <x v="0"/>
    <n v="3"/>
    <n v="3"/>
    <x v="4"/>
    <n v="2"/>
    <x v="1"/>
    <n v="10596"/>
    <n v="2"/>
    <s v="No"/>
    <n v="11"/>
    <n v="3"/>
    <n v="0"/>
    <n v="14"/>
    <n v="5"/>
    <n v="4"/>
    <n v="3"/>
    <n v="2"/>
    <x v="3"/>
    <d v="2017-01-05T00:00:00"/>
    <m/>
    <s v="Work Environment"/>
    <s v="OFFICE"/>
    <n v="0"/>
    <n v="1"/>
    <s v="No"/>
    <s v="Recruiter"/>
    <s v="Part Time"/>
    <n v="734"/>
    <n v="59"/>
    <n v="80"/>
    <n v="7"/>
    <n v="0"/>
    <m/>
    <n v="0"/>
    <n v="1"/>
    <s v="Current Employees"/>
    <s v="No"/>
  </r>
  <r>
    <x v="11"/>
    <s v="Travel_Rarely"/>
    <x v="0"/>
    <n v="2"/>
    <x v="0"/>
    <n v="2"/>
    <n v="1"/>
    <x v="1"/>
    <n v="4"/>
    <x v="0"/>
    <n v="3904"/>
    <n v="0"/>
    <s v="No"/>
    <n v="12"/>
    <n v="3"/>
    <n v="0"/>
    <n v="5"/>
    <n v="2"/>
    <n v="4"/>
    <n v="1"/>
    <n v="1"/>
    <x v="2"/>
    <s v="27-06-2017"/>
    <m/>
    <s v="Work Accident"/>
    <s v="WFH"/>
    <n v="4"/>
    <n v="3"/>
    <s v="No"/>
    <s v="Walk-in"/>
    <s v="Part Time"/>
    <n v="738"/>
    <n v="54"/>
    <n v="80"/>
    <n v="2"/>
    <n v="0"/>
    <m/>
    <n v="0"/>
    <n v="1"/>
    <s v="Current Employees"/>
    <s v="No"/>
  </r>
  <r>
    <x v="39"/>
    <s v="Travel_Frequently"/>
    <x v="0"/>
    <n v="28"/>
    <x v="0"/>
    <n v="2"/>
    <n v="2"/>
    <x v="0"/>
    <n v="1"/>
    <x v="0"/>
    <n v="4284"/>
    <n v="3"/>
    <s v="No"/>
    <n v="20"/>
    <n v="4"/>
    <n v="0"/>
    <n v="20"/>
    <n v="2"/>
    <n v="4"/>
    <n v="1"/>
    <n v="3"/>
    <x v="0"/>
    <d v="2017-09-02T00:00:00"/>
    <m/>
    <s v="Better Opportunity"/>
    <s v="OFFICE"/>
    <n v="1"/>
    <n v="3"/>
    <s v="Yes"/>
    <s v="Recruiter"/>
    <s v="FullTime"/>
    <n v="741"/>
    <n v="67"/>
    <n v="80"/>
    <n v="7"/>
    <n v="1"/>
    <n v="1"/>
    <n v="1"/>
    <n v="0"/>
    <s v="Ex-Employees"/>
    <s v="Yes"/>
  </r>
  <r>
    <x v="13"/>
    <s v="Travel_Frequently"/>
    <x v="0"/>
    <n v="1"/>
    <x v="0"/>
    <n v="3"/>
    <n v="1"/>
    <x v="1"/>
    <n v="1"/>
    <x v="2"/>
    <n v="2996"/>
    <n v="5"/>
    <s v="No"/>
    <n v="14"/>
    <n v="3"/>
    <n v="2"/>
    <n v="10"/>
    <n v="2"/>
    <n v="4"/>
    <n v="1"/>
    <n v="3"/>
    <x v="2"/>
    <s v="29-06-2017"/>
    <m/>
    <s v="Work Environment"/>
    <s v="WFH"/>
    <n v="0"/>
    <n v="3"/>
    <s v="No"/>
    <s v="Walk-in"/>
    <s v="Contract"/>
    <n v="742"/>
    <n v="63"/>
    <n v="80"/>
    <n v="7"/>
    <n v="0"/>
    <m/>
    <n v="0"/>
    <n v="1"/>
    <s v="Current Employees"/>
    <s v="No"/>
  </r>
  <r>
    <x v="21"/>
    <s v="Travel_Rarely"/>
    <x v="1"/>
    <n v="7"/>
    <x v="0"/>
    <n v="3"/>
    <n v="2"/>
    <x v="4"/>
    <n v="4"/>
    <x v="1"/>
    <n v="9204"/>
    <n v="4"/>
    <s v="No"/>
    <n v="12"/>
    <n v="3"/>
    <n v="1"/>
    <n v="7"/>
    <n v="3"/>
    <n v="4"/>
    <n v="0"/>
    <n v="3"/>
    <x v="2"/>
    <s v="20-03-2017"/>
    <m/>
    <s v="Work Environment"/>
    <s v="OFFICE"/>
    <n v="3"/>
    <n v="2"/>
    <s v="Yes"/>
    <s v="Job Portal"/>
    <s v="Contract"/>
    <n v="743"/>
    <n v="81"/>
    <n v="80"/>
    <n v="0"/>
    <n v="0"/>
    <m/>
    <n v="0"/>
    <n v="1"/>
    <s v="Current Employees"/>
    <s v="No"/>
  </r>
  <r>
    <x v="33"/>
    <s v="Travel_Rarely"/>
    <x v="0"/>
    <n v="5"/>
    <x v="0"/>
    <n v="4"/>
    <n v="1"/>
    <x v="1"/>
    <n v="3"/>
    <x v="1"/>
    <n v="2127"/>
    <n v="2"/>
    <s v="Yes"/>
    <n v="12"/>
    <n v="3"/>
    <n v="0"/>
    <n v="7"/>
    <n v="5"/>
    <n v="4"/>
    <n v="0"/>
    <n v="3"/>
    <x v="2"/>
    <d v="2017-05-03T00:00:00"/>
    <m/>
    <s v="Dept.Head"/>
    <s v="OFFICE"/>
    <n v="2"/>
    <n v="2"/>
    <s v="No"/>
    <s v="Job Portal"/>
    <s v="Contract"/>
    <n v="744"/>
    <n v="49"/>
    <n v="80"/>
    <n v="2"/>
    <n v="0"/>
    <m/>
    <n v="0"/>
    <n v="1"/>
    <s v="Current Employees"/>
    <s v="No"/>
  </r>
  <r>
    <x v="20"/>
    <s v="Travel_Frequently"/>
    <x v="1"/>
    <n v="7"/>
    <x v="0"/>
    <n v="3"/>
    <n v="2"/>
    <x v="4"/>
    <n v="1"/>
    <x v="1"/>
    <n v="4373"/>
    <n v="0"/>
    <s v="No"/>
    <n v="14"/>
    <n v="3"/>
    <n v="2"/>
    <n v="5"/>
    <n v="2"/>
    <n v="4"/>
    <n v="0"/>
    <n v="3"/>
    <x v="2"/>
    <s v="17-01-2017"/>
    <m/>
    <s v="Salary"/>
    <s v="WFH"/>
    <n v="3"/>
    <n v="2"/>
    <s v="Yes"/>
    <s v="Walk-in"/>
    <s v="Part Time"/>
    <n v="746"/>
    <n v="49"/>
    <n v="80"/>
    <n v="2"/>
    <n v="0"/>
    <m/>
    <n v="0"/>
    <n v="1"/>
    <s v="Current Employees"/>
    <s v="No"/>
  </r>
  <r>
    <x v="6"/>
    <s v="Travel_Frequently"/>
    <x v="1"/>
    <n v="7"/>
    <x v="0"/>
    <n v="3"/>
    <n v="2"/>
    <x v="4"/>
    <n v="1"/>
    <x v="0"/>
    <n v="4898"/>
    <n v="0"/>
    <s v="No"/>
    <n v="14"/>
    <n v="3"/>
    <n v="0"/>
    <n v="5"/>
    <n v="5"/>
    <n v="4"/>
    <n v="1"/>
    <n v="3"/>
    <x v="2"/>
    <s v="24-05-2017"/>
    <m/>
    <s v="Dept.Head"/>
    <s v="WFH"/>
    <n v="2"/>
    <n v="1"/>
    <s v="Yes"/>
    <s v="Job Event"/>
    <s v="Contract"/>
    <n v="747"/>
    <n v="99"/>
    <n v="80"/>
    <n v="7"/>
    <n v="0"/>
    <m/>
    <n v="0"/>
    <n v="1"/>
    <s v="Current Employees"/>
    <s v="No"/>
  </r>
  <r>
    <x v="3"/>
    <s v="Travel_Rarely"/>
    <x v="0"/>
    <n v="20"/>
    <x v="0"/>
    <n v="3"/>
    <n v="2"/>
    <x v="0"/>
    <n v="3"/>
    <x v="0"/>
    <n v="2272"/>
    <n v="0"/>
    <s v="No"/>
    <n v="14"/>
    <n v="3"/>
    <n v="0"/>
    <n v="5"/>
    <n v="2"/>
    <n v="4"/>
    <n v="1"/>
    <n v="2"/>
    <x v="3"/>
    <d v="2017-02-02T00:00:00"/>
    <m/>
    <s v="Dept.Head"/>
    <s v="WFH"/>
    <n v="1"/>
    <n v="2"/>
    <s v="No"/>
    <s v="Recruiter"/>
    <s v="Part Time"/>
    <n v="749"/>
    <n v="99"/>
    <n v="80"/>
    <n v="0"/>
    <n v="0"/>
    <m/>
    <n v="0"/>
    <n v="1"/>
    <s v="Current Employees"/>
    <s v="No"/>
  </r>
  <r>
    <x v="14"/>
    <s v="Travel_Rarely"/>
    <x v="1"/>
    <n v="29"/>
    <x v="0"/>
    <n v="3"/>
    <n v="3"/>
    <x v="4"/>
    <n v="2"/>
    <x v="1"/>
    <n v="9250"/>
    <n v="3"/>
    <s v="No"/>
    <n v="12"/>
    <n v="3"/>
    <n v="1"/>
    <n v="9"/>
    <n v="3"/>
    <n v="4"/>
    <n v="1"/>
    <n v="3"/>
    <x v="2"/>
    <s v="29-05-2017"/>
    <m/>
    <s v="Work Accident"/>
    <s v="WFH"/>
    <n v="1"/>
    <n v="0"/>
    <s v="No"/>
    <s v="Walk-in"/>
    <s v="FullTime"/>
    <n v="752"/>
    <n v="57"/>
    <n v="80"/>
    <n v="2"/>
    <n v="1"/>
    <n v="1"/>
    <n v="1"/>
    <n v="0"/>
    <s v="Ex-Employees"/>
    <s v="Yes"/>
  </r>
  <r>
    <x v="4"/>
    <s v="Non-Travel"/>
    <x v="0"/>
    <n v="26"/>
    <x v="1"/>
    <n v="2"/>
    <n v="1"/>
    <x v="1"/>
    <n v="3"/>
    <x v="1"/>
    <n v="2814"/>
    <n v="1"/>
    <s v="Yes"/>
    <n v="14"/>
    <n v="3"/>
    <n v="0"/>
    <n v="4"/>
    <n v="2"/>
    <n v="4"/>
    <n v="1"/>
    <n v="3"/>
    <x v="3"/>
    <s v="25-05-2017"/>
    <m/>
    <s v="Work Environment"/>
    <s v="WFH"/>
    <n v="4"/>
    <n v="2"/>
    <s v="No"/>
    <s v="Job Event"/>
    <s v="Part Time"/>
    <n v="754"/>
    <n v="47"/>
    <n v="80"/>
    <n v="2"/>
    <n v="0"/>
    <m/>
    <n v="0"/>
    <n v="1"/>
    <s v="Current Employees"/>
    <s v="No"/>
  </r>
  <r>
    <x v="0"/>
    <s v="Travel_Rarely"/>
    <x v="0"/>
    <n v="19"/>
    <x v="0"/>
    <n v="3"/>
    <n v="2"/>
    <x v="6"/>
    <n v="3"/>
    <x v="1"/>
    <n v="5768"/>
    <n v="3"/>
    <s v="No"/>
    <n v="17"/>
    <n v="3"/>
    <n v="3"/>
    <n v="9"/>
    <n v="2"/>
    <n v="4"/>
    <n v="0"/>
    <n v="2"/>
    <x v="3"/>
    <s v="27-03-2017"/>
    <m/>
    <s v="Dept.Head"/>
    <s v="OFFICE"/>
    <n v="1"/>
    <n v="1"/>
    <s v="No"/>
    <s v="Job Portal"/>
    <s v="FullTime"/>
    <n v="757"/>
    <n v="96"/>
    <n v="80"/>
    <n v="1"/>
    <n v="0"/>
    <m/>
    <n v="0"/>
    <n v="1"/>
    <s v="Current Employees"/>
    <s v="No"/>
  </r>
  <r>
    <x v="18"/>
    <s v="Travel_Rarely"/>
    <x v="0"/>
    <n v="16"/>
    <x v="1"/>
    <n v="3"/>
    <n v="3"/>
    <x v="6"/>
    <n v="4"/>
    <x v="0"/>
    <n v="7945"/>
    <n v="6"/>
    <s v="Yes"/>
    <n v="15"/>
    <n v="3"/>
    <n v="0"/>
    <n v="18"/>
    <n v="2"/>
    <n v="4"/>
    <n v="3"/>
    <n v="3"/>
    <x v="3"/>
    <d v="2017-03-05T00:00:00"/>
    <m/>
    <s v="Work Accident"/>
    <s v="WFH"/>
    <n v="0"/>
    <n v="3"/>
    <s v="No"/>
    <s v="Job Portal"/>
    <s v="Contract"/>
    <n v="758"/>
    <n v="37"/>
    <n v="80"/>
    <n v="3"/>
    <n v="0"/>
    <m/>
    <n v="0"/>
    <n v="1"/>
    <s v="Current Employees"/>
    <s v="No"/>
  </r>
  <r>
    <x v="15"/>
    <s v="Travel_Frequently"/>
    <x v="0"/>
    <n v="2"/>
    <x v="0"/>
    <n v="3"/>
    <n v="1"/>
    <x v="1"/>
    <n v="4"/>
    <x v="0"/>
    <n v="2580"/>
    <n v="2"/>
    <s v="No"/>
    <n v="13"/>
    <n v="3"/>
    <n v="0"/>
    <n v="6"/>
    <n v="0"/>
    <n v="4"/>
    <n v="1"/>
    <n v="2"/>
    <x v="3"/>
    <s v="17-05-2017"/>
    <m/>
    <s v="Better Opportunity"/>
    <s v="OFFICE"/>
    <n v="2"/>
    <n v="3"/>
    <s v="Yes"/>
    <s v="Recruiter"/>
    <s v="Part Time"/>
    <n v="760"/>
    <n v="44"/>
    <n v="80"/>
    <n v="3"/>
    <n v="0"/>
    <m/>
    <n v="0"/>
    <n v="1"/>
    <s v="Current Employees"/>
    <s v="No"/>
  </r>
  <r>
    <x v="18"/>
    <s v="Travel_Rarely"/>
    <x v="0"/>
    <n v="7"/>
    <x v="0"/>
    <n v="3"/>
    <n v="1"/>
    <x v="0"/>
    <n v="1"/>
    <x v="0"/>
    <n v="2166"/>
    <n v="3"/>
    <s v="Yes"/>
    <n v="14"/>
    <n v="3"/>
    <n v="0"/>
    <n v="10"/>
    <n v="3"/>
    <n v="4"/>
    <n v="0"/>
    <n v="3"/>
    <x v="1"/>
    <s v="17-05-2017"/>
    <m/>
    <s v="Work Environment"/>
    <s v="WFH"/>
    <n v="1"/>
    <n v="1"/>
    <s v="No"/>
    <s v="Walk-in"/>
    <s v="FullTime"/>
    <n v="762"/>
    <n v="81"/>
    <n v="80"/>
    <n v="7"/>
    <n v="0"/>
    <m/>
    <n v="0"/>
    <n v="1"/>
    <s v="Current Employees"/>
    <s v="No"/>
  </r>
  <r>
    <x v="39"/>
    <s v="Travel_Rarely"/>
    <x v="0"/>
    <n v="22"/>
    <x v="1"/>
    <n v="3"/>
    <n v="4"/>
    <x v="2"/>
    <n v="2"/>
    <x v="1"/>
    <n v="16413"/>
    <n v="3"/>
    <s v="No"/>
    <n v="16"/>
    <n v="3"/>
    <n v="2"/>
    <n v="27"/>
    <n v="2"/>
    <n v="4"/>
    <n v="1"/>
    <n v="2"/>
    <x v="0"/>
    <s v="16-01-2017"/>
    <m/>
    <s v="Dept.Head"/>
    <s v="OFFICE"/>
    <n v="0"/>
    <n v="0"/>
    <s v="No"/>
    <s v="Walk-in"/>
    <s v="Contract"/>
    <n v="763"/>
    <n v="86"/>
    <n v="80"/>
    <n v="2"/>
    <n v="0"/>
    <m/>
    <n v="0"/>
    <n v="1"/>
    <s v="Current Employees"/>
    <s v="No"/>
  </r>
  <r>
    <x v="26"/>
    <s v="Travel_Rarely"/>
    <x v="0"/>
    <n v="7"/>
    <x v="0"/>
    <n v="3"/>
    <n v="1"/>
    <x v="0"/>
    <n v="2"/>
    <x v="0"/>
    <n v="2013"/>
    <n v="2"/>
    <s v="No"/>
    <n v="11"/>
    <n v="3"/>
    <n v="0"/>
    <n v="15"/>
    <n v="4"/>
    <n v="4"/>
    <n v="1"/>
    <n v="3"/>
    <x v="2"/>
    <s v="23-06-2017"/>
    <m/>
    <s v="Work Accident"/>
    <s v="WFH"/>
    <n v="4"/>
    <n v="0"/>
    <s v="Yes"/>
    <s v="Recruiter"/>
    <s v="Contract"/>
    <n v="764"/>
    <n v="55"/>
    <n v="80"/>
    <n v="6"/>
    <n v="0"/>
    <m/>
    <n v="0"/>
    <n v="1"/>
    <s v="Current Employees"/>
    <s v="No"/>
  </r>
  <r>
    <x v="12"/>
    <s v="Travel_Frequently"/>
    <x v="0"/>
    <n v="2"/>
    <x v="1"/>
    <n v="2"/>
    <n v="1"/>
    <x v="0"/>
    <n v="2"/>
    <x v="0"/>
    <n v="2440"/>
    <n v="1"/>
    <s v="No"/>
    <n v="22"/>
    <n v="4"/>
    <n v="0"/>
    <n v="4"/>
    <n v="3"/>
    <n v="4"/>
    <n v="3"/>
    <n v="3"/>
    <x v="0"/>
    <d v="2017-07-04T00:00:00"/>
    <m/>
    <s v="Work Environment"/>
    <s v="WFH"/>
    <n v="5"/>
    <n v="1"/>
    <s v="No"/>
    <s v="Job Portal"/>
    <s v="Contract"/>
    <n v="766"/>
    <n v="83"/>
    <n v="80"/>
    <n v="2"/>
    <n v="0"/>
    <m/>
    <n v="0"/>
    <n v="1"/>
    <s v="Current Employees"/>
    <s v="No"/>
  </r>
  <r>
    <x v="42"/>
    <s v="Travel_Rarely"/>
    <x v="0"/>
    <n v="24"/>
    <x v="0"/>
    <n v="4"/>
    <n v="3"/>
    <x v="7"/>
    <n v="4"/>
    <x v="1"/>
    <n v="7005"/>
    <n v="3"/>
    <s v="No"/>
    <n v="15"/>
    <n v="3"/>
    <n v="0"/>
    <n v="11"/>
    <n v="2"/>
    <n v="4"/>
    <n v="1"/>
    <n v="2"/>
    <x v="2"/>
    <s v="24-03-2017"/>
    <m/>
    <s v="Better Opportunity"/>
    <s v="OFFICE"/>
    <n v="5"/>
    <n v="3"/>
    <s v="Yes"/>
    <s v="Job Portal"/>
    <s v="FullTime"/>
    <n v="769"/>
    <n v="86"/>
    <n v="80"/>
    <n v="2"/>
    <n v="0"/>
    <m/>
    <n v="0"/>
    <n v="1"/>
    <s v="Current Employees"/>
    <s v="No"/>
  </r>
  <r>
    <x v="29"/>
    <s v="Travel_Rarely"/>
    <x v="0"/>
    <n v="22"/>
    <x v="0"/>
    <n v="2"/>
    <n v="1"/>
    <x v="1"/>
    <n v="2"/>
    <x v="2"/>
    <n v="3537"/>
    <n v="5"/>
    <s v="No"/>
    <n v="12"/>
    <n v="3"/>
    <n v="1"/>
    <n v="8"/>
    <n v="1"/>
    <n v="4"/>
    <n v="1"/>
    <n v="2"/>
    <x v="1"/>
    <s v="18-05-2017"/>
    <m/>
    <s v="Better Opportunity"/>
    <s v="WFH"/>
    <n v="5"/>
    <n v="1"/>
    <s v="Yes"/>
    <s v="Recruiter"/>
    <s v="Contract"/>
    <n v="771"/>
    <n v="61"/>
    <n v="80"/>
    <n v="0"/>
    <n v="0"/>
    <m/>
    <n v="0"/>
    <n v="1"/>
    <s v="Current Employees"/>
    <s v="No"/>
  </r>
  <r>
    <x v="21"/>
    <s v="Travel_Rarely"/>
    <x v="1"/>
    <n v="19"/>
    <x v="0"/>
    <n v="1"/>
    <n v="3"/>
    <x v="4"/>
    <n v="3"/>
    <x v="1"/>
    <n v="9610"/>
    <n v="3"/>
    <s v="No"/>
    <n v="13"/>
    <n v="3"/>
    <n v="1"/>
    <n v="10"/>
    <n v="2"/>
    <n v="4"/>
    <n v="0"/>
    <n v="2"/>
    <x v="1"/>
    <s v="25-02-2017"/>
    <m/>
    <s v="Dept.Head"/>
    <s v="WFH"/>
    <n v="5"/>
    <n v="3"/>
    <s v="No"/>
    <s v="Job Event"/>
    <s v="Contract"/>
    <n v="772"/>
    <n v="80"/>
    <n v="80"/>
    <n v="8"/>
    <n v="0"/>
    <m/>
    <n v="0"/>
    <n v="1"/>
    <s v="Current Employees"/>
    <s v="No"/>
  </r>
  <r>
    <x v="14"/>
    <s v="Travel_Frequently"/>
    <x v="2"/>
    <n v="8"/>
    <x v="1"/>
    <n v="2"/>
    <n v="1"/>
    <x v="8"/>
    <n v="4"/>
    <x v="2"/>
    <n v="2180"/>
    <n v="6"/>
    <s v="No"/>
    <n v="11"/>
    <n v="3"/>
    <n v="1"/>
    <n v="6"/>
    <n v="0"/>
    <n v="4"/>
    <n v="1"/>
    <n v="2"/>
    <x v="0"/>
    <s v="13-03-2017"/>
    <m/>
    <s v="Dept.Head"/>
    <s v="WFH"/>
    <n v="4"/>
    <n v="1"/>
    <s v="Yes"/>
    <s v="Walk-in"/>
    <s v="Contract"/>
    <n v="773"/>
    <n v="92"/>
    <n v="80"/>
    <n v="0"/>
    <n v="0"/>
    <m/>
    <n v="0"/>
    <n v="1"/>
    <s v="Current Employees"/>
    <s v="No"/>
  </r>
  <r>
    <x v="25"/>
    <s v="Travel_Rarely"/>
    <x v="0"/>
    <n v="10"/>
    <x v="0"/>
    <n v="3"/>
    <n v="3"/>
    <x v="2"/>
    <n v="3"/>
    <x v="0"/>
    <n v="13464"/>
    <n v="7"/>
    <s v="No"/>
    <n v="21"/>
    <n v="4"/>
    <n v="0"/>
    <n v="9"/>
    <n v="3"/>
    <n v="4"/>
    <n v="2"/>
    <n v="2"/>
    <x v="1"/>
    <s v="21-04-2017"/>
    <m/>
    <s v="Dept.Head"/>
    <s v="WFH"/>
    <n v="3"/>
    <n v="2"/>
    <s v="Yes"/>
    <s v="Job Portal"/>
    <s v="Part Time"/>
    <n v="775"/>
    <n v="32"/>
    <n v="80"/>
    <n v="0"/>
    <n v="0"/>
    <m/>
    <n v="0"/>
    <n v="1"/>
    <s v="Current Employees"/>
    <s v="No"/>
  </r>
  <r>
    <x v="18"/>
    <s v="Travel_Rarely"/>
    <x v="0"/>
    <n v="2"/>
    <x v="1"/>
    <n v="3"/>
    <n v="1"/>
    <x v="0"/>
    <n v="1"/>
    <x v="1"/>
    <n v="3377"/>
    <n v="4"/>
    <s v="No"/>
    <n v="17"/>
    <n v="3"/>
    <n v="1"/>
    <n v="7"/>
    <n v="5"/>
    <n v="4"/>
    <n v="0"/>
    <n v="2"/>
    <x v="1"/>
    <d v="2017-04-03T00:00:00"/>
    <m/>
    <s v="Better Opportunity"/>
    <s v="OFFICE"/>
    <n v="2"/>
    <n v="1"/>
    <s v="No"/>
    <s v="Job Portal"/>
    <s v="FullTime"/>
    <n v="776"/>
    <n v="31"/>
    <n v="80"/>
    <n v="6"/>
    <n v="0"/>
    <m/>
    <n v="0"/>
    <n v="1"/>
    <s v="Current Employees"/>
    <s v="No"/>
  </r>
  <r>
    <x v="12"/>
    <s v="Travel_Rarely"/>
    <x v="1"/>
    <n v="2"/>
    <x v="1"/>
    <n v="1"/>
    <n v="2"/>
    <x v="3"/>
    <n v="4"/>
    <x v="1"/>
    <n v="5405"/>
    <n v="2"/>
    <s v="Yes"/>
    <n v="20"/>
    <n v="4"/>
    <n v="2"/>
    <n v="20"/>
    <n v="4"/>
    <n v="4"/>
    <n v="0"/>
    <n v="3"/>
    <x v="1"/>
    <s v="24-06-2017"/>
    <m/>
    <s v="Work Accident"/>
    <s v="OFFICE"/>
    <n v="5"/>
    <n v="3"/>
    <s v="Yes"/>
    <s v="Job Event"/>
    <s v="FullTime"/>
    <n v="780"/>
    <n v="63"/>
    <n v="80"/>
    <n v="9"/>
    <n v="1"/>
    <n v="1"/>
    <n v="1"/>
    <n v="0"/>
    <s v="Ex-Employees"/>
    <s v="Yes"/>
  </r>
  <r>
    <x v="23"/>
    <s v="Travel_Rarely"/>
    <x v="0"/>
    <n v="24"/>
    <x v="0"/>
    <n v="3"/>
    <n v="1"/>
    <x v="0"/>
    <n v="4"/>
    <x v="0"/>
    <n v="2587"/>
    <n v="1"/>
    <s v="No"/>
    <n v="16"/>
    <n v="3"/>
    <n v="0"/>
    <n v="5"/>
    <n v="3"/>
    <n v="4"/>
    <n v="1"/>
    <n v="0"/>
    <x v="0"/>
    <s v="26-03-2017"/>
    <m/>
    <s v="Salary"/>
    <s v="WFH"/>
    <n v="1"/>
    <n v="3"/>
    <s v="Yes"/>
    <s v="Job Event"/>
    <s v="Part Time"/>
    <n v="781"/>
    <n v="32"/>
    <n v="80"/>
    <n v="5"/>
    <n v="0"/>
    <m/>
    <n v="0"/>
    <n v="1"/>
    <s v="Current Employees"/>
    <s v="No"/>
  </r>
  <r>
    <x v="26"/>
    <s v="Travel_Rarely"/>
    <x v="1"/>
    <n v="17"/>
    <x v="0"/>
    <n v="2"/>
    <n v="2"/>
    <x v="4"/>
    <n v="2"/>
    <x v="1"/>
    <n v="5507"/>
    <n v="2"/>
    <s v="No"/>
    <n v="16"/>
    <n v="3"/>
    <n v="2"/>
    <n v="12"/>
    <n v="1"/>
    <n v="4"/>
    <n v="1"/>
    <n v="3"/>
    <x v="1"/>
    <d v="2017-02-04T00:00:00"/>
    <m/>
    <s v="Salary"/>
    <s v="WFH"/>
    <n v="0"/>
    <n v="0"/>
    <s v="Yes"/>
    <s v="Recruiter"/>
    <s v="Contract"/>
    <n v="783"/>
    <n v="46"/>
    <n v="80"/>
    <n v="7"/>
    <n v="0"/>
    <m/>
    <n v="0"/>
    <n v="1"/>
    <s v="Current Employees"/>
    <s v="No"/>
  </r>
  <r>
    <x v="13"/>
    <s v="Travel_Rarely"/>
    <x v="1"/>
    <n v="3"/>
    <x v="1"/>
    <n v="2"/>
    <n v="2"/>
    <x v="4"/>
    <n v="4"/>
    <x v="1"/>
    <n v="8103"/>
    <n v="3"/>
    <s v="Yes"/>
    <n v="12"/>
    <n v="3"/>
    <n v="0"/>
    <n v="9"/>
    <n v="3"/>
    <n v="4"/>
    <n v="0"/>
    <n v="1"/>
    <x v="1"/>
    <d v="2017-09-03T00:00:00"/>
    <m/>
    <s v="Dept.Head"/>
    <s v="OFFICE"/>
    <n v="1"/>
    <n v="2"/>
    <s v="Yes"/>
    <s v="Walk-in"/>
    <s v="Part Time"/>
    <n v="784"/>
    <n v="79"/>
    <n v="80"/>
    <n v="2"/>
    <n v="0"/>
    <m/>
    <n v="0"/>
    <n v="1"/>
    <s v="Current Employees"/>
    <s v="No"/>
  </r>
  <r>
    <x v="2"/>
    <s v="Travel_Frequently"/>
    <x v="0"/>
    <n v="1"/>
    <x v="0"/>
    <n v="3"/>
    <n v="2"/>
    <x v="7"/>
    <n v="3"/>
    <x v="0"/>
    <n v="5399"/>
    <n v="4"/>
    <s v="No"/>
    <n v="12"/>
    <n v="3"/>
    <n v="0"/>
    <n v="12"/>
    <n v="3"/>
    <n v="4"/>
    <n v="0"/>
    <n v="3"/>
    <x v="3"/>
    <d v="2017-12-02T00:00:00"/>
    <m/>
    <s v="Salary"/>
    <s v="WFH"/>
    <n v="3"/>
    <n v="2"/>
    <s v="No"/>
    <s v="Walk-in"/>
    <s v="Part Time"/>
    <n v="785"/>
    <n v="77"/>
    <n v="80"/>
    <n v="4"/>
    <n v="1"/>
    <n v="1"/>
    <n v="1"/>
    <n v="0"/>
    <s v="Ex-Employees"/>
    <s v="Yes"/>
  </r>
  <r>
    <x v="21"/>
    <s v="Travel_Frequently"/>
    <x v="0"/>
    <n v="5"/>
    <x v="1"/>
    <n v="4"/>
    <n v="1"/>
    <x v="1"/>
    <n v="3"/>
    <x v="0"/>
    <n v="2432"/>
    <n v="3"/>
    <s v="Yes"/>
    <n v="14"/>
    <n v="3"/>
    <n v="0"/>
    <n v="8"/>
    <n v="2"/>
    <n v="4"/>
    <n v="0"/>
    <n v="3"/>
    <x v="3"/>
    <s v="30-06-2017"/>
    <m/>
    <s v="Work Environment"/>
    <s v="OFFICE"/>
    <n v="4"/>
    <n v="1"/>
    <s v="Yes"/>
    <s v="Job Portal"/>
    <s v="Part Time"/>
    <n v="786"/>
    <n v="60"/>
    <n v="80"/>
    <n v="5"/>
    <n v="0"/>
    <m/>
    <n v="0"/>
    <n v="1"/>
    <s v="Current Employees"/>
    <s v="No"/>
  </r>
  <r>
    <x v="28"/>
    <s v="Non-Travel"/>
    <x v="0"/>
    <n v="3"/>
    <x v="0"/>
    <n v="3"/>
    <n v="1"/>
    <x v="1"/>
    <n v="1"/>
    <x v="2"/>
    <n v="3065"/>
    <n v="1"/>
    <s v="Yes"/>
    <n v="13"/>
    <n v="3"/>
    <n v="1"/>
    <n v="4"/>
    <n v="3"/>
    <n v="4"/>
    <n v="2"/>
    <n v="3"/>
    <x v="0"/>
    <d v="2017-07-05T00:00:00"/>
    <m/>
    <s v="Dept.Head"/>
    <s v="OFFICE"/>
    <n v="1"/>
    <n v="0"/>
    <s v="Yes"/>
    <s v="Job Event"/>
    <s v="FullTime"/>
    <n v="787"/>
    <n v="78"/>
    <n v="80"/>
    <n v="2"/>
    <n v="1"/>
    <n v="1"/>
    <n v="1"/>
    <n v="0"/>
    <s v="Ex-Employees"/>
    <s v="Yes"/>
  </r>
  <r>
    <x v="6"/>
    <s v="Travel_Rarely"/>
    <x v="0"/>
    <n v="17"/>
    <x v="0"/>
    <n v="2"/>
    <n v="1"/>
    <x v="0"/>
    <n v="4"/>
    <x v="2"/>
    <n v="2367"/>
    <n v="5"/>
    <s v="No"/>
    <n v="12"/>
    <n v="3"/>
    <n v="1"/>
    <n v="6"/>
    <n v="2"/>
    <n v="4"/>
    <n v="0"/>
    <n v="3"/>
    <x v="1"/>
    <s v="14-05-2017"/>
    <m/>
    <s v="Work Accident"/>
    <s v="WFH"/>
    <n v="0"/>
    <n v="2"/>
    <s v="No"/>
    <s v="Recruiter"/>
    <s v="Part Time"/>
    <n v="789"/>
    <n v="76"/>
    <n v="80"/>
    <n v="7"/>
    <n v="0"/>
    <m/>
    <n v="0"/>
    <n v="1"/>
    <s v="Current Employees"/>
    <s v="No"/>
  </r>
  <r>
    <x v="37"/>
    <s v="Travel_Rarely"/>
    <x v="0"/>
    <n v="9"/>
    <x v="1"/>
    <n v="3"/>
    <n v="2"/>
    <x v="1"/>
    <n v="3"/>
    <x v="1"/>
    <n v="2897"/>
    <n v="3"/>
    <s v="No"/>
    <n v="11"/>
    <n v="3"/>
    <n v="2"/>
    <n v="9"/>
    <n v="6"/>
    <n v="4"/>
    <n v="2"/>
    <n v="3"/>
    <x v="1"/>
    <s v="23-06-2017"/>
    <m/>
    <s v="Dept.Head"/>
    <s v="WFH"/>
    <n v="5"/>
    <n v="1"/>
    <s v="Yes"/>
    <s v="Job Portal"/>
    <s v="Contract"/>
    <n v="791"/>
    <n v="41"/>
    <n v="80"/>
    <n v="3"/>
    <n v="0"/>
    <m/>
    <n v="0"/>
    <n v="1"/>
    <s v="Current Employees"/>
    <s v="No"/>
  </r>
  <r>
    <x v="19"/>
    <s v="Travel_Rarely"/>
    <x v="0"/>
    <n v="1"/>
    <x v="0"/>
    <n v="2"/>
    <n v="2"/>
    <x v="7"/>
    <n v="3"/>
    <x v="0"/>
    <n v="4617"/>
    <n v="1"/>
    <s v="No"/>
    <n v="12"/>
    <n v="3"/>
    <n v="0"/>
    <n v="4"/>
    <n v="2"/>
    <n v="4"/>
    <n v="1"/>
    <n v="2"/>
    <x v="0"/>
    <d v="2017-01-06T00:00:00"/>
    <m/>
    <s v="Dept.Head"/>
    <s v="WFH"/>
    <n v="0"/>
    <n v="1"/>
    <s v="No"/>
    <s v="Walk-in"/>
    <s v="Part Time"/>
    <n v="792"/>
    <n v="71"/>
    <n v="80"/>
    <n v="2"/>
    <n v="0"/>
    <m/>
    <n v="0"/>
    <n v="1"/>
    <s v="Current Employees"/>
    <s v="No"/>
  </r>
  <r>
    <x v="22"/>
    <s v="Travel_Rarely"/>
    <x v="0"/>
    <n v="18"/>
    <x v="0"/>
    <n v="3"/>
    <n v="2"/>
    <x v="1"/>
    <n v="1"/>
    <x v="2"/>
    <n v="5410"/>
    <n v="6"/>
    <s v="Yes"/>
    <n v="17"/>
    <n v="3"/>
    <n v="1"/>
    <n v="9"/>
    <n v="3"/>
    <n v="4"/>
    <n v="1"/>
    <n v="2"/>
    <x v="2"/>
    <d v="2017-01-06T00:00:00"/>
    <m/>
    <s v="Work Environment"/>
    <s v="WFH"/>
    <n v="3"/>
    <n v="0"/>
    <s v="Yes"/>
    <s v="Job Portal"/>
    <s v="FullTime"/>
    <n v="793"/>
    <n v="66"/>
    <n v="80"/>
    <n v="7"/>
    <n v="0"/>
    <m/>
    <n v="0"/>
    <n v="1"/>
    <s v="Current Employees"/>
    <s v="No"/>
  </r>
  <r>
    <x v="17"/>
    <s v="Travel_Rarely"/>
    <x v="0"/>
    <n v="1"/>
    <x v="0"/>
    <n v="3"/>
    <n v="1"/>
    <x v="1"/>
    <n v="4"/>
    <x v="0"/>
    <n v="2436"/>
    <n v="6"/>
    <s v="Yes"/>
    <n v="12"/>
    <n v="3"/>
    <n v="0"/>
    <n v="6"/>
    <n v="2"/>
    <n v="4"/>
    <n v="1"/>
    <n v="2"/>
    <x v="1"/>
    <s v="25-02-2017"/>
    <m/>
    <s v="Salary"/>
    <s v="WFH"/>
    <n v="2"/>
    <n v="2"/>
    <s v="No"/>
    <s v="Walk-in"/>
    <s v="FullTime"/>
    <n v="796"/>
    <n v="38"/>
    <n v="80"/>
    <n v="3"/>
    <n v="1"/>
    <n v="1"/>
    <n v="1"/>
    <n v="0"/>
    <s v="Ex-Employees"/>
    <s v="Yes"/>
  </r>
  <r>
    <x v="26"/>
    <s v="Travel_Frequently"/>
    <x v="0"/>
    <n v="4"/>
    <x v="1"/>
    <n v="3"/>
    <n v="2"/>
    <x v="6"/>
    <n v="2"/>
    <x v="2"/>
    <n v="5131"/>
    <n v="7"/>
    <s v="No"/>
    <n v="13"/>
    <n v="3"/>
    <n v="3"/>
    <n v="18"/>
    <n v="3"/>
    <n v="4"/>
    <n v="0"/>
    <n v="2"/>
    <x v="3"/>
    <s v="25-03-2017"/>
    <m/>
    <s v="Work Environment"/>
    <s v="OFFICE"/>
    <n v="3"/>
    <n v="1"/>
    <s v="No"/>
    <s v="Walk-in"/>
    <s v="Part Time"/>
    <n v="797"/>
    <n v="72"/>
    <n v="80"/>
    <n v="2"/>
    <n v="0"/>
    <m/>
    <n v="0"/>
    <n v="1"/>
    <s v="Current Employees"/>
    <s v="No"/>
  </r>
  <r>
    <x v="21"/>
    <s v="Travel_Rarely"/>
    <x v="0"/>
    <n v="2"/>
    <x v="0"/>
    <n v="3"/>
    <n v="1"/>
    <x v="1"/>
    <n v="1"/>
    <x v="0"/>
    <n v="2439"/>
    <n v="1"/>
    <s v="No"/>
    <n v="14"/>
    <n v="3"/>
    <n v="0"/>
    <n v="4"/>
    <n v="4"/>
    <n v="4"/>
    <n v="1"/>
    <n v="2"/>
    <x v="3"/>
    <s v="14-01-2017"/>
    <m/>
    <s v="Better Opportunity"/>
    <s v="OFFICE"/>
    <n v="4"/>
    <n v="2"/>
    <s v="Yes"/>
    <s v="Job Portal"/>
    <s v="Part Time"/>
    <n v="799"/>
    <n v="95"/>
    <n v="80"/>
    <n v="3"/>
    <n v="0"/>
    <m/>
    <n v="0"/>
    <n v="1"/>
    <s v="Current Employees"/>
    <s v="No"/>
  </r>
  <r>
    <x v="27"/>
    <s v="Travel_Rarely"/>
    <x v="0"/>
    <n v="1"/>
    <x v="1"/>
    <n v="1"/>
    <n v="1"/>
    <x v="1"/>
    <n v="4"/>
    <x v="1"/>
    <n v="2977"/>
    <n v="1"/>
    <s v="No"/>
    <n v="12"/>
    <n v="3"/>
    <n v="1"/>
    <n v="4"/>
    <n v="5"/>
    <n v="4"/>
    <n v="1"/>
    <n v="1"/>
    <x v="0"/>
    <s v="18-05-2017"/>
    <m/>
    <s v="Work Accident"/>
    <s v="WFH"/>
    <n v="4"/>
    <n v="0"/>
    <s v="Yes"/>
    <s v="Recruiter"/>
    <s v="Part Time"/>
    <n v="800"/>
    <n v="84"/>
    <n v="80"/>
    <n v="2"/>
    <n v="0"/>
    <m/>
    <n v="0"/>
    <n v="1"/>
    <s v="Current Employees"/>
    <s v="No"/>
  </r>
  <r>
    <x v="7"/>
    <s v="Travel_Rarely"/>
    <x v="0"/>
    <n v="13"/>
    <x v="0"/>
    <n v="2"/>
    <n v="2"/>
    <x v="0"/>
    <n v="2"/>
    <x v="1"/>
    <n v="4025"/>
    <n v="4"/>
    <s v="Yes"/>
    <n v="13"/>
    <n v="3"/>
    <n v="1"/>
    <n v="10"/>
    <n v="2"/>
    <n v="4"/>
    <n v="0"/>
    <n v="3"/>
    <x v="3"/>
    <s v="27-03-2017"/>
    <m/>
    <s v="Work Accident"/>
    <s v="OFFICE"/>
    <n v="5"/>
    <n v="2"/>
    <s v="No"/>
    <s v="Job Portal"/>
    <s v="FullTime"/>
    <n v="802"/>
    <n v="82"/>
    <n v="80"/>
    <n v="3"/>
    <n v="0"/>
    <m/>
    <n v="0"/>
    <n v="1"/>
    <s v="Current Employees"/>
    <s v="No"/>
  </r>
  <r>
    <x v="11"/>
    <s v="Travel_Rarely"/>
    <x v="1"/>
    <n v="5"/>
    <x v="1"/>
    <n v="2"/>
    <n v="1"/>
    <x v="3"/>
    <n v="3"/>
    <x v="0"/>
    <n v="2966"/>
    <n v="0"/>
    <s v="No"/>
    <n v="18"/>
    <n v="3"/>
    <n v="0"/>
    <n v="5"/>
    <n v="2"/>
    <n v="4"/>
    <n v="0"/>
    <n v="0"/>
    <x v="2"/>
    <d v="2017-01-02T00:00:00"/>
    <m/>
    <s v="Work Environment"/>
    <s v="WFH"/>
    <n v="4"/>
    <n v="2"/>
    <s v="Yes"/>
    <s v="Recruiter"/>
    <s v="FullTime"/>
    <n v="803"/>
    <n v="75"/>
    <n v="80"/>
    <n v="7"/>
    <n v="0"/>
    <m/>
    <n v="0"/>
    <n v="1"/>
    <s v="Current Employees"/>
    <s v="No"/>
  </r>
  <r>
    <x v="13"/>
    <s v="Travel_Rarely"/>
    <x v="0"/>
    <n v="8"/>
    <x v="0"/>
    <n v="4"/>
    <n v="2"/>
    <x v="0"/>
    <n v="3"/>
    <x v="1"/>
    <n v="4404"/>
    <n v="2"/>
    <s v="No"/>
    <n v="12"/>
    <n v="3"/>
    <n v="0"/>
    <n v="6"/>
    <n v="3"/>
    <n v="4"/>
    <n v="1"/>
    <n v="2"/>
    <x v="0"/>
    <s v="31-01-2017"/>
    <m/>
    <s v="Work Accident"/>
    <s v="OFFICE"/>
    <n v="5"/>
    <n v="3"/>
    <s v="No"/>
    <s v="Walk-in"/>
    <s v="Part Time"/>
    <n v="804"/>
    <n v="86"/>
    <n v="80"/>
    <n v="5"/>
    <n v="0"/>
    <m/>
    <n v="0"/>
    <n v="1"/>
    <s v="Current Employees"/>
    <s v="No"/>
  </r>
  <r>
    <x v="27"/>
    <s v="Travel_Rarely"/>
    <x v="0"/>
    <n v="16"/>
    <x v="0"/>
    <n v="4"/>
    <n v="1"/>
    <x v="0"/>
    <n v="2"/>
    <x v="1"/>
    <n v="2426"/>
    <n v="0"/>
    <s v="No"/>
    <n v="13"/>
    <n v="3"/>
    <n v="1"/>
    <n v="6"/>
    <n v="5"/>
    <n v="5"/>
    <n v="0"/>
    <n v="3"/>
    <x v="2"/>
    <s v="13-04-2016"/>
    <m/>
    <s v="Dept.Head"/>
    <s v="OFFICE"/>
    <n v="1"/>
    <n v="3"/>
    <s v="Yes"/>
    <s v="Job Portal"/>
    <s v="Contract"/>
    <n v="805"/>
    <n v="72"/>
    <n v="80"/>
    <n v="2"/>
    <n v="0"/>
    <m/>
    <n v="0"/>
    <n v="1"/>
    <s v="Current Employees"/>
    <s v="No"/>
  </r>
  <r>
    <x v="28"/>
    <s v="Travel_Rarely"/>
    <x v="0"/>
    <n v="26"/>
    <x v="0"/>
    <n v="3"/>
    <n v="1"/>
    <x v="1"/>
    <n v="3"/>
    <x v="2"/>
    <n v="2911"/>
    <n v="1"/>
    <s v="No"/>
    <n v="17"/>
    <n v="3"/>
    <n v="1"/>
    <n v="5"/>
    <n v="1"/>
    <n v="5"/>
    <n v="4"/>
    <n v="3"/>
    <x v="2"/>
    <s v="18-06-2016"/>
    <m/>
    <s v="Salary"/>
    <s v="WFH"/>
    <n v="3"/>
    <n v="2"/>
    <s v="Yes"/>
    <s v="Walk-in"/>
    <s v="Contract"/>
    <n v="806"/>
    <n v="38"/>
    <n v="80"/>
    <n v="2"/>
    <n v="0"/>
    <m/>
    <n v="0"/>
    <n v="1"/>
    <s v="Current Employees"/>
    <s v="No"/>
  </r>
  <r>
    <x v="26"/>
    <s v="Travel_Rarely"/>
    <x v="1"/>
    <n v="9"/>
    <x v="0"/>
    <n v="2"/>
    <n v="1"/>
    <x v="3"/>
    <n v="1"/>
    <x v="0"/>
    <n v="3407"/>
    <n v="7"/>
    <s v="No"/>
    <n v="23"/>
    <n v="4"/>
    <n v="0"/>
    <n v="10"/>
    <n v="4"/>
    <n v="5"/>
    <n v="0"/>
    <n v="3"/>
    <x v="2"/>
    <s v="17-02-2016"/>
    <m/>
    <s v="Dept.Head"/>
    <s v="WFH"/>
    <n v="3"/>
    <n v="2"/>
    <s v="No"/>
    <s v="Recruiter"/>
    <s v="Contract"/>
    <n v="807"/>
    <n v="38"/>
    <n v="80"/>
    <n v="7"/>
    <n v="0"/>
    <m/>
    <n v="0"/>
    <n v="1"/>
    <s v="Current Employees"/>
    <s v="No"/>
  </r>
  <r>
    <x v="34"/>
    <s v="Travel_Rarely"/>
    <x v="0"/>
    <n v="2"/>
    <x v="1"/>
    <n v="4"/>
    <n v="1"/>
    <x v="1"/>
    <n v="3"/>
    <x v="2"/>
    <n v="2645"/>
    <n v="1"/>
    <s v="No"/>
    <n v="12"/>
    <n v="3"/>
    <n v="2"/>
    <n v="6"/>
    <n v="3"/>
    <n v="5"/>
    <n v="1"/>
    <n v="4"/>
    <x v="3"/>
    <d v="2016-09-01T00:00:00"/>
    <m/>
    <s v="Dept.Head"/>
    <s v="OFFICE"/>
    <n v="0"/>
    <n v="0"/>
    <s v="Yes"/>
    <s v="Walk-in"/>
    <s v="FullTime"/>
    <n v="808"/>
    <n v="93"/>
    <n v="80"/>
    <n v="2"/>
    <n v="0"/>
    <m/>
    <n v="0"/>
    <n v="1"/>
    <s v="Current Employees"/>
    <s v="No"/>
  </r>
  <r>
    <x v="20"/>
    <s v="Travel_Frequently"/>
    <x v="1"/>
    <n v="1"/>
    <x v="1"/>
    <n v="4"/>
    <n v="2"/>
    <x v="4"/>
    <n v="1"/>
    <x v="1"/>
    <n v="5376"/>
    <n v="2"/>
    <s v="No"/>
    <n v="19"/>
    <n v="3"/>
    <n v="2"/>
    <n v="10"/>
    <n v="3"/>
    <n v="5"/>
    <n v="1"/>
    <n v="3"/>
    <x v="0"/>
    <s v="24-03-2016"/>
    <m/>
    <s v="Better Opportunity"/>
    <s v="WFH"/>
    <n v="4"/>
    <n v="3"/>
    <s v="No"/>
    <s v="Recruiter"/>
    <s v="FullTime"/>
    <n v="809"/>
    <n v="66"/>
    <n v="80"/>
    <n v="7"/>
    <n v="0"/>
    <m/>
    <n v="0"/>
    <n v="1"/>
    <s v="Current Employees"/>
    <s v="No"/>
  </r>
  <r>
    <x v="29"/>
    <s v="Travel_Rarely"/>
    <x v="0"/>
    <n v="8"/>
    <x v="1"/>
    <n v="3"/>
    <n v="4"/>
    <x v="5"/>
    <n v="3"/>
    <x v="2"/>
    <n v="14756"/>
    <n v="2"/>
    <s v="Yes"/>
    <n v="14"/>
    <n v="3"/>
    <n v="3"/>
    <n v="21"/>
    <n v="2"/>
    <n v="5"/>
    <n v="0"/>
    <n v="2"/>
    <x v="2"/>
    <d v="2016-11-01T00:00:00"/>
    <m/>
    <s v="Salary"/>
    <s v="WFH"/>
    <n v="5"/>
    <n v="3"/>
    <s v="No"/>
    <s v="Job Event"/>
    <s v="FullTime"/>
    <n v="811"/>
    <n v="63"/>
    <n v="80"/>
    <n v="0"/>
    <n v="1"/>
    <n v="1"/>
    <n v="1"/>
    <n v="0"/>
    <s v="Ex-Employees"/>
    <s v="Yes"/>
  </r>
  <r>
    <x v="7"/>
    <s v="Travel_Rarely"/>
    <x v="0"/>
    <n v="2"/>
    <x v="0"/>
    <n v="3"/>
    <n v="1"/>
    <x v="1"/>
    <n v="2"/>
    <x v="1"/>
    <n v="2703"/>
    <n v="0"/>
    <s v="No"/>
    <n v="23"/>
    <n v="4"/>
    <n v="1"/>
    <n v="6"/>
    <n v="3"/>
    <n v="5"/>
    <n v="0"/>
    <n v="4"/>
    <x v="0"/>
    <s v="25-02-2016"/>
    <m/>
    <s v="Work Accident"/>
    <s v="OFFICE"/>
    <n v="0"/>
    <n v="3"/>
    <s v="Yes"/>
    <s v="Walk-in"/>
    <s v="Part Time"/>
    <n v="812"/>
    <n v="60"/>
    <n v="80"/>
    <n v="0"/>
    <n v="0"/>
    <m/>
    <n v="0"/>
    <n v="1"/>
    <s v="Current Employees"/>
    <s v="No"/>
  </r>
  <r>
    <x v="0"/>
    <s v="Travel_Rarely"/>
    <x v="0"/>
    <n v="7"/>
    <x v="0"/>
    <n v="3"/>
    <n v="3"/>
    <x v="2"/>
    <n v="3"/>
    <x v="0"/>
    <n v="13664"/>
    <n v="4"/>
    <s v="No"/>
    <n v="13"/>
    <n v="3"/>
    <n v="0"/>
    <n v="16"/>
    <n v="3"/>
    <n v="5"/>
    <n v="0"/>
    <n v="2"/>
    <x v="0"/>
    <s v="29-04-2016"/>
    <m/>
    <s v="Work Accident"/>
    <s v="WFH"/>
    <n v="3"/>
    <n v="0"/>
    <s v="Yes"/>
    <s v="Recruiter"/>
    <s v="Contract"/>
    <n v="813"/>
    <n v="82"/>
    <n v="80"/>
    <n v="2"/>
    <n v="0"/>
    <m/>
    <n v="0"/>
    <n v="1"/>
    <s v="Current Employees"/>
    <s v="No"/>
  </r>
  <r>
    <x v="13"/>
    <s v="Travel_Rarely"/>
    <x v="0"/>
    <n v="1"/>
    <x v="0"/>
    <n v="3"/>
    <n v="2"/>
    <x v="6"/>
    <n v="2"/>
    <x v="1"/>
    <n v="4325"/>
    <n v="1"/>
    <s v="No"/>
    <n v="15"/>
    <n v="3"/>
    <n v="0"/>
    <n v="5"/>
    <n v="2"/>
    <n v="5"/>
    <n v="1"/>
    <n v="3"/>
    <x v="0"/>
    <s v="23-06-2016"/>
    <m/>
    <s v="Work Environment"/>
    <s v="OFFICE"/>
    <n v="1"/>
    <n v="1"/>
    <s v="No"/>
    <s v="Job Event"/>
    <s v="Part Time"/>
    <n v="815"/>
    <n v="64"/>
    <n v="80"/>
    <n v="3"/>
    <n v="0"/>
    <m/>
    <n v="0"/>
    <n v="1"/>
    <s v="Current Employees"/>
    <s v="No"/>
  </r>
  <r>
    <x v="6"/>
    <s v="Non-Travel"/>
    <x v="1"/>
    <n v="4"/>
    <x v="0"/>
    <n v="3"/>
    <n v="2"/>
    <x v="4"/>
    <n v="3"/>
    <x v="1"/>
    <n v="4221"/>
    <n v="1"/>
    <s v="No"/>
    <n v="15"/>
    <n v="3"/>
    <n v="0"/>
    <n v="5"/>
    <n v="3"/>
    <n v="5"/>
    <n v="0"/>
    <n v="4"/>
    <x v="2"/>
    <s v="14-06-2016"/>
    <m/>
    <s v="Dept.Head"/>
    <s v="OFFICE"/>
    <n v="2"/>
    <n v="1"/>
    <s v="No"/>
    <s v="Job Event"/>
    <s v="Part Time"/>
    <n v="816"/>
    <n v="36"/>
    <n v="80"/>
    <n v="0"/>
    <n v="1"/>
    <n v="1"/>
    <n v="1"/>
    <n v="0"/>
    <s v="Ex-Employees"/>
    <s v="Yes"/>
  </r>
  <r>
    <x v="37"/>
    <s v="Non-Travel"/>
    <x v="2"/>
    <n v="26"/>
    <x v="1"/>
    <n v="4"/>
    <n v="4"/>
    <x v="5"/>
    <n v="4"/>
    <x v="0"/>
    <n v="17328"/>
    <n v="2"/>
    <s v="Yes"/>
    <n v="12"/>
    <n v="3"/>
    <n v="0"/>
    <n v="23"/>
    <n v="3"/>
    <n v="5"/>
    <n v="4"/>
    <n v="4"/>
    <x v="2"/>
    <s v="17-04-2016"/>
    <m/>
    <s v="Salary"/>
    <s v="OFFICE"/>
    <n v="1"/>
    <n v="3"/>
    <s v="No"/>
    <s v="Job Event"/>
    <s v="Part Time"/>
    <n v="817"/>
    <n v="49"/>
    <n v="80"/>
    <n v="9"/>
    <n v="0"/>
    <m/>
    <n v="0"/>
    <n v="1"/>
    <s v="Current Employees"/>
    <s v="No"/>
  </r>
  <r>
    <x v="19"/>
    <s v="Travel_Rarely"/>
    <x v="0"/>
    <n v="18"/>
    <x v="0"/>
    <n v="3"/>
    <n v="1"/>
    <x v="0"/>
    <n v="3"/>
    <x v="1"/>
    <n v="2774"/>
    <n v="0"/>
    <s v="No"/>
    <n v="12"/>
    <n v="3"/>
    <n v="1"/>
    <n v="6"/>
    <n v="2"/>
    <n v="5"/>
    <n v="1"/>
    <n v="2"/>
    <x v="1"/>
    <d v="2016-08-05T00:00:00"/>
    <m/>
    <s v="Work Environment"/>
    <s v="OFFICE"/>
    <n v="3"/>
    <n v="0"/>
    <s v="Yes"/>
    <s v="Recruiter"/>
    <s v="Contract"/>
    <n v="819"/>
    <n v="69"/>
    <n v="80"/>
    <n v="2"/>
    <n v="1"/>
    <n v="1"/>
    <n v="1"/>
    <n v="0"/>
    <s v="Ex-Employees"/>
    <s v="Yes"/>
  </r>
  <r>
    <x v="0"/>
    <s v="Travel_Rarely"/>
    <x v="1"/>
    <n v="3"/>
    <x v="0"/>
    <n v="3"/>
    <n v="3"/>
    <x v="4"/>
    <n v="4"/>
    <x v="0"/>
    <n v="7428"/>
    <n v="2"/>
    <s v="No"/>
    <n v="12"/>
    <n v="3"/>
    <n v="0"/>
    <n v="12"/>
    <n v="3"/>
    <n v="5"/>
    <n v="1"/>
    <n v="3"/>
    <x v="2"/>
    <s v="17-01-2016"/>
    <m/>
    <s v="Work Environment"/>
    <s v="WFH"/>
    <n v="5"/>
    <n v="3"/>
    <s v="No"/>
    <s v="Job Event"/>
    <s v="Part Time"/>
    <n v="820"/>
    <n v="33"/>
    <n v="80"/>
    <n v="14"/>
    <n v="0"/>
    <m/>
    <n v="0"/>
    <n v="1"/>
    <s v="Current Employees"/>
    <s v="No"/>
  </r>
  <r>
    <x v="23"/>
    <s v="Travel_Rarely"/>
    <x v="0"/>
    <n v="14"/>
    <x v="1"/>
    <n v="3"/>
    <n v="1"/>
    <x v="1"/>
    <n v="2"/>
    <x v="1"/>
    <n v="4963"/>
    <n v="9"/>
    <s v="Yes"/>
    <n v="18"/>
    <n v="3"/>
    <n v="3"/>
    <n v="7"/>
    <n v="2"/>
    <n v="5"/>
    <n v="4"/>
    <n v="3"/>
    <x v="0"/>
    <d v="2016-07-02T00:00:00"/>
    <m/>
    <s v="Salary"/>
    <s v="WFH"/>
    <n v="0"/>
    <n v="3"/>
    <s v="Yes"/>
    <s v="Job Event"/>
    <s v="Contract"/>
    <n v="823"/>
    <n v="35"/>
    <n v="80"/>
    <n v="7"/>
    <n v="0"/>
    <m/>
    <n v="0"/>
    <n v="1"/>
    <s v="Current Employees"/>
    <s v="No"/>
  </r>
  <r>
    <x v="11"/>
    <s v="Travel_Rarely"/>
    <x v="0"/>
    <n v="6"/>
    <x v="1"/>
    <n v="2"/>
    <n v="1"/>
    <x v="1"/>
    <n v="2"/>
    <x v="1"/>
    <n v="2368"/>
    <n v="1"/>
    <s v="No"/>
    <n v="19"/>
    <n v="3"/>
    <n v="0"/>
    <n v="5"/>
    <n v="3"/>
    <n v="5"/>
    <n v="4"/>
    <n v="3"/>
    <x v="0"/>
    <s v="23-02-2016"/>
    <m/>
    <s v="Dept.Head"/>
    <s v="WFH"/>
    <n v="0"/>
    <n v="3"/>
    <s v="Yes"/>
    <s v="Job Portal"/>
    <s v="Contract"/>
    <n v="824"/>
    <n v="81"/>
    <n v="80"/>
    <n v="7"/>
    <n v="0"/>
    <m/>
    <n v="0"/>
    <n v="1"/>
    <s v="Current Employees"/>
    <s v="No"/>
  </r>
  <r>
    <x v="21"/>
    <s v="Travel_Rarely"/>
    <x v="0"/>
    <n v="9"/>
    <x v="1"/>
    <n v="3"/>
    <n v="1"/>
    <x v="0"/>
    <n v="1"/>
    <x v="0"/>
    <n v="4200"/>
    <n v="7"/>
    <s v="No"/>
    <n v="22"/>
    <n v="4"/>
    <n v="0"/>
    <n v="10"/>
    <n v="2"/>
    <n v="5"/>
    <n v="0"/>
    <n v="4"/>
    <x v="3"/>
    <s v="22-02-2016"/>
    <m/>
    <s v="Work Environment"/>
    <s v="WFH"/>
    <n v="5"/>
    <n v="1"/>
    <s v="Yes"/>
    <s v="Walk-in"/>
    <s v="Contract"/>
    <n v="825"/>
    <n v="31"/>
    <n v="80"/>
    <n v="15"/>
    <n v="1"/>
    <n v="1"/>
    <n v="1"/>
    <n v="0"/>
    <s v="Ex-Employees"/>
    <s v="Yes"/>
  </r>
  <r>
    <x v="14"/>
    <s v="Travel_Rarely"/>
    <x v="0"/>
    <n v="18"/>
    <x v="1"/>
    <n v="3"/>
    <n v="1"/>
    <x v="1"/>
    <n v="3"/>
    <x v="0"/>
    <n v="2632"/>
    <n v="1"/>
    <s v="No"/>
    <n v="14"/>
    <n v="3"/>
    <n v="0"/>
    <n v="5"/>
    <n v="4"/>
    <n v="5"/>
    <n v="0"/>
    <n v="4"/>
    <x v="3"/>
    <d v="2016-01-03T00:00:00"/>
    <m/>
    <s v="Work Accident"/>
    <s v="OFFICE"/>
    <n v="1"/>
    <n v="3"/>
    <s v="No"/>
    <s v="Job Event"/>
    <s v="FullTime"/>
    <n v="826"/>
    <n v="40"/>
    <n v="80"/>
    <n v="2"/>
    <n v="0"/>
    <m/>
    <n v="0"/>
    <n v="1"/>
    <s v="Current Employees"/>
    <s v="No"/>
  </r>
  <r>
    <x v="14"/>
    <s v="Travel_Rarely"/>
    <x v="0"/>
    <n v="2"/>
    <x v="0"/>
    <n v="2"/>
    <n v="1"/>
    <x v="0"/>
    <n v="4"/>
    <x v="0"/>
    <n v="2720"/>
    <n v="0"/>
    <s v="No"/>
    <n v="13"/>
    <n v="3"/>
    <n v="0"/>
    <n v="6"/>
    <n v="3"/>
    <n v="5"/>
    <n v="1"/>
    <n v="2"/>
    <x v="2"/>
    <d v="2016-05-06T00:00:00"/>
    <m/>
    <s v="Better Opportunity"/>
    <s v="WFH"/>
    <n v="1"/>
    <n v="1"/>
    <s v="Yes"/>
    <s v="Job Event"/>
    <s v="Contract"/>
    <n v="827"/>
    <n v="43"/>
    <n v="80"/>
    <n v="3"/>
    <n v="0"/>
    <m/>
    <n v="0"/>
    <n v="1"/>
    <s v="Current Employees"/>
    <s v="No"/>
  </r>
  <r>
    <x v="33"/>
    <s v="Travel_Rarely"/>
    <x v="0"/>
    <n v="9"/>
    <x v="0"/>
    <n v="3"/>
    <n v="1"/>
    <x v="0"/>
    <n v="1"/>
    <x v="1"/>
    <n v="2238"/>
    <n v="2"/>
    <s v="No"/>
    <n v="21"/>
    <n v="4"/>
    <n v="1"/>
    <n v="7"/>
    <n v="2"/>
    <n v="5"/>
    <n v="1"/>
    <n v="4"/>
    <x v="1"/>
    <d v="2016-02-02T00:00:00"/>
    <m/>
    <s v="Work Environment"/>
    <s v="WFH"/>
    <n v="1"/>
    <n v="2"/>
    <s v="No"/>
    <s v="Recruiter"/>
    <s v="Part Time"/>
    <n v="828"/>
    <n v="46"/>
    <n v="80"/>
    <n v="2"/>
    <n v="1"/>
    <n v="1"/>
    <n v="1"/>
    <n v="0"/>
    <s v="Ex-Employees"/>
    <s v="Yes"/>
  </r>
  <r>
    <x v="6"/>
    <s v="Travel_Rarely"/>
    <x v="0"/>
    <n v="21"/>
    <x v="0"/>
    <n v="3"/>
    <n v="1"/>
    <x v="1"/>
    <n v="4"/>
    <x v="1"/>
    <n v="2713"/>
    <n v="1"/>
    <s v="No"/>
    <n v="11"/>
    <n v="3"/>
    <n v="1"/>
    <n v="5"/>
    <n v="2"/>
    <n v="5"/>
    <n v="0"/>
    <n v="2"/>
    <x v="1"/>
    <s v="20-04-2016"/>
    <m/>
    <s v="Work Environment"/>
    <s v="WFH"/>
    <n v="2"/>
    <n v="0"/>
    <s v="No"/>
    <s v="Job Event"/>
    <s v="FullTime"/>
    <n v="829"/>
    <n v="36"/>
    <n v="80"/>
    <n v="2"/>
    <n v="0"/>
    <m/>
    <n v="0"/>
    <n v="1"/>
    <s v="Current Employees"/>
    <s v="No"/>
  </r>
  <r>
    <x v="36"/>
    <s v="Travel_Rarely"/>
    <x v="0"/>
    <n v="24"/>
    <x v="0"/>
    <n v="4"/>
    <n v="3"/>
    <x v="7"/>
    <n v="4"/>
    <x v="2"/>
    <n v="9439"/>
    <n v="3"/>
    <s v="Yes"/>
    <n v="16"/>
    <n v="3"/>
    <n v="1"/>
    <n v="12"/>
    <n v="2"/>
    <n v="5"/>
    <n v="1"/>
    <n v="4"/>
    <x v="3"/>
    <s v="18-05-2016"/>
    <m/>
    <s v="Work Environment"/>
    <s v="WFH"/>
    <n v="4"/>
    <n v="2"/>
    <s v="Yes"/>
    <s v="Job Portal"/>
    <s v="FullTime"/>
    <n v="830"/>
    <n v="98"/>
    <n v="80"/>
    <n v="13"/>
    <n v="0"/>
    <m/>
    <n v="0"/>
    <n v="1"/>
    <s v="Current Employees"/>
    <s v="No"/>
  </r>
  <r>
    <x v="16"/>
    <s v="Travel_Rarely"/>
    <x v="0"/>
    <n v="11"/>
    <x v="1"/>
    <n v="3"/>
    <n v="5"/>
    <x v="5"/>
    <n v="2"/>
    <x v="0"/>
    <n v="19926"/>
    <n v="3"/>
    <s v="No"/>
    <n v="15"/>
    <n v="3"/>
    <n v="0"/>
    <n v="21"/>
    <n v="5"/>
    <n v="5"/>
    <n v="4"/>
    <n v="4"/>
    <x v="0"/>
    <d v="2016-02-05T00:00:00"/>
    <m/>
    <s v="Work Accident"/>
    <s v="OFFICE"/>
    <n v="2"/>
    <n v="1"/>
    <s v="Yes"/>
    <s v="Job Portal"/>
    <s v="Part Time"/>
    <n v="832"/>
    <n v="51"/>
    <n v="80"/>
    <n v="0"/>
    <n v="0"/>
    <m/>
    <n v="0"/>
    <n v="1"/>
    <s v="Current Employees"/>
    <s v="No"/>
  </r>
  <r>
    <x v="21"/>
    <s v="Travel_Rarely"/>
    <x v="0"/>
    <n v="6"/>
    <x v="0"/>
    <n v="3"/>
    <n v="1"/>
    <x v="1"/>
    <n v="3"/>
    <x v="0"/>
    <n v="3038"/>
    <n v="3"/>
    <s v="No"/>
    <n v="20"/>
    <n v="4"/>
    <n v="0"/>
    <n v="8"/>
    <n v="2"/>
    <n v="5"/>
    <n v="1"/>
    <n v="4"/>
    <x v="2"/>
    <d v="2016-10-01T00:00:00"/>
    <m/>
    <s v="Better Opportunity"/>
    <s v="OFFICE"/>
    <n v="4"/>
    <n v="1"/>
    <s v="No"/>
    <s v="Job Portal"/>
    <s v="Part Time"/>
    <n v="833"/>
    <n v="52"/>
    <n v="80"/>
    <n v="0"/>
    <n v="0"/>
    <m/>
    <n v="0"/>
    <n v="1"/>
    <s v="Current Employees"/>
    <s v="No"/>
  </r>
  <r>
    <x v="15"/>
    <s v="Travel_Rarely"/>
    <x v="0"/>
    <n v="17"/>
    <x v="0"/>
    <n v="3"/>
    <n v="1"/>
    <x v="1"/>
    <n v="2"/>
    <x v="1"/>
    <n v="3058"/>
    <n v="0"/>
    <s v="Yes"/>
    <n v="16"/>
    <n v="3"/>
    <n v="1"/>
    <n v="6"/>
    <n v="3"/>
    <n v="5"/>
    <n v="1"/>
    <n v="1"/>
    <x v="3"/>
    <s v="22-04-2016"/>
    <m/>
    <s v="Work Accident"/>
    <s v="WFH"/>
    <n v="3"/>
    <n v="2"/>
    <s v="No"/>
    <s v="Walk-in"/>
    <s v="Contract"/>
    <n v="834"/>
    <n v="95"/>
    <n v="80"/>
    <n v="0"/>
    <n v="0"/>
    <m/>
    <n v="0"/>
    <n v="1"/>
    <s v="Current Employees"/>
    <s v="No"/>
  </r>
  <r>
    <x v="2"/>
    <s v="Travel_Rarely"/>
    <x v="1"/>
    <n v="4"/>
    <x v="1"/>
    <n v="3"/>
    <n v="2"/>
    <x v="4"/>
    <n v="1"/>
    <x v="2"/>
    <n v="5006"/>
    <n v="4"/>
    <s v="Yes"/>
    <n v="11"/>
    <n v="3"/>
    <n v="1"/>
    <n v="9"/>
    <n v="3"/>
    <n v="5"/>
    <n v="0"/>
    <n v="3"/>
    <x v="2"/>
    <d v="2016-05-04T00:00:00"/>
    <m/>
    <s v="Work Environment"/>
    <s v="WFH"/>
    <n v="2"/>
    <n v="3"/>
    <s v="No"/>
    <s v="Job Event"/>
    <s v="Contract"/>
    <n v="836"/>
    <n v="98"/>
    <n v="80"/>
    <n v="8"/>
    <n v="0"/>
    <m/>
    <n v="0"/>
    <n v="1"/>
    <s v="Current Employees"/>
    <s v="No"/>
  </r>
  <r>
    <x v="34"/>
    <s v="Non-Travel"/>
    <x v="0"/>
    <n v="7"/>
    <x v="0"/>
    <n v="4"/>
    <n v="1"/>
    <x v="1"/>
    <n v="4"/>
    <x v="2"/>
    <n v="2089"/>
    <n v="4"/>
    <s v="No"/>
    <n v="14"/>
    <n v="3"/>
    <n v="3"/>
    <n v="7"/>
    <n v="3"/>
    <n v="5"/>
    <n v="2"/>
    <n v="2"/>
    <x v="3"/>
    <d v="2016-04-01T00:00:00"/>
    <m/>
    <s v="Better Opportunity"/>
    <s v="WFH"/>
    <n v="3"/>
    <n v="3"/>
    <s v="No"/>
    <s v="Recruiter"/>
    <s v="FullTime"/>
    <n v="837"/>
    <n v="45"/>
    <n v="80"/>
    <n v="3"/>
    <n v="0"/>
    <m/>
    <n v="0"/>
    <n v="1"/>
    <s v="Current Employees"/>
    <s v="No"/>
  </r>
  <r>
    <x v="22"/>
    <s v="Non-Travel"/>
    <x v="0"/>
    <n v="21"/>
    <x v="1"/>
    <n v="3"/>
    <n v="2"/>
    <x v="6"/>
    <n v="3"/>
    <x v="2"/>
    <n v="5265"/>
    <n v="2"/>
    <s v="No"/>
    <n v="16"/>
    <n v="3"/>
    <n v="1"/>
    <n v="11"/>
    <n v="5"/>
    <n v="5"/>
    <n v="0"/>
    <n v="2"/>
    <x v="3"/>
    <d v="2016-02-06T00:00:00"/>
    <m/>
    <s v="Better Opportunity"/>
    <s v="WFH"/>
    <n v="2"/>
    <n v="0"/>
    <s v="No"/>
    <s v="Walk-in"/>
    <s v="Contract"/>
    <n v="838"/>
    <n v="100"/>
    <n v="80"/>
    <n v="2"/>
    <n v="0"/>
    <m/>
    <n v="0"/>
    <n v="1"/>
    <s v="Current Employees"/>
    <s v="No"/>
  </r>
  <r>
    <x v="13"/>
    <s v="Travel_Frequently"/>
    <x v="0"/>
    <n v="10"/>
    <x v="0"/>
    <n v="3"/>
    <n v="1"/>
    <x v="1"/>
    <n v="3"/>
    <x v="2"/>
    <n v="3815"/>
    <n v="1"/>
    <s v="Yes"/>
    <n v="17"/>
    <n v="3"/>
    <n v="1"/>
    <n v="5"/>
    <n v="4"/>
    <n v="5"/>
    <n v="2"/>
    <n v="0"/>
    <x v="2"/>
    <s v="15-03-2016"/>
    <m/>
    <s v="Salary"/>
    <s v="OFFICE"/>
    <n v="0"/>
    <n v="2"/>
    <s v="Yes"/>
    <s v="Job Event"/>
    <s v="Contract"/>
    <n v="840"/>
    <n v="43"/>
    <n v="80"/>
    <n v="8"/>
    <n v="1"/>
    <n v="1"/>
    <n v="1"/>
    <n v="0"/>
    <s v="Ex-Employees"/>
    <s v="Yes"/>
  </r>
  <r>
    <x v="14"/>
    <s v="Travel_Rarely"/>
    <x v="0"/>
    <n v="3"/>
    <x v="1"/>
    <n v="3"/>
    <n v="1"/>
    <x v="1"/>
    <n v="1"/>
    <x v="0"/>
    <n v="2657"/>
    <n v="5"/>
    <s v="Yes"/>
    <n v="11"/>
    <n v="3"/>
    <n v="0"/>
    <n v="8"/>
    <n v="5"/>
    <n v="5"/>
    <n v="0"/>
    <n v="4"/>
    <x v="0"/>
    <s v="28-01-2016"/>
    <m/>
    <s v="Work Accident"/>
    <s v="OFFICE"/>
    <n v="4"/>
    <n v="0"/>
    <s v="No"/>
    <s v="Walk-in"/>
    <s v="Contract"/>
    <n v="842"/>
    <n v="37"/>
    <n v="80"/>
    <n v="7"/>
    <n v="1"/>
    <n v="1"/>
    <n v="1"/>
    <n v="0"/>
    <s v="Ex-Employees"/>
    <s v="Yes"/>
  </r>
  <r>
    <x v="28"/>
    <s v="Non-Travel"/>
    <x v="0"/>
    <n v="1"/>
    <x v="0"/>
    <n v="1"/>
    <n v="2"/>
    <x v="6"/>
    <n v="3"/>
    <x v="1"/>
    <n v="4345"/>
    <n v="0"/>
    <s v="No"/>
    <n v="12"/>
    <n v="3"/>
    <n v="1"/>
    <n v="6"/>
    <n v="2"/>
    <n v="5"/>
    <n v="1"/>
    <n v="4"/>
    <x v="1"/>
    <s v="17-01-2016"/>
    <m/>
    <s v="Better Opportunity"/>
    <s v="WFH"/>
    <n v="5"/>
    <n v="1"/>
    <s v="No"/>
    <s v="Job Portal"/>
    <s v="Part Time"/>
    <n v="843"/>
    <n v="94"/>
    <n v="80"/>
    <n v="1"/>
    <n v="0"/>
    <m/>
    <n v="0"/>
    <n v="1"/>
    <s v="Current Employees"/>
    <s v="No"/>
  </r>
  <r>
    <x v="20"/>
    <s v="Travel_Rarely"/>
    <x v="0"/>
    <n v="14"/>
    <x v="0"/>
    <n v="3"/>
    <n v="1"/>
    <x v="0"/>
    <n v="4"/>
    <x v="1"/>
    <n v="2436"/>
    <n v="5"/>
    <s v="Yes"/>
    <n v="13"/>
    <n v="3"/>
    <n v="1"/>
    <n v="8"/>
    <n v="2"/>
    <n v="5"/>
    <n v="0"/>
    <n v="4"/>
    <x v="2"/>
    <d v="2016-08-06T00:00:00"/>
    <m/>
    <s v="Salary"/>
    <s v="WFH"/>
    <n v="1"/>
    <n v="1"/>
    <s v="Yes"/>
    <s v="Job Portal"/>
    <s v="Contract"/>
    <n v="844"/>
    <n v="42"/>
    <n v="80"/>
    <n v="8"/>
    <n v="0"/>
    <m/>
    <n v="0"/>
    <n v="1"/>
    <s v="Current Employees"/>
    <s v="No"/>
  </r>
  <r>
    <x v="28"/>
    <s v="Travel_Frequently"/>
    <x v="0"/>
    <n v="29"/>
    <x v="0"/>
    <n v="2"/>
    <n v="1"/>
    <x v="0"/>
    <n v="2"/>
    <x v="0"/>
    <n v="3479"/>
    <n v="0"/>
    <s v="No"/>
    <n v="11"/>
    <n v="3"/>
    <n v="0"/>
    <n v="6"/>
    <n v="2"/>
    <n v="5"/>
    <n v="1"/>
    <n v="4"/>
    <x v="1"/>
    <d v="2016-11-06T00:00:00"/>
    <m/>
    <s v="Work Accident"/>
    <s v="WFH"/>
    <n v="3"/>
    <n v="2"/>
    <s v="No"/>
    <s v="Job Event"/>
    <s v="Contract"/>
    <n v="845"/>
    <n v="59"/>
    <n v="80"/>
    <n v="5"/>
    <n v="0"/>
    <m/>
    <n v="0"/>
    <n v="1"/>
    <s v="Current Employees"/>
    <s v="No"/>
  </r>
  <r>
    <x v="21"/>
    <s v="Travel_Frequently"/>
    <x v="0"/>
    <n v="7"/>
    <x v="0"/>
    <n v="4"/>
    <n v="1"/>
    <x v="0"/>
    <n v="2"/>
    <x v="1"/>
    <n v="2794"/>
    <n v="1"/>
    <s v="No"/>
    <n v="20"/>
    <n v="4"/>
    <n v="0"/>
    <n v="5"/>
    <n v="3"/>
    <n v="5"/>
    <n v="0"/>
    <n v="3"/>
    <x v="2"/>
    <d v="2016-02-01T00:00:00"/>
    <m/>
    <s v="Salary"/>
    <s v="WFH"/>
    <n v="4"/>
    <n v="1"/>
    <s v="No"/>
    <s v="Walk-in"/>
    <s v="Part Time"/>
    <n v="846"/>
    <n v="81"/>
    <n v="80"/>
    <n v="7"/>
    <n v="0"/>
    <m/>
    <n v="0"/>
    <n v="1"/>
    <s v="Current Employees"/>
    <s v="No"/>
  </r>
  <r>
    <x v="6"/>
    <s v="Travel_Rarely"/>
    <x v="0"/>
    <n v="9"/>
    <x v="0"/>
    <n v="3"/>
    <n v="1"/>
    <x v="1"/>
    <n v="4"/>
    <x v="1"/>
    <n v="2070"/>
    <n v="1"/>
    <s v="No"/>
    <n v="23"/>
    <n v="4"/>
    <n v="1"/>
    <n v="5"/>
    <n v="3"/>
    <n v="5"/>
    <n v="0"/>
    <n v="4"/>
    <x v="1"/>
    <d v="2016-08-06T00:00:00"/>
    <m/>
    <s v="Salary"/>
    <s v="WFH"/>
    <n v="5"/>
    <n v="0"/>
    <s v="No"/>
    <s v="Job Event"/>
    <s v="FullTime"/>
    <n v="847"/>
    <n v="88"/>
    <n v="80"/>
    <n v="2"/>
    <n v="0"/>
    <m/>
    <n v="0"/>
    <n v="1"/>
    <s v="Current Employees"/>
    <s v="No"/>
  </r>
  <r>
    <x v="0"/>
    <s v="Travel_Rarely"/>
    <x v="1"/>
    <n v="6"/>
    <x v="0"/>
    <n v="3"/>
    <n v="2"/>
    <x v="4"/>
    <n v="4"/>
    <x v="1"/>
    <n v="6502"/>
    <n v="4"/>
    <s v="No"/>
    <n v="14"/>
    <n v="3"/>
    <n v="1"/>
    <n v="7"/>
    <n v="5"/>
    <n v="5"/>
    <n v="0"/>
    <n v="1"/>
    <x v="3"/>
    <d v="2016-08-05T00:00:00"/>
    <m/>
    <s v="Dept.Head"/>
    <s v="WFH"/>
    <n v="3"/>
    <n v="2"/>
    <s v="Yes"/>
    <s v="Walk-in"/>
    <s v="Contract"/>
    <n v="848"/>
    <n v="88"/>
    <n v="80"/>
    <n v="7"/>
    <n v="1"/>
    <n v="1"/>
    <n v="1"/>
    <n v="0"/>
    <s v="Ex-Employees"/>
    <s v="Yes"/>
  </r>
  <r>
    <x v="0"/>
    <s v="Non-Travel"/>
    <x v="0"/>
    <n v="1"/>
    <x v="1"/>
    <n v="3"/>
    <n v="3"/>
    <x v="2"/>
    <n v="4"/>
    <x v="2"/>
    <n v="13603"/>
    <n v="2"/>
    <s v="Yes"/>
    <n v="18"/>
    <n v="3"/>
    <n v="2"/>
    <n v="15"/>
    <n v="2"/>
    <n v="5"/>
    <n v="0"/>
    <n v="2"/>
    <x v="2"/>
    <s v="13-05-2016"/>
    <m/>
    <s v="Salary"/>
    <s v="OFFICE"/>
    <n v="2"/>
    <n v="2"/>
    <s v="No"/>
    <s v="Walk-in"/>
    <s v="Part Time"/>
    <n v="850"/>
    <n v="50"/>
    <n v="80"/>
    <n v="0"/>
    <n v="0"/>
    <m/>
    <n v="0"/>
    <n v="1"/>
    <s v="Current Employees"/>
    <s v="No"/>
  </r>
  <r>
    <x v="42"/>
    <s v="Travel_Rarely"/>
    <x v="0"/>
    <n v="3"/>
    <x v="0"/>
    <n v="3"/>
    <n v="4"/>
    <x v="2"/>
    <n v="3"/>
    <x v="1"/>
    <n v="17584"/>
    <n v="3"/>
    <s v="Yes"/>
    <n v="16"/>
    <n v="3"/>
    <n v="3"/>
    <n v="21"/>
    <n v="5"/>
    <n v="5"/>
    <n v="1"/>
    <n v="3"/>
    <x v="3"/>
    <s v="23-06-2016"/>
    <m/>
    <s v="Better Opportunity"/>
    <s v="OFFICE"/>
    <n v="0"/>
    <n v="0"/>
    <s v="Yes"/>
    <s v="Job Event"/>
    <s v="Part Time"/>
    <n v="851"/>
    <n v="66"/>
    <n v="80"/>
    <n v="6"/>
    <n v="0"/>
    <m/>
    <n v="0"/>
    <n v="1"/>
    <s v="Current Employees"/>
    <s v="No"/>
  </r>
  <r>
    <x v="11"/>
    <s v="Travel_Frequently"/>
    <x v="0"/>
    <n v="11"/>
    <x v="0"/>
    <n v="3"/>
    <n v="2"/>
    <x v="7"/>
    <n v="1"/>
    <x v="1"/>
    <n v="4741"/>
    <n v="1"/>
    <s v="Yes"/>
    <n v="13"/>
    <n v="3"/>
    <n v="1"/>
    <n v="5"/>
    <n v="3"/>
    <n v="5"/>
    <n v="3"/>
    <n v="3"/>
    <x v="2"/>
    <d v="2016-06-03T00:00:00"/>
    <m/>
    <s v="Dept.Head"/>
    <s v="WFH"/>
    <n v="4"/>
    <n v="1"/>
    <s v="Yes"/>
    <s v="Walk-in"/>
    <s v="Part Time"/>
    <n v="852"/>
    <n v="50"/>
    <n v="80"/>
    <n v="2"/>
    <n v="0"/>
    <m/>
    <n v="0"/>
    <n v="1"/>
    <s v="Current Employees"/>
    <s v="No"/>
  </r>
  <r>
    <x v="6"/>
    <s v="Travel_Rarely"/>
    <x v="0"/>
    <n v="8"/>
    <x v="1"/>
    <n v="3"/>
    <n v="1"/>
    <x v="1"/>
    <n v="4"/>
    <x v="0"/>
    <n v="3310"/>
    <n v="1"/>
    <s v="No"/>
    <n v="21"/>
    <n v="4"/>
    <n v="0"/>
    <n v="5"/>
    <n v="3"/>
    <n v="5"/>
    <n v="0"/>
    <n v="2"/>
    <x v="3"/>
    <s v="25-06-2016"/>
    <m/>
    <s v="Work Accident"/>
    <s v="WFH"/>
    <n v="5"/>
    <n v="3"/>
    <s v="Yes"/>
    <s v="Job Event"/>
    <s v="FullTime"/>
    <n v="854"/>
    <n v="65"/>
    <n v="80"/>
    <n v="3"/>
    <n v="0"/>
    <m/>
    <n v="0"/>
    <n v="1"/>
    <s v="Current Employees"/>
    <s v="No"/>
  </r>
  <r>
    <x v="32"/>
    <s v="Non-Travel"/>
    <x v="0"/>
    <n v="1"/>
    <x v="0"/>
    <n v="1"/>
    <n v="2"/>
    <x v="7"/>
    <n v="3"/>
    <x v="2"/>
    <n v="5660"/>
    <n v="2"/>
    <s v="Yes"/>
    <n v="13"/>
    <n v="3"/>
    <n v="1"/>
    <n v="12"/>
    <n v="2"/>
    <n v="5"/>
    <n v="1"/>
    <n v="2"/>
    <x v="3"/>
    <d v="2016-10-01T00:00:00"/>
    <m/>
    <s v="Dept.Head"/>
    <s v="OFFICE"/>
    <n v="4"/>
    <n v="2"/>
    <s v="Yes"/>
    <s v="Walk-in"/>
    <s v="Part Time"/>
    <n v="855"/>
    <n v="48"/>
    <n v="80"/>
    <n v="8"/>
    <n v="0"/>
    <m/>
    <n v="0"/>
    <n v="1"/>
    <s v="Current Employees"/>
    <s v="No"/>
  </r>
  <r>
    <x v="28"/>
    <s v="Travel_Rarely"/>
    <x v="0"/>
    <n v="5"/>
    <x v="0"/>
    <n v="3"/>
    <n v="1"/>
    <x v="1"/>
    <n v="4"/>
    <x v="1"/>
    <n v="4821"/>
    <n v="0"/>
    <s v="Yes"/>
    <n v="12"/>
    <n v="3"/>
    <n v="1"/>
    <n v="6"/>
    <n v="4"/>
    <n v="5"/>
    <n v="0"/>
    <n v="3"/>
    <x v="0"/>
    <s v="24-05-2016"/>
    <m/>
    <s v="Dept.Head"/>
    <s v="WFH"/>
    <n v="1"/>
    <n v="0"/>
    <s v="Yes"/>
    <s v="Recruiter"/>
    <s v="Part Time"/>
    <n v="856"/>
    <n v="53"/>
    <n v="80"/>
    <n v="5"/>
    <n v="0"/>
    <m/>
    <n v="0"/>
    <n v="1"/>
    <s v="Current Employees"/>
    <s v="No"/>
  </r>
  <r>
    <x v="15"/>
    <s v="Travel_Rarely"/>
    <x v="1"/>
    <n v="2"/>
    <x v="0"/>
    <n v="3"/>
    <n v="2"/>
    <x v="4"/>
    <n v="3"/>
    <x v="0"/>
    <n v="4478"/>
    <n v="1"/>
    <s v="Yes"/>
    <n v="11"/>
    <n v="3"/>
    <n v="0"/>
    <n v="5"/>
    <n v="3"/>
    <n v="5"/>
    <n v="0"/>
    <n v="4"/>
    <x v="3"/>
    <s v="24-03-2016"/>
    <m/>
    <s v="Better Opportunity"/>
    <s v="WFH"/>
    <n v="5"/>
    <n v="2"/>
    <s v="Yes"/>
    <s v="Job Portal"/>
    <s v="Part Time"/>
    <n v="857"/>
    <n v="56"/>
    <n v="80"/>
    <n v="14"/>
    <n v="0"/>
    <m/>
    <n v="0"/>
    <n v="1"/>
    <s v="Current Employees"/>
    <s v="No"/>
  </r>
  <r>
    <x v="15"/>
    <s v="Non-Travel"/>
    <x v="1"/>
    <n v="1"/>
    <x v="0"/>
    <n v="3"/>
    <n v="2"/>
    <x v="4"/>
    <n v="2"/>
    <x v="1"/>
    <n v="6349"/>
    <n v="0"/>
    <s v="Yes"/>
    <n v="13"/>
    <n v="3"/>
    <n v="1"/>
    <n v="6"/>
    <n v="0"/>
    <n v="5"/>
    <n v="1"/>
    <n v="4"/>
    <x v="2"/>
    <s v="28-03-2016"/>
    <m/>
    <s v="Salary"/>
    <s v="OFFICE"/>
    <n v="2"/>
    <n v="2"/>
    <s v="No"/>
    <s v="Recruiter"/>
    <s v="FullTime"/>
    <n v="859"/>
    <n v="73"/>
    <n v="80"/>
    <n v="2"/>
    <n v="0"/>
    <m/>
    <n v="0"/>
    <n v="1"/>
    <s v="Current Employees"/>
    <s v="No"/>
  </r>
  <r>
    <x v="33"/>
    <s v="Travel_Rarely"/>
    <x v="0"/>
    <n v="6"/>
    <x v="0"/>
    <n v="2"/>
    <n v="2"/>
    <x v="6"/>
    <n v="2"/>
    <x v="0"/>
    <n v="6032"/>
    <n v="6"/>
    <s v="Yes"/>
    <n v="15"/>
    <n v="3"/>
    <n v="0"/>
    <n v="8"/>
    <n v="3"/>
    <n v="5"/>
    <n v="1"/>
    <n v="2"/>
    <x v="3"/>
    <s v="13-05-2016"/>
    <m/>
    <s v="Dept.Head"/>
    <s v="WFH"/>
    <n v="1"/>
    <n v="1"/>
    <s v="No"/>
    <s v="Job Portal"/>
    <s v="Part Time"/>
    <n v="861"/>
    <n v="75"/>
    <n v="80"/>
    <n v="4"/>
    <n v="0"/>
    <m/>
    <n v="0"/>
    <n v="1"/>
    <s v="Current Employees"/>
    <s v="No"/>
  </r>
  <r>
    <x v="0"/>
    <s v="Travel_Rarely"/>
    <x v="0"/>
    <n v="10"/>
    <x v="1"/>
    <n v="3"/>
    <n v="1"/>
    <x v="0"/>
    <n v="1"/>
    <x v="1"/>
    <n v="3452"/>
    <n v="6"/>
    <s v="No"/>
    <n v="20"/>
    <n v="4"/>
    <n v="1"/>
    <n v="17"/>
    <n v="3"/>
    <n v="5"/>
    <n v="0"/>
    <n v="3"/>
    <x v="2"/>
    <s v="15-03-2016"/>
    <m/>
    <s v="Salary"/>
    <s v="OFFICE"/>
    <n v="4"/>
    <n v="1"/>
    <s v="No"/>
    <s v="Job Portal"/>
    <s v="Contract"/>
    <n v="862"/>
    <n v="78"/>
    <n v="80"/>
    <n v="2"/>
    <n v="0"/>
    <m/>
    <n v="0"/>
    <n v="1"/>
    <s v="Current Employees"/>
    <s v="No"/>
  </r>
  <r>
    <x v="15"/>
    <s v="Travel_Rarely"/>
    <x v="0"/>
    <n v="1"/>
    <x v="0"/>
    <n v="3"/>
    <n v="1"/>
    <x v="0"/>
    <n v="2"/>
    <x v="2"/>
    <n v="3816"/>
    <n v="1"/>
    <s v="No"/>
    <n v="11"/>
    <n v="3"/>
    <n v="1"/>
    <n v="5"/>
    <n v="2"/>
    <n v="5"/>
    <n v="0"/>
    <n v="4"/>
    <x v="3"/>
    <s v="26-04-2016"/>
    <m/>
    <s v="Dept.Head"/>
    <s v="WFH"/>
    <n v="5"/>
    <n v="0"/>
    <s v="Yes"/>
    <s v="Job Portal"/>
    <s v="Contract"/>
    <n v="864"/>
    <n v="74"/>
    <n v="80"/>
    <n v="4"/>
    <n v="0"/>
    <m/>
    <n v="0"/>
    <n v="1"/>
    <s v="Current Employees"/>
    <s v="No"/>
  </r>
  <r>
    <x v="39"/>
    <s v="Travel_Rarely"/>
    <x v="0"/>
    <n v="7"/>
    <x v="0"/>
    <n v="2"/>
    <n v="3"/>
    <x v="7"/>
    <n v="3"/>
    <x v="0"/>
    <n v="10965"/>
    <n v="8"/>
    <s v="No"/>
    <n v="24"/>
    <n v="4"/>
    <n v="0"/>
    <n v="26"/>
    <n v="2"/>
    <n v="5"/>
    <n v="0"/>
    <n v="0"/>
    <x v="0"/>
    <d v="2016-07-04T00:00:00"/>
    <m/>
    <s v="Dept.Head"/>
    <s v="OFFICE"/>
    <n v="3"/>
    <n v="0"/>
    <s v="Yes"/>
    <s v="Walk-in"/>
    <s v="Part Time"/>
    <n v="865"/>
    <n v="91"/>
    <n v="80"/>
    <n v="3"/>
    <n v="0"/>
    <m/>
    <n v="0"/>
    <n v="1"/>
    <s v="Current Employees"/>
    <s v="No"/>
  </r>
  <r>
    <x v="13"/>
    <s v="Non-Travel"/>
    <x v="1"/>
    <n v="19"/>
    <x v="0"/>
    <n v="4"/>
    <n v="2"/>
    <x v="4"/>
    <n v="4"/>
    <x v="0"/>
    <n v="5304"/>
    <n v="8"/>
    <s v="Yes"/>
    <n v="13"/>
    <n v="3"/>
    <n v="0"/>
    <n v="9"/>
    <n v="3"/>
    <n v="5"/>
    <n v="0"/>
    <n v="4"/>
    <x v="3"/>
    <d v="2016-01-04T00:00:00"/>
    <m/>
    <s v="Better Opportunity"/>
    <s v="WFH"/>
    <n v="0"/>
    <n v="3"/>
    <s v="Yes"/>
    <s v="Job Event"/>
    <s v="Contract"/>
    <n v="867"/>
    <n v="81"/>
    <n v="80"/>
    <n v="8"/>
    <n v="0"/>
    <m/>
    <n v="0"/>
    <n v="1"/>
    <s v="Current Employees"/>
    <s v="No"/>
  </r>
  <r>
    <x v="29"/>
    <s v="Travel_Rarely"/>
    <x v="0"/>
    <n v="2"/>
    <x v="1"/>
    <n v="3"/>
    <n v="4"/>
    <x v="5"/>
    <n v="4"/>
    <x v="0"/>
    <n v="16659"/>
    <n v="2"/>
    <s v="Yes"/>
    <n v="13"/>
    <n v="3"/>
    <n v="0"/>
    <n v="30"/>
    <n v="2"/>
    <n v="5"/>
    <n v="1"/>
    <n v="2"/>
    <x v="0"/>
    <d v="2016-07-01T00:00:00"/>
    <m/>
    <s v="Salary"/>
    <s v="OFFICE"/>
    <n v="0"/>
    <n v="3"/>
    <s v="Yes"/>
    <s v="Job Portal"/>
    <s v="FullTime"/>
    <n v="868"/>
    <n v="66"/>
    <n v="80"/>
    <n v="0"/>
    <n v="0"/>
    <m/>
    <n v="0"/>
    <n v="1"/>
    <s v="Current Employees"/>
    <s v="No"/>
  </r>
  <r>
    <x v="19"/>
    <s v="Travel_Rarely"/>
    <x v="1"/>
    <n v="10"/>
    <x v="1"/>
    <n v="3"/>
    <n v="2"/>
    <x v="4"/>
    <n v="3"/>
    <x v="2"/>
    <n v="4260"/>
    <n v="1"/>
    <s v="Yes"/>
    <n v="12"/>
    <n v="3"/>
    <n v="1"/>
    <n v="5"/>
    <n v="2"/>
    <n v="5"/>
    <n v="0"/>
    <n v="3"/>
    <x v="3"/>
    <d v="2016-08-01T00:00:00"/>
    <m/>
    <s v="Better Opportunity"/>
    <s v="WFH"/>
    <n v="2"/>
    <n v="0"/>
    <s v="No"/>
    <s v="Job Portal"/>
    <s v="FullTime"/>
    <n v="869"/>
    <n v="63"/>
    <n v="80"/>
    <n v="1"/>
    <n v="0"/>
    <m/>
    <n v="0"/>
    <n v="1"/>
    <s v="Current Employees"/>
    <s v="No"/>
  </r>
  <r>
    <x v="18"/>
    <s v="Travel_Rarely"/>
    <x v="1"/>
    <n v="2"/>
    <x v="1"/>
    <n v="3"/>
    <n v="2"/>
    <x v="4"/>
    <n v="2"/>
    <x v="2"/>
    <n v="5715"/>
    <n v="7"/>
    <s v="No"/>
    <n v="12"/>
    <n v="3"/>
    <n v="2"/>
    <n v="8"/>
    <n v="5"/>
    <n v="5"/>
    <n v="1"/>
    <n v="3"/>
    <x v="2"/>
    <d v="2016-09-02T00:00:00"/>
    <m/>
    <s v="Better Opportunity"/>
    <s v="WFH"/>
    <n v="3"/>
    <n v="3"/>
    <s v="Yes"/>
    <s v="Recruiter"/>
    <s v="FullTime"/>
    <n v="872"/>
    <n v="33"/>
    <n v="80"/>
    <n v="2"/>
    <n v="0"/>
    <m/>
    <n v="0"/>
    <n v="1"/>
    <s v="Current Employees"/>
    <s v="No"/>
  </r>
  <r>
    <x v="22"/>
    <s v="Travel_Rarely"/>
    <x v="0"/>
    <n v="1"/>
    <x v="1"/>
    <n v="3"/>
    <n v="1"/>
    <x v="0"/>
    <n v="1"/>
    <x v="2"/>
    <n v="2576"/>
    <n v="3"/>
    <s v="No"/>
    <n v="16"/>
    <n v="3"/>
    <n v="1"/>
    <n v="8"/>
    <n v="5"/>
    <n v="5"/>
    <n v="1"/>
    <n v="2"/>
    <x v="0"/>
    <s v="17-04-2016"/>
    <m/>
    <s v="Work Environment"/>
    <s v="WFH"/>
    <n v="4"/>
    <n v="2"/>
    <s v="No"/>
    <s v="Job Event"/>
    <s v="Contract"/>
    <n v="874"/>
    <n v="62"/>
    <n v="80"/>
    <n v="2"/>
    <n v="0"/>
    <m/>
    <n v="0"/>
    <n v="1"/>
    <s v="Current Employees"/>
    <s v="No"/>
  </r>
  <r>
    <x v="34"/>
    <s v="Travel_Rarely"/>
    <x v="0"/>
    <n v="8"/>
    <x v="1"/>
    <n v="3"/>
    <n v="2"/>
    <x v="7"/>
    <n v="3"/>
    <x v="2"/>
    <n v="4522"/>
    <n v="4"/>
    <s v="Yes"/>
    <n v="14"/>
    <n v="3"/>
    <n v="0"/>
    <n v="8"/>
    <n v="3"/>
    <n v="5"/>
    <n v="0"/>
    <n v="2"/>
    <x v="3"/>
    <s v="24-02-2016"/>
    <m/>
    <s v="Work Accident"/>
    <s v="OFFICE"/>
    <n v="3"/>
    <n v="2"/>
    <s v="No"/>
    <s v="Job Portal"/>
    <s v="Contract"/>
    <n v="875"/>
    <n v="35"/>
    <n v="80"/>
    <n v="1"/>
    <n v="0"/>
    <m/>
    <n v="0"/>
    <n v="1"/>
    <s v="Current Employees"/>
    <s v="No"/>
  </r>
  <r>
    <x v="38"/>
    <s v="Travel_Rarely"/>
    <x v="1"/>
    <n v="4"/>
    <x v="1"/>
    <n v="2"/>
    <n v="2"/>
    <x v="4"/>
    <n v="4"/>
    <x v="0"/>
    <n v="4487"/>
    <n v="1"/>
    <s v="Yes"/>
    <n v="11"/>
    <n v="3"/>
    <n v="0"/>
    <n v="5"/>
    <n v="3"/>
    <n v="5"/>
    <n v="1"/>
    <n v="3"/>
    <x v="1"/>
    <s v="18-04-2016"/>
    <m/>
    <s v="Salary"/>
    <s v="WFH"/>
    <n v="1"/>
    <n v="1"/>
    <s v="Yes"/>
    <s v="Recruiter"/>
    <s v="Part Time"/>
    <n v="878"/>
    <n v="77"/>
    <n v="80"/>
    <n v="4"/>
    <n v="0"/>
    <m/>
    <n v="0"/>
    <n v="1"/>
    <s v="Current Employees"/>
    <s v="No"/>
  </r>
  <r>
    <x v="14"/>
    <s v="Travel_Rarely"/>
    <x v="1"/>
    <n v="12"/>
    <x v="1"/>
    <n v="3"/>
    <n v="2"/>
    <x v="4"/>
    <n v="3"/>
    <x v="0"/>
    <n v="6577"/>
    <n v="0"/>
    <s v="No"/>
    <n v="11"/>
    <n v="3"/>
    <n v="0"/>
    <n v="6"/>
    <n v="6"/>
    <n v="5"/>
    <n v="4"/>
    <n v="4"/>
    <x v="2"/>
    <s v="30-01-2016"/>
    <m/>
    <s v="Salary"/>
    <s v="WFH"/>
    <n v="1"/>
    <n v="1"/>
    <s v="Yes"/>
    <s v="Job Event"/>
    <s v="Contract"/>
    <n v="879"/>
    <n v="98"/>
    <n v="80"/>
    <n v="3"/>
    <n v="0"/>
    <m/>
    <n v="0"/>
    <n v="1"/>
    <s v="Current Employees"/>
    <s v="No"/>
  </r>
  <r>
    <x v="41"/>
    <s v="Travel_Rarely"/>
    <x v="0"/>
    <n v="3"/>
    <x v="0"/>
    <n v="2"/>
    <n v="3"/>
    <x v="6"/>
    <n v="3"/>
    <x v="1"/>
    <n v="7969"/>
    <n v="2"/>
    <s v="Yes"/>
    <n v="14"/>
    <n v="3"/>
    <n v="0"/>
    <n v="28"/>
    <n v="4"/>
    <n v="5"/>
    <n v="0"/>
    <n v="4"/>
    <x v="2"/>
    <s v="15-01-2016"/>
    <m/>
    <s v="Salary"/>
    <s v="WFH"/>
    <n v="5"/>
    <n v="1"/>
    <s v="Yes"/>
    <s v="Walk-in"/>
    <s v="FullTime"/>
    <n v="880"/>
    <n v="66"/>
    <n v="80"/>
    <n v="14"/>
    <n v="0"/>
    <m/>
    <n v="0"/>
    <n v="1"/>
    <s v="Current Employees"/>
    <s v="No"/>
  </r>
  <r>
    <x v="41"/>
    <s v="Travel_Rarely"/>
    <x v="0"/>
    <n v="4"/>
    <x v="1"/>
    <n v="3"/>
    <n v="4"/>
    <x v="5"/>
    <n v="4"/>
    <x v="1"/>
    <n v="16555"/>
    <n v="2"/>
    <s v="No"/>
    <n v="13"/>
    <n v="3"/>
    <n v="0"/>
    <n v="31"/>
    <n v="2"/>
    <n v="5"/>
    <n v="1"/>
    <n v="4"/>
    <x v="2"/>
    <d v="2016-01-04T00:00:00"/>
    <m/>
    <s v="Work Accident"/>
    <s v="WFH"/>
    <n v="5"/>
    <n v="2"/>
    <s v="Yes"/>
    <s v="Recruiter"/>
    <s v="Part Time"/>
    <n v="881"/>
    <n v="96"/>
    <n v="80"/>
    <n v="2"/>
    <n v="1"/>
    <n v="1"/>
    <n v="1"/>
    <n v="0"/>
    <s v="Ex-Employees"/>
    <s v="Yes"/>
  </r>
  <r>
    <x v="22"/>
    <s v="Travel_Frequently"/>
    <x v="0"/>
    <n v="29"/>
    <x v="1"/>
    <n v="3"/>
    <n v="2"/>
    <x v="1"/>
    <n v="3"/>
    <x v="2"/>
    <n v="4556"/>
    <n v="2"/>
    <s v="No"/>
    <n v="11"/>
    <n v="3"/>
    <n v="1"/>
    <n v="19"/>
    <n v="3"/>
    <n v="5"/>
    <n v="0"/>
    <n v="2"/>
    <x v="2"/>
    <d v="2016-12-02T00:00:00"/>
    <m/>
    <s v="Dept.Head"/>
    <s v="WFH"/>
    <n v="0"/>
    <n v="2"/>
    <s v="No"/>
    <s v="Walk-in"/>
    <s v="Part Time"/>
    <n v="882"/>
    <n v="61"/>
    <n v="80"/>
    <n v="0"/>
    <n v="0"/>
    <m/>
    <n v="0"/>
    <n v="1"/>
    <s v="Current Employees"/>
    <s v="No"/>
  </r>
  <r>
    <x v="14"/>
    <s v="Travel_Rarely"/>
    <x v="0"/>
    <n v="2"/>
    <x v="1"/>
    <n v="1"/>
    <n v="2"/>
    <x v="6"/>
    <n v="4"/>
    <x v="0"/>
    <n v="6091"/>
    <n v="2"/>
    <s v="No"/>
    <n v="20"/>
    <n v="4"/>
    <n v="0"/>
    <n v="11"/>
    <n v="2"/>
    <n v="5"/>
    <n v="0"/>
    <n v="2"/>
    <x v="3"/>
    <s v="27-06-2016"/>
    <m/>
    <s v="Dept.Head"/>
    <s v="WFH"/>
    <n v="4"/>
    <n v="2"/>
    <s v="Yes"/>
    <s v="Recruiter"/>
    <s v="FullTime"/>
    <n v="885"/>
    <n v="87"/>
    <n v="80"/>
    <n v="2"/>
    <n v="0"/>
    <m/>
    <n v="0"/>
    <n v="1"/>
    <s v="Current Employees"/>
    <s v="No"/>
  </r>
  <r>
    <x v="19"/>
    <s v="Travel_Rarely"/>
    <x v="1"/>
    <n v="1"/>
    <x v="1"/>
    <n v="3"/>
    <n v="1"/>
    <x v="3"/>
    <n v="2"/>
    <x v="0"/>
    <n v="3202"/>
    <n v="1"/>
    <s v="Yes"/>
    <n v="16"/>
    <n v="3"/>
    <n v="0"/>
    <n v="6"/>
    <n v="4"/>
    <n v="5"/>
    <n v="1"/>
    <n v="4"/>
    <x v="0"/>
    <s v="22-06-2016"/>
    <m/>
    <s v="Dept.Head"/>
    <s v="WFH"/>
    <n v="4"/>
    <n v="3"/>
    <s v="No"/>
    <s v="Recruiter"/>
    <s v="FullTime"/>
    <n v="887"/>
    <n v="36"/>
    <n v="80"/>
    <n v="2"/>
    <n v="0"/>
    <m/>
    <n v="0"/>
    <n v="1"/>
    <s v="Current Employees"/>
    <s v="No"/>
  </r>
  <r>
    <x v="14"/>
    <s v="Non-Travel"/>
    <x v="0"/>
    <n v="3"/>
    <x v="0"/>
    <n v="3"/>
    <n v="1"/>
    <x v="0"/>
    <n v="4"/>
    <x v="1"/>
    <n v="2097"/>
    <n v="4"/>
    <s v="No"/>
    <n v="15"/>
    <n v="3"/>
    <n v="1"/>
    <n v="9"/>
    <n v="3"/>
    <n v="5"/>
    <n v="1"/>
    <n v="4"/>
    <x v="0"/>
    <s v="28-05-2016"/>
    <m/>
    <s v="Work Accident"/>
    <s v="OFFICE"/>
    <n v="3"/>
    <n v="3"/>
    <s v="Yes"/>
    <s v="Walk-in"/>
    <s v="Part Time"/>
    <n v="888"/>
    <n v="46"/>
    <n v="80"/>
    <n v="2"/>
    <n v="0"/>
    <m/>
    <n v="0"/>
    <n v="1"/>
    <s v="Current Employees"/>
    <s v="No"/>
  </r>
  <r>
    <x v="9"/>
    <s v="Travel_Rarely"/>
    <x v="0"/>
    <n v="2"/>
    <x v="1"/>
    <n v="3"/>
    <n v="2"/>
    <x v="6"/>
    <n v="4"/>
    <x v="2"/>
    <n v="5070"/>
    <n v="5"/>
    <s v="No"/>
    <n v="13"/>
    <n v="3"/>
    <n v="3"/>
    <n v="20"/>
    <n v="2"/>
    <n v="5"/>
    <n v="0"/>
    <n v="4"/>
    <x v="0"/>
    <s v="27-03-2016"/>
    <m/>
    <s v="Work Environment"/>
    <s v="WFH"/>
    <n v="3"/>
    <n v="3"/>
    <s v="Yes"/>
    <s v="Job Event"/>
    <s v="FullTime"/>
    <n v="889"/>
    <n v="48"/>
    <n v="80"/>
    <n v="8"/>
    <n v="0"/>
    <m/>
    <n v="0"/>
    <n v="1"/>
    <s v="Current Employees"/>
    <s v="No"/>
  </r>
  <r>
    <x v="27"/>
    <s v="Travel_Rarely"/>
    <x v="0"/>
    <n v="22"/>
    <x v="0"/>
    <n v="1"/>
    <n v="1"/>
    <x v="0"/>
    <n v="3"/>
    <x v="0"/>
    <n v="4230"/>
    <n v="0"/>
    <s v="No"/>
    <n v="15"/>
    <n v="3"/>
    <n v="0"/>
    <n v="6"/>
    <n v="2"/>
    <n v="5"/>
    <n v="4"/>
    <n v="3"/>
    <x v="1"/>
    <s v="21-05-2016"/>
    <m/>
    <s v="Salary"/>
    <s v="WFH"/>
    <n v="3"/>
    <n v="1"/>
    <s v="Yes"/>
    <s v="Job Portal"/>
    <s v="Part Time"/>
    <n v="893"/>
    <n v="98"/>
    <n v="80"/>
    <n v="2"/>
    <n v="0"/>
    <m/>
    <n v="0"/>
    <n v="1"/>
    <s v="Current Employees"/>
    <s v="No"/>
  </r>
  <r>
    <x v="28"/>
    <s v="Travel_Rarely"/>
    <x v="1"/>
    <n v="7"/>
    <x v="0"/>
    <n v="2"/>
    <n v="3"/>
    <x v="5"/>
    <n v="4"/>
    <x v="2"/>
    <n v="11557"/>
    <n v="9"/>
    <s v="No"/>
    <n v="21"/>
    <n v="4"/>
    <n v="1"/>
    <n v="10"/>
    <n v="3"/>
    <n v="5"/>
    <n v="0"/>
    <n v="1"/>
    <x v="2"/>
    <s v="24-04-2016"/>
    <m/>
    <s v="Dept.Head"/>
    <s v="WFH"/>
    <n v="0"/>
    <n v="0"/>
    <s v="No"/>
    <s v="Job Event"/>
    <s v="Contract"/>
    <n v="894"/>
    <n v="95"/>
    <n v="80"/>
    <n v="3"/>
    <n v="0"/>
    <m/>
    <n v="0"/>
    <n v="1"/>
    <s v="Current Employees"/>
    <s v="No"/>
  </r>
  <r>
    <x v="27"/>
    <s v="Travel_Rarely"/>
    <x v="1"/>
    <n v="1"/>
    <x v="1"/>
    <n v="3"/>
    <n v="2"/>
    <x v="4"/>
    <n v="3"/>
    <x v="0"/>
    <n v="4859"/>
    <n v="1"/>
    <s v="No"/>
    <n v="16"/>
    <n v="3"/>
    <n v="0"/>
    <n v="5"/>
    <n v="3"/>
    <n v="5"/>
    <n v="0"/>
    <n v="3"/>
    <x v="1"/>
    <d v="2016-06-04T00:00:00"/>
    <m/>
    <s v="Better Opportunity"/>
    <s v="WFH"/>
    <n v="3"/>
    <n v="2"/>
    <s v="No"/>
    <s v="Recruiter"/>
    <s v="Part Time"/>
    <n v="895"/>
    <n v="48"/>
    <n v="80"/>
    <n v="4"/>
    <n v="0"/>
    <m/>
    <n v="0"/>
    <n v="1"/>
    <s v="Current Employees"/>
    <s v="No"/>
  </r>
  <r>
    <x v="11"/>
    <s v="Travel_Rarely"/>
    <x v="1"/>
    <n v="28"/>
    <x v="0"/>
    <n v="3"/>
    <n v="2"/>
    <x v="4"/>
    <n v="2"/>
    <x v="1"/>
    <n v="6272"/>
    <n v="1"/>
    <s v="No"/>
    <n v="20"/>
    <n v="4"/>
    <n v="2"/>
    <n v="6"/>
    <n v="5"/>
    <n v="5"/>
    <n v="1"/>
    <n v="4"/>
    <x v="0"/>
    <s v="27-05-2016"/>
    <m/>
    <s v="Better Opportunity"/>
    <s v="WFH"/>
    <n v="3"/>
    <n v="1"/>
    <s v="Yes"/>
    <s v="Walk-in"/>
    <s v="Contract"/>
    <n v="896"/>
    <n v="48"/>
    <n v="80"/>
    <n v="2"/>
    <n v="1"/>
    <n v="1"/>
    <n v="1"/>
    <n v="0"/>
    <s v="Ex-Employees"/>
    <s v="Yes"/>
  </r>
  <r>
    <x v="15"/>
    <s v="Travel_Rarely"/>
    <x v="0"/>
    <n v="6"/>
    <x v="1"/>
    <n v="2"/>
    <n v="1"/>
    <x v="1"/>
    <n v="3"/>
    <x v="2"/>
    <n v="2187"/>
    <n v="0"/>
    <s v="No"/>
    <n v="12"/>
    <n v="3"/>
    <n v="2"/>
    <n v="6"/>
    <n v="5"/>
    <n v="5"/>
    <n v="0"/>
    <n v="3"/>
    <x v="2"/>
    <s v="15-02-2016"/>
    <m/>
    <s v="Work Accident"/>
    <s v="OFFICE"/>
    <n v="3"/>
    <n v="2"/>
    <s v="Yes"/>
    <s v="Recruiter"/>
    <s v="FullTime"/>
    <n v="897"/>
    <n v="73"/>
    <n v="80"/>
    <n v="0"/>
    <n v="0"/>
    <m/>
    <n v="0"/>
    <n v="1"/>
    <s v="Current Employees"/>
    <s v="No"/>
  </r>
  <r>
    <x v="20"/>
    <s v="Travel_Rarely"/>
    <x v="1"/>
    <n v="8"/>
    <x v="0"/>
    <n v="3"/>
    <n v="2"/>
    <x v="4"/>
    <n v="3"/>
    <x v="2"/>
    <n v="7104"/>
    <n v="0"/>
    <s v="No"/>
    <n v="12"/>
    <n v="3"/>
    <n v="0"/>
    <n v="6"/>
    <n v="3"/>
    <n v="5"/>
    <n v="1"/>
    <n v="2"/>
    <x v="3"/>
    <s v="24-05-2016"/>
    <m/>
    <s v="Salary"/>
    <s v="OFFICE"/>
    <n v="1"/>
    <n v="0"/>
    <s v="No"/>
    <s v="Recruiter"/>
    <s v="FullTime"/>
    <n v="899"/>
    <n v="78"/>
    <n v="80"/>
    <n v="10"/>
    <n v="0"/>
    <m/>
    <n v="0"/>
    <n v="1"/>
    <s v="Current Employees"/>
    <s v="No"/>
  </r>
  <r>
    <x v="42"/>
    <s v="Travel_Rarely"/>
    <x v="0"/>
    <n v="7"/>
    <x v="0"/>
    <n v="4"/>
    <n v="4"/>
    <x v="2"/>
    <n v="3"/>
    <x v="1"/>
    <n v="14814"/>
    <n v="3"/>
    <s v="No"/>
    <n v="19"/>
    <n v="3"/>
    <n v="0"/>
    <n v="32"/>
    <n v="3"/>
    <n v="5"/>
    <n v="1"/>
    <n v="3"/>
    <x v="3"/>
    <s v="27-01-2016"/>
    <m/>
    <s v="Better Opportunity"/>
    <s v="WFH"/>
    <n v="5"/>
    <n v="0"/>
    <s v="Yes"/>
    <s v="Walk-in"/>
    <s v="FullTime"/>
    <n v="900"/>
    <n v="54"/>
    <n v="80"/>
    <n v="4"/>
    <n v="0"/>
    <m/>
    <n v="0"/>
    <n v="1"/>
    <s v="Current Employees"/>
    <s v="No"/>
  </r>
  <r>
    <x v="17"/>
    <s v="Non-Travel"/>
    <x v="0"/>
    <n v="24"/>
    <x v="0"/>
    <n v="1"/>
    <n v="1"/>
    <x v="0"/>
    <n v="3"/>
    <x v="0"/>
    <n v="3708"/>
    <n v="2"/>
    <s v="No"/>
    <n v="14"/>
    <n v="3"/>
    <n v="0"/>
    <n v="9"/>
    <n v="5"/>
    <n v="5"/>
    <n v="1"/>
    <n v="4"/>
    <x v="1"/>
    <s v="22-03-2016"/>
    <m/>
    <s v="Dept.Head"/>
    <s v="WFH"/>
    <n v="0"/>
    <n v="1"/>
    <s v="No"/>
    <s v="Job Event"/>
    <s v="FullTime"/>
    <n v="901"/>
    <n v="72"/>
    <n v="80"/>
    <n v="9"/>
    <n v="0"/>
    <m/>
    <n v="0"/>
    <n v="1"/>
    <s v="Current Employees"/>
    <s v="No"/>
  </r>
  <r>
    <x v="13"/>
    <s v="Travel_Rarely"/>
    <x v="0"/>
    <n v="8"/>
    <x v="1"/>
    <n v="3"/>
    <n v="2"/>
    <x v="7"/>
    <n v="3"/>
    <x v="0"/>
    <n v="6142"/>
    <n v="3"/>
    <s v="No"/>
    <n v="11"/>
    <n v="3"/>
    <n v="0"/>
    <n v="10"/>
    <n v="2"/>
    <n v="5"/>
    <n v="4"/>
    <n v="3"/>
    <x v="0"/>
    <d v="2016-12-01T00:00:00"/>
    <m/>
    <s v="Better Opportunity"/>
    <s v="OFFICE"/>
    <n v="5"/>
    <n v="1"/>
    <s v="Yes"/>
    <s v="Job Event"/>
    <s v="Contract"/>
    <n v="902"/>
    <n v="33"/>
    <n v="80"/>
    <n v="2"/>
    <n v="0"/>
    <m/>
    <n v="0"/>
    <n v="1"/>
    <s v="Current Employees"/>
    <s v="No"/>
  </r>
  <r>
    <x v="9"/>
    <s v="Travel_Frequently"/>
    <x v="1"/>
    <n v="27"/>
    <x v="1"/>
    <n v="4"/>
    <n v="2"/>
    <x v="4"/>
    <n v="3"/>
    <x v="0"/>
    <n v="6397"/>
    <n v="4"/>
    <s v="Yes"/>
    <n v="12"/>
    <n v="3"/>
    <n v="0"/>
    <n v="8"/>
    <n v="2"/>
    <n v="5"/>
    <n v="1"/>
    <n v="3"/>
    <x v="2"/>
    <s v="20-03-2016"/>
    <m/>
    <s v="Better Opportunity"/>
    <s v="WFH"/>
    <n v="0"/>
    <n v="0"/>
    <s v="No"/>
    <s v="Walk-in"/>
    <s v="Part Time"/>
    <n v="903"/>
    <n v="35"/>
    <n v="80"/>
    <n v="6"/>
    <n v="0"/>
    <m/>
    <n v="0"/>
    <n v="1"/>
    <s v="Current Employees"/>
    <s v="No"/>
  </r>
  <r>
    <x v="29"/>
    <s v="Travel_Rarely"/>
    <x v="0"/>
    <n v="2"/>
    <x v="0"/>
    <n v="3"/>
    <n v="5"/>
    <x v="5"/>
    <n v="1"/>
    <x v="1"/>
    <n v="19859"/>
    <n v="5"/>
    <s v="Yes"/>
    <n v="13"/>
    <n v="3"/>
    <n v="1"/>
    <n v="24"/>
    <n v="2"/>
    <n v="5"/>
    <n v="1"/>
    <n v="4"/>
    <x v="1"/>
    <s v="17-05-2016"/>
    <m/>
    <s v="Work Accident"/>
    <s v="OFFICE"/>
    <n v="5"/>
    <n v="2"/>
    <s v="Yes"/>
    <s v="Walk-in"/>
    <s v="FullTime"/>
    <n v="904"/>
    <n v="32"/>
    <n v="80"/>
    <n v="0"/>
    <n v="0"/>
    <m/>
    <n v="0"/>
    <n v="1"/>
    <s v="Current Employees"/>
    <s v="No"/>
  </r>
  <r>
    <x v="37"/>
    <s v="Travel_Rarely"/>
    <x v="0"/>
    <n v="19"/>
    <x v="1"/>
    <n v="3"/>
    <n v="2"/>
    <x v="6"/>
    <n v="1"/>
    <x v="2"/>
    <n v="5485"/>
    <n v="9"/>
    <s v="Yes"/>
    <n v="11"/>
    <n v="3"/>
    <n v="2"/>
    <n v="9"/>
    <n v="4"/>
    <n v="5"/>
    <n v="1"/>
    <n v="4"/>
    <x v="1"/>
    <s v="14-03-2016"/>
    <m/>
    <s v="Dept.Head"/>
    <s v="OFFICE"/>
    <n v="4"/>
    <n v="1"/>
    <s v="No"/>
    <s v="Recruiter"/>
    <s v="Part Time"/>
    <n v="905"/>
    <n v="98"/>
    <n v="80"/>
    <n v="6"/>
    <n v="0"/>
    <m/>
    <n v="0"/>
    <n v="1"/>
    <s v="Current Employees"/>
    <s v="No"/>
  </r>
  <r>
    <x v="0"/>
    <s v="Travel_Rarely"/>
    <x v="0"/>
    <n v="10"/>
    <x v="1"/>
    <n v="3"/>
    <n v="1"/>
    <x v="1"/>
    <n v="1"/>
    <x v="2"/>
    <n v="2782"/>
    <n v="0"/>
    <s v="Yes"/>
    <n v="13"/>
    <n v="3"/>
    <n v="2"/>
    <n v="6"/>
    <n v="3"/>
    <n v="5"/>
    <n v="4"/>
    <n v="3"/>
    <x v="0"/>
    <s v="13-04-2016"/>
    <m/>
    <s v="Salary"/>
    <s v="WFH"/>
    <n v="1"/>
    <n v="1"/>
    <s v="No"/>
    <s v="Recruiter"/>
    <s v="Part Time"/>
    <n v="909"/>
    <n v="42"/>
    <n v="80"/>
    <n v="4"/>
    <n v="0"/>
    <m/>
    <n v="0"/>
    <n v="1"/>
    <s v="Current Employees"/>
    <s v="No"/>
  </r>
  <r>
    <x v="41"/>
    <s v="Travel_Rarely"/>
    <x v="0"/>
    <n v="11"/>
    <x v="1"/>
    <n v="3"/>
    <n v="2"/>
    <x v="0"/>
    <n v="3"/>
    <x v="1"/>
    <n v="3149"/>
    <n v="8"/>
    <s v="No"/>
    <n v="20"/>
    <n v="4"/>
    <n v="1"/>
    <n v="9"/>
    <n v="3"/>
    <n v="5"/>
    <n v="1"/>
    <n v="4"/>
    <x v="3"/>
    <s v="18-02-2016"/>
    <m/>
    <s v="Work Environment"/>
    <s v="OFFICE"/>
    <n v="1"/>
    <n v="3"/>
    <s v="No"/>
    <s v="Walk-in"/>
    <s v="FullTime"/>
    <n v="910"/>
    <n v="57"/>
    <n v="80"/>
    <n v="3"/>
    <n v="0"/>
    <m/>
    <n v="0"/>
    <n v="1"/>
    <s v="Current Employees"/>
    <s v="No"/>
  </r>
  <r>
    <x v="26"/>
    <s v="Travel_Rarely"/>
    <x v="2"/>
    <n v="13"/>
    <x v="0"/>
    <n v="3"/>
    <n v="1"/>
    <x v="8"/>
    <n v="2"/>
    <x v="1"/>
    <n v="2143"/>
    <n v="4"/>
    <s v="No"/>
    <n v="13"/>
    <n v="3"/>
    <n v="1"/>
    <n v="8"/>
    <n v="2"/>
    <n v="5"/>
    <n v="0"/>
    <n v="4"/>
    <x v="3"/>
    <d v="2016-11-05T00:00:00"/>
    <m/>
    <s v="Work Accident"/>
    <s v="OFFICE"/>
    <n v="5"/>
    <n v="3"/>
    <s v="Yes"/>
    <s v="Walk-in"/>
    <s v="Contract"/>
    <n v="911"/>
    <n v="87"/>
    <n v="80"/>
    <n v="0"/>
    <n v="1"/>
    <n v="1"/>
    <n v="1"/>
    <n v="0"/>
    <s v="Ex-Employees"/>
    <s v="Yes"/>
  </r>
  <r>
    <x v="13"/>
    <s v="Travel_Frequently"/>
    <x v="0"/>
    <n v="16"/>
    <x v="1"/>
    <n v="2"/>
    <n v="1"/>
    <x v="1"/>
    <n v="4"/>
    <x v="0"/>
    <n v="2553"/>
    <n v="1"/>
    <s v="No"/>
    <n v="16"/>
    <n v="3"/>
    <n v="0"/>
    <n v="6"/>
    <n v="3"/>
    <n v="5"/>
    <n v="1"/>
    <n v="3"/>
    <x v="3"/>
    <s v="14-01-2016"/>
    <m/>
    <s v="Work Accident"/>
    <s v="WFH"/>
    <n v="4"/>
    <n v="3"/>
    <s v="Yes"/>
    <s v="Recruiter"/>
    <s v="Part Time"/>
    <n v="912"/>
    <n v="62"/>
    <n v="80"/>
    <n v="3"/>
    <n v="0"/>
    <m/>
    <n v="0"/>
    <n v="1"/>
    <s v="Current Employees"/>
    <s v="No"/>
  </r>
  <r>
    <x v="17"/>
    <s v="Travel_Rarely"/>
    <x v="0"/>
    <n v="4"/>
    <x v="0"/>
    <n v="3"/>
    <n v="2"/>
    <x v="7"/>
    <n v="2"/>
    <x v="0"/>
    <n v="5933"/>
    <n v="9"/>
    <s v="No"/>
    <n v="12"/>
    <n v="3"/>
    <n v="0"/>
    <n v="10"/>
    <n v="2"/>
    <n v="5"/>
    <n v="2"/>
    <n v="3"/>
    <x v="1"/>
    <s v="23-06-2016"/>
    <m/>
    <s v="Work Environment"/>
    <s v="OFFICE"/>
    <n v="1"/>
    <n v="2"/>
    <s v="No"/>
    <s v="Recruiter"/>
    <s v="FullTime"/>
    <n v="913"/>
    <n v="61"/>
    <n v="80"/>
    <n v="7"/>
    <n v="0"/>
    <m/>
    <n v="0"/>
    <n v="1"/>
    <s v="Current Employees"/>
    <s v="No"/>
  </r>
  <r>
    <x v="21"/>
    <s v="Travel_Rarely"/>
    <x v="1"/>
    <n v="13"/>
    <x v="0"/>
    <n v="3"/>
    <n v="2"/>
    <x v="4"/>
    <n v="4"/>
    <x v="2"/>
    <n v="4403"/>
    <n v="2"/>
    <s v="No"/>
    <n v="11"/>
    <n v="3"/>
    <n v="1"/>
    <n v="8"/>
    <n v="3"/>
    <n v="5"/>
    <n v="0"/>
    <n v="3"/>
    <x v="1"/>
    <d v="2016-12-01T00:00:00"/>
    <m/>
    <s v="Salary"/>
    <s v="OFFICE"/>
    <n v="0"/>
    <n v="1"/>
    <s v="Yes"/>
    <s v="Job Portal"/>
    <s v="Part Time"/>
    <n v="916"/>
    <n v="98"/>
    <n v="80"/>
    <n v="2"/>
    <n v="0"/>
    <m/>
    <n v="0"/>
    <n v="1"/>
    <s v="Current Employees"/>
    <s v="No"/>
  </r>
  <r>
    <x v="14"/>
    <s v="Travel_Frequently"/>
    <x v="0"/>
    <n v="5"/>
    <x v="0"/>
    <n v="2"/>
    <n v="1"/>
    <x v="1"/>
    <n v="4"/>
    <x v="2"/>
    <n v="3761"/>
    <n v="9"/>
    <s v="No"/>
    <n v="12"/>
    <n v="3"/>
    <n v="1"/>
    <n v="10"/>
    <n v="3"/>
    <n v="5"/>
    <n v="0"/>
    <n v="3"/>
    <x v="0"/>
    <s v="15-03-2016"/>
    <m/>
    <s v="Dept.Head"/>
    <s v="WFH"/>
    <n v="4"/>
    <n v="1"/>
    <s v="Yes"/>
    <s v="Walk-in"/>
    <s v="Contract"/>
    <n v="918"/>
    <n v="57"/>
    <n v="80"/>
    <n v="0"/>
    <n v="1"/>
    <n v="1"/>
    <n v="1"/>
    <n v="0"/>
    <s v="Ex-Employees"/>
    <s v="Yes"/>
  </r>
  <r>
    <x v="42"/>
    <s v="Travel_Rarely"/>
    <x v="1"/>
    <n v="7"/>
    <x v="1"/>
    <n v="2"/>
    <n v="3"/>
    <x v="4"/>
    <n v="4"/>
    <x v="1"/>
    <n v="10934"/>
    <n v="7"/>
    <s v="Yes"/>
    <n v="18"/>
    <n v="3"/>
    <n v="1"/>
    <n v="35"/>
    <n v="3"/>
    <n v="5"/>
    <n v="0"/>
    <n v="4"/>
    <x v="3"/>
    <s v="16-01-2016"/>
    <m/>
    <s v="Better Opportunity"/>
    <s v="WFH"/>
    <n v="2"/>
    <n v="0"/>
    <s v="Yes"/>
    <s v="Job Event"/>
    <s v="FullTime"/>
    <n v="920"/>
    <n v="55"/>
    <n v="80"/>
    <n v="0"/>
    <n v="0"/>
    <m/>
    <n v="0"/>
    <n v="1"/>
    <s v="Current Employees"/>
    <s v="No"/>
  </r>
  <r>
    <x v="2"/>
    <s v="Travel_Rarely"/>
    <x v="1"/>
    <n v="9"/>
    <x v="0"/>
    <n v="3"/>
    <n v="3"/>
    <x v="4"/>
    <n v="1"/>
    <x v="2"/>
    <n v="10761"/>
    <n v="4"/>
    <s v="Yes"/>
    <n v="12"/>
    <n v="3"/>
    <n v="1"/>
    <n v="18"/>
    <n v="2"/>
    <n v="5"/>
    <n v="0"/>
    <n v="2"/>
    <x v="2"/>
    <s v="24-05-2016"/>
    <m/>
    <s v="Salary"/>
    <s v="WFH"/>
    <n v="4"/>
    <n v="1"/>
    <s v="Yes"/>
    <s v="Recruiter"/>
    <s v="Contract"/>
    <n v="922"/>
    <n v="49"/>
    <n v="80"/>
    <n v="2"/>
    <n v="1"/>
    <n v="1"/>
    <n v="1"/>
    <n v="0"/>
    <s v="Ex-Employees"/>
    <s v="Yes"/>
  </r>
  <r>
    <x v="21"/>
    <s v="Travel_Rarely"/>
    <x v="0"/>
    <n v="8"/>
    <x v="1"/>
    <n v="4"/>
    <n v="2"/>
    <x v="1"/>
    <n v="3"/>
    <x v="1"/>
    <n v="5175"/>
    <n v="5"/>
    <s v="No"/>
    <n v="12"/>
    <n v="3"/>
    <n v="1"/>
    <n v="9"/>
    <n v="3"/>
    <n v="5"/>
    <n v="1"/>
    <n v="3"/>
    <x v="2"/>
    <s v="18-01-2016"/>
    <m/>
    <s v="Work Accident"/>
    <s v="WFH"/>
    <n v="5"/>
    <n v="1"/>
    <s v="Yes"/>
    <s v="Recruiter"/>
    <s v="FullTime"/>
    <n v="923"/>
    <n v="65"/>
    <n v="80"/>
    <n v="0"/>
    <n v="1"/>
    <n v="1"/>
    <n v="1"/>
    <n v="0"/>
    <s v="Ex-Employees"/>
    <s v="Yes"/>
  </r>
  <r>
    <x v="6"/>
    <s v="Travel_Rarely"/>
    <x v="2"/>
    <n v="8"/>
    <x v="0"/>
    <n v="2"/>
    <n v="1"/>
    <x v="8"/>
    <n v="4"/>
    <x v="2"/>
    <n v="4936"/>
    <n v="1"/>
    <s v="No"/>
    <n v="13"/>
    <n v="3"/>
    <n v="1"/>
    <n v="6"/>
    <n v="6"/>
    <n v="5"/>
    <n v="0"/>
    <n v="4"/>
    <x v="2"/>
    <s v="20-02-2016"/>
    <m/>
    <s v="Work Environment"/>
    <s v="WFH"/>
    <n v="1"/>
    <n v="0"/>
    <s v="No"/>
    <s v="Job Event"/>
    <s v="FullTime"/>
    <n v="924"/>
    <n v="68"/>
    <n v="80"/>
    <n v="8"/>
    <n v="0"/>
    <m/>
    <n v="0"/>
    <n v="1"/>
    <s v="Current Employees"/>
    <s v="No"/>
  </r>
  <r>
    <x v="26"/>
    <s v="Travel_Rarely"/>
    <x v="2"/>
    <n v="8"/>
    <x v="0"/>
    <n v="2"/>
    <n v="1"/>
    <x v="8"/>
    <n v="1"/>
    <x v="1"/>
    <n v="2342"/>
    <n v="0"/>
    <s v="No"/>
    <n v="21"/>
    <n v="4"/>
    <n v="0"/>
    <n v="6"/>
    <n v="3"/>
    <n v="5"/>
    <n v="0"/>
    <n v="3"/>
    <x v="2"/>
    <s v="22-04-2016"/>
    <m/>
    <s v="Work Environment"/>
    <s v="OFFICE"/>
    <n v="4"/>
    <n v="0"/>
    <s v="Yes"/>
    <s v="Job Portal"/>
    <s v="Part Time"/>
    <n v="925"/>
    <n v="65"/>
    <n v="80"/>
    <n v="2"/>
    <n v="0"/>
    <m/>
    <n v="0"/>
    <n v="1"/>
    <s v="Current Employees"/>
    <s v="No"/>
  </r>
  <r>
    <x v="38"/>
    <s v="Travel_Rarely"/>
    <x v="1"/>
    <n v="3"/>
    <x v="0"/>
    <n v="3"/>
    <n v="2"/>
    <x v="4"/>
    <n v="1"/>
    <x v="1"/>
    <n v="4194"/>
    <n v="1"/>
    <s v="Yes"/>
    <n v="18"/>
    <n v="3"/>
    <n v="0"/>
    <n v="5"/>
    <n v="3"/>
    <n v="5"/>
    <n v="0"/>
    <n v="3"/>
    <x v="0"/>
    <s v="14-01-2016"/>
    <m/>
    <s v="Work Accident"/>
    <s v="WFH"/>
    <n v="2"/>
    <n v="2"/>
    <s v="Yes"/>
    <s v="Job Event"/>
    <s v="Part Time"/>
    <n v="926"/>
    <n v="34"/>
    <n v="80"/>
    <n v="2"/>
    <n v="1"/>
    <n v="1"/>
    <n v="1"/>
    <n v="0"/>
    <s v="Ex-Employees"/>
    <s v="Yes"/>
  </r>
  <r>
    <x v="38"/>
    <s v="Travel_Rarely"/>
    <x v="1"/>
    <n v="4"/>
    <x v="0"/>
    <n v="2"/>
    <n v="2"/>
    <x v="4"/>
    <n v="1"/>
    <x v="1"/>
    <n v="4256"/>
    <n v="1"/>
    <s v="No"/>
    <n v="12"/>
    <n v="3"/>
    <n v="0"/>
    <n v="5"/>
    <n v="1"/>
    <n v="5"/>
    <n v="0"/>
    <n v="3"/>
    <x v="3"/>
    <s v="13-05-2016"/>
    <m/>
    <s v="Dept.Head"/>
    <s v="WFH"/>
    <n v="2"/>
    <n v="1"/>
    <s v="Yes"/>
    <s v="Recruiter"/>
    <s v="Part Time"/>
    <n v="927"/>
    <n v="57"/>
    <n v="80"/>
    <n v="7"/>
    <n v="1"/>
    <n v="1"/>
    <n v="1"/>
    <n v="0"/>
    <s v="Ex-Employees"/>
    <s v="Yes"/>
  </r>
  <r>
    <x v="19"/>
    <s v="Non-Travel"/>
    <x v="0"/>
    <n v="4"/>
    <x v="0"/>
    <n v="2"/>
    <n v="1"/>
    <x v="0"/>
    <n v="4"/>
    <x v="1"/>
    <n v="3162"/>
    <n v="0"/>
    <s v="No"/>
    <n v="17"/>
    <n v="3"/>
    <n v="0"/>
    <n v="6"/>
    <n v="2"/>
    <n v="5"/>
    <n v="3"/>
    <n v="4"/>
    <x v="2"/>
    <s v="31-03-2016"/>
    <m/>
    <s v="Salary"/>
    <s v="OFFICE"/>
    <n v="4"/>
    <n v="3"/>
    <s v="No"/>
    <s v="Job Portal"/>
    <s v="Part Time"/>
    <n v="930"/>
    <n v="77"/>
    <n v="80"/>
    <n v="2"/>
    <n v="0"/>
    <m/>
    <n v="0"/>
    <n v="1"/>
    <s v="Current Employees"/>
    <s v="No"/>
  </r>
  <r>
    <x v="22"/>
    <s v="Travel_Rarely"/>
    <x v="0"/>
    <n v="3"/>
    <x v="1"/>
    <n v="4"/>
    <n v="2"/>
    <x v="0"/>
    <n v="4"/>
    <x v="1"/>
    <n v="5231"/>
    <n v="2"/>
    <s v="Yes"/>
    <n v="13"/>
    <n v="3"/>
    <n v="1"/>
    <n v="17"/>
    <n v="1"/>
    <n v="5"/>
    <n v="1"/>
    <n v="3"/>
    <x v="2"/>
    <s v="26-03-2016"/>
    <m/>
    <s v="Work Environment"/>
    <s v="OFFICE"/>
    <n v="4"/>
    <n v="2"/>
    <s v="No"/>
    <s v="Walk-in"/>
    <s v="FullTime"/>
    <n v="932"/>
    <n v="70"/>
    <n v="80"/>
    <n v="2"/>
    <n v="1"/>
    <n v="1"/>
    <n v="1"/>
    <n v="0"/>
    <s v="Ex-Employees"/>
    <s v="Yes"/>
  </r>
  <r>
    <x v="0"/>
    <s v="Travel_Frequently"/>
    <x v="1"/>
    <n v="21"/>
    <x v="1"/>
    <n v="3"/>
    <n v="1"/>
    <x v="3"/>
    <n v="4"/>
    <x v="1"/>
    <n v="2973"/>
    <n v="5"/>
    <s v="No"/>
    <n v="15"/>
    <n v="3"/>
    <n v="1"/>
    <n v="10"/>
    <n v="3"/>
    <n v="5"/>
    <n v="0"/>
    <n v="0"/>
    <x v="1"/>
    <d v="2016-11-03T00:00:00"/>
    <m/>
    <s v="Salary"/>
    <s v="WFH"/>
    <n v="1"/>
    <n v="1"/>
    <s v="Yes"/>
    <s v="Walk-in"/>
    <s v="Contract"/>
    <n v="933"/>
    <n v="76"/>
    <n v="80"/>
    <n v="1"/>
    <n v="0"/>
    <m/>
    <n v="0"/>
    <n v="1"/>
    <s v="Current Employees"/>
    <s v="No"/>
  </r>
  <r>
    <x v="34"/>
    <s v="Travel_Frequently"/>
    <x v="0"/>
    <n v="1"/>
    <x v="1"/>
    <n v="3"/>
    <n v="2"/>
    <x v="7"/>
    <n v="4"/>
    <x v="1"/>
    <n v="5562"/>
    <n v="4"/>
    <s v="No"/>
    <n v="13"/>
    <n v="3"/>
    <n v="1"/>
    <n v="12"/>
    <n v="2"/>
    <n v="5"/>
    <n v="2"/>
    <n v="2"/>
    <x v="3"/>
    <s v="19-04-2016"/>
    <m/>
    <s v="Dept.Head"/>
    <s v="WFH"/>
    <n v="3"/>
    <n v="0"/>
    <s v="No"/>
    <s v="Job Event"/>
    <s v="Contract"/>
    <n v="934"/>
    <n v="83"/>
    <n v="80"/>
    <n v="0"/>
    <n v="0"/>
    <m/>
    <n v="0"/>
    <n v="1"/>
    <s v="Current Employees"/>
    <s v="No"/>
  </r>
  <r>
    <x v="25"/>
    <s v="Travel_Rarely"/>
    <x v="2"/>
    <n v="2"/>
    <x v="1"/>
    <n v="2"/>
    <n v="2"/>
    <x v="8"/>
    <n v="4"/>
    <x v="1"/>
    <n v="5204"/>
    <n v="8"/>
    <s v="No"/>
    <n v="11"/>
    <n v="3"/>
    <n v="2"/>
    <n v="13"/>
    <n v="2"/>
    <n v="5"/>
    <n v="0"/>
    <n v="4"/>
    <x v="1"/>
    <s v="21-01-2016"/>
    <m/>
    <s v="Work Environment"/>
    <s v="OFFICE"/>
    <n v="4"/>
    <n v="0"/>
    <s v="No"/>
    <s v="Job Portal"/>
    <s v="Contract"/>
    <n v="936"/>
    <n v="68"/>
    <n v="80"/>
    <n v="4"/>
    <n v="0"/>
    <m/>
    <n v="0"/>
    <n v="1"/>
    <s v="Current Employees"/>
    <s v="No"/>
  </r>
  <r>
    <x v="22"/>
    <s v="Travel_Rarely"/>
    <x v="1"/>
    <n v="14"/>
    <x v="1"/>
    <n v="2"/>
    <n v="2"/>
    <x v="4"/>
    <n v="3"/>
    <x v="0"/>
    <n v="6244"/>
    <n v="7"/>
    <s v="No"/>
    <n v="17"/>
    <n v="3"/>
    <n v="0"/>
    <n v="10"/>
    <n v="6"/>
    <n v="5"/>
    <n v="0"/>
    <n v="3"/>
    <x v="3"/>
    <s v="24-06-2016"/>
    <m/>
    <s v="Salary"/>
    <s v="OFFICE"/>
    <n v="5"/>
    <n v="3"/>
    <s v="No"/>
    <s v="Walk-in"/>
    <s v="FullTime"/>
    <n v="939"/>
    <n v="100"/>
    <n v="80"/>
    <n v="2"/>
    <n v="0"/>
    <m/>
    <n v="0"/>
    <n v="1"/>
    <s v="Current Employees"/>
    <s v="No"/>
  </r>
  <r>
    <x v="20"/>
    <s v="Travel_Rarely"/>
    <x v="0"/>
    <n v="1"/>
    <x v="1"/>
    <n v="2"/>
    <n v="2"/>
    <x v="7"/>
    <n v="4"/>
    <x v="0"/>
    <n v="6949"/>
    <n v="0"/>
    <s v="No"/>
    <n v="14"/>
    <n v="3"/>
    <n v="0"/>
    <n v="6"/>
    <n v="3"/>
    <n v="5"/>
    <n v="1"/>
    <n v="4"/>
    <x v="0"/>
    <d v="2016-04-03T00:00:00"/>
    <m/>
    <s v="Salary"/>
    <s v="OFFICE"/>
    <n v="3"/>
    <n v="0"/>
    <s v="Yes"/>
    <s v="Job Event"/>
    <s v="Part Time"/>
    <n v="940"/>
    <n v="37"/>
    <n v="80"/>
    <n v="0"/>
    <n v="0"/>
    <m/>
    <n v="0"/>
    <n v="1"/>
    <s v="Current Employees"/>
    <s v="No"/>
  </r>
  <r>
    <x v="27"/>
    <s v="Travel_Rarely"/>
    <x v="1"/>
    <n v="18"/>
    <x v="1"/>
    <n v="3"/>
    <n v="2"/>
    <x v="4"/>
    <n v="3"/>
    <x v="1"/>
    <n v="4601"/>
    <n v="1"/>
    <s v="No"/>
    <n v="16"/>
    <n v="3"/>
    <n v="0"/>
    <n v="5"/>
    <n v="3"/>
    <n v="5"/>
    <n v="1"/>
    <n v="0"/>
    <x v="1"/>
    <s v="28-05-2016"/>
    <m/>
    <s v="Work Accident"/>
    <s v="WFH"/>
    <n v="3"/>
    <n v="3"/>
    <s v="No"/>
    <s v="Job Portal"/>
    <s v="FullTime"/>
    <n v="941"/>
    <n v="41"/>
    <n v="80"/>
    <n v="7"/>
    <n v="0"/>
    <m/>
    <n v="0"/>
    <n v="1"/>
    <s v="Current Employees"/>
    <s v="No"/>
  </r>
  <r>
    <x v="12"/>
    <s v="Non-Travel"/>
    <x v="1"/>
    <n v="10"/>
    <x v="1"/>
    <n v="3"/>
    <n v="2"/>
    <x v="4"/>
    <n v="4"/>
    <x v="0"/>
    <n v="5666"/>
    <n v="1"/>
    <s v="Yes"/>
    <n v="13"/>
    <n v="3"/>
    <n v="0"/>
    <n v="6"/>
    <n v="1"/>
    <n v="5"/>
    <n v="1"/>
    <n v="3"/>
    <x v="1"/>
    <s v="17-02-2016"/>
    <m/>
    <s v="Salary"/>
    <s v="OFFICE"/>
    <n v="2"/>
    <n v="0"/>
    <s v="No"/>
    <s v="Walk-in"/>
    <s v="FullTime"/>
    <n v="942"/>
    <n v="51"/>
    <n v="80"/>
    <n v="6"/>
    <n v="0"/>
    <m/>
    <n v="0"/>
    <n v="1"/>
    <s v="Current Employees"/>
    <s v="No"/>
  </r>
  <r>
    <x v="2"/>
    <s v="Travel_Rarely"/>
    <x v="0"/>
    <n v="1"/>
    <x v="1"/>
    <n v="3"/>
    <n v="1"/>
    <x v="0"/>
    <n v="4"/>
    <x v="2"/>
    <n v="2270"/>
    <n v="3"/>
    <s v="No"/>
    <n v="14"/>
    <n v="3"/>
    <n v="2"/>
    <n v="8"/>
    <n v="2"/>
    <n v="5"/>
    <n v="0"/>
    <n v="2"/>
    <x v="3"/>
    <s v="22-05-2016"/>
    <m/>
    <s v="Salary"/>
    <s v="OFFICE"/>
    <n v="1"/>
    <n v="3"/>
    <s v="No"/>
    <s v="Walk-in"/>
    <s v="Part Time"/>
    <n v="944"/>
    <n v="51"/>
    <n v="80"/>
    <n v="9"/>
    <n v="0"/>
    <m/>
    <n v="0"/>
    <n v="1"/>
    <s v="Current Employees"/>
    <s v="No"/>
  </r>
  <r>
    <x v="16"/>
    <s v="Travel_Rarely"/>
    <x v="0"/>
    <n v="1"/>
    <x v="0"/>
    <n v="3"/>
    <n v="4"/>
    <x v="2"/>
    <n v="4"/>
    <x v="2"/>
    <n v="17399"/>
    <n v="9"/>
    <s v="No"/>
    <n v="22"/>
    <n v="4"/>
    <n v="1"/>
    <n v="32"/>
    <n v="1"/>
    <n v="5"/>
    <n v="1"/>
    <n v="3"/>
    <x v="2"/>
    <s v="31-05-2016"/>
    <m/>
    <s v="Better Opportunity"/>
    <s v="WFH"/>
    <n v="2"/>
    <n v="1"/>
    <s v="No"/>
    <s v="Job Event"/>
    <s v="Part Time"/>
    <n v="945"/>
    <n v="51"/>
    <n v="80"/>
    <n v="0"/>
    <n v="0"/>
    <m/>
    <n v="0"/>
    <n v="1"/>
    <s v="Current Employees"/>
    <s v="No"/>
  </r>
  <r>
    <x v="14"/>
    <s v="Travel_Rarely"/>
    <x v="0"/>
    <n v="22"/>
    <x v="1"/>
    <n v="3"/>
    <n v="1"/>
    <x v="1"/>
    <n v="3"/>
    <x v="1"/>
    <n v="2132"/>
    <n v="4"/>
    <s v="Yes"/>
    <n v="11"/>
    <n v="3"/>
    <n v="0"/>
    <n v="7"/>
    <n v="2"/>
    <n v="5"/>
    <n v="0"/>
    <n v="1"/>
    <x v="0"/>
    <d v="2016-08-04T00:00:00"/>
    <m/>
    <s v="Work Accident"/>
    <s v="OFFICE"/>
    <n v="3"/>
    <n v="0"/>
    <s v="No"/>
    <s v="Walk-in"/>
    <s v="Contract"/>
    <n v="947"/>
    <n v="45"/>
    <n v="80"/>
    <n v="8"/>
    <n v="0"/>
    <m/>
    <n v="0"/>
    <n v="1"/>
    <s v="Current Employees"/>
    <s v="No"/>
  </r>
  <r>
    <x v="24"/>
    <s v="Travel_Rarely"/>
    <x v="0"/>
    <n v="2"/>
    <x v="1"/>
    <n v="2"/>
    <n v="4"/>
    <x v="6"/>
    <n v="4"/>
    <x v="0"/>
    <n v="13726"/>
    <n v="3"/>
    <s v="Yes"/>
    <n v="13"/>
    <n v="3"/>
    <n v="0"/>
    <n v="30"/>
    <n v="4"/>
    <n v="5"/>
    <n v="4"/>
    <n v="3"/>
    <x v="3"/>
    <s v="29-02-2016"/>
    <m/>
    <s v="Salary"/>
    <s v="WFH"/>
    <n v="5"/>
    <n v="1"/>
    <s v="Yes"/>
    <s v="Job Event"/>
    <s v="Part Time"/>
    <n v="949"/>
    <n v="65"/>
    <n v="80"/>
    <n v="2"/>
    <n v="0"/>
    <m/>
    <n v="0"/>
    <n v="1"/>
    <s v="Current Employees"/>
    <s v="No"/>
  </r>
  <r>
    <x v="11"/>
    <s v="Travel_Frequently"/>
    <x v="0"/>
    <n v="1"/>
    <x v="1"/>
    <n v="2"/>
    <n v="1"/>
    <x v="1"/>
    <n v="3"/>
    <x v="2"/>
    <n v="2007"/>
    <n v="1"/>
    <s v="No"/>
    <n v="13"/>
    <n v="3"/>
    <n v="2"/>
    <n v="5"/>
    <n v="5"/>
    <n v="5"/>
    <n v="1"/>
    <n v="3"/>
    <x v="3"/>
    <s v="31-03-2016"/>
    <m/>
    <s v="Better Opportunity"/>
    <s v="OFFICE"/>
    <n v="1"/>
    <n v="0"/>
    <s v="Yes"/>
    <s v="Walk-in"/>
    <s v="Contract"/>
    <n v="950"/>
    <n v="80"/>
    <n v="80"/>
    <n v="12"/>
    <n v="0"/>
    <m/>
    <n v="0"/>
    <n v="1"/>
    <s v="Current Employees"/>
    <s v="No"/>
  </r>
  <r>
    <x v="23"/>
    <s v="Travel_Frequently"/>
    <x v="0"/>
    <n v="9"/>
    <x v="1"/>
    <n v="3"/>
    <n v="1"/>
    <x v="1"/>
    <n v="3"/>
    <x v="1"/>
    <n v="2942"/>
    <n v="2"/>
    <s v="No"/>
    <n v="19"/>
    <n v="3"/>
    <n v="1"/>
    <n v="18"/>
    <n v="4"/>
    <n v="5"/>
    <n v="0"/>
    <n v="3"/>
    <x v="1"/>
    <s v="29-05-2016"/>
    <m/>
    <s v="Better Opportunity"/>
    <s v="WFH"/>
    <n v="3"/>
    <n v="1"/>
    <s v="Yes"/>
    <s v="Job Portal"/>
    <s v="Contract"/>
    <n v="951"/>
    <n v="70"/>
    <n v="80"/>
    <n v="0"/>
    <n v="0"/>
    <m/>
    <n v="0"/>
    <n v="1"/>
    <s v="Current Employees"/>
    <s v="No"/>
  </r>
  <r>
    <x v="11"/>
    <s v="Travel_Rarely"/>
    <x v="0"/>
    <n v="1"/>
    <x v="0"/>
    <n v="2"/>
    <n v="1"/>
    <x v="0"/>
    <n v="1"/>
    <x v="1"/>
    <n v="3955"/>
    <n v="1"/>
    <s v="No"/>
    <n v="16"/>
    <n v="3"/>
    <n v="2"/>
    <n v="6"/>
    <n v="2"/>
    <n v="5"/>
    <n v="1"/>
    <n v="3"/>
    <x v="3"/>
    <d v="2016-04-05T00:00:00"/>
    <m/>
    <s v="Work Environment"/>
    <s v="OFFICE"/>
    <n v="5"/>
    <n v="3"/>
    <s v="Yes"/>
    <s v="Job Portal"/>
    <s v="FullTime"/>
    <n v="952"/>
    <n v="36"/>
    <n v="80"/>
    <n v="0"/>
    <n v="1"/>
    <n v="1"/>
    <n v="1"/>
    <n v="0"/>
    <s v="Ex-Employees"/>
    <s v="Yes"/>
  </r>
  <r>
    <x v="10"/>
    <s v="Non-Travel"/>
    <x v="0"/>
    <n v="1"/>
    <x v="0"/>
    <n v="4"/>
    <n v="4"/>
    <x v="5"/>
    <n v="4"/>
    <x v="0"/>
    <n v="16885"/>
    <n v="2"/>
    <s v="No"/>
    <n v="22"/>
    <n v="4"/>
    <n v="0"/>
    <n v="27"/>
    <n v="3"/>
    <n v="5"/>
    <n v="2"/>
    <n v="1"/>
    <x v="2"/>
    <d v="2016-08-04T00:00:00"/>
    <m/>
    <s v="Salary"/>
    <s v="WFH"/>
    <n v="1"/>
    <n v="2"/>
    <s v="No"/>
    <s v="Walk-in"/>
    <s v="Part Time"/>
    <n v="954"/>
    <n v="67"/>
    <n v="80"/>
    <n v="0"/>
    <n v="0"/>
    <m/>
    <n v="0"/>
    <n v="1"/>
    <s v="Current Employees"/>
    <s v="No"/>
  </r>
  <r>
    <x v="25"/>
    <s v="Non-Travel"/>
    <x v="0"/>
    <n v="9"/>
    <x v="0"/>
    <n v="3"/>
    <n v="2"/>
    <x v="0"/>
    <n v="2"/>
    <x v="0"/>
    <n v="6782"/>
    <n v="9"/>
    <s v="No"/>
    <n v="15"/>
    <n v="3"/>
    <n v="0"/>
    <n v="9"/>
    <n v="2"/>
    <n v="5"/>
    <n v="0"/>
    <n v="3"/>
    <x v="2"/>
    <d v="2016-10-04T00:00:00"/>
    <m/>
    <s v="Dept.Head"/>
    <s v="OFFICE"/>
    <n v="1"/>
    <n v="3"/>
    <s v="No"/>
    <s v="Job Portal"/>
    <s v="FullTime"/>
    <n v="956"/>
    <n v="52"/>
    <n v="80"/>
    <n v="7"/>
    <n v="0"/>
    <m/>
    <n v="0"/>
    <n v="1"/>
    <s v="Current Employees"/>
    <s v="No"/>
  </r>
  <r>
    <x v="6"/>
    <s v="Travel_Rarely"/>
    <x v="0"/>
    <n v="2"/>
    <x v="0"/>
    <n v="2"/>
    <n v="1"/>
    <x v="1"/>
    <n v="2"/>
    <x v="1"/>
    <n v="3201"/>
    <n v="0"/>
    <s v="No"/>
    <n v="17"/>
    <n v="3"/>
    <n v="0"/>
    <n v="6"/>
    <n v="2"/>
    <n v="5"/>
    <n v="0"/>
    <n v="4"/>
    <x v="1"/>
    <d v="2016-02-06T00:00:00"/>
    <m/>
    <s v="Work Accident"/>
    <s v="OFFICE"/>
    <n v="3"/>
    <n v="0"/>
    <s v="Yes"/>
    <s v="Job Event"/>
    <s v="Contract"/>
    <n v="957"/>
    <n v="59"/>
    <n v="80"/>
    <n v="13"/>
    <n v="0"/>
    <m/>
    <n v="0"/>
    <n v="1"/>
    <s v="Current Employees"/>
    <s v="No"/>
  </r>
  <r>
    <x v="27"/>
    <s v="Travel_Frequently"/>
    <x v="1"/>
    <n v="11"/>
    <x v="0"/>
    <n v="3"/>
    <n v="2"/>
    <x v="4"/>
    <n v="4"/>
    <x v="2"/>
    <n v="4968"/>
    <n v="1"/>
    <s v="No"/>
    <n v="11"/>
    <n v="3"/>
    <n v="1"/>
    <n v="5"/>
    <n v="3"/>
    <n v="5"/>
    <n v="0"/>
    <n v="2"/>
    <x v="2"/>
    <d v="2016-05-04T00:00:00"/>
    <m/>
    <s v="Better Opportunity"/>
    <s v="OFFICE"/>
    <n v="4"/>
    <n v="3"/>
    <s v="Yes"/>
    <s v="Job Portal"/>
    <s v="FullTime"/>
    <n v="958"/>
    <n v="79"/>
    <n v="80"/>
    <n v="8"/>
    <n v="0"/>
    <m/>
    <n v="0"/>
    <n v="1"/>
    <s v="Current Employees"/>
    <s v="No"/>
  </r>
  <r>
    <x v="20"/>
    <s v="Travel_Rarely"/>
    <x v="1"/>
    <n v="9"/>
    <x v="1"/>
    <n v="3"/>
    <n v="2"/>
    <x v="4"/>
    <n v="1"/>
    <x v="0"/>
    <n v="8224"/>
    <n v="0"/>
    <s v="Yes"/>
    <n v="17"/>
    <n v="3"/>
    <n v="0"/>
    <n v="6"/>
    <n v="3"/>
    <n v="5"/>
    <n v="0"/>
    <n v="3"/>
    <x v="2"/>
    <d v="2016-01-05T00:00:00"/>
    <m/>
    <s v="Better Opportunity"/>
    <s v="WFH"/>
    <n v="2"/>
    <n v="2"/>
    <s v="Yes"/>
    <s v="Job Event"/>
    <s v="FullTime"/>
    <n v="959"/>
    <n v="37"/>
    <n v="80"/>
    <n v="0"/>
    <n v="1"/>
    <n v="1"/>
    <n v="1"/>
    <n v="0"/>
    <s v="Ex-Employees"/>
    <s v="Yes"/>
  </r>
  <r>
    <x v="27"/>
    <s v="Travel_Rarely"/>
    <x v="2"/>
    <n v="8"/>
    <x v="0"/>
    <n v="3"/>
    <n v="1"/>
    <x v="8"/>
    <n v="3"/>
    <x v="0"/>
    <n v="4323"/>
    <n v="1"/>
    <s v="No"/>
    <n v="17"/>
    <n v="3"/>
    <n v="0"/>
    <n v="6"/>
    <n v="2"/>
    <n v="5"/>
    <n v="1"/>
    <n v="4"/>
    <x v="1"/>
    <d v="2016-04-04T00:00:00"/>
    <m/>
    <s v="Work Accident"/>
    <s v="OFFICE"/>
    <n v="2"/>
    <n v="1"/>
    <s v="Yes"/>
    <s v="Walk-in"/>
    <s v="FullTime"/>
    <n v="960"/>
    <n v="84"/>
    <n v="80"/>
    <n v="0"/>
    <n v="1"/>
    <n v="1"/>
    <n v="1"/>
    <n v="0"/>
    <s v="Ex-Employees"/>
    <s v="Yes"/>
  </r>
  <r>
    <x v="23"/>
    <s v="Travel_Rarely"/>
    <x v="0"/>
    <n v="4"/>
    <x v="1"/>
    <n v="3"/>
    <n v="5"/>
    <x v="5"/>
    <n v="1"/>
    <x v="2"/>
    <n v="19943"/>
    <n v="4"/>
    <s v="No"/>
    <n v="13"/>
    <n v="3"/>
    <n v="1"/>
    <n v="28"/>
    <n v="2"/>
    <n v="5"/>
    <n v="4"/>
    <n v="2"/>
    <x v="1"/>
    <s v="30-05-2016"/>
    <m/>
    <s v="Work Accident"/>
    <s v="OFFICE"/>
    <n v="4"/>
    <n v="1"/>
    <s v="No"/>
    <s v="Job Portal"/>
    <s v="FullTime"/>
    <n v="961"/>
    <n v="41"/>
    <n v="80"/>
    <n v="7"/>
    <n v="0"/>
    <m/>
    <n v="0"/>
    <n v="1"/>
    <s v="Current Employees"/>
    <s v="No"/>
  </r>
  <r>
    <x v="7"/>
    <s v="Travel_Rarely"/>
    <x v="0"/>
    <n v="15"/>
    <x v="1"/>
    <n v="1"/>
    <n v="1"/>
    <x v="1"/>
    <n v="4"/>
    <x v="1"/>
    <n v="2168"/>
    <n v="0"/>
    <s v="Yes"/>
    <n v="18"/>
    <n v="3"/>
    <n v="1"/>
    <n v="6"/>
    <n v="2"/>
    <n v="5"/>
    <n v="1"/>
    <n v="3"/>
    <x v="3"/>
    <d v="2016-06-04T00:00:00"/>
    <m/>
    <s v="Better Opportunity"/>
    <s v="WFH"/>
    <n v="3"/>
    <n v="0"/>
    <s v="No"/>
    <s v="Recruiter"/>
    <s v="Contract"/>
    <n v="964"/>
    <n v="35"/>
    <n v="80"/>
    <n v="1"/>
    <n v="0"/>
    <m/>
    <n v="0"/>
    <n v="1"/>
    <s v="Current Employees"/>
    <s v="No"/>
  </r>
  <r>
    <x v="20"/>
    <s v="Travel_Rarely"/>
    <x v="2"/>
    <n v="2"/>
    <x v="0"/>
    <n v="3"/>
    <n v="1"/>
    <x v="8"/>
    <n v="3"/>
    <x v="1"/>
    <n v="3600"/>
    <n v="1"/>
    <s v="No"/>
    <n v="13"/>
    <n v="3"/>
    <n v="1"/>
    <n v="5"/>
    <n v="2"/>
    <n v="5"/>
    <n v="1"/>
    <n v="4"/>
    <x v="2"/>
    <d v="2016-09-05T00:00:00"/>
    <m/>
    <s v="Better Opportunity"/>
    <s v="WFH"/>
    <n v="3"/>
    <n v="2"/>
    <s v="No"/>
    <s v="Job Portal"/>
    <s v="Contract"/>
    <n v="966"/>
    <n v="93"/>
    <n v="80"/>
    <n v="7"/>
    <n v="0"/>
    <m/>
    <n v="0"/>
    <n v="1"/>
    <s v="Current Employees"/>
    <s v="No"/>
  </r>
  <r>
    <x v="18"/>
    <s v="Travel_Rarely"/>
    <x v="1"/>
    <n v="10"/>
    <x v="1"/>
    <n v="2"/>
    <n v="2"/>
    <x v="4"/>
    <n v="2"/>
    <x v="2"/>
    <n v="6852"/>
    <n v="7"/>
    <s v="No"/>
    <n v="12"/>
    <n v="3"/>
    <n v="1"/>
    <n v="7"/>
    <n v="2"/>
    <n v="5"/>
    <n v="1"/>
    <n v="3"/>
    <x v="1"/>
    <s v="29-04-2016"/>
    <m/>
    <s v="Dept.Head"/>
    <s v="OFFICE"/>
    <n v="2"/>
    <n v="3"/>
    <s v="Yes"/>
    <s v="Job Portal"/>
    <s v="Part Time"/>
    <n v="967"/>
    <n v="51"/>
    <n v="80"/>
    <n v="7"/>
    <n v="1"/>
    <n v="1"/>
    <n v="1"/>
    <n v="0"/>
    <s v="Ex-Employees"/>
    <s v="Yes"/>
  </r>
  <r>
    <x v="37"/>
    <s v="Travel_Frequently"/>
    <x v="0"/>
    <n v="1"/>
    <x v="1"/>
    <n v="3"/>
    <n v="3"/>
    <x v="6"/>
    <n v="3"/>
    <x v="2"/>
    <n v="10502"/>
    <n v="7"/>
    <s v="No"/>
    <n v="17"/>
    <n v="3"/>
    <n v="1"/>
    <n v="33"/>
    <n v="2"/>
    <n v="5"/>
    <n v="1"/>
    <n v="4"/>
    <x v="1"/>
    <s v="22-03-2016"/>
    <m/>
    <s v="Work Environment"/>
    <s v="WFH"/>
    <n v="3"/>
    <n v="1"/>
    <s v="No"/>
    <s v="Job Portal"/>
    <s v="Contract"/>
    <n v="969"/>
    <n v="42"/>
    <n v="80"/>
    <n v="0"/>
    <n v="0"/>
    <m/>
    <n v="0"/>
    <n v="1"/>
    <s v="Current Employees"/>
    <s v="No"/>
  </r>
  <r>
    <x v="15"/>
    <s v="Travel_Rarely"/>
    <x v="0"/>
    <n v="4"/>
    <x v="0"/>
    <n v="3"/>
    <n v="1"/>
    <x v="1"/>
    <n v="3"/>
    <x v="2"/>
    <n v="2517"/>
    <n v="1"/>
    <s v="No"/>
    <n v="11"/>
    <n v="3"/>
    <n v="3"/>
    <n v="5"/>
    <n v="2"/>
    <n v="5"/>
    <n v="0"/>
    <n v="3"/>
    <x v="1"/>
    <s v="17-01-2016"/>
    <m/>
    <s v="Salary"/>
    <s v="OFFICE"/>
    <n v="0"/>
    <n v="3"/>
    <s v="No"/>
    <s v="Job Portal"/>
    <s v="FullTime"/>
    <n v="970"/>
    <n v="46"/>
    <n v="80"/>
    <n v="1"/>
    <n v="1"/>
    <n v="1"/>
    <n v="1"/>
    <n v="0"/>
    <s v="Ex-Employees"/>
    <s v="Yes"/>
  </r>
  <r>
    <x v="25"/>
    <s v="Travel_Rarely"/>
    <x v="0"/>
    <n v="23"/>
    <x v="0"/>
    <n v="3"/>
    <n v="1"/>
    <x v="1"/>
    <n v="1"/>
    <x v="0"/>
    <n v="3904"/>
    <n v="0"/>
    <s v="No"/>
    <n v="13"/>
    <n v="3"/>
    <n v="0"/>
    <n v="6"/>
    <n v="2"/>
    <n v="5"/>
    <n v="0"/>
    <n v="3"/>
    <x v="2"/>
    <s v="30-03-2016"/>
    <m/>
    <s v="Work Accident"/>
    <s v="OFFICE"/>
    <n v="5"/>
    <n v="1"/>
    <s v="No"/>
    <s v="Job Portal"/>
    <s v="Contract"/>
    <n v="972"/>
    <n v="57"/>
    <n v="80"/>
    <n v="7"/>
    <n v="0"/>
    <m/>
    <n v="0"/>
    <n v="1"/>
    <s v="Current Employees"/>
    <s v="No"/>
  </r>
  <r>
    <x v="18"/>
    <s v="Travel_Rarely"/>
    <x v="1"/>
    <n v="25"/>
    <x v="0"/>
    <n v="2"/>
    <n v="3"/>
    <x v="4"/>
    <n v="2"/>
    <x v="0"/>
    <n v="9094"/>
    <n v="2"/>
    <s v="Yes"/>
    <n v="12"/>
    <n v="3"/>
    <n v="0"/>
    <n v="9"/>
    <n v="2"/>
    <n v="5"/>
    <n v="1"/>
    <n v="0"/>
    <x v="3"/>
    <d v="2016-01-01T00:00:00"/>
    <m/>
    <s v="Work Accident"/>
    <s v="WFH"/>
    <n v="1"/>
    <n v="0"/>
    <s v="No"/>
    <s v="Job Event"/>
    <s v="Part Time"/>
    <n v="974"/>
    <n v="84"/>
    <n v="80"/>
    <n v="1"/>
    <n v="0"/>
    <m/>
    <n v="0"/>
    <n v="1"/>
    <s v="Current Employees"/>
    <s v="No"/>
  </r>
  <r>
    <x v="31"/>
    <s v="Travel_Rarely"/>
    <x v="0"/>
    <n v="11"/>
    <x v="1"/>
    <n v="2"/>
    <n v="4"/>
    <x v="6"/>
    <n v="2"/>
    <x v="0"/>
    <n v="13142"/>
    <n v="3"/>
    <s v="No"/>
    <n v="16"/>
    <n v="3"/>
    <n v="0"/>
    <n v="29"/>
    <n v="1"/>
    <n v="5"/>
    <n v="0"/>
    <n v="3"/>
    <x v="3"/>
    <d v="2016-05-05T00:00:00"/>
    <m/>
    <s v="Dept.Head"/>
    <s v="WFH"/>
    <n v="1"/>
    <n v="1"/>
    <s v="No"/>
    <s v="Recruiter"/>
    <s v="FullTime"/>
    <n v="975"/>
    <n v="86"/>
    <n v="80"/>
    <n v="2"/>
    <n v="0"/>
    <m/>
    <n v="0"/>
    <n v="1"/>
    <s v="Current Employees"/>
    <s v="No"/>
  </r>
  <r>
    <x v="13"/>
    <s v="Non-Travel"/>
    <x v="0"/>
    <n v="26"/>
    <x v="1"/>
    <n v="2"/>
    <n v="1"/>
    <x v="1"/>
    <n v="3"/>
    <x v="2"/>
    <n v="2029"/>
    <n v="1"/>
    <s v="No"/>
    <n v="20"/>
    <n v="4"/>
    <n v="3"/>
    <n v="5"/>
    <n v="2"/>
    <n v="5"/>
    <n v="0"/>
    <n v="0"/>
    <x v="2"/>
    <s v="26-03-2016"/>
    <m/>
    <s v="Dept.Head"/>
    <s v="OFFICE"/>
    <n v="2"/>
    <n v="0"/>
    <s v="No"/>
    <s v="Recruiter"/>
    <s v="Part Time"/>
    <n v="976"/>
    <n v="70"/>
    <n v="80"/>
    <n v="8"/>
    <n v="0"/>
    <m/>
    <n v="0"/>
    <n v="1"/>
    <s v="Current Employees"/>
    <s v="No"/>
  </r>
  <r>
    <x v="6"/>
    <s v="Travel_Rarely"/>
    <x v="1"/>
    <n v="26"/>
    <x v="0"/>
    <n v="2"/>
    <n v="2"/>
    <x v="4"/>
    <n v="1"/>
    <x v="1"/>
    <n v="4724"/>
    <n v="1"/>
    <s v="No"/>
    <n v="11"/>
    <n v="3"/>
    <n v="1"/>
    <n v="5"/>
    <n v="0"/>
    <n v="5"/>
    <n v="0"/>
    <n v="4"/>
    <x v="2"/>
    <s v="15-02-2016"/>
    <m/>
    <s v="Work Accident"/>
    <s v="OFFICE"/>
    <n v="0"/>
    <n v="3"/>
    <s v="Yes"/>
    <s v="Recruiter"/>
    <s v="Part Time"/>
    <n v="977"/>
    <n v="51"/>
    <n v="80"/>
    <n v="0"/>
    <n v="1"/>
    <n v="1"/>
    <n v="1"/>
    <n v="0"/>
    <s v="Ex-Employees"/>
    <s v="Yes"/>
  </r>
  <r>
    <x v="25"/>
    <s v="Travel_Rarely"/>
    <x v="1"/>
    <n v="21"/>
    <x v="0"/>
    <n v="2"/>
    <n v="2"/>
    <x v="4"/>
    <n v="4"/>
    <x v="1"/>
    <n v="6120"/>
    <n v="3"/>
    <s v="Yes"/>
    <n v="12"/>
    <n v="3"/>
    <n v="2"/>
    <n v="8"/>
    <n v="2"/>
    <n v="5"/>
    <n v="1"/>
    <n v="4"/>
    <x v="2"/>
    <d v="2016-04-03T00:00:00"/>
    <m/>
    <s v="Work Accident"/>
    <s v="WFH"/>
    <n v="4"/>
    <n v="2"/>
    <s v="Yes"/>
    <s v="Job Event"/>
    <s v="FullTime"/>
    <n v="981"/>
    <n v="45"/>
    <n v="80"/>
    <n v="13"/>
    <n v="0"/>
    <m/>
    <n v="0"/>
    <n v="1"/>
    <s v="Current Employees"/>
    <s v="No"/>
  </r>
  <r>
    <x v="20"/>
    <s v="Travel_Frequently"/>
    <x v="1"/>
    <n v="5"/>
    <x v="0"/>
    <n v="3"/>
    <n v="2"/>
    <x v="4"/>
    <n v="4"/>
    <x v="1"/>
    <n v="9998"/>
    <n v="6"/>
    <s v="No"/>
    <n v="13"/>
    <n v="3"/>
    <n v="0"/>
    <n v="8"/>
    <n v="2"/>
    <n v="5"/>
    <n v="1"/>
    <n v="2"/>
    <x v="0"/>
    <s v="16-02-2016"/>
    <m/>
    <s v="Better Opportunity"/>
    <s v="OFFICE"/>
    <n v="3"/>
    <n v="1"/>
    <s v="Yes"/>
    <s v="Job Portal"/>
    <s v="Part Time"/>
    <n v="982"/>
    <n v="62"/>
    <n v="80"/>
    <n v="4"/>
    <n v="0"/>
    <m/>
    <n v="0"/>
    <n v="1"/>
    <s v="Current Employees"/>
    <s v="No"/>
  </r>
  <r>
    <x v="41"/>
    <s v="Travel_Frequently"/>
    <x v="0"/>
    <n v="28"/>
    <x v="1"/>
    <n v="4"/>
    <n v="4"/>
    <x v="6"/>
    <n v="3"/>
    <x v="1"/>
    <n v="13247"/>
    <n v="2"/>
    <s v="Yes"/>
    <n v="11"/>
    <n v="3"/>
    <n v="1"/>
    <n v="24"/>
    <n v="3"/>
    <n v="5"/>
    <n v="0"/>
    <n v="2"/>
    <x v="0"/>
    <s v="22-02-2016"/>
    <m/>
    <s v="Better Opportunity"/>
    <s v="OFFICE"/>
    <n v="3"/>
    <n v="3"/>
    <s v="Yes"/>
    <s v="Job Event"/>
    <s v="FullTime"/>
    <n v="983"/>
    <n v="85"/>
    <n v="80"/>
    <n v="3"/>
    <n v="0"/>
    <m/>
    <n v="0"/>
    <n v="1"/>
    <s v="Current Employees"/>
    <s v="No"/>
  </r>
  <r>
    <x v="41"/>
    <s v="Travel_Rarely"/>
    <x v="0"/>
    <n v="8"/>
    <x v="1"/>
    <n v="3"/>
    <n v="1"/>
    <x v="0"/>
    <n v="1"/>
    <x v="1"/>
    <n v="2950"/>
    <n v="9"/>
    <s v="No"/>
    <n v="13"/>
    <n v="3"/>
    <n v="0"/>
    <n v="12"/>
    <n v="2"/>
    <n v="5"/>
    <n v="0"/>
    <n v="4"/>
    <x v="1"/>
    <d v="2016-01-06T00:00:00"/>
    <m/>
    <s v="Work Environment"/>
    <s v="OFFICE"/>
    <n v="2"/>
    <n v="3"/>
    <s v="Yes"/>
    <s v="Recruiter"/>
    <s v="FullTime"/>
    <n v="984"/>
    <n v="92"/>
    <n v="80"/>
    <n v="9"/>
    <n v="0"/>
    <m/>
    <n v="0"/>
    <n v="1"/>
    <s v="Current Employees"/>
    <s v="No"/>
  </r>
  <r>
    <x v="26"/>
    <s v="Travel_Rarely"/>
    <x v="1"/>
    <n v="3"/>
    <x v="1"/>
    <n v="3"/>
    <n v="2"/>
    <x v="4"/>
    <n v="2"/>
    <x v="0"/>
    <n v="9278"/>
    <n v="3"/>
    <s v="Yes"/>
    <n v="16"/>
    <n v="3"/>
    <n v="0"/>
    <n v="15"/>
    <n v="3"/>
    <n v="5"/>
    <n v="0"/>
    <n v="1"/>
    <x v="0"/>
    <d v="2016-01-01T00:00:00"/>
    <m/>
    <s v="Work Accident"/>
    <s v="WFH"/>
    <n v="0"/>
    <n v="2"/>
    <s v="No"/>
    <s v="Job Event"/>
    <s v="FullTime"/>
    <n v="985"/>
    <n v="41"/>
    <n v="80"/>
    <n v="7"/>
    <n v="0"/>
    <m/>
    <n v="0"/>
    <n v="1"/>
    <s v="Current Employees"/>
    <s v="No"/>
  </r>
  <r>
    <x v="15"/>
    <s v="Travel_Rarely"/>
    <x v="0"/>
    <n v="11"/>
    <x v="0"/>
    <n v="3"/>
    <n v="1"/>
    <x v="0"/>
    <n v="1"/>
    <x v="1"/>
    <n v="2099"/>
    <n v="0"/>
    <s v="No"/>
    <n v="14"/>
    <n v="3"/>
    <n v="0"/>
    <n v="6"/>
    <n v="3"/>
    <n v="5"/>
    <n v="1"/>
    <n v="4"/>
    <x v="0"/>
    <s v="23-04-2016"/>
    <m/>
    <s v="Dept.Head"/>
    <s v="OFFICE"/>
    <n v="2"/>
    <n v="0"/>
    <s v="No"/>
    <s v="Walk-in"/>
    <s v="Contract"/>
    <n v="986"/>
    <n v="100"/>
    <n v="80"/>
    <n v="0"/>
    <n v="1"/>
    <n v="1"/>
    <n v="1"/>
    <n v="0"/>
    <s v="Ex-Employees"/>
    <s v="Yes"/>
  </r>
  <r>
    <x v="19"/>
    <s v="Travel_Rarely"/>
    <x v="1"/>
    <n v="4"/>
    <x v="1"/>
    <n v="3"/>
    <n v="2"/>
    <x v="4"/>
    <n v="3"/>
    <x v="1"/>
    <n v="4162"/>
    <n v="1"/>
    <s v="Yes"/>
    <n v="12"/>
    <n v="3"/>
    <n v="2"/>
    <n v="5"/>
    <n v="3"/>
    <n v="5"/>
    <n v="0"/>
    <n v="3"/>
    <x v="2"/>
    <d v="2016-10-04T00:00:00"/>
    <m/>
    <s v="Work Accident"/>
    <s v="OFFICE"/>
    <n v="4"/>
    <n v="1"/>
    <s v="Yes"/>
    <s v="Job Portal"/>
    <s v="Part Time"/>
    <n v="987"/>
    <n v="64"/>
    <n v="80"/>
    <n v="10"/>
    <n v="0"/>
    <m/>
    <n v="0"/>
    <n v="1"/>
    <s v="Current Employees"/>
    <s v="No"/>
  </r>
  <r>
    <x v="13"/>
    <s v="Travel_Rarely"/>
    <x v="0"/>
    <n v="1"/>
    <x v="1"/>
    <n v="2"/>
    <n v="1"/>
    <x v="0"/>
    <n v="2"/>
    <x v="1"/>
    <n v="3294"/>
    <n v="5"/>
    <s v="No"/>
    <n v="17"/>
    <n v="3"/>
    <n v="1"/>
    <n v="7"/>
    <n v="2"/>
    <n v="5"/>
    <n v="0"/>
    <n v="2"/>
    <x v="1"/>
    <d v="2016-06-01T00:00:00"/>
    <m/>
    <s v="Work Accident"/>
    <s v="OFFICE"/>
    <n v="5"/>
    <n v="0"/>
    <s v="Yes"/>
    <s v="Job Portal"/>
    <s v="Part Time"/>
    <n v="990"/>
    <n v="84"/>
    <n v="80"/>
    <n v="7"/>
    <n v="0"/>
    <m/>
    <n v="0"/>
    <n v="1"/>
    <s v="Current Employees"/>
    <s v="No"/>
  </r>
  <r>
    <x v="6"/>
    <s v="Travel_Rarely"/>
    <x v="1"/>
    <n v="5"/>
    <x v="0"/>
    <n v="3"/>
    <n v="2"/>
    <x v="4"/>
    <n v="1"/>
    <x v="0"/>
    <n v="8463"/>
    <n v="0"/>
    <s v="No"/>
    <n v="18"/>
    <n v="3"/>
    <n v="0"/>
    <n v="6"/>
    <n v="4"/>
    <n v="5"/>
    <n v="1"/>
    <n v="3"/>
    <x v="0"/>
    <d v="2016-05-03T00:00:00"/>
    <m/>
    <s v="Better Opportunity"/>
    <s v="WFH"/>
    <n v="3"/>
    <n v="1"/>
    <s v="No"/>
    <s v="Job Event"/>
    <s v="FullTime"/>
    <n v="991"/>
    <n v="46"/>
    <n v="80"/>
    <n v="2"/>
    <n v="1"/>
    <n v="1"/>
    <n v="1"/>
    <n v="0"/>
    <s v="Ex-Employees"/>
    <s v="Yes"/>
  </r>
  <r>
    <x v="17"/>
    <s v="Non-Travel"/>
    <x v="0"/>
    <n v="5"/>
    <x v="0"/>
    <n v="2"/>
    <n v="1"/>
    <x v="0"/>
    <n v="3"/>
    <x v="0"/>
    <n v="3162"/>
    <n v="3"/>
    <s v="No"/>
    <n v="14"/>
    <n v="3"/>
    <n v="0"/>
    <n v="7"/>
    <n v="5"/>
    <n v="5"/>
    <n v="0"/>
    <n v="3"/>
    <x v="3"/>
    <d v="2016-11-01T00:00:00"/>
    <m/>
    <s v="Salary"/>
    <s v="WFH"/>
    <n v="3"/>
    <n v="3"/>
    <s v="Yes"/>
    <s v="Walk-in"/>
    <s v="Part Time"/>
    <n v="992"/>
    <n v="38"/>
    <n v="80"/>
    <n v="8"/>
    <n v="0"/>
    <m/>
    <n v="0"/>
    <n v="1"/>
    <s v="Current Employees"/>
    <s v="No"/>
  </r>
  <r>
    <x v="17"/>
    <s v="Travel_Rarely"/>
    <x v="0"/>
    <n v="20"/>
    <x v="0"/>
    <n v="3"/>
    <n v="1"/>
    <x v="1"/>
    <n v="2"/>
    <x v="0"/>
    <n v="3420"/>
    <n v="1"/>
    <s v="No"/>
    <n v="13"/>
    <n v="3"/>
    <n v="0"/>
    <n v="6"/>
    <n v="3"/>
    <n v="5"/>
    <n v="1"/>
    <n v="3"/>
    <x v="0"/>
    <s v="22-02-2016"/>
    <m/>
    <s v="Work Accident"/>
    <s v="OFFICE"/>
    <n v="1"/>
    <n v="0"/>
    <s v="Yes"/>
    <s v="Recruiter"/>
    <s v="FullTime"/>
    <n v="994"/>
    <n v="92"/>
    <n v="80"/>
    <n v="0"/>
    <n v="1"/>
    <n v="1"/>
    <n v="1"/>
    <n v="0"/>
    <s v="Ex-Employees"/>
    <s v="Yes"/>
  </r>
  <r>
    <x v="7"/>
    <s v="Travel_Frequently"/>
    <x v="1"/>
    <n v="13"/>
    <x v="1"/>
    <n v="3"/>
    <n v="2"/>
    <x v="4"/>
    <n v="2"/>
    <x v="0"/>
    <n v="5765"/>
    <n v="5"/>
    <s v="No"/>
    <n v="11"/>
    <n v="3"/>
    <n v="0"/>
    <n v="7"/>
    <n v="4"/>
    <n v="5"/>
    <n v="0"/>
    <n v="0"/>
    <x v="2"/>
    <s v="28-03-2016"/>
    <m/>
    <s v="Work Accident"/>
    <s v="WFH"/>
    <n v="4"/>
    <n v="2"/>
    <s v="No"/>
    <s v="Walk-in"/>
    <s v="Contract"/>
    <n v="995"/>
    <n v="53"/>
    <n v="80"/>
    <n v="2"/>
    <n v="0"/>
    <m/>
    <n v="0"/>
    <n v="1"/>
    <s v="Current Employees"/>
    <s v="No"/>
  </r>
  <r>
    <x v="14"/>
    <s v="Travel_Rarely"/>
    <x v="2"/>
    <n v="1"/>
    <x v="0"/>
    <n v="3"/>
    <n v="1"/>
    <x v="8"/>
    <n v="3"/>
    <x v="2"/>
    <n v="2064"/>
    <n v="0"/>
    <s v="No"/>
    <n v="21"/>
    <n v="4"/>
    <n v="1"/>
    <n v="6"/>
    <n v="3"/>
    <n v="5"/>
    <n v="1"/>
    <n v="3"/>
    <x v="3"/>
    <s v="18-02-2016"/>
    <m/>
    <s v="Work Accident"/>
    <s v="OFFICE"/>
    <n v="2"/>
    <n v="0"/>
    <s v="Yes"/>
    <s v="Recruiter"/>
    <s v="Part Time"/>
    <n v="996"/>
    <n v="91"/>
    <n v="80"/>
    <n v="3"/>
    <n v="0"/>
    <m/>
    <n v="0"/>
    <n v="1"/>
    <s v="Current Employees"/>
    <s v="No"/>
  </r>
  <r>
    <x v="20"/>
    <s v="Travel_Rarely"/>
    <x v="0"/>
    <n v="4"/>
    <x v="1"/>
    <n v="2"/>
    <n v="1"/>
    <x v="0"/>
    <n v="2"/>
    <x v="1"/>
    <n v="3838"/>
    <n v="8"/>
    <s v="No"/>
    <n v="11"/>
    <n v="3"/>
    <n v="0"/>
    <n v="8"/>
    <n v="5"/>
    <n v="5"/>
    <n v="0"/>
    <n v="2"/>
    <x v="0"/>
    <s v="28-02-2016"/>
    <m/>
    <s v="Work Environment"/>
    <s v="WFH"/>
    <n v="0"/>
    <n v="1"/>
    <s v="Yes"/>
    <s v="Job Portal"/>
    <s v="Part Time"/>
    <n v="997"/>
    <n v="66"/>
    <n v="80"/>
    <n v="4"/>
    <n v="0"/>
    <m/>
    <n v="0"/>
    <n v="1"/>
    <s v="Current Employees"/>
    <s v="No"/>
  </r>
  <r>
    <x v="9"/>
    <s v="Travel_Rarely"/>
    <x v="1"/>
    <n v="14"/>
    <x v="1"/>
    <n v="3"/>
    <n v="2"/>
    <x v="4"/>
    <n v="3"/>
    <x v="1"/>
    <n v="4591"/>
    <n v="3"/>
    <s v="Yes"/>
    <n v="17"/>
    <n v="3"/>
    <n v="1"/>
    <n v="11"/>
    <n v="4"/>
    <n v="5"/>
    <n v="1"/>
    <n v="2"/>
    <x v="2"/>
    <s v="27-03-2016"/>
    <m/>
    <s v="Work Accident"/>
    <s v="WFH"/>
    <n v="4"/>
    <n v="1"/>
    <s v="Yes"/>
    <s v="Job Event"/>
    <s v="Part Time"/>
    <n v="998"/>
    <n v="84"/>
    <n v="80"/>
    <n v="5"/>
    <n v="0"/>
    <m/>
    <n v="0"/>
    <n v="1"/>
    <s v="Current Employees"/>
    <s v="No"/>
  </r>
  <r>
    <x v="21"/>
    <s v="Travel_Rarely"/>
    <x v="0"/>
    <n v="10"/>
    <x v="0"/>
    <n v="3"/>
    <n v="3"/>
    <x v="5"/>
    <n v="4"/>
    <x v="0"/>
    <n v="11244"/>
    <n v="2"/>
    <s v="No"/>
    <n v="25"/>
    <n v="4"/>
    <n v="0"/>
    <n v="10"/>
    <n v="5"/>
    <n v="5"/>
    <n v="0"/>
    <n v="0"/>
    <x v="2"/>
    <s v="29-01-2016"/>
    <m/>
    <s v="Better Opportunity"/>
    <s v="OFFICE"/>
    <n v="0"/>
    <n v="2"/>
    <s v="No"/>
    <s v="Job Event"/>
    <s v="FullTime"/>
    <n v="999"/>
    <n v="64"/>
    <n v="80"/>
    <n v="16"/>
    <n v="0"/>
    <m/>
    <n v="0"/>
    <n v="1"/>
    <s v="Current Employees"/>
    <s v="No"/>
  </r>
  <r>
    <x v="18"/>
    <s v="Travel_Rarely"/>
    <x v="0"/>
    <n v="9"/>
    <x v="0"/>
    <n v="3"/>
    <n v="1"/>
    <x v="0"/>
    <n v="1"/>
    <x v="0"/>
    <n v="2018"/>
    <n v="3"/>
    <s v="No"/>
    <n v="14"/>
    <n v="3"/>
    <n v="0"/>
    <n v="15"/>
    <n v="3"/>
    <n v="5"/>
    <n v="1"/>
    <n v="0"/>
    <x v="1"/>
    <d v="2016-08-03T00:00:00"/>
    <m/>
    <s v="Work Environment"/>
    <s v="WFH"/>
    <n v="2"/>
    <n v="0"/>
    <s v="Yes"/>
    <s v="Job Event"/>
    <s v="Contract"/>
    <n v="1001"/>
    <n v="37"/>
    <n v="80"/>
    <n v="2"/>
    <n v="0"/>
    <m/>
    <n v="0"/>
    <n v="1"/>
    <s v="Current Employees"/>
    <s v="No"/>
  </r>
  <r>
    <x v="20"/>
    <s v="Travel_Rarely"/>
    <x v="0"/>
    <n v="25"/>
    <x v="0"/>
    <n v="2"/>
    <n v="2"/>
    <x v="6"/>
    <n v="2"/>
    <x v="0"/>
    <n v="4320"/>
    <n v="1"/>
    <s v="No"/>
    <n v="13"/>
    <n v="3"/>
    <n v="0"/>
    <n v="5"/>
    <n v="2"/>
    <n v="5"/>
    <n v="0"/>
    <n v="2"/>
    <x v="3"/>
    <s v="14-04-2016"/>
    <m/>
    <s v="Salary"/>
    <s v="WFH"/>
    <n v="0"/>
    <n v="3"/>
    <s v="Yes"/>
    <s v="Job Event"/>
    <s v="FullTime"/>
    <n v="1002"/>
    <n v="42"/>
    <n v="80"/>
    <n v="8"/>
    <n v="0"/>
    <m/>
    <n v="0"/>
    <n v="1"/>
    <s v="Current Employees"/>
    <s v="No"/>
  </r>
  <r>
    <x v="2"/>
    <s v="Travel_Rarely"/>
    <x v="0"/>
    <n v="28"/>
    <x v="0"/>
    <n v="3"/>
    <n v="1"/>
    <x v="1"/>
    <n v="4"/>
    <x v="1"/>
    <n v="2132"/>
    <n v="4"/>
    <s v="No"/>
    <n v="20"/>
    <n v="4"/>
    <n v="1"/>
    <n v="8"/>
    <n v="3"/>
    <n v="5"/>
    <n v="0"/>
    <n v="3"/>
    <x v="0"/>
    <d v="2016-01-02T00:00:00"/>
    <m/>
    <s v="Better Opportunity"/>
    <s v="OFFICE"/>
    <n v="3"/>
    <n v="3"/>
    <s v="Yes"/>
    <s v="Walk-in"/>
    <s v="Part Time"/>
    <n v="1003"/>
    <n v="83"/>
    <n v="80"/>
    <n v="0"/>
    <n v="0"/>
    <m/>
    <n v="0"/>
    <n v="1"/>
    <s v="Current Employees"/>
    <s v="No"/>
  </r>
  <r>
    <x v="27"/>
    <s v="Travel_Rarely"/>
    <x v="1"/>
    <n v="28"/>
    <x v="1"/>
    <n v="2"/>
    <n v="1"/>
    <x v="3"/>
    <n v="3"/>
    <x v="1"/>
    <n v="2430"/>
    <n v="0"/>
    <s v="No"/>
    <n v="23"/>
    <n v="4"/>
    <n v="2"/>
    <n v="6"/>
    <n v="5"/>
    <n v="5"/>
    <n v="4"/>
    <n v="2"/>
    <x v="3"/>
    <s v="14-03-2016"/>
    <m/>
    <s v="Work Environment"/>
    <s v="OFFICE"/>
    <n v="4"/>
    <n v="3"/>
    <s v="No"/>
    <s v="Job Portal"/>
    <s v="Contract"/>
    <n v="1004"/>
    <n v="48"/>
    <n v="80"/>
    <n v="2"/>
    <n v="1"/>
    <n v="1"/>
    <n v="1"/>
    <n v="0"/>
    <s v="Ex-Employees"/>
    <s v="Yes"/>
  </r>
  <r>
    <x v="12"/>
    <s v="Travel_Rarely"/>
    <x v="0"/>
    <n v="2"/>
    <x v="0"/>
    <n v="3"/>
    <n v="2"/>
    <x v="6"/>
    <n v="2"/>
    <x v="1"/>
    <n v="4855"/>
    <n v="4"/>
    <s v="No"/>
    <n v="11"/>
    <n v="3"/>
    <n v="2"/>
    <n v="7"/>
    <n v="2"/>
    <n v="5"/>
    <n v="1"/>
    <n v="4"/>
    <x v="0"/>
    <s v="16-02-2016"/>
    <m/>
    <s v="Better Opportunity"/>
    <s v="OFFICE"/>
    <n v="4"/>
    <n v="1"/>
    <s v="Yes"/>
    <s v="Walk-in"/>
    <s v="FullTime"/>
    <n v="1005"/>
    <n v="95"/>
    <n v="80"/>
    <n v="11"/>
    <n v="0"/>
    <m/>
    <n v="0"/>
    <n v="1"/>
    <s v="Current Employees"/>
    <s v="No"/>
  </r>
  <r>
    <x v="27"/>
    <s v="Travel_Rarely"/>
    <x v="0"/>
    <n v="10"/>
    <x v="1"/>
    <n v="3"/>
    <n v="2"/>
    <x v="7"/>
    <n v="3"/>
    <x v="0"/>
    <n v="6142"/>
    <n v="3"/>
    <s v="Yes"/>
    <n v="16"/>
    <n v="3"/>
    <n v="0"/>
    <n v="10"/>
    <n v="4"/>
    <n v="5"/>
    <n v="0"/>
    <n v="4"/>
    <x v="3"/>
    <d v="2016-12-01T00:00:00"/>
    <m/>
    <s v="Better Opportunity"/>
    <s v="OFFICE"/>
    <n v="0"/>
    <n v="3"/>
    <s v="Yes"/>
    <s v="Recruiter"/>
    <s v="Part Time"/>
    <n v="1006"/>
    <n v="66"/>
    <n v="80"/>
    <n v="1"/>
    <n v="0"/>
    <m/>
    <n v="0"/>
    <n v="1"/>
    <s v="Current Employees"/>
    <s v="No"/>
  </r>
  <r>
    <x v="18"/>
    <s v="Travel_Rarely"/>
    <x v="1"/>
    <n v="14"/>
    <x v="1"/>
    <n v="3"/>
    <n v="2"/>
    <x v="4"/>
    <n v="1"/>
    <x v="1"/>
    <n v="4639"/>
    <n v="1"/>
    <s v="No"/>
    <n v="15"/>
    <n v="3"/>
    <n v="1"/>
    <n v="5"/>
    <n v="2"/>
    <n v="5"/>
    <n v="1"/>
    <n v="2"/>
    <x v="0"/>
    <s v="14-03-2016"/>
    <m/>
    <s v="Work Environment"/>
    <s v="OFFICE"/>
    <n v="0"/>
    <n v="2"/>
    <s v="No"/>
    <s v="Recruiter"/>
    <s v="FullTime"/>
    <n v="1007"/>
    <n v="75"/>
    <n v="80"/>
    <n v="7"/>
    <n v="0"/>
    <m/>
    <n v="0"/>
    <n v="1"/>
    <s v="Current Employees"/>
    <s v="No"/>
  </r>
  <r>
    <x v="28"/>
    <s v="Travel_Frequently"/>
    <x v="1"/>
    <n v="2"/>
    <x v="0"/>
    <n v="3"/>
    <n v="2"/>
    <x v="4"/>
    <n v="1"/>
    <x v="0"/>
    <n v="5332"/>
    <n v="7"/>
    <s v="No"/>
    <n v="13"/>
    <n v="3"/>
    <n v="0"/>
    <n v="10"/>
    <n v="3"/>
    <n v="5"/>
    <n v="0"/>
    <n v="3"/>
    <x v="3"/>
    <d v="2016-05-06T00:00:00"/>
    <m/>
    <s v="Work Accident"/>
    <s v="OFFICE"/>
    <n v="0"/>
    <n v="0"/>
    <s v="No"/>
    <s v="Walk-in"/>
    <s v="FullTime"/>
    <n v="1009"/>
    <n v="41"/>
    <n v="80"/>
    <n v="2"/>
    <n v="0"/>
    <m/>
    <n v="0"/>
    <n v="1"/>
    <s v="Current Employees"/>
    <s v="No"/>
  </r>
  <r>
    <x v="6"/>
    <s v="Travel_Rarely"/>
    <x v="0"/>
    <n v="27"/>
    <x v="1"/>
    <n v="1"/>
    <n v="2"/>
    <x v="6"/>
    <n v="1"/>
    <x v="2"/>
    <n v="4877"/>
    <n v="0"/>
    <s v="No"/>
    <n v="21"/>
    <n v="4"/>
    <n v="1"/>
    <n v="6"/>
    <n v="5"/>
    <n v="5"/>
    <n v="0"/>
    <n v="0"/>
    <x v="3"/>
    <d v="2016-03-03T00:00:00"/>
    <m/>
    <s v="Dept.Head"/>
    <s v="OFFICE"/>
    <n v="0"/>
    <n v="1"/>
    <s v="No"/>
    <s v="Recruiter"/>
    <s v="Contract"/>
    <n v="1010"/>
    <n v="39"/>
    <n v="80"/>
    <n v="2"/>
    <n v="1"/>
    <n v="1"/>
    <n v="1"/>
    <n v="0"/>
    <s v="Ex-Employees"/>
    <s v="Yes"/>
  </r>
  <r>
    <x v="9"/>
    <s v="Travel_Rarely"/>
    <x v="2"/>
    <n v="26"/>
    <x v="1"/>
    <n v="3"/>
    <n v="5"/>
    <x v="5"/>
    <n v="3"/>
    <x v="1"/>
    <n v="19658"/>
    <n v="3"/>
    <s v="No"/>
    <n v="11"/>
    <n v="3"/>
    <n v="1"/>
    <n v="27"/>
    <n v="2"/>
    <n v="5"/>
    <n v="1"/>
    <n v="0"/>
    <x v="0"/>
    <s v="26-05-2016"/>
    <m/>
    <s v="Work Environment"/>
    <s v="WFH"/>
    <n v="5"/>
    <n v="1"/>
    <s v="No"/>
    <s v="Recruiter"/>
    <s v="Part Time"/>
    <n v="1011"/>
    <n v="96"/>
    <n v="80"/>
    <n v="3"/>
    <n v="0"/>
    <m/>
    <n v="0"/>
    <n v="1"/>
    <s v="Current Employees"/>
    <s v="No"/>
  </r>
  <r>
    <x v="12"/>
    <s v="Travel_Rarely"/>
    <x v="0"/>
    <n v="2"/>
    <x v="1"/>
    <n v="2"/>
    <n v="3"/>
    <x v="6"/>
    <n v="3"/>
    <x v="1"/>
    <n v="7756"/>
    <n v="3"/>
    <s v="Yes"/>
    <n v="19"/>
    <n v="3"/>
    <n v="1"/>
    <n v="10"/>
    <n v="6"/>
    <n v="5"/>
    <n v="0"/>
    <n v="2"/>
    <x v="0"/>
    <s v="13-01-2016"/>
    <m/>
    <s v="Work Environment"/>
    <s v="OFFICE"/>
    <n v="4"/>
    <n v="3"/>
    <s v="Yes"/>
    <s v="Recruiter"/>
    <s v="Part Time"/>
    <n v="1012"/>
    <n v="73"/>
    <n v="80"/>
    <n v="0"/>
    <n v="0"/>
    <m/>
    <n v="0"/>
    <n v="1"/>
    <s v="Current Employees"/>
    <s v="No"/>
  </r>
  <r>
    <x v="7"/>
    <s v="Travel_Rarely"/>
    <x v="1"/>
    <n v="10"/>
    <x v="0"/>
    <n v="2"/>
    <n v="2"/>
    <x v="4"/>
    <n v="3"/>
    <x v="0"/>
    <n v="5869"/>
    <n v="9"/>
    <s v="No"/>
    <n v="11"/>
    <n v="3"/>
    <n v="0"/>
    <n v="8"/>
    <n v="2"/>
    <n v="5"/>
    <n v="1"/>
    <n v="4"/>
    <x v="3"/>
    <d v="2016-10-01T00:00:00"/>
    <m/>
    <s v="Work Environment"/>
    <s v="WFH"/>
    <n v="1"/>
    <n v="1"/>
    <s v="No"/>
    <s v="Job Portal"/>
    <s v="FullTime"/>
    <n v="1013"/>
    <n v="56"/>
    <n v="80"/>
    <n v="7"/>
    <n v="0"/>
    <m/>
    <n v="0"/>
    <n v="1"/>
    <s v="Current Employees"/>
    <s v="No"/>
  </r>
  <r>
    <x v="25"/>
    <s v="Travel_Rarely"/>
    <x v="0"/>
    <n v="12"/>
    <x v="0"/>
    <n v="3"/>
    <n v="2"/>
    <x v="6"/>
    <n v="2"/>
    <x v="1"/>
    <n v="5295"/>
    <n v="4"/>
    <s v="No"/>
    <n v="21"/>
    <n v="4"/>
    <n v="0"/>
    <n v="7"/>
    <n v="3"/>
    <n v="5"/>
    <n v="1"/>
    <n v="0"/>
    <x v="0"/>
    <d v="2016-10-01T00:00:00"/>
    <m/>
    <s v="Better Opportunity"/>
    <s v="OFFICE"/>
    <n v="0"/>
    <n v="2"/>
    <s v="No"/>
    <s v="Recruiter"/>
    <s v="Contract"/>
    <n v="1014"/>
    <n v="57"/>
    <n v="80"/>
    <n v="10"/>
    <n v="0"/>
    <m/>
    <n v="0"/>
    <n v="1"/>
    <s v="Current Employees"/>
    <s v="No"/>
  </r>
  <r>
    <x v="26"/>
    <s v="Travel_Rarely"/>
    <x v="0"/>
    <n v="3"/>
    <x v="0"/>
    <n v="4"/>
    <n v="2"/>
    <x v="7"/>
    <n v="1"/>
    <x v="2"/>
    <n v="6842"/>
    <n v="6"/>
    <s v="No"/>
    <n v="20"/>
    <n v="4"/>
    <n v="1"/>
    <n v="13"/>
    <n v="3"/>
    <n v="5"/>
    <n v="0"/>
    <n v="4"/>
    <x v="0"/>
    <s v="14-05-2016"/>
    <m/>
    <s v="Dept.Head"/>
    <s v="WFH"/>
    <n v="2"/>
    <n v="2"/>
    <s v="No"/>
    <s v="Recruiter"/>
    <s v="FullTime"/>
    <n v="1015"/>
    <n v="73"/>
    <n v="80"/>
    <n v="7"/>
    <n v="0"/>
    <m/>
    <n v="0"/>
    <n v="1"/>
    <s v="Current Employees"/>
    <s v="No"/>
  </r>
  <r>
    <x v="3"/>
    <s v="Travel_Rarely"/>
    <x v="0"/>
    <n v="8"/>
    <x v="0"/>
    <n v="2"/>
    <n v="1"/>
    <x v="0"/>
    <n v="3"/>
    <x v="0"/>
    <n v="3989"/>
    <n v="1"/>
    <s v="Yes"/>
    <n v="11"/>
    <n v="3"/>
    <n v="0"/>
    <n v="5"/>
    <n v="2"/>
    <n v="5"/>
    <n v="1"/>
    <n v="2"/>
    <x v="0"/>
    <d v="2016-03-06T00:00:00"/>
    <m/>
    <s v="Salary"/>
    <s v="OFFICE"/>
    <n v="1"/>
    <n v="2"/>
    <s v="No"/>
    <s v="Job Portal"/>
    <s v="Part Time"/>
    <n v="1016"/>
    <n v="98"/>
    <n v="80"/>
    <n v="0"/>
    <n v="1"/>
    <n v="1"/>
    <n v="1"/>
    <n v="0"/>
    <s v="Ex-Employees"/>
    <s v="Yes"/>
  </r>
  <r>
    <x v="27"/>
    <s v="Travel_Frequently"/>
    <x v="0"/>
    <n v="2"/>
    <x v="0"/>
    <n v="2"/>
    <n v="1"/>
    <x v="1"/>
    <n v="4"/>
    <x v="0"/>
    <n v="4930"/>
    <n v="0"/>
    <s v="Yes"/>
    <n v="14"/>
    <n v="3"/>
    <n v="0"/>
    <n v="6"/>
    <n v="2"/>
    <n v="5"/>
    <n v="1"/>
    <n v="4"/>
    <x v="0"/>
    <s v="19-05-2016"/>
    <m/>
    <s v="Work Environment"/>
    <s v="OFFICE"/>
    <n v="4"/>
    <n v="1"/>
    <s v="No"/>
    <s v="Recruiter"/>
    <s v="FullTime"/>
    <n v="1017"/>
    <n v="60"/>
    <n v="80"/>
    <n v="2"/>
    <n v="1"/>
    <n v="1"/>
    <n v="1"/>
    <n v="0"/>
    <s v="Ex-Employees"/>
    <s v="Yes"/>
  </r>
  <r>
    <x v="19"/>
    <s v="Travel_Rarely"/>
    <x v="0"/>
    <n v="9"/>
    <x v="0"/>
    <n v="4"/>
    <n v="1"/>
    <x v="1"/>
    <n v="3"/>
    <x v="1"/>
    <n v="4401"/>
    <n v="1"/>
    <s v="No"/>
    <n v="16"/>
    <n v="3"/>
    <n v="1"/>
    <n v="5"/>
    <n v="1"/>
    <n v="5"/>
    <n v="0"/>
    <n v="4"/>
    <x v="2"/>
    <s v="26-04-2016"/>
    <m/>
    <s v="Work Accident"/>
    <s v="OFFICE"/>
    <n v="0"/>
    <n v="3"/>
    <s v="No"/>
    <s v="Job Portal"/>
    <s v="Part Time"/>
    <n v="1018"/>
    <n v="32"/>
    <n v="80"/>
    <n v="7"/>
    <n v="0"/>
    <m/>
    <n v="0"/>
    <n v="1"/>
    <s v="Current Employees"/>
    <s v="No"/>
  </r>
  <r>
    <x v="7"/>
    <s v="Travel_Rarely"/>
    <x v="0"/>
    <n v="9"/>
    <x v="1"/>
    <n v="3"/>
    <n v="1"/>
    <x v="0"/>
    <n v="3"/>
    <x v="1"/>
    <n v="2974"/>
    <n v="9"/>
    <s v="No"/>
    <n v="17"/>
    <n v="3"/>
    <n v="1"/>
    <n v="9"/>
    <n v="2"/>
    <n v="5"/>
    <n v="1"/>
    <n v="2"/>
    <x v="2"/>
    <s v="17-05-2016"/>
    <m/>
    <s v="Dept.Head"/>
    <s v="OFFICE"/>
    <n v="5"/>
    <n v="0"/>
    <s v="Yes"/>
    <s v="Job Portal"/>
    <s v="FullTime"/>
    <n v="1019"/>
    <n v="94"/>
    <n v="80"/>
    <n v="3"/>
    <n v="0"/>
    <m/>
    <n v="0"/>
    <n v="1"/>
    <s v="Current Employees"/>
    <s v="No"/>
  </r>
  <r>
    <x v="21"/>
    <s v="Travel_Frequently"/>
    <x v="0"/>
    <n v="10"/>
    <x v="0"/>
    <n v="3"/>
    <n v="1"/>
    <x v="1"/>
    <n v="3"/>
    <x v="1"/>
    <n v="3433"/>
    <n v="6"/>
    <s v="No"/>
    <n v="13"/>
    <n v="3"/>
    <n v="1"/>
    <n v="10"/>
    <n v="3"/>
    <n v="5"/>
    <n v="1"/>
    <n v="3"/>
    <x v="2"/>
    <d v="2016-05-04T00:00:00"/>
    <m/>
    <s v="Better Opportunity"/>
    <s v="WFH"/>
    <n v="1"/>
    <n v="3"/>
    <s v="No"/>
    <s v="Job Portal"/>
    <s v="Contract"/>
    <n v="1022"/>
    <n v="97"/>
    <n v="80"/>
    <n v="2"/>
    <n v="0"/>
    <m/>
    <n v="0"/>
    <n v="1"/>
    <s v="Current Employees"/>
    <s v="No"/>
  </r>
  <r>
    <x v="28"/>
    <s v="Travel_Rarely"/>
    <x v="0"/>
    <n v="2"/>
    <x v="0"/>
    <n v="3"/>
    <n v="1"/>
    <x v="0"/>
    <n v="3"/>
    <x v="1"/>
    <n v="3477"/>
    <n v="1"/>
    <s v="No"/>
    <n v="14"/>
    <n v="3"/>
    <n v="1"/>
    <n v="6"/>
    <n v="2"/>
    <n v="5"/>
    <n v="0"/>
    <n v="3"/>
    <x v="1"/>
    <s v="28-01-2016"/>
    <m/>
    <s v="Dept.Head"/>
    <s v="OFFICE"/>
    <n v="3"/>
    <n v="3"/>
    <s v="Yes"/>
    <s v="Job Event"/>
    <s v="FullTime"/>
    <n v="1024"/>
    <n v="78"/>
    <n v="80"/>
    <n v="11"/>
    <n v="0"/>
    <m/>
    <n v="0"/>
    <n v="1"/>
    <s v="Current Employees"/>
    <s v="No"/>
  </r>
  <r>
    <x v="28"/>
    <s v="Travel_Frequently"/>
    <x v="0"/>
    <n v="24"/>
    <x v="1"/>
    <n v="3"/>
    <n v="2"/>
    <x v="6"/>
    <n v="4"/>
    <x v="0"/>
    <n v="5238"/>
    <n v="2"/>
    <s v="No"/>
    <n v="20"/>
    <n v="4"/>
    <n v="0"/>
    <n v="9"/>
    <n v="3"/>
    <n v="5"/>
    <n v="1"/>
    <n v="4"/>
    <x v="2"/>
    <s v="14-04-2016"/>
    <m/>
    <s v="Work Environment"/>
    <s v="WFH"/>
    <n v="2"/>
    <n v="0"/>
    <s v="No"/>
    <s v="Job Event"/>
    <s v="Contract"/>
    <n v="1025"/>
    <n v="42"/>
    <n v="80"/>
    <n v="2"/>
    <n v="0"/>
    <m/>
    <n v="0"/>
    <n v="1"/>
    <s v="Current Employees"/>
    <s v="No"/>
  </r>
  <r>
    <x v="2"/>
    <s v="Travel_Rarely"/>
    <x v="2"/>
    <n v="4"/>
    <x v="1"/>
    <n v="1"/>
    <n v="3"/>
    <x v="8"/>
    <n v="3"/>
    <x v="1"/>
    <n v="9756"/>
    <n v="4"/>
    <s v="No"/>
    <n v="21"/>
    <n v="4"/>
    <n v="2"/>
    <n v="9"/>
    <n v="2"/>
    <n v="5"/>
    <n v="0"/>
    <n v="3"/>
    <x v="0"/>
    <d v="2016-12-05T00:00:00"/>
    <m/>
    <s v="Better Opportunity"/>
    <s v="WFH"/>
    <n v="1"/>
    <n v="0"/>
    <s v="No"/>
    <s v="Walk-in"/>
    <s v="FullTime"/>
    <n v="1026"/>
    <n v="65"/>
    <n v="80"/>
    <n v="6"/>
    <n v="0"/>
    <m/>
    <n v="0"/>
    <n v="1"/>
    <s v="Current Employees"/>
    <s v="No"/>
  </r>
  <r>
    <x v="28"/>
    <s v="Travel_Rarely"/>
    <x v="1"/>
    <n v="5"/>
    <x v="0"/>
    <n v="3"/>
    <n v="2"/>
    <x v="4"/>
    <n v="3"/>
    <x v="1"/>
    <n v="8346"/>
    <n v="1"/>
    <s v="No"/>
    <n v="19"/>
    <n v="3"/>
    <n v="1"/>
    <n v="6"/>
    <n v="3"/>
    <n v="5"/>
    <n v="0"/>
    <n v="2"/>
    <x v="0"/>
    <s v="24-01-2016"/>
    <m/>
    <s v="Work Environment"/>
    <s v="OFFICE"/>
    <n v="4"/>
    <n v="1"/>
    <s v="Yes"/>
    <s v="Job Portal"/>
    <s v="Part Time"/>
    <n v="1027"/>
    <n v="47"/>
    <n v="80"/>
    <n v="2"/>
    <n v="0"/>
    <m/>
    <n v="0"/>
    <n v="1"/>
    <s v="Current Employees"/>
    <s v="No"/>
  </r>
  <r>
    <x v="13"/>
    <s v="Travel_Rarely"/>
    <x v="0"/>
    <n v="2"/>
    <x v="0"/>
    <n v="4"/>
    <n v="1"/>
    <x v="1"/>
    <n v="4"/>
    <x v="1"/>
    <n v="2932"/>
    <n v="0"/>
    <s v="Yes"/>
    <n v="14"/>
    <n v="3"/>
    <n v="3"/>
    <n v="6"/>
    <n v="3"/>
    <n v="5"/>
    <n v="1"/>
    <n v="2"/>
    <x v="1"/>
    <d v="2016-01-03T00:00:00"/>
    <m/>
    <s v="Work Environment"/>
    <s v="OFFICE"/>
    <n v="0"/>
    <n v="0"/>
    <s v="No"/>
    <s v="Recruiter"/>
    <s v="FullTime"/>
    <n v="1028"/>
    <n v="45"/>
    <n v="80"/>
    <n v="2"/>
    <n v="0"/>
    <m/>
    <n v="0"/>
    <n v="1"/>
    <s v="Current Employees"/>
    <s v="No"/>
  </r>
  <r>
    <x v="39"/>
    <s v="Travel_Rarely"/>
    <x v="1"/>
    <n v="11"/>
    <x v="1"/>
    <n v="3"/>
    <n v="2"/>
    <x v="4"/>
    <n v="4"/>
    <x v="0"/>
    <n v="4507"/>
    <n v="3"/>
    <s v="No"/>
    <n v="12"/>
    <n v="3"/>
    <n v="0"/>
    <n v="8"/>
    <n v="1"/>
    <n v="5"/>
    <n v="0"/>
    <n v="4"/>
    <x v="1"/>
    <d v="2016-09-03T00:00:00"/>
    <m/>
    <s v="Better Opportunity"/>
    <s v="WFH"/>
    <n v="2"/>
    <n v="3"/>
    <s v="Yes"/>
    <s v="Job Portal"/>
    <s v="FullTime"/>
    <n v="1029"/>
    <n v="90"/>
    <n v="80"/>
    <n v="0"/>
    <n v="0"/>
    <m/>
    <n v="0"/>
    <n v="1"/>
    <s v="Current Employees"/>
    <s v="No"/>
  </r>
  <r>
    <x v="22"/>
    <s v="Travel_Rarely"/>
    <x v="0"/>
    <n v="12"/>
    <x v="0"/>
    <n v="3"/>
    <n v="1"/>
    <x v="0"/>
    <n v="2"/>
    <x v="2"/>
    <n v="2766"/>
    <n v="8"/>
    <s v="No"/>
    <n v="22"/>
    <n v="4"/>
    <n v="3"/>
    <n v="7"/>
    <n v="6"/>
    <n v="5"/>
    <n v="0"/>
    <n v="4"/>
    <x v="2"/>
    <s v="13-05-2016"/>
    <m/>
    <s v="Work Accident"/>
    <s v="OFFICE"/>
    <n v="5"/>
    <n v="1"/>
    <s v="Yes"/>
    <s v="Job Event"/>
    <s v="FullTime"/>
    <n v="1030"/>
    <n v="64"/>
    <n v="80"/>
    <n v="0"/>
    <n v="0"/>
    <m/>
    <n v="0"/>
    <n v="1"/>
    <s v="Current Employees"/>
    <s v="No"/>
  </r>
  <r>
    <x v="33"/>
    <s v="Travel_Rarely"/>
    <x v="0"/>
    <n v="9"/>
    <x v="0"/>
    <n v="3"/>
    <n v="1"/>
    <x v="0"/>
    <n v="1"/>
    <x v="2"/>
    <n v="2289"/>
    <n v="1"/>
    <s v="No"/>
    <n v="20"/>
    <n v="4"/>
    <n v="2"/>
    <n v="5"/>
    <n v="2"/>
    <n v="5"/>
    <n v="0"/>
    <n v="4"/>
    <x v="1"/>
    <s v="25-05-2016"/>
    <m/>
    <s v="Work Environment"/>
    <s v="OFFICE"/>
    <n v="4"/>
    <n v="0"/>
    <s v="No"/>
    <s v="Walk-in"/>
    <s v="FullTime"/>
    <n v="1032"/>
    <n v="69"/>
    <n v="80"/>
    <n v="3"/>
    <n v="0"/>
    <m/>
    <n v="0"/>
    <n v="1"/>
    <s v="Current Employees"/>
    <s v="No"/>
  </r>
  <r>
    <x v="12"/>
    <s v="Travel_Rarely"/>
    <x v="0"/>
    <n v="6"/>
    <x v="1"/>
    <n v="2"/>
    <n v="1"/>
    <x v="0"/>
    <n v="3"/>
    <x v="1"/>
    <n v="3702"/>
    <n v="1"/>
    <s v="No"/>
    <n v="11"/>
    <n v="3"/>
    <n v="1"/>
    <n v="5"/>
    <n v="3"/>
    <n v="5"/>
    <n v="0"/>
    <n v="4"/>
    <x v="3"/>
    <d v="2016-07-05T00:00:00"/>
    <m/>
    <s v="Better Opportunity"/>
    <s v="WFH"/>
    <n v="3"/>
    <n v="2"/>
    <s v="No"/>
    <s v="Job Portal"/>
    <s v="Part Time"/>
    <n v="1033"/>
    <n v="61"/>
    <n v="80"/>
    <n v="0"/>
    <n v="1"/>
    <n v="1"/>
    <n v="1"/>
    <n v="0"/>
    <s v="Ex-Employees"/>
    <s v="Yes"/>
  </r>
  <r>
    <x v="0"/>
    <s v="Travel_Rarely"/>
    <x v="1"/>
    <n v="9"/>
    <x v="0"/>
    <n v="2"/>
    <n v="2"/>
    <x v="4"/>
    <n v="2"/>
    <x v="1"/>
    <n v="4189"/>
    <n v="1"/>
    <s v="No"/>
    <n v="14"/>
    <n v="3"/>
    <n v="2"/>
    <n v="5"/>
    <n v="2"/>
    <n v="5"/>
    <n v="0"/>
    <n v="3"/>
    <x v="1"/>
    <s v="17-02-2016"/>
    <m/>
    <s v="Better Opportunity"/>
    <s v="WFH"/>
    <n v="2"/>
    <n v="1"/>
    <s v="Yes"/>
    <s v="Recruiter"/>
    <s v="Part Time"/>
    <n v="1034"/>
    <n v="62"/>
    <n v="80"/>
    <n v="7"/>
    <n v="0"/>
    <m/>
    <n v="0"/>
    <n v="1"/>
    <s v="Current Employees"/>
    <s v="No"/>
  </r>
  <r>
    <x v="17"/>
    <s v="Travel_Frequently"/>
    <x v="0"/>
    <n v="1"/>
    <x v="0"/>
    <n v="3"/>
    <n v="1"/>
    <x v="1"/>
    <n v="2"/>
    <x v="2"/>
    <n v="2342"/>
    <n v="1"/>
    <s v="Yes"/>
    <n v="12"/>
    <n v="3"/>
    <n v="3"/>
    <n v="6"/>
    <n v="2"/>
    <n v="5"/>
    <n v="2"/>
    <n v="3"/>
    <x v="2"/>
    <d v="2016-03-06T00:00:00"/>
    <m/>
    <s v="Work Environment"/>
    <s v="OFFICE"/>
    <n v="3"/>
    <n v="1"/>
    <s v="No"/>
    <s v="Job Portal"/>
    <s v="Contract"/>
    <n v="1035"/>
    <n v="55"/>
    <n v="80"/>
    <n v="16"/>
    <n v="0"/>
    <m/>
    <n v="0"/>
    <n v="1"/>
    <s v="Current Employees"/>
    <s v="No"/>
  </r>
  <r>
    <x v="6"/>
    <s v="Travel_Rarely"/>
    <x v="0"/>
    <n v="1"/>
    <x v="0"/>
    <n v="3"/>
    <n v="1"/>
    <x v="1"/>
    <n v="4"/>
    <x v="1"/>
    <n v="2044"/>
    <n v="1"/>
    <s v="No"/>
    <n v="11"/>
    <n v="3"/>
    <n v="1"/>
    <n v="5"/>
    <n v="6"/>
    <n v="5"/>
    <n v="0"/>
    <n v="3"/>
    <x v="1"/>
    <s v="22-06-2016"/>
    <m/>
    <s v="Dept.Head"/>
    <s v="WFH"/>
    <n v="3"/>
    <n v="1"/>
    <s v="No"/>
    <s v="Walk-in"/>
    <s v="Contract"/>
    <n v="1036"/>
    <n v="42"/>
    <n v="80"/>
    <n v="0"/>
    <n v="0"/>
    <m/>
    <n v="0"/>
    <n v="1"/>
    <s v="Current Employees"/>
    <s v="No"/>
  </r>
  <r>
    <x v="11"/>
    <s v="Travel_Rarely"/>
    <x v="2"/>
    <n v="20"/>
    <x v="1"/>
    <n v="3"/>
    <n v="1"/>
    <x v="8"/>
    <n v="2"/>
    <x v="1"/>
    <n v="2148"/>
    <n v="0"/>
    <s v="Yes"/>
    <n v="11"/>
    <n v="3"/>
    <n v="0"/>
    <n v="6"/>
    <n v="3"/>
    <n v="5"/>
    <n v="1"/>
    <n v="4"/>
    <x v="3"/>
    <d v="2016-09-01T00:00:00"/>
    <m/>
    <s v="Salary"/>
    <s v="WFH"/>
    <n v="1"/>
    <n v="1"/>
    <s v="No"/>
    <s v="Job Portal"/>
    <s v="FullTime"/>
    <n v="1037"/>
    <n v="79"/>
    <n v="80"/>
    <n v="2"/>
    <n v="1"/>
    <n v="1"/>
    <n v="1"/>
    <n v="0"/>
    <s v="Ex-Employees"/>
    <s v="Yes"/>
  </r>
  <r>
    <x v="18"/>
    <s v="Travel_Rarely"/>
    <x v="0"/>
    <n v="1"/>
    <x v="1"/>
    <n v="3"/>
    <n v="2"/>
    <x v="7"/>
    <n v="4"/>
    <x v="2"/>
    <n v="6513"/>
    <n v="4"/>
    <s v="No"/>
    <n v="17"/>
    <n v="3"/>
    <n v="1"/>
    <n v="12"/>
    <n v="3"/>
    <n v="5"/>
    <n v="0"/>
    <n v="3"/>
    <x v="3"/>
    <d v="2016-09-03T00:00:00"/>
    <m/>
    <s v="Dept.Head"/>
    <s v="WFH"/>
    <n v="4"/>
    <n v="2"/>
    <s v="Yes"/>
    <s v="Recruiter"/>
    <s v="Contract"/>
    <n v="1038"/>
    <n v="57"/>
    <n v="80"/>
    <n v="14"/>
    <n v="1"/>
    <n v="1"/>
    <n v="1"/>
    <n v="0"/>
    <s v="Ex-Employees"/>
    <s v="Yes"/>
  </r>
  <r>
    <x v="27"/>
    <s v="Travel_Rarely"/>
    <x v="0"/>
    <n v="23"/>
    <x v="0"/>
    <n v="1"/>
    <n v="1"/>
    <x v="0"/>
    <n v="3"/>
    <x v="1"/>
    <n v="2705"/>
    <n v="0"/>
    <s v="No"/>
    <n v="16"/>
    <n v="3"/>
    <n v="1"/>
    <n v="6"/>
    <n v="2"/>
    <n v="5"/>
    <n v="0"/>
    <n v="3"/>
    <x v="0"/>
    <d v="2016-03-01T00:00:00"/>
    <m/>
    <s v="Work Environment"/>
    <s v="OFFICE"/>
    <n v="3"/>
    <n v="2"/>
    <s v="Yes"/>
    <s v="Walk-in"/>
    <s v="FullTime"/>
    <n v="1039"/>
    <n v="53"/>
    <n v="80"/>
    <n v="11"/>
    <n v="0"/>
    <m/>
    <n v="0"/>
    <n v="1"/>
    <s v="Current Employees"/>
    <s v="No"/>
  </r>
  <r>
    <x v="11"/>
    <s v="Travel_Rarely"/>
    <x v="1"/>
    <n v="10"/>
    <x v="0"/>
    <n v="3"/>
    <n v="2"/>
    <x v="4"/>
    <n v="4"/>
    <x v="0"/>
    <n v="4684"/>
    <n v="1"/>
    <s v="No"/>
    <n v="13"/>
    <n v="3"/>
    <n v="0"/>
    <n v="5"/>
    <n v="4"/>
    <n v="5"/>
    <n v="1"/>
    <n v="2"/>
    <x v="0"/>
    <s v="24-05-2016"/>
    <m/>
    <s v="Better Opportunity"/>
    <s v="WFH"/>
    <n v="2"/>
    <n v="3"/>
    <s v="No"/>
    <s v="Job Event"/>
    <s v="FullTime"/>
    <n v="1040"/>
    <n v="95"/>
    <n v="80"/>
    <n v="7"/>
    <n v="0"/>
    <m/>
    <n v="0"/>
    <n v="1"/>
    <s v="Current Employees"/>
    <s v="No"/>
  </r>
  <r>
    <x v="15"/>
    <s v="Travel_Frequently"/>
    <x v="0"/>
    <n v="5"/>
    <x v="1"/>
    <n v="3"/>
    <n v="1"/>
    <x v="0"/>
    <n v="4"/>
    <x v="0"/>
    <n v="2379"/>
    <n v="0"/>
    <s v="Yes"/>
    <n v="14"/>
    <n v="3"/>
    <n v="0"/>
    <n v="6"/>
    <n v="3"/>
    <n v="5"/>
    <n v="0"/>
    <n v="2"/>
    <x v="1"/>
    <s v="26-02-2016"/>
    <m/>
    <s v="Salary"/>
    <s v="WFH"/>
    <n v="1"/>
    <n v="2"/>
    <s v="Yes"/>
    <s v="Walk-in"/>
    <s v="Contract"/>
    <n v="1042"/>
    <n v="43"/>
    <n v="80"/>
    <n v="13"/>
    <n v="1"/>
    <n v="1"/>
    <n v="1"/>
    <n v="0"/>
    <s v="Ex-Employees"/>
    <s v="Yes"/>
  </r>
  <r>
    <x v="29"/>
    <s v="Travel_Rarely"/>
    <x v="0"/>
    <n v="2"/>
    <x v="0"/>
    <n v="2"/>
    <n v="1"/>
    <x v="1"/>
    <n v="4"/>
    <x v="1"/>
    <n v="2662"/>
    <n v="8"/>
    <s v="No"/>
    <n v="20"/>
    <n v="4"/>
    <n v="1"/>
    <n v="19"/>
    <n v="2"/>
    <n v="5"/>
    <n v="0"/>
    <n v="4"/>
    <x v="2"/>
    <s v="28-02-2016"/>
    <m/>
    <s v="Salary"/>
    <s v="OFFICE"/>
    <n v="5"/>
    <n v="3"/>
    <s v="No"/>
    <s v="Recruiter"/>
    <s v="FullTime"/>
    <n v="1043"/>
    <n v="82"/>
    <n v="80"/>
    <n v="6"/>
    <n v="0"/>
    <m/>
    <n v="0"/>
    <n v="1"/>
    <s v="Current Employees"/>
    <s v="No"/>
  </r>
  <r>
    <x v="13"/>
    <s v="Travel_Rarely"/>
    <x v="1"/>
    <n v="4"/>
    <x v="0"/>
    <n v="3"/>
    <n v="3"/>
    <x v="4"/>
    <n v="4"/>
    <x v="1"/>
    <n v="9713"/>
    <n v="2"/>
    <s v="Yes"/>
    <n v="13"/>
    <n v="3"/>
    <n v="3"/>
    <n v="9"/>
    <n v="3"/>
    <n v="5"/>
    <n v="1"/>
    <n v="0"/>
    <x v="3"/>
    <d v="2016-07-05T00:00:00"/>
    <m/>
    <s v="Salary"/>
    <s v="WFH"/>
    <n v="2"/>
    <n v="2"/>
    <s v="No"/>
    <s v="Recruiter"/>
    <s v="Part Time"/>
    <n v="1044"/>
    <n v="88"/>
    <n v="80"/>
    <n v="2"/>
    <n v="0"/>
    <m/>
    <n v="0"/>
    <n v="1"/>
    <s v="Current Employees"/>
    <s v="No"/>
  </r>
  <r>
    <x v="0"/>
    <s v="Travel_Rarely"/>
    <x v="0"/>
    <n v="7"/>
    <x v="0"/>
    <n v="3"/>
    <n v="2"/>
    <x v="1"/>
    <n v="1"/>
    <x v="1"/>
    <n v="4284"/>
    <n v="5"/>
    <s v="Yes"/>
    <n v="22"/>
    <n v="4"/>
    <n v="1"/>
    <n v="16"/>
    <n v="2"/>
    <n v="5"/>
    <n v="0"/>
    <n v="4"/>
    <x v="3"/>
    <s v="13-03-2016"/>
    <m/>
    <s v="Better Opportunity"/>
    <s v="WFH"/>
    <n v="2"/>
    <n v="1"/>
    <s v="Yes"/>
    <s v="Job Event"/>
    <s v="Part Time"/>
    <n v="1045"/>
    <n v="90"/>
    <n v="80"/>
    <n v="3"/>
    <n v="0"/>
    <m/>
    <n v="0"/>
    <n v="1"/>
    <s v="Current Employees"/>
    <s v="No"/>
  </r>
  <r>
    <x v="13"/>
    <s v="Non-Travel"/>
    <x v="0"/>
    <n v="16"/>
    <x v="0"/>
    <n v="1"/>
    <n v="1"/>
    <x v="1"/>
    <n v="1"/>
    <x v="1"/>
    <n v="2307"/>
    <n v="1"/>
    <s v="Yes"/>
    <n v="23"/>
    <n v="4"/>
    <n v="1"/>
    <n v="5"/>
    <n v="2"/>
    <n v="5"/>
    <n v="3"/>
    <n v="0"/>
    <x v="0"/>
    <s v="17-02-2016"/>
    <m/>
    <s v="Work Accident"/>
    <s v="WFH"/>
    <n v="0"/>
    <n v="1"/>
    <s v="Yes"/>
    <s v="Job Portal"/>
    <s v="FullTime"/>
    <n v="1046"/>
    <n v="69"/>
    <n v="80"/>
    <n v="7"/>
    <n v="0"/>
    <m/>
    <n v="0"/>
    <n v="1"/>
    <s v="Current Employees"/>
    <s v="No"/>
  </r>
  <r>
    <x v="33"/>
    <s v="Travel_Rarely"/>
    <x v="1"/>
    <n v="8"/>
    <x v="1"/>
    <n v="3"/>
    <n v="2"/>
    <x v="4"/>
    <n v="2"/>
    <x v="1"/>
    <n v="4393"/>
    <n v="5"/>
    <s v="No"/>
    <n v="21"/>
    <n v="4"/>
    <n v="1"/>
    <n v="14"/>
    <n v="3"/>
    <n v="5"/>
    <n v="1"/>
    <n v="4"/>
    <x v="3"/>
    <s v="18-01-2016"/>
    <m/>
    <s v="Salary"/>
    <s v="WFH"/>
    <n v="5"/>
    <n v="2"/>
    <s v="No"/>
    <s v="Job Event"/>
    <s v="Part Time"/>
    <n v="1047"/>
    <n v="75"/>
    <n v="80"/>
    <n v="1"/>
    <n v="0"/>
    <m/>
    <n v="0"/>
    <n v="1"/>
    <s v="Current Employees"/>
    <s v="No"/>
  </r>
  <r>
    <x v="28"/>
    <s v="Travel_Rarely"/>
    <x v="1"/>
    <n v="10"/>
    <x v="1"/>
    <n v="3"/>
    <n v="2"/>
    <x v="4"/>
    <n v="4"/>
    <x v="2"/>
    <n v="6583"/>
    <n v="2"/>
    <s v="Yes"/>
    <n v="11"/>
    <n v="3"/>
    <n v="1"/>
    <n v="8"/>
    <n v="2"/>
    <n v="5"/>
    <n v="1"/>
    <n v="4"/>
    <x v="2"/>
    <s v="13-06-2016"/>
    <m/>
    <s v="Work Environment"/>
    <s v="OFFICE"/>
    <n v="4"/>
    <n v="0"/>
    <s v="Yes"/>
    <s v="Job Portal"/>
    <s v="FullTime"/>
    <n v="1048"/>
    <n v="66"/>
    <n v="80"/>
    <n v="4"/>
    <n v="0"/>
    <m/>
    <n v="0"/>
    <n v="1"/>
    <s v="Current Employees"/>
    <s v="No"/>
  </r>
  <r>
    <x v="15"/>
    <s v="Travel_Rarely"/>
    <x v="0"/>
    <n v="2"/>
    <x v="0"/>
    <n v="3"/>
    <n v="1"/>
    <x v="1"/>
    <n v="2"/>
    <x v="1"/>
    <n v="2226"/>
    <n v="1"/>
    <s v="No"/>
    <n v="11"/>
    <n v="3"/>
    <n v="1"/>
    <n v="6"/>
    <n v="3"/>
    <n v="5"/>
    <n v="1"/>
    <n v="2"/>
    <x v="1"/>
    <s v="25-03-2016"/>
    <m/>
    <s v="Dept.Head"/>
    <s v="WFH"/>
    <n v="4"/>
    <n v="1"/>
    <s v="Yes"/>
    <s v="Recruiter"/>
    <s v="FullTime"/>
    <n v="1049"/>
    <n v="36"/>
    <n v="80"/>
    <n v="3"/>
    <n v="0"/>
    <m/>
    <n v="0"/>
    <n v="1"/>
    <s v="Current Employees"/>
    <s v="No"/>
  </r>
  <r>
    <x v="12"/>
    <s v="Travel_Rarely"/>
    <x v="0"/>
    <n v="9"/>
    <x v="0"/>
    <n v="3"/>
    <n v="1"/>
    <x v="1"/>
    <n v="4"/>
    <x v="2"/>
    <n v="4771"/>
    <n v="2"/>
    <s v="No"/>
    <n v="19"/>
    <n v="3"/>
    <n v="2"/>
    <n v="10"/>
    <n v="0"/>
    <n v="5"/>
    <n v="0"/>
    <n v="3"/>
    <x v="2"/>
    <s v="26-05-2016"/>
    <m/>
    <s v="Work Accident"/>
    <s v="OFFICE"/>
    <n v="0"/>
    <n v="3"/>
    <s v="No"/>
    <s v="Recruiter"/>
    <s v="FullTime"/>
    <n v="1050"/>
    <n v="38"/>
    <n v="80"/>
    <n v="7"/>
    <n v="0"/>
    <m/>
    <n v="0"/>
    <n v="1"/>
    <s v="Current Employees"/>
    <s v="No"/>
  </r>
  <r>
    <x v="39"/>
    <s v="Travel_Frequently"/>
    <x v="0"/>
    <n v="2"/>
    <x v="0"/>
    <n v="3"/>
    <n v="5"/>
    <x v="2"/>
    <n v="4"/>
    <x v="1"/>
    <n v="19161"/>
    <n v="3"/>
    <s v="No"/>
    <n v="15"/>
    <n v="3"/>
    <n v="0"/>
    <n v="28"/>
    <n v="3"/>
    <n v="5"/>
    <n v="4"/>
    <n v="3"/>
    <x v="3"/>
    <d v="2016-02-04T00:00:00"/>
    <m/>
    <s v="Salary"/>
    <s v="OFFICE"/>
    <n v="1"/>
    <n v="2"/>
    <s v="Yes"/>
    <s v="Walk-in"/>
    <s v="FullTime"/>
    <n v="1052"/>
    <n v="81"/>
    <n v="80"/>
    <n v="0"/>
    <n v="1"/>
    <n v="1"/>
    <n v="1"/>
    <n v="0"/>
    <s v="Ex-Employees"/>
    <s v="Yes"/>
  </r>
  <r>
    <x v="27"/>
    <s v="Travel_Rarely"/>
    <x v="1"/>
    <n v="18"/>
    <x v="0"/>
    <n v="3"/>
    <n v="2"/>
    <x v="4"/>
    <n v="1"/>
    <x v="1"/>
    <n v="5561"/>
    <n v="0"/>
    <s v="No"/>
    <n v="16"/>
    <n v="3"/>
    <n v="1"/>
    <n v="6"/>
    <n v="2"/>
    <n v="5"/>
    <n v="0"/>
    <n v="4"/>
    <x v="0"/>
    <s v="31-03-2016"/>
    <m/>
    <s v="Work Environment"/>
    <s v="OFFICE"/>
    <n v="4"/>
    <n v="2"/>
    <s v="No"/>
    <s v="Walk-in"/>
    <s v="Part Time"/>
    <n v="1053"/>
    <n v="57"/>
    <n v="80"/>
    <n v="2"/>
    <n v="1"/>
    <n v="1"/>
    <n v="1"/>
    <n v="0"/>
    <s v="Ex-Employees"/>
    <s v="Yes"/>
  </r>
  <r>
    <x v="6"/>
    <s v="Non-Travel"/>
    <x v="0"/>
    <n v="16"/>
    <x v="0"/>
    <n v="3"/>
    <n v="1"/>
    <x v="1"/>
    <n v="3"/>
    <x v="0"/>
    <n v="2144"/>
    <n v="1"/>
    <s v="No"/>
    <n v="14"/>
    <n v="3"/>
    <n v="0"/>
    <n v="5"/>
    <n v="3"/>
    <n v="5"/>
    <n v="1"/>
    <n v="4"/>
    <x v="1"/>
    <s v="30-05-2016"/>
    <m/>
    <s v="Salary"/>
    <s v="WFH"/>
    <n v="1"/>
    <n v="3"/>
    <s v="Yes"/>
    <s v="Job Event"/>
    <s v="Contract"/>
    <n v="1055"/>
    <n v="87"/>
    <n v="80"/>
    <n v="1"/>
    <n v="0"/>
    <m/>
    <n v="0"/>
    <n v="1"/>
    <s v="Current Employees"/>
    <s v="No"/>
  </r>
  <r>
    <x v="26"/>
    <s v="Non-Travel"/>
    <x v="0"/>
    <n v="9"/>
    <x v="0"/>
    <n v="4"/>
    <n v="1"/>
    <x v="0"/>
    <n v="2"/>
    <x v="1"/>
    <n v="2810"/>
    <n v="1"/>
    <s v="No"/>
    <n v="22"/>
    <n v="4"/>
    <n v="0"/>
    <n v="5"/>
    <n v="3"/>
    <n v="5"/>
    <n v="0"/>
    <n v="2"/>
    <x v="1"/>
    <d v="2016-04-04T00:00:00"/>
    <m/>
    <s v="Dept.Head"/>
    <s v="OFFICE"/>
    <n v="0"/>
    <n v="0"/>
    <s v="No"/>
    <s v="Job Portal"/>
    <s v="FullTime"/>
    <n v="1056"/>
    <n v="74"/>
    <n v="80"/>
    <n v="0"/>
    <n v="0"/>
    <m/>
    <n v="0"/>
    <n v="1"/>
    <s v="Current Employees"/>
    <s v="No"/>
  </r>
  <r>
    <x v="7"/>
    <s v="Travel_Rarely"/>
    <x v="0"/>
    <n v="1"/>
    <x v="0"/>
    <n v="3"/>
    <n v="2"/>
    <x v="7"/>
    <n v="1"/>
    <x v="1"/>
    <n v="5373"/>
    <n v="0"/>
    <s v="No"/>
    <n v="12"/>
    <n v="3"/>
    <n v="1"/>
    <n v="6"/>
    <n v="5"/>
    <n v="5"/>
    <n v="0"/>
    <n v="2"/>
    <x v="2"/>
    <s v="17-02-2016"/>
    <m/>
    <s v="Work Environment"/>
    <s v="WFH"/>
    <n v="3"/>
    <n v="3"/>
    <s v="Yes"/>
    <s v="Job Event"/>
    <s v="Contract"/>
    <n v="1060"/>
    <n v="44"/>
    <n v="80"/>
    <n v="2"/>
    <n v="0"/>
    <m/>
    <n v="0"/>
    <n v="1"/>
    <s v="Current Employees"/>
    <s v="No"/>
  </r>
  <r>
    <x v="21"/>
    <s v="Non-Travel"/>
    <x v="0"/>
    <n v="15"/>
    <x v="1"/>
    <n v="3"/>
    <n v="2"/>
    <x v="7"/>
    <n v="4"/>
    <x v="2"/>
    <n v="6667"/>
    <n v="5"/>
    <s v="No"/>
    <n v="18"/>
    <n v="3"/>
    <n v="1"/>
    <n v="9"/>
    <n v="6"/>
    <n v="5"/>
    <n v="1"/>
    <n v="2"/>
    <x v="3"/>
    <d v="2016-05-03T00:00:00"/>
    <m/>
    <s v="Work Environment"/>
    <s v="OFFICE"/>
    <n v="1"/>
    <n v="0"/>
    <s v="Yes"/>
    <s v="Job Portal"/>
    <s v="Contract"/>
    <n v="1061"/>
    <n v="62"/>
    <n v="80"/>
    <n v="1"/>
    <n v="0"/>
    <m/>
    <n v="0"/>
    <n v="1"/>
    <s v="Current Employees"/>
    <s v="No"/>
  </r>
  <r>
    <x v="37"/>
    <s v="Travel_Rarely"/>
    <x v="0"/>
    <n v="10"/>
    <x v="1"/>
    <n v="3"/>
    <n v="2"/>
    <x v="6"/>
    <n v="1"/>
    <x v="0"/>
    <n v="4440"/>
    <n v="6"/>
    <s v="Yes"/>
    <n v="19"/>
    <n v="3"/>
    <n v="0"/>
    <n v="9"/>
    <n v="3"/>
    <n v="5"/>
    <n v="1"/>
    <n v="4"/>
    <x v="1"/>
    <s v="13-01-2016"/>
    <m/>
    <s v="Better Opportunity"/>
    <s v="WFH"/>
    <n v="1"/>
    <n v="0"/>
    <s v="No"/>
    <s v="Job Event"/>
    <s v="FullTime"/>
    <n v="1062"/>
    <n v="35"/>
    <n v="80"/>
    <n v="3"/>
    <n v="0"/>
    <m/>
    <n v="0"/>
    <n v="1"/>
    <s v="Current Employees"/>
    <s v="No"/>
  </r>
  <r>
    <x v="3"/>
    <s v="Travel_Rarely"/>
    <x v="0"/>
    <n v="12"/>
    <x v="0"/>
    <n v="3"/>
    <n v="1"/>
    <x v="0"/>
    <n v="4"/>
    <x v="0"/>
    <n v="2647"/>
    <n v="1"/>
    <s v="No"/>
    <n v="13"/>
    <n v="3"/>
    <n v="0"/>
    <n v="5"/>
    <n v="6"/>
    <n v="5"/>
    <n v="1"/>
    <n v="4"/>
    <x v="3"/>
    <s v="15-04-2016"/>
    <m/>
    <s v="Better Opportunity"/>
    <s v="OFFICE"/>
    <n v="5"/>
    <n v="2"/>
    <s v="Yes"/>
    <s v="Job Event"/>
    <s v="Part Time"/>
    <n v="1066"/>
    <n v="74"/>
    <n v="80"/>
    <n v="7"/>
    <n v="0"/>
    <m/>
    <n v="0"/>
    <n v="1"/>
    <s v="Current Employees"/>
    <s v="No"/>
  </r>
  <r>
    <x v="33"/>
    <s v="Travel_Rarely"/>
    <x v="0"/>
    <n v="1"/>
    <x v="0"/>
    <n v="3"/>
    <n v="1"/>
    <x v="1"/>
    <n v="4"/>
    <x v="1"/>
    <n v="2782"/>
    <n v="3"/>
    <s v="No"/>
    <n v="22"/>
    <n v="4"/>
    <n v="1"/>
    <n v="12"/>
    <n v="3"/>
    <n v="5"/>
    <n v="1"/>
    <n v="0"/>
    <x v="3"/>
    <s v="14-03-2016"/>
    <m/>
    <s v="Work Environment"/>
    <s v="WFH"/>
    <n v="1"/>
    <n v="3"/>
    <s v="Yes"/>
    <s v="Job Event"/>
    <s v="FullTime"/>
    <n v="1068"/>
    <n v="66"/>
    <n v="80"/>
    <n v="3"/>
    <n v="0"/>
    <m/>
    <n v="0"/>
    <n v="1"/>
    <s v="Current Employees"/>
    <s v="No"/>
  </r>
  <r>
    <x v="38"/>
    <s v="Travel_Rarely"/>
    <x v="1"/>
    <n v="8"/>
    <x v="1"/>
    <n v="3"/>
    <n v="2"/>
    <x v="4"/>
    <n v="3"/>
    <x v="2"/>
    <n v="4907"/>
    <n v="0"/>
    <s v="Yes"/>
    <n v="22"/>
    <n v="4"/>
    <n v="1"/>
    <n v="6"/>
    <n v="3"/>
    <n v="5"/>
    <n v="0"/>
    <n v="4"/>
    <x v="1"/>
    <d v="2016-07-01T00:00:00"/>
    <m/>
    <s v="Work Accident"/>
    <s v="WFH"/>
    <n v="5"/>
    <n v="0"/>
    <s v="Yes"/>
    <s v="Walk-in"/>
    <s v="Part Time"/>
    <n v="1069"/>
    <n v="40"/>
    <n v="80"/>
    <n v="2"/>
    <n v="0"/>
    <m/>
    <n v="0"/>
    <n v="1"/>
    <s v="Current Employees"/>
    <s v="No"/>
  </r>
  <r>
    <x v="33"/>
    <s v="Travel_Rarely"/>
    <x v="1"/>
    <n v="3"/>
    <x v="0"/>
    <n v="2"/>
    <n v="2"/>
    <x v="4"/>
    <n v="2"/>
    <x v="2"/>
    <n v="8938"/>
    <n v="2"/>
    <s v="No"/>
    <n v="11"/>
    <n v="3"/>
    <n v="1"/>
    <n v="14"/>
    <n v="5"/>
    <n v="5"/>
    <n v="0"/>
    <n v="4"/>
    <x v="2"/>
    <s v="13-06-2016"/>
    <m/>
    <s v="Dept.Head"/>
    <s v="WFH"/>
    <n v="4"/>
    <n v="3"/>
    <s v="No"/>
    <s v="Job Event"/>
    <s v="Part Time"/>
    <n v="1070"/>
    <n v="41"/>
    <n v="80"/>
    <n v="4"/>
    <n v="0"/>
    <m/>
    <n v="0"/>
    <n v="1"/>
    <s v="Current Employees"/>
    <s v="No"/>
  </r>
  <r>
    <x v="2"/>
    <s v="Travel_Rarely"/>
    <x v="1"/>
    <n v="20"/>
    <x v="1"/>
    <n v="3"/>
    <n v="2"/>
    <x v="4"/>
    <n v="3"/>
    <x v="0"/>
    <n v="4850"/>
    <n v="8"/>
    <s v="No"/>
    <n v="15"/>
    <n v="3"/>
    <n v="0"/>
    <n v="8"/>
    <n v="3"/>
    <n v="5"/>
    <n v="0"/>
    <n v="1"/>
    <x v="2"/>
    <s v="30-03-2016"/>
    <m/>
    <s v="Work Accident"/>
    <s v="OFFICE"/>
    <n v="4"/>
    <n v="1"/>
    <s v="No"/>
    <s v="Job Portal"/>
    <s v="Contract"/>
    <n v="1071"/>
    <n v="63"/>
    <n v="80"/>
    <n v="4"/>
    <n v="0"/>
    <m/>
    <n v="0"/>
    <n v="1"/>
    <s v="Current Employees"/>
    <s v="No"/>
  </r>
  <r>
    <x v="18"/>
    <s v="Travel_Rarely"/>
    <x v="0"/>
    <n v="2"/>
    <x v="1"/>
    <n v="3"/>
    <n v="1"/>
    <x v="1"/>
    <n v="3"/>
    <x v="1"/>
    <n v="2001"/>
    <n v="2"/>
    <s v="No"/>
    <n v="14"/>
    <n v="3"/>
    <n v="3"/>
    <n v="20"/>
    <n v="2"/>
    <n v="5"/>
    <n v="0"/>
    <n v="2"/>
    <x v="3"/>
    <d v="2016-10-04T00:00:00"/>
    <m/>
    <s v="Salary"/>
    <s v="OFFICE"/>
    <n v="0"/>
    <n v="0"/>
    <s v="No"/>
    <s v="Job Event"/>
    <s v="FullTime"/>
    <n v="1073"/>
    <n v="51"/>
    <n v="80"/>
    <n v="8"/>
    <n v="0"/>
    <m/>
    <n v="0"/>
    <n v="1"/>
    <s v="Current Employees"/>
    <s v="No"/>
  </r>
  <r>
    <x v="7"/>
    <s v="Travel_Rarely"/>
    <x v="0"/>
    <n v="28"/>
    <x v="1"/>
    <n v="2"/>
    <n v="1"/>
    <x v="1"/>
    <n v="1"/>
    <x v="0"/>
    <n v="3785"/>
    <n v="1"/>
    <s v="No"/>
    <n v="14"/>
    <n v="3"/>
    <n v="0"/>
    <n v="5"/>
    <n v="3"/>
    <n v="5"/>
    <n v="0"/>
    <n v="4"/>
    <x v="1"/>
    <s v="27-01-2016"/>
    <m/>
    <s v="Salary"/>
    <s v="WFH"/>
    <n v="4"/>
    <n v="3"/>
    <s v="No"/>
    <s v="Walk-in"/>
    <s v="Part Time"/>
    <n v="1074"/>
    <n v="40"/>
    <n v="80"/>
    <n v="7"/>
    <n v="0"/>
    <m/>
    <n v="0"/>
    <n v="1"/>
    <s v="Current Employees"/>
    <s v="No"/>
  </r>
  <r>
    <x v="26"/>
    <s v="Travel_Frequently"/>
    <x v="0"/>
    <n v="23"/>
    <x v="0"/>
    <n v="4"/>
    <n v="2"/>
    <x v="0"/>
    <n v="4"/>
    <x v="1"/>
    <n v="2571"/>
    <n v="4"/>
    <s v="No"/>
    <n v="17"/>
    <n v="3"/>
    <n v="1"/>
    <n v="17"/>
    <n v="3"/>
    <n v="5"/>
    <n v="0"/>
    <n v="3"/>
    <x v="3"/>
    <d v="2016-07-04T00:00:00"/>
    <m/>
    <s v="Work Environment"/>
    <s v="WFH"/>
    <n v="0"/>
    <n v="1"/>
    <s v="No"/>
    <s v="Job Event"/>
    <s v="Contract"/>
    <n v="1076"/>
    <n v="79"/>
    <n v="80"/>
    <n v="0"/>
    <n v="0"/>
    <m/>
    <n v="0"/>
    <n v="1"/>
    <s v="Current Employees"/>
    <s v="No"/>
  </r>
  <r>
    <x v="33"/>
    <s v="Travel_Rarely"/>
    <x v="1"/>
    <n v="1"/>
    <x v="1"/>
    <n v="3"/>
    <n v="2"/>
    <x v="4"/>
    <n v="4"/>
    <x v="0"/>
    <n v="5993"/>
    <n v="8"/>
    <s v="Yes"/>
    <n v="11"/>
    <n v="3"/>
    <n v="0"/>
    <n v="8"/>
    <n v="0"/>
    <n v="6"/>
    <n v="0"/>
    <n v="5"/>
    <x v="1"/>
    <s v="24-05-2015"/>
    <m/>
    <s v="Salary"/>
    <s v="WFH"/>
    <n v="0"/>
    <n v="0"/>
    <s v="No"/>
    <s v="Job Portal"/>
    <s v="Contract"/>
    <n v="1077"/>
    <n v="54"/>
    <n v="80"/>
    <n v="2"/>
    <n v="1"/>
    <n v="1"/>
    <n v="1"/>
    <n v="0"/>
    <s v="Ex-Employees"/>
    <s v="Yes"/>
  </r>
  <r>
    <x v="21"/>
    <s v="Travel_Rarely"/>
    <x v="0"/>
    <n v="5"/>
    <x v="0"/>
    <n v="4"/>
    <n v="1"/>
    <x v="1"/>
    <n v="2"/>
    <x v="2"/>
    <n v="3298"/>
    <n v="0"/>
    <s v="Yes"/>
    <n v="12"/>
    <n v="3"/>
    <n v="2"/>
    <n v="7"/>
    <n v="5"/>
    <n v="6"/>
    <n v="0"/>
    <n v="5"/>
    <x v="1"/>
    <s v="29-01-2015"/>
    <m/>
    <s v="Better Opportunity"/>
    <s v="WFH"/>
    <n v="5"/>
    <n v="1"/>
    <s v="Yes"/>
    <s v="Recruiter"/>
    <s v="Part Time"/>
    <n v="1079"/>
    <n v="36"/>
    <n v="80"/>
    <n v="0"/>
    <n v="1"/>
    <n v="1"/>
    <n v="1"/>
    <n v="0"/>
    <s v="Ex-Employees"/>
    <s v="Yes"/>
  </r>
  <r>
    <x v="26"/>
    <s v="Travel_Frequently"/>
    <x v="0"/>
    <n v="11"/>
    <x v="0"/>
    <n v="2"/>
    <n v="2"/>
    <x v="6"/>
    <n v="2"/>
    <x v="0"/>
    <n v="6499"/>
    <n v="1"/>
    <s v="No"/>
    <n v="13"/>
    <n v="3"/>
    <n v="0"/>
    <n v="6"/>
    <n v="3"/>
    <n v="6"/>
    <n v="0"/>
    <n v="3"/>
    <x v="2"/>
    <s v="20-03-2015"/>
    <m/>
    <s v="Work Environment"/>
    <s v="OFFICE"/>
    <n v="2"/>
    <n v="1"/>
    <s v="No"/>
    <s v="Recruiter"/>
    <s v="Contract"/>
    <n v="1080"/>
    <n v="74"/>
    <n v="80"/>
    <n v="13"/>
    <n v="0"/>
    <m/>
    <n v="0"/>
    <n v="1"/>
    <s v="Current Employees"/>
    <s v="No"/>
  </r>
  <r>
    <x v="27"/>
    <s v="Travel_Rarely"/>
    <x v="0"/>
    <n v="1"/>
    <x v="0"/>
    <n v="2"/>
    <n v="1"/>
    <x v="1"/>
    <n v="3"/>
    <x v="0"/>
    <n v="2859"/>
    <n v="1"/>
    <s v="No"/>
    <n v="18"/>
    <n v="3"/>
    <n v="0"/>
    <n v="6"/>
    <n v="3"/>
    <n v="6"/>
    <n v="0"/>
    <n v="4"/>
    <x v="2"/>
    <s v="19-05-2015"/>
    <m/>
    <s v="Salary"/>
    <s v="WFH"/>
    <n v="2"/>
    <n v="3"/>
    <s v="No"/>
    <s v="Job Portal"/>
    <s v="Contract"/>
    <n v="1081"/>
    <n v="34"/>
    <n v="80"/>
    <n v="0"/>
    <n v="1"/>
    <n v="1"/>
    <n v="1"/>
    <n v="0"/>
    <s v="Ex-Employees"/>
    <s v="Yes"/>
  </r>
  <r>
    <x v="23"/>
    <s v="Travel_Rarely"/>
    <x v="0"/>
    <n v="7"/>
    <x v="0"/>
    <n v="1"/>
    <n v="3"/>
    <x v="6"/>
    <n v="4"/>
    <x v="0"/>
    <n v="7260"/>
    <n v="4"/>
    <s v="No"/>
    <n v="11"/>
    <n v="3"/>
    <n v="0"/>
    <n v="37"/>
    <n v="3"/>
    <n v="6"/>
    <n v="0"/>
    <n v="2"/>
    <x v="0"/>
    <s v="28-03-2015"/>
    <m/>
    <s v="Work Accident"/>
    <s v="WFH"/>
    <n v="1"/>
    <n v="0"/>
    <s v="No"/>
    <s v="Walk-in"/>
    <s v="Part Time"/>
    <n v="1082"/>
    <n v="72"/>
    <n v="80"/>
    <n v="7"/>
    <n v="1"/>
    <n v="1"/>
    <n v="1"/>
    <n v="0"/>
    <s v="Ex-Employees"/>
    <s v="Yes"/>
  </r>
  <r>
    <x v="38"/>
    <s v="Travel_Rarely"/>
    <x v="1"/>
    <n v="5"/>
    <x v="0"/>
    <n v="2"/>
    <n v="2"/>
    <x v="4"/>
    <n v="3"/>
    <x v="0"/>
    <n v="5744"/>
    <n v="1"/>
    <s v="Yes"/>
    <n v="11"/>
    <n v="3"/>
    <n v="0"/>
    <n v="6"/>
    <n v="1"/>
    <n v="6"/>
    <n v="0"/>
    <n v="3"/>
    <x v="0"/>
    <s v="27-04-2015"/>
    <m/>
    <s v="Better Opportunity"/>
    <s v="OFFICE"/>
    <n v="4"/>
    <n v="0"/>
    <s v="No"/>
    <s v="Job Event"/>
    <s v="Part Time"/>
    <n v="1083"/>
    <n v="59"/>
    <n v="80"/>
    <n v="3"/>
    <n v="0"/>
    <m/>
    <n v="0"/>
    <n v="1"/>
    <s v="Current Employees"/>
    <s v="No"/>
  </r>
  <r>
    <x v="2"/>
    <s v="Travel_Rarely"/>
    <x v="0"/>
    <n v="29"/>
    <x v="0"/>
    <n v="3"/>
    <n v="1"/>
    <x v="1"/>
    <n v="4"/>
    <x v="0"/>
    <n v="3452"/>
    <n v="5"/>
    <s v="No"/>
    <n v="13"/>
    <n v="3"/>
    <n v="0"/>
    <n v="9"/>
    <n v="2"/>
    <n v="6"/>
    <n v="0"/>
    <n v="3"/>
    <x v="2"/>
    <d v="2015-06-02T00:00:00"/>
    <m/>
    <s v="Work Environment"/>
    <s v="OFFICE"/>
    <n v="2"/>
    <n v="0"/>
    <s v="Yes"/>
    <s v="Job Portal"/>
    <s v="Contract"/>
    <n v="1084"/>
    <n v="85"/>
    <n v="80"/>
    <n v="2"/>
    <n v="0"/>
    <m/>
    <n v="0"/>
    <n v="1"/>
    <s v="Current Employees"/>
    <s v="No"/>
  </r>
  <r>
    <x v="27"/>
    <s v="Travel_Frequently"/>
    <x v="0"/>
    <n v="2"/>
    <x v="1"/>
    <n v="3"/>
    <n v="2"/>
    <x v="0"/>
    <n v="2"/>
    <x v="0"/>
    <n v="4425"/>
    <n v="5"/>
    <s v="No"/>
    <n v="11"/>
    <n v="3"/>
    <n v="0"/>
    <n v="10"/>
    <n v="5"/>
    <n v="6"/>
    <n v="1"/>
    <n v="2"/>
    <x v="1"/>
    <s v="26-01-2015"/>
    <m/>
    <s v="Dept.Head"/>
    <s v="OFFICE"/>
    <n v="1"/>
    <n v="1"/>
    <s v="No"/>
    <s v="Walk-in"/>
    <s v="FullTime"/>
    <n v="1085"/>
    <n v="43"/>
    <n v="80"/>
    <n v="6"/>
    <n v="0"/>
    <m/>
    <n v="0"/>
    <n v="1"/>
    <s v="Current Employees"/>
    <s v="No"/>
  </r>
  <r>
    <x v="14"/>
    <s v="Travel_Frequently"/>
    <x v="1"/>
    <n v="26"/>
    <x v="1"/>
    <n v="2"/>
    <n v="2"/>
    <x v="4"/>
    <n v="1"/>
    <x v="0"/>
    <n v="6696"/>
    <n v="5"/>
    <s v="No"/>
    <n v="15"/>
    <n v="3"/>
    <n v="0"/>
    <n v="9"/>
    <n v="5"/>
    <n v="6"/>
    <n v="0"/>
    <n v="1"/>
    <x v="3"/>
    <d v="2015-09-05T00:00:00"/>
    <m/>
    <s v="Work Accident"/>
    <s v="OFFICE"/>
    <n v="5"/>
    <n v="3"/>
    <s v="Yes"/>
    <s v="Job Portal"/>
    <s v="FullTime"/>
    <n v="1088"/>
    <n v="65"/>
    <n v="80"/>
    <n v="9"/>
    <n v="0"/>
    <m/>
    <n v="0"/>
    <n v="1"/>
    <s v="Current Employees"/>
    <s v="No"/>
  </r>
  <r>
    <x v="7"/>
    <s v="Travel_Rarely"/>
    <x v="0"/>
    <n v="1"/>
    <x v="0"/>
    <n v="3"/>
    <n v="1"/>
    <x v="1"/>
    <n v="3"/>
    <x v="0"/>
    <n v="2058"/>
    <n v="0"/>
    <s v="No"/>
    <n v="14"/>
    <n v="3"/>
    <n v="0"/>
    <n v="7"/>
    <n v="1"/>
    <n v="6"/>
    <n v="1"/>
    <n v="5"/>
    <x v="2"/>
    <s v="19-01-2015"/>
    <m/>
    <s v="Better Opportunity"/>
    <s v="WFH"/>
    <n v="0"/>
    <n v="0"/>
    <s v="No"/>
    <s v="Recruiter"/>
    <s v="Contract"/>
    <n v="1092"/>
    <n v="61"/>
    <n v="80"/>
    <n v="10"/>
    <n v="0"/>
    <m/>
    <n v="0"/>
    <n v="1"/>
    <s v="Current Employees"/>
    <s v="No"/>
  </r>
  <r>
    <x v="37"/>
    <s v="Travel_Rarely"/>
    <x v="1"/>
    <n v="3"/>
    <x v="1"/>
    <n v="3"/>
    <n v="2"/>
    <x v="4"/>
    <n v="1"/>
    <x v="1"/>
    <n v="5940"/>
    <n v="2"/>
    <s v="No"/>
    <n v="14"/>
    <n v="3"/>
    <n v="1"/>
    <n v="16"/>
    <n v="4"/>
    <n v="6"/>
    <n v="0"/>
    <n v="5"/>
    <x v="0"/>
    <s v="27-05-2015"/>
    <m/>
    <s v="Dept.Head"/>
    <s v="WFH"/>
    <n v="4"/>
    <n v="3"/>
    <s v="No"/>
    <s v="Job Event"/>
    <s v="Part Time"/>
    <n v="1094"/>
    <n v="87"/>
    <n v="80"/>
    <n v="2"/>
    <n v="0"/>
    <m/>
    <n v="0"/>
    <n v="1"/>
    <s v="Current Employees"/>
    <s v="No"/>
  </r>
  <r>
    <x v="7"/>
    <s v="Travel_Rarely"/>
    <x v="0"/>
    <n v="15"/>
    <x v="0"/>
    <n v="3"/>
    <n v="1"/>
    <x v="1"/>
    <n v="4"/>
    <x v="0"/>
    <n v="2340"/>
    <n v="1"/>
    <s v="No"/>
    <n v="19"/>
    <n v="3"/>
    <n v="0"/>
    <n v="6"/>
    <n v="1"/>
    <n v="6"/>
    <n v="1"/>
    <n v="5"/>
    <x v="0"/>
    <s v="20-04-2015"/>
    <m/>
    <s v="Work Environment"/>
    <s v="OFFICE"/>
    <n v="5"/>
    <n v="3"/>
    <s v="No"/>
    <s v="Job Portal"/>
    <s v="Contract"/>
    <n v="1096"/>
    <n v="65"/>
    <n v="80"/>
    <n v="2"/>
    <n v="0"/>
    <m/>
    <n v="0"/>
    <n v="1"/>
    <s v="Current Employees"/>
    <s v="No"/>
  </r>
  <r>
    <x v="21"/>
    <s v="Travel_Rarely"/>
    <x v="0"/>
    <n v="2"/>
    <x v="0"/>
    <n v="2"/>
    <n v="2"/>
    <x v="0"/>
    <n v="1"/>
    <x v="0"/>
    <n v="2176"/>
    <n v="4"/>
    <s v="No"/>
    <n v="13"/>
    <n v="3"/>
    <n v="0"/>
    <n v="9"/>
    <n v="5"/>
    <n v="6"/>
    <n v="0"/>
    <n v="4"/>
    <x v="2"/>
    <d v="2015-12-04T00:00:00"/>
    <m/>
    <s v="Better Opportunity"/>
    <s v="OFFICE"/>
    <n v="4"/>
    <n v="3"/>
    <s v="No"/>
    <s v="Job Event"/>
    <s v="Part Time"/>
    <n v="1097"/>
    <n v="59"/>
    <n v="80"/>
    <n v="7"/>
    <n v="0"/>
    <m/>
    <n v="0"/>
    <n v="1"/>
    <s v="Current Employees"/>
    <s v="No"/>
  </r>
  <r>
    <x v="38"/>
    <s v="Non-Travel"/>
    <x v="0"/>
    <n v="5"/>
    <x v="0"/>
    <n v="4"/>
    <n v="2"/>
    <x v="7"/>
    <n v="1"/>
    <x v="2"/>
    <n v="4000"/>
    <n v="1"/>
    <s v="No"/>
    <n v="12"/>
    <n v="3"/>
    <n v="2"/>
    <n v="6"/>
    <n v="2"/>
    <n v="6"/>
    <n v="1"/>
    <n v="5"/>
    <x v="3"/>
    <d v="2015-04-04T00:00:00"/>
    <m/>
    <s v="Work Environment"/>
    <s v="WFH"/>
    <n v="3"/>
    <n v="1"/>
    <s v="Yes"/>
    <s v="Job Event"/>
    <s v="FullTime"/>
    <n v="1098"/>
    <n v="91"/>
    <n v="80"/>
    <n v="6"/>
    <n v="1"/>
    <n v="1"/>
    <n v="1"/>
    <n v="0"/>
    <s v="Ex-Employees"/>
    <s v="Yes"/>
  </r>
  <r>
    <x v="11"/>
    <s v="Travel_Frequently"/>
    <x v="0"/>
    <n v="1"/>
    <x v="1"/>
    <n v="3"/>
    <n v="2"/>
    <x v="6"/>
    <n v="2"/>
    <x v="2"/>
    <n v="6397"/>
    <n v="1"/>
    <s v="No"/>
    <n v="20"/>
    <n v="4"/>
    <n v="1"/>
    <n v="6"/>
    <n v="6"/>
    <n v="6"/>
    <n v="1"/>
    <n v="4"/>
    <x v="2"/>
    <s v="18-01-2015"/>
    <m/>
    <s v="Better Opportunity"/>
    <s v="OFFICE"/>
    <n v="3"/>
    <n v="1"/>
    <s v="No"/>
    <s v="Recruiter"/>
    <s v="FullTime"/>
    <n v="1099"/>
    <n v="34"/>
    <n v="80"/>
    <n v="2"/>
    <n v="0"/>
    <m/>
    <n v="0"/>
    <n v="1"/>
    <s v="Current Employees"/>
    <s v="No"/>
  </r>
  <r>
    <x v="0"/>
    <s v="Travel_Rarely"/>
    <x v="0"/>
    <n v="5"/>
    <x v="0"/>
    <n v="3"/>
    <n v="2"/>
    <x v="6"/>
    <n v="4"/>
    <x v="2"/>
    <n v="6347"/>
    <n v="7"/>
    <s v="No"/>
    <n v="16"/>
    <n v="3"/>
    <n v="2"/>
    <n v="8"/>
    <n v="2"/>
    <n v="6"/>
    <n v="0"/>
    <n v="4"/>
    <x v="0"/>
    <s v="17-03-2015"/>
    <m/>
    <s v="Dept.Head"/>
    <s v="OFFICE"/>
    <n v="4"/>
    <n v="3"/>
    <s v="Yes"/>
    <s v="Recruiter"/>
    <s v="FullTime"/>
    <n v="1100"/>
    <n v="86"/>
    <n v="80"/>
    <n v="7"/>
    <n v="1"/>
    <n v="1"/>
    <n v="1"/>
    <n v="0"/>
    <s v="Ex-Employees"/>
    <s v="Yes"/>
  </r>
  <r>
    <x v="18"/>
    <s v="Travel_Rarely"/>
    <x v="1"/>
    <n v="22"/>
    <x v="0"/>
    <n v="2"/>
    <n v="2"/>
    <x v="4"/>
    <n v="3"/>
    <x v="1"/>
    <n v="6380"/>
    <n v="2"/>
    <s v="Yes"/>
    <n v="12"/>
    <n v="3"/>
    <n v="2"/>
    <n v="8"/>
    <n v="6"/>
    <n v="6"/>
    <n v="1"/>
    <n v="0"/>
    <x v="2"/>
    <d v="2015-12-05T00:00:00"/>
    <m/>
    <s v="Salary"/>
    <s v="WFH"/>
    <n v="4"/>
    <n v="3"/>
    <s v="Yes"/>
    <s v="Job Event"/>
    <s v="Contract"/>
    <n v="1101"/>
    <n v="54"/>
    <n v="80"/>
    <n v="7"/>
    <n v="1"/>
    <n v="1"/>
    <n v="1"/>
    <n v="0"/>
    <s v="Ex-Employees"/>
    <s v="Yes"/>
  </r>
  <r>
    <x v="11"/>
    <s v="Travel_Frequently"/>
    <x v="0"/>
    <n v="3"/>
    <x v="0"/>
    <n v="3"/>
    <n v="1"/>
    <x v="1"/>
    <n v="1"/>
    <x v="0"/>
    <n v="3102"/>
    <n v="0"/>
    <s v="No"/>
    <n v="22"/>
    <n v="4"/>
    <n v="0"/>
    <n v="7"/>
    <n v="2"/>
    <n v="6"/>
    <n v="0"/>
    <n v="4"/>
    <x v="1"/>
    <s v="23-04-2015"/>
    <m/>
    <s v="Dept.Head"/>
    <s v="WFH"/>
    <n v="5"/>
    <n v="0"/>
    <s v="No"/>
    <s v="Walk-in"/>
    <s v="Contract"/>
    <n v="1102"/>
    <n v="50"/>
    <n v="80"/>
    <n v="2"/>
    <n v="0"/>
    <m/>
    <n v="0"/>
    <n v="1"/>
    <s v="Current Employees"/>
    <s v="No"/>
  </r>
  <r>
    <x v="22"/>
    <s v="Travel_Frequently"/>
    <x v="0"/>
    <n v="28"/>
    <x v="1"/>
    <n v="2"/>
    <n v="2"/>
    <x v="7"/>
    <n v="4"/>
    <x v="1"/>
    <n v="4523"/>
    <n v="0"/>
    <s v="No"/>
    <n v="11"/>
    <n v="3"/>
    <n v="3"/>
    <n v="7"/>
    <n v="4"/>
    <n v="6"/>
    <n v="0"/>
    <n v="4"/>
    <x v="0"/>
    <s v="20-01-2015"/>
    <m/>
    <s v="Better Opportunity"/>
    <s v="OFFICE"/>
    <n v="4"/>
    <n v="3"/>
    <s v="No"/>
    <s v="Job Event"/>
    <s v="FullTime"/>
    <n v="1103"/>
    <n v="45"/>
    <n v="80"/>
    <n v="2"/>
    <n v="0"/>
    <m/>
    <n v="0"/>
    <n v="1"/>
    <s v="Current Employees"/>
    <s v="No"/>
  </r>
  <r>
    <x v="28"/>
    <s v="Travel_Rarely"/>
    <x v="1"/>
    <n v="2"/>
    <x v="0"/>
    <n v="3"/>
    <n v="2"/>
    <x v="4"/>
    <n v="4"/>
    <x v="0"/>
    <n v="6582"/>
    <n v="4"/>
    <s v="Yes"/>
    <n v="13"/>
    <n v="3"/>
    <n v="0"/>
    <n v="10"/>
    <n v="2"/>
    <n v="6"/>
    <n v="0"/>
    <n v="5"/>
    <x v="1"/>
    <s v="30-05-2015"/>
    <m/>
    <s v="Salary"/>
    <s v="WFH"/>
    <n v="1"/>
    <n v="1"/>
    <s v="No"/>
    <s v="Walk-in"/>
    <s v="Part Time"/>
    <n v="1105"/>
    <n v="88"/>
    <n v="80"/>
    <n v="0"/>
    <n v="0"/>
    <m/>
    <n v="0"/>
    <n v="1"/>
    <s v="Current Employees"/>
    <s v="No"/>
  </r>
  <r>
    <x v="20"/>
    <s v="Travel_Rarely"/>
    <x v="0"/>
    <n v="1"/>
    <x v="1"/>
    <n v="4"/>
    <n v="4"/>
    <x v="2"/>
    <n v="3"/>
    <x v="2"/>
    <n v="16184"/>
    <n v="4"/>
    <s v="No"/>
    <n v="19"/>
    <n v="3"/>
    <n v="1"/>
    <n v="10"/>
    <n v="2"/>
    <n v="6"/>
    <n v="0"/>
    <n v="5"/>
    <x v="3"/>
    <d v="2015-02-06T00:00:00"/>
    <m/>
    <s v="Dept.Head"/>
    <s v="WFH"/>
    <n v="2"/>
    <n v="3"/>
    <s v="Yes"/>
    <s v="Job Event"/>
    <s v="Part Time"/>
    <n v="1106"/>
    <n v="32"/>
    <n v="80"/>
    <n v="7"/>
    <n v="1"/>
    <n v="1"/>
    <n v="1"/>
    <n v="0"/>
    <s v="Ex-Employees"/>
    <s v="Yes"/>
  </r>
  <r>
    <x v="0"/>
    <s v="Travel_Rarely"/>
    <x v="0"/>
    <n v="1"/>
    <x v="1"/>
    <n v="3"/>
    <n v="3"/>
    <x v="6"/>
    <n v="4"/>
    <x v="0"/>
    <n v="7491"/>
    <n v="4"/>
    <s v="No"/>
    <n v="17"/>
    <n v="3"/>
    <n v="0"/>
    <n v="12"/>
    <n v="3"/>
    <n v="6"/>
    <n v="1"/>
    <n v="2"/>
    <x v="2"/>
    <d v="2015-07-05T00:00:00"/>
    <m/>
    <s v="Better Opportunity"/>
    <s v="OFFICE"/>
    <n v="1"/>
    <n v="0"/>
    <s v="No"/>
    <s v="Job Event"/>
    <s v="Part Time"/>
    <n v="1107"/>
    <n v="37"/>
    <n v="80"/>
    <n v="1"/>
    <n v="1"/>
    <n v="1"/>
    <n v="1"/>
    <n v="0"/>
    <s v="Ex-Employees"/>
    <s v="Yes"/>
  </r>
  <r>
    <x v="0"/>
    <s v="Travel_Rarely"/>
    <x v="0"/>
    <n v="1"/>
    <x v="1"/>
    <n v="3"/>
    <n v="2"/>
    <x v="6"/>
    <n v="2"/>
    <x v="1"/>
    <n v="6447"/>
    <n v="6"/>
    <s v="No"/>
    <n v="12"/>
    <n v="3"/>
    <n v="1"/>
    <n v="8"/>
    <n v="2"/>
    <n v="6"/>
    <n v="4"/>
    <n v="3"/>
    <x v="0"/>
    <s v="22-06-2015"/>
    <m/>
    <s v="Dept.Head"/>
    <s v="OFFICE"/>
    <n v="3"/>
    <n v="0"/>
    <s v="Yes"/>
    <s v="Job Event"/>
    <s v="FullTime"/>
    <n v="1108"/>
    <n v="55"/>
    <n v="80"/>
    <n v="2"/>
    <n v="1"/>
    <n v="1"/>
    <n v="1"/>
    <n v="0"/>
    <s v="Ex-Employees"/>
    <s v="Yes"/>
  </r>
  <r>
    <x v="19"/>
    <s v="Travel_Rarely"/>
    <x v="0"/>
    <n v="23"/>
    <x v="0"/>
    <n v="4"/>
    <n v="1"/>
    <x v="1"/>
    <n v="4"/>
    <x v="1"/>
    <n v="2725"/>
    <n v="1"/>
    <s v="Yes"/>
    <n v="11"/>
    <n v="3"/>
    <n v="2"/>
    <n v="6"/>
    <n v="3"/>
    <n v="6"/>
    <n v="1"/>
    <n v="4"/>
    <x v="1"/>
    <s v="18-03-2015"/>
    <m/>
    <s v="Better Opportunity"/>
    <s v="OFFICE"/>
    <n v="1"/>
    <n v="3"/>
    <s v="No"/>
    <s v="Job Portal"/>
    <s v="Part Time"/>
    <n v="1109"/>
    <n v="35"/>
    <n v="80"/>
    <n v="6"/>
    <n v="0"/>
    <m/>
    <n v="0"/>
    <n v="1"/>
    <s v="Current Employees"/>
    <s v="No"/>
  </r>
  <r>
    <x v="19"/>
    <s v="Travel_Frequently"/>
    <x v="0"/>
    <n v="7"/>
    <x v="1"/>
    <n v="3"/>
    <n v="1"/>
    <x v="0"/>
    <n v="3"/>
    <x v="1"/>
    <n v="2886"/>
    <n v="1"/>
    <s v="Yes"/>
    <n v="16"/>
    <n v="3"/>
    <n v="1"/>
    <n v="6"/>
    <n v="4"/>
    <n v="6"/>
    <n v="1"/>
    <n v="2"/>
    <x v="2"/>
    <d v="2015-01-01T00:00:00"/>
    <m/>
    <s v="Work Accident"/>
    <s v="WFH"/>
    <n v="0"/>
    <n v="0"/>
    <s v="Yes"/>
    <s v="Walk-in"/>
    <s v="Contract"/>
    <n v="1111"/>
    <n v="45"/>
    <n v="80"/>
    <n v="0"/>
    <n v="1"/>
    <n v="1"/>
    <n v="1"/>
    <n v="0"/>
    <s v="Ex-Employees"/>
    <s v="Yes"/>
  </r>
  <r>
    <x v="13"/>
    <s v="Travel_Rarely"/>
    <x v="0"/>
    <n v="1"/>
    <x v="0"/>
    <n v="2"/>
    <n v="1"/>
    <x v="1"/>
    <n v="4"/>
    <x v="1"/>
    <n v="3622"/>
    <n v="1"/>
    <s v="Yes"/>
    <n v="13"/>
    <n v="3"/>
    <n v="1"/>
    <n v="6"/>
    <n v="3"/>
    <n v="6"/>
    <n v="1"/>
    <n v="3"/>
    <x v="3"/>
    <s v="26-03-2015"/>
    <m/>
    <s v="Work Environment"/>
    <s v="WFH"/>
    <n v="3"/>
    <n v="1"/>
    <s v="Yes"/>
    <s v="Job Event"/>
    <s v="Part Time"/>
    <n v="1113"/>
    <n v="81"/>
    <n v="80"/>
    <n v="0"/>
    <n v="1"/>
    <n v="1"/>
    <n v="1"/>
    <n v="0"/>
    <s v="Ex-Employees"/>
    <s v="Yes"/>
  </r>
  <r>
    <x v="21"/>
    <s v="Travel_Rarely"/>
    <x v="0"/>
    <n v="9"/>
    <x v="1"/>
    <n v="3"/>
    <n v="2"/>
    <x v="1"/>
    <n v="4"/>
    <x v="1"/>
    <n v="6322"/>
    <n v="1"/>
    <s v="Yes"/>
    <n v="12"/>
    <n v="3"/>
    <n v="1"/>
    <n v="6"/>
    <n v="2"/>
    <n v="6"/>
    <n v="0"/>
    <n v="5"/>
    <x v="1"/>
    <s v="16-05-2015"/>
    <m/>
    <s v="Dept.Head"/>
    <s v="WFH"/>
    <n v="4"/>
    <n v="3"/>
    <s v="Yes"/>
    <s v="Job Portal"/>
    <s v="Contract"/>
    <n v="1114"/>
    <n v="30"/>
    <n v="80"/>
    <n v="2"/>
    <n v="0"/>
    <m/>
    <n v="0"/>
    <n v="1"/>
    <s v="Current Employees"/>
    <s v="No"/>
  </r>
  <r>
    <x v="7"/>
    <s v="Travel_Rarely"/>
    <x v="1"/>
    <n v="3"/>
    <x v="1"/>
    <n v="3"/>
    <n v="2"/>
    <x v="4"/>
    <n v="3"/>
    <x v="1"/>
    <n v="5561"/>
    <n v="1"/>
    <s v="No"/>
    <n v="14"/>
    <n v="3"/>
    <n v="1"/>
    <n v="6"/>
    <n v="5"/>
    <n v="6"/>
    <n v="1"/>
    <n v="2"/>
    <x v="0"/>
    <s v="27-06-2015"/>
    <m/>
    <s v="Better Opportunity"/>
    <s v="OFFICE"/>
    <n v="0"/>
    <n v="1"/>
    <s v="Yes"/>
    <s v="Recruiter"/>
    <s v="FullTime"/>
    <n v="1115"/>
    <n v="40"/>
    <n v="80"/>
    <n v="0"/>
    <n v="0"/>
    <m/>
    <n v="0"/>
    <n v="1"/>
    <s v="Current Employees"/>
    <s v="No"/>
  </r>
  <r>
    <x v="15"/>
    <s v="Travel_Frequently"/>
    <x v="1"/>
    <n v="3"/>
    <x v="1"/>
    <n v="4"/>
    <n v="2"/>
    <x v="4"/>
    <n v="4"/>
    <x v="2"/>
    <n v="4647"/>
    <n v="1"/>
    <s v="Yes"/>
    <n v="20"/>
    <n v="4"/>
    <n v="2"/>
    <n v="6"/>
    <n v="3"/>
    <n v="6"/>
    <n v="0"/>
    <n v="4"/>
    <x v="2"/>
    <d v="2015-12-04T00:00:00"/>
    <m/>
    <s v="Salary"/>
    <s v="WFH"/>
    <n v="4"/>
    <n v="2"/>
    <s v="Yes"/>
    <s v="Job Event"/>
    <s v="Contract"/>
    <n v="1116"/>
    <n v="35"/>
    <n v="80"/>
    <n v="4"/>
    <n v="0"/>
    <m/>
    <n v="0"/>
    <n v="1"/>
    <s v="Current Employees"/>
    <s v="No"/>
  </r>
  <r>
    <x v="38"/>
    <s v="Travel_Rarely"/>
    <x v="1"/>
    <n v="26"/>
    <x v="1"/>
    <n v="3"/>
    <n v="2"/>
    <x v="4"/>
    <n v="4"/>
    <x v="0"/>
    <n v="6180"/>
    <n v="1"/>
    <s v="No"/>
    <n v="23"/>
    <n v="4"/>
    <n v="0"/>
    <n v="6"/>
    <n v="5"/>
    <n v="6"/>
    <n v="1"/>
    <n v="4"/>
    <x v="0"/>
    <d v="2015-04-01T00:00:00"/>
    <m/>
    <s v="Better Opportunity"/>
    <s v="WFH"/>
    <n v="3"/>
    <n v="0"/>
    <s v="No"/>
    <s v="Recruiter"/>
    <s v="Part Time"/>
    <n v="1117"/>
    <n v="65"/>
    <n v="80"/>
    <n v="10"/>
    <n v="0"/>
    <m/>
    <n v="0"/>
    <n v="1"/>
    <s v="Current Employees"/>
    <s v="No"/>
  </r>
  <r>
    <x v="13"/>
    <s v="Travel_Rarely"/>
    <x v="1"/>
    <n v="2"/>
    <x v="0"/>
    <n v="3"/>
    <n v="2"/>
    <x v="4"/>
    <n v="4"/>
    <x v="0"/>
    <n v="6274"/>
    <n v="1"/>
    <s v="No"/>
    <n v="22"/>
    <n v="4"/>
    <n v="0"/>
    <n v="6"/>
    <n v="5"/>
    <n v="6"/>
    <n v="1"/>
    <n v="4"/>
    <x v="1"/>
    <d v="2015-04-04T00:00:00"/>
    <m/>
    <s v="Work Environment"/>
    <s v="OFFICE"/>
    <n v="1"/>
    <n v="1"/>
    <s v="Yes"/>
    <s v="Recruiter"/>
    <s v="Contract"/>
    <n v="1118"/>
    <n v="87"/>
    <n v="80"/>
    <n v="6"/>
    <n v="0"/>
    <m/>
    <n v="0"/>
    <n v="1"/>
    <s v="Current Employees"/>
    <s v="No"/>
  </r>
  <r>
    <x v="13"/>
    <s v="Travel_Rarely"/>
    <x v="0"/>
    <n v="2"/>
    <x v="1"/>
    <n v="2"/>
    <n v="1"/>
    <x v="1"/>
    <n v="1"/>
    <x v="0"/>
    <n v="4381"/>
    <n v="1"/>
    <s v="No"/>
    <n v="11"/>
    <n v="3"/>
    <n v="0"/>
    <n v="6"/>
    <n v="3"/>
    <n v="6"/>
    <n v="1"/>
    <n v="3"/>
    <x v="0"/>
    <d v="2015-08-01T00:00:00"/>
    <m/>
    <s v="Dept.Head"/>
    <s v="WFH"/>
    <n v="1"/>
    <n v="3"/>
    <s v="Yes"/>
    <s v="Recruiter"/>
    <s v="FullTime"/>
    <n v="1119"/>
    <n v="73"/>
    <n v="80"/>
    <n v="7"/>
    <n v="0"/>
    <m/>
    <n v="0"/>
    <n v="1"/>
    <s v="Current Employees"/>
    <s v="No"/>
  </r>
  <r>
    <x v="27"/>
    <s v="Travel_Rarely"/>
    <x v="0"/>
    <n v="27"/>
    <x v="1"/>
    <n v="2"/>
    <n v="1"/>
    <x v="1"/>
    <n v="1"/>
    <x v="0"/>
    <n v="2559"/>
    <n v="1"/>
    <s v="No"/>
    <n v="11"/>
    <n v="3"/>
    <n v="0"/>
    <n v="6"/>
    <n v="3"/>
    <n v="6"/>
    <n v="1"/>
    <n v="1"/>
    <x v="3"/>
    <d v="2015-03-06T00:00:00"/>
    <m/>
    <s v="Work Environment"/>
    <s v="OFFICE"/>
    <n v="1"/>
    <n v="3"/>
    <s v="Yes"/>
    <s v="Recruiter"/>
    <s v="FullTime"/>
    <n v="1120"/>
    <n v="93"/>
    <n v="80"/>
    <n v="5"/>
    <n v="0"/>
    <m/>
    <n v="0"/>
    <n v="1"/>
    <s v="Current Employees"/>
    <s v="No"/>
  </r>
  <r>
    <x v="28"/>
    <s v="Travel_Rarely"/>
    <x v="0"/>
    <n v="11"/>
    <x v="0"/>
    <n v="3"/>
    <n v="1"/>
    <x v="1"/>
    <n v="4"/>
    <x v="1"/>
    <n v="2356"/>
    <n v="3"/>
    <s v="Yes"/>
    <n v="19"/>
    <n v="3"/>
    <n v="1"/>
    <n v="8"/>
    <n v="2"/>
    <n v="6"/>
    <n v="0"/>
    <n v="2"/>
    <x v="2"/>
    <s v="28-05-2015"/>
    <m/>
    <s v="Work Environment"/>
    <s v="OFFICE"/>
    <n v="3"/>
    <n v="1"/>
    <s v="No"/>
    <s v="Recruiter"/>
    <s v="Contract"/>
    <n v="1121"/>
    <n v="93"/>
    <n v="80"/>
    <n v="7"/>
    <n v="0"/>
    <m/>
    <n v="0"/>
    <n v="1"/>
    <s v="Current Employees"/>
    <s v="No"/>
  </r>
  <r>
    <x v="32"/>
    <s v="Travel_Rarely"/>
    <x v="0"/>
    <n v="5"/>
    <x v="1"/>
    <n v="2"/>
    <n v="3"/>
    <x v="7"/>
    <n v="2"/>
    <x v="2"/>
    <n v="10552"/>
    <n v="2"/>
    <s v="Yes"/>
    <n v="13"/>
    <n v="3"/>
    <n v="1"/>
    <n v="24"/>
    <n v="3"/>
    <n v="6"/>
    <n v="0"/>
    <n v="4"/>
    <x v="3"/>
    <s v="26-05-2015"/>
    <m/>
    <s v="Salary"/>
    <s v="WFH"/>
    <n v="1"/>
    <n v="2"/>
    <s v="No"/>
    <s v="Job Portal"/>
    <s v="Part Time"/>
    <n v="1124"/>
    <n v="52"/>
    <n v="80"/>
    <n v="9"/>
    <n v="0"/>
    <m/>
    <n v="0"/>
    <n v="1"/>
    <s v="Current Employees"/>
    <s v="No"/>
  </r>
  <r>
    <x v="26"/>
    <s v="Travel_Rarely"/>
    <x v="0"/>
    <n v="7"/>
    <x v="0"/>
    <n v="3"/>
    <n v="1"/>
    <x v="1"/>
    <n v="4"/>
    <x v="0"/>
    <n v="4678"/>
    <n v="2"/>
    <s v="No"/>
    <n v="18"/>
    <n v="3"/>
    <n v="0"/>
    <n v="8"/>
    <n v="6"/>
    <n v="6"/>
    <n v="0"/>
    <n v="1"/>
    <x v="2"/>
    <s v="14-05-2015"/>
    <m/>
    <s v="Salary"/>
    <s v="OFFICE"/>
    <n v="2"/>
    <n v="2"/>
    <s v="No"/>
    <s v="Recruiter"/>
    <s v="FullTime"/>
    <n v="1125"/>
    <n v="32"/>
    <n v="80"/>
    <n v="0"/>
    <n v="0"/>
    <m/>
    <n v="0"/>
    <n v="1"/>
    <s v="Current Employees"/>
    <s v="No"/>
  </r>
  <r>
    <x v="20"/>
    <s v="Travel_Frequently"/>
    <x v="0"/>
    <n v="1"/>
    <x v="1"/>
    <n v="4"/>
    <n v="2"/>
    <x v="7"/>
    <n v="2"/>
    <x v="1"/>
    <n v="5488"/>
    <n v="1"/>
    <s v="Yes"/>
    <n v="13"/>
    <n v="3"/>
    <n v="1"/>
    <n v="6"/>
    <n v="2"/>
    <n v="6"/>
    <n v="1"/>
    <n v="2"/>
    <x v="3"/>
    <s v="20-04-2015"/>
    <m/>
    <s v="Work Accident"/>
    <s v="WFH"/>
    <n v="5"/>
    <n v="0"/>
    <s v="No"/>
    <s v="Walk-in"/>
    <s v="Part Time"/>
    <n v="1126"/>
    <n v="83"/>
    <n v="80"/>
    <n v="7"/>
    <n v="0"/>
    <m/>
    <n v="0"/>
    <n v="1"/>
    <s v="Current Employees"/>
    <s v="No"/>
  </r>
  <r>
    <x v="24"/>
    <s v="Travel_Rarely"/>
    <x v="1"/>
    <n v="1"/>
    <x v="0"/>
    <n v="3"/>
    <n v="3"/>
    <x v="5"/>
    <n v="4"/>
    <x v="1"/>
    <n v="11904"/>
    <n v="3"/>
    <s v="Yes"/>
    <n v="14"/>
    <n v="3"/>
    <n v="1"/>
    <n v="14"/>
    <n v="1"/>
    <n v="6"/>
    <n v="0"/>
    <n v="4"/>
    <x v="0"/>
    <s v="23-01-2015"/>
    <m/>
    <s v="Work Environment"/>
    <s v="WFH"/>
    <n v="2"/>
    <n v="0"/>
    <s v="Yes"/>
    <s v="Job Event"/>
    <s v="Part Time"/>
    <n v="1127"/>
    <n v="84"/>
    <n v="80"/>
    <n v="7"/>
    <n v="1"/>
    <n v="1"/>
    <n v="1"/>
    <n v="0"/>
    <s v="Ex-Employees"/>
    <s v="Yes"/>
  </r>
  <r>
    <x v="2"/>
    <s v="Travel_Rarely"/>
    <x v="2"/>
    <n v="24"/>
    <x v="0"/>
    <n v="3"/>
    <n v="1"/>
    <x v="8"/>
    <n v="2"/>
    <x v="0"/>
    <n v="2177"/>
    <n v="1"/>
    <s v="No"/>
    <n v="16"/>
    <n v="3"/>
    <n v="0"/>
    <n v="6"/>
    <n v="3"/>
    <n v="6"/>
    <n v="0"/>
    <n v="4"/>
    <x v="3"/>
    <d v="2015-11-05T00:00:00"/>
    <m/>
    <s v="Dept.Head"/>
    <s v="WFH"/>
    <n v="4"/>
    <n v="3"/>
    <s v="Yes"/>
    <s v="Job Portal"/>
    <s v="Contract"/>
    <n v="1128"/>
    <n v="44"/>
    <n v="80"/>
    <n v="7"/>
    <n v="0"/>
    <m/>
    <n v="0"/>
    <n v="1"/>
    <s v="Current Employees"/>
    <s v="No"/>
  </r>
  <r>
    <x v="14"/>
    <s v="Travel_Rarely"/>
    <x v="0"/>
    <n v="20"/>
    <x v="0"/>
    <n v="3"/>
    <n v="2"/>
    <x v="6"/>
    <n v="1"/>
    <x v="1"/>
    <n v="9957"/>
    <n v="0"/>
    <s v="No"/>
    <n v="15"/>
    <n v="3"/>
    <n v="1"/>
    <n v="7"/>
    <n v="1"/>
    <n v="6"/>
    <n v="0"/>
    <n v="2"/>
    <x v="1"/>
    <s v="20-05-2015"/>
    <m/>
    <s v="Dept.Head"/>
    <s v="OFFICE"/>
    <n v="3"/>
    <n v="3"/>
    <s v="No"/>
    <s v="Walk-in"/>
    <s v="FullTime"/>
    <n v="1131"/>
    <n v="70"/>
    <n v="80"/>
    <n v="2"/>
    <n v="0"/>
    <m/>
    <n v="0"/>
    <n v="1"/>
    <s v="Current Employees"/>
    <s v="No"/>
  </r>
  <r>
    <x v="13"/>
    <s v="Travel_Frequently"/>
    <x v="0"/>
    <n v="3"/>
    <x v="0"/>
    <n v="3"/>
    <n v="2"/>
    <x v="7"/>
    <n v="4"/>
    <x v="0"/>
    <n v="7756"/>
    <n v="0"/>
    <s v="No"/>
    <n v="17"/>
    <n v="3"/>
    <n v="0"/>
    <n v="7"/>
    <n v="1"/>
    <n v="6"/>
    <n v="0"/>
    <n v="4"/>
    <x v="0"/>
    <d v="2015-09-03T00:00:00"/>
    <m/>
    <s v="Dept.Head"/>
    <s v="WFH"/>
    <n v="5"/>
    <n v="2"/>
    <s v="Yes"/>
    <s v="Walk-in"/>
    <s v="Contract"/>
    <n v="1132"/>
    <n v="70"/>
    <n v="80"/>
    <n v="4"/>
    <n v="0"/>
    <m/>
    <n v="0"/>
    <n v="1"/>
    <s v="Current Employees"/>
    <s v="No"/>
  </r>
  <r>
    <x v="0"/>
    <s v="Travel_Rarely"/>
    <x v="0"/>
    <n v="25"/>
    <x v="1"/>
    <n v="2"/>
    <n v="2"/>
    <x v="7"/>
    <n v="4"/>
    <x v="2"/>
    <n v="5731"/>
    <n v="7"/>
    <s v="No"/>
    <n v="13"/>
    <n v="3"/>
    <n v="2"/>
    <n v="9"/>
    <n v="2"/>
    <n v="6"/>
    <n v="1"/>
    <n v="3"/>
    <x v="3"/>
    <s v="14-01-2015"/>
    <m/>
    <s v="Dept.Head"/>
    <s v="WFH"/>
    <n v="5"/>
    <n v="2"/>
    <s v="No"/>
    <s v="Recruiter"/>
    <s v="FullTime"/>
    <n v="1133"/>
    <n v="78"/>
    <n v="80"/>
    <n v="9"/>
    <n v="0"/>
    <m/>
    <n v="0"/>
    <n v="1"/>
    <s v="Current Employees"/>
    <s v="No"/>
  </r>
  <r>
    <x v="13"/>
    <s v="Travel_Rarely"/>
    <x v="1"/>
    <n v="9"/>
    <x v="1"/>
    <n v="3"/>
    <n v="2"/>
    <x v="4"/>
    <n v="3"/>
    <x v="1"/>
    <n v="5714"/>
    <n v="1"/>
    <s v="No"/>
    <n v="20"/>
    <n v="4"/>
    <n v="0"/>
    <n v="6"/>
    <n v="3"/>
    <n v="6"/>
    <n v="1"/>
    <n v="3"/>
    <x v="2"/>
    <s v="27-03-2015"/>
    <m/>
    <s v="Work Accident"/>
    <s v="OFFICE"/>
    <n v="5"/>
    <n v="3"/>
    <s v="Yes"/>
    <s v="Recruiter"/>
    <s v="Contract"/>
    <n v="1135"/>
    <n v="67"/>
    <n v="80"/>
    <n v="2"/>
    <n v="0"/>
    <m/>
    <n v="0"/>
    <n v="1"/>
    <s v="Current Employees"/>
    <s v="No"/>
  </r>
  <r>
    <x v="22"/>
    <s v="Travel_Rarely"/>
    <x v="1"/>
    <n v="4"/>
    <x v="0"/>
    <n v="3"/>
    <n v="2"/>
    <x v="4"/>
    <n v="1"/>
    <x v="0"/>
    <n v="5155"/>
    <n v="7"/>
    <s v="No"/>
    <n v="13"/>
    <n v="3"/>
    <n v="0"/>
    <n v="9"/>
    <n v="3"/>
    <n v="6"/>
    <n v="1"/>
    <n v="5"/>
    <x v="0"/>
    <d v="2015-12-04T00:00:00"/>
    <m/>
    <s v="Work Accident"/>
    <s v="OFFICE"/>
    <n v="5"/>
    <n v="2"/>
    <s v="No"/>
    <s v="Job Portal"/>
    <s v="FullTime"/>
    <n v="1136"/>
    <n v="67"/>
    <n v="80"/>
    <n v="3"/>
    <n v="0"/>
    <m/>
    <n v="0"/>
    <n v="1"/>
    <s v="Current Employees"/>
    <s v="No"/>
  </r>
  <r>
    <x v="17"/>
    <s v="Travel_Rarely"/>
    <x v="0"/>
    <n v="10"/>
    <x v="0"/>
    <n v="3"/>
    <n v="1"/>
    <x v="1"/>
    <n v="3"/>
    <x v="0"/>
    <n v="2936"/>
    <n v="1"/>
    <s v="Yes"/>
    <n v="11"/>
    <n v="3"/>
    <n v="0"/>
    <n v="6"/>
    <n v="4"/>
    <n v="6"/>
    <n v="0"/>
    <n v="2"/>
    <x v="2"/>
    <d v="2015-12-03T00:00:00"/>
    <m/>
    <s v="Work Environment"/>
    <s v="OFFICE"/>
    <n v="3"/>
    <n v="3"/>
    <s v="Yes"/>
    <s v="Job Portal"/>
    <s v="FullTime"/>
    <n v="1137"/>
    <n v="54"/>
    <n v="80"/>
    <n v="2"/>
    <n v="0"/>
    <m/>
    <n v="0"/>
    <n v="1"/>
    <s v="Current Employees"/>
    <s v="No"/>
  </r>
  <r>
    <x v="6"/>
    <s v="Travel_Rarely"/>
    <x v="0"/>
    <n v="19"/>
    <x v="0"/>
    <n v="2"/>
    <n v="1"/>
    <x v="0"/>
    <n v="1"/>
    <x v="1"/>
    <n v="3196"/>
    <n v="1"/>
    <s v="No"/>
    <n v="12"/>
    <n v="3"/>
    <n v="3"/>
    <n v="6"/>
    <n v="2"/>
    <n v="6"/>
    <n v="3"/>
    <n v="3"/>
    <x v="1"/>
    <s v="19-01-2015"/>
    <m/>
    <s v="Better Opportunity"/>
    <s v="WFH"/>
    <n v="0"/>
    <n v="3"/>
    <s v="No"/>
    <s v="Job Event"/>
    <s v="Part Time"/>
    <n v="1138"/>
    <n v="56"/>
    <n v="80"/>
    <n v="8"/>
    <n v="0"/>
    <m/>
    <n v="0"/>
    <n v="1"/>
    <s v="Current Employees"/>
    <s v="No"/>
  </r>
  <r>
    <x v="35"/>
    <s v="Travel_Rarely"/>
    <x v="0"/>
    <n v="2"/>
    <x v="0"/>
    <n v="3"/>
    <n v="2"/>
    <x v="6"/>
    <n v="4"/>
    <x v="2"/>
    <n v="7379"/>
    <n v="2"/>
    <s v="No"/>
    <n v="11"/>
    <n v="3"/>
    <n v="1"/>
    <n v="12"/>
    <n v="3"/>
    <n v="6"/>
    <n v="1"/>
    <n v="4"/>
    <x v="1"/>
    <s v="25-01-2015"/>
    <m/>
    <s v="Better Opportunity"/>
    <s v="WFH"/>
    <n v="2"/>
    <n v="1"/>
    <s v="Yes"/>
    <s v="Job Event"/>
    <s v="Contract"/>
    <n v="1140"/>
    <n v="95"/>
    <n v="80"/>
    <n v="2"/>
    <n v="0"/>
    <m/>
    <n v="0"/>
    <n v="1"/>
    <s v="Current Employees"/>
    <s v="No"/>
  </r>
  <r>
    <x v="28"/>
    <s v="Travel_Rarely"/>
    <x v="0"/>
    <n v="11"/>
    <x v="0"/>
    <n v="3"/>
    <n v="2"/>
    <x v="7"/>
    <n v="1"/>
    <x v="1"/>
    <n v="6833"/>
    <n v="1"/>
    <s v="Yes"/>
    <n v="12"/>
    <n v="3"/>
    <n v="0"/>
    <n v="6"/>
    <n v="2"/>
    <n v="6"/>
    <n v="0"/>
    <n v="1"/>
    <x v="0"/>
    <d v="2015-06-03T00:00:00"/>
    <m/>
    <s v="Salary"/>
    <s v="WFH"/>
    <n v="4"/>
    <n v="3"/>
    <s v="No"/>
    <s v="Job Event"/>
    <s v="Contract"/>
    <n v="1143"/>
    <n v="61"/>
    <n v="80"/>
    <n v="5"/>
    <n v="0"/>
    <m/>
    <n v="0"/>
    <n v="1"/>
    <s v="Current Employees"/>
    <s v="No"/>
  </r>
  <r>
    <x v="24"/>
    <s v="Travel_Rarely"/>
    <x v="1"/>
    <n v="3"/>
    <x v="1"/>
    <n v="2"/>
    <n v="2"/>
    <x v="4"/>
    <n v="4"/>
    <x v="0"/>
    <n v="5171"/>
    <n v="5"/>
    <s v="No"/>
    <n v="17"/>
    <n v="3"/>
    <n v="0"/>
    <n v="13"/>
    <n v="2"/>
    <n v="6"/>
    <n v="0"/>
    <n v="5"/>
    <x v="1"/>
    <d v="2015-12-06T00:00:00"/>
    <m/>
    <s v="Dept.Head"/>
    <s v="WFH"/>
    <n v="5"/>
    <n v="0"/>
    <s v="No"/>
    <s v="Job Event"/>
    <s v="Contract"/>
    <n v="1148"/>
    <n v="56"/>
    <n v="80"/>
    <n v="0"/>
    <n v="0"/>
    <m/>
    <n v="0"/>
    <n v="1"/>
    <s v="Current Employees"/>
    <s v="No"/>
  </r>
  <r>
    <x v="7"/>
    <s v="Travel_Rarely"/>
    <x v="0"/>
    <n v="7"/>
    <x v="0"/>
    <n v="3"/>
    <n v="2"/>
    <x v="7"/>
    <n v="4"/>
    <x v="2"/>
    <n v="6623"/>
    <n v="1"/>
    <s v="Yes"/>
    <n v="11"/>
    <n v="3"/>
    <n v="2"/>
    <n v="6"/>
    <n v="2"/>
    <n v="6"/>
    <n v="1"/>
    <n v="0"/>
    <x v="1"/>
    <d v="2015-03-05T00:00:00"/>
    <m/>
    <s v="Dept.Head"/>
    <s v="OFFICE"/>
    <n v="2"/>
    <n v="0"/>
    <s v="No"/>
    <s v="Walk-in"/>
    <s v="Part Time"/>
    <n v="1150"/>
    <n v="79"/>
    <n v="80"/>
    <n v="7"/>
    <n v="0"/>
    <m/>
    <n v="0"/>
    <n v="1"/>
    <s v="Current Employees"/>
    <s v="No"/>
  </r>
  <r>
    <x v="15"/>
    <s v="Travel_Frequently"/>
    <x v="1"/>
    <n v="2"/>
    <x v="0"/>
    <n v="1"/>
    <n v="2"/>
    <x v="4"/>
    <n v="4"/>
    <x v="0"/>
    <n v="5071"/>
    <n v="3"/>
    <s v="No"/>
    <n v="20"/>
    <n v="4"/>
    <n v="0"/>
    <n v="8"/>
    <n v="3"/>
    <n v="6"/>
    <n v="0"/>
    <n v="0"/>
    <x v="2"/>
    <s v="30-03-2015"/>
    <m/>
    <s v="Salary"/>
    <s v="WFH"/>
    <n v="5"/>
    <n v="3"/>
    <s v="No"/>
    <s v="Job Portal"/>
    <s v="Contract"/>
    <n v="1152"/>
    <n v="37"/>
    <n v="80"/>
    <n v="6"/>
    <n v="0"/>
    <m/>
    <n v="0"/>
    <n v="1"/>
    <s v="Current Employees"/>
    <s v="No"/>
  </r>
  <r>
    <x v="33"/>
    <s v="Travel_Frequently"/>
    <x v="0"/>
    <n v="22"/>
    <x v="1"/>
    <n v="3"/>
    <n v="2"/>
    <x v="1"/>
    <n v="4"/>
    <x v="2"/>
    <n v="5467"/>
    <n v="3"/>
    <s v="Yes"/>
    <n v="14"/>
    <n v="3"/>
    <n v="2"/>
    <n v="12"/>
    <n v="4"/>
    <n v="6"/>
    <n v="3"/>
    <n v="3"/>
    <x v="3"/>
    <s v="28-05-2015"/>
    <m/>
    <s v="Work Accident"/>
    <s v="WFH"/>
    <n v="4"/>
    <n v="3"/>
    <s v="No"/>
    <s v="Walk-in"/>
    <s v="Contract"/>
    <n v="1154"/>
    <n v="39"/>
    <n v="80"/>
    <n v="1"/>
    <n v="0"/>
    <m/>
    <n v="0"/>
    <n v="1"/>
    <s v="Current Employees"/>
    <s v="No"/>
  </r>
  <r>
    <x v="0"/>
    <s v="Travel_Rarely"/>
    <x v="0"/>
    <n v="4"/>
    <x v="0"/>
    <n v="3"/>
    <n v="1"/>
    <x v="1"/>
    <n v="3"/>
    <x v="1"/>
    <n v="2996"/>
    <n v="7"/>
    <s v="Yes"/>
    <n v="15"/>
    <n v="3"/>
    <n v="0"/>
    <n v="8"/>
    <n v="2"/>
    <n v="6"/>
    <n v="1"/>
    <n v="3"/>
    <x v="2"/>
    <s v="24-03-2015"/>
    <m/>
    <s v="Better Opportunity"/>
    <s v="OFFICE"/>
    <n v="3"/>
    <n v="1"/>
    <s v="No"/>
    <s v="Recruiter"/>
    <s v="FullTime"/>
    <n v="1156"/>
    <n v="80"/>
    <n v="80"/>
    <n v="0"/>
    <n v="1"/>
    <n v="1"/>
    <n v="1"/>
    <n v="0"/>
    <s v="Ex-Employees"/>
    <s v="Yes"/>
  </r>
  <r>
    <x v="25"/>
    <s v="Non-Travel"/>
    <x v="0"/>
    <n v="25"/>
    <x v="0"/>
    <n v="3"/>
    <n v="3"/>
    <x v="7"/>
    <n v="3"/>
    <x v="1"/>
    <n v="10920"/>
    <n v="3"/>
    <s v="No"/>
    <n v="21"/>
    <n v="4"/>
    <n v="1"/>
    <n v="13"/>
    <n v="2"/>
    <n v="6"/>
    <n v="0"/>
    <n v="5"/>
    <x v="1"/>
    <d v="2015-06-03T00:00:00"/>
    <m/>
    <s v="Better Opportunity"/>
    <s v="OFFICE"/>
    <n v="4"/>
    <n v="2"/>
    <s v="Yes"/>
    <s v="Job Portal"/>
    <s v="Contract"/>
    <n v="1157"/>
    <n v="77"/>
    <n v="80"/>
    <n v="2"/>
    <n v="1"/>
    <n v="1"/>
    <n v="1"/>
    <n v="0"/>
    <s v="Ex-Employees"/>
    <s v="Yes"/>
  </r>
  <r>
    <x v="15"/>
    <s v="Travel_Rarely"/>
    <x v="1"/>
    <n v="10"/>
    <x v="1"/>
    <n v="2"/>
    <n v="2"/>
    <x v="4"/>
    <n v="4"/>
    <x v="1"/>
    <n v="5769"/>
    <n v="1"/>
    <s v="Yes"/>
    <n v="11"/>
    <n v="3"/>
    <n v="0"/>
    <n v="6"/>
    <n v="3"/>
    <n v="6"/>
    <n v="4"/>
    <n v="4"/>
    <x v="0"/>
    <s v="14-04-2015"/>
    <m/>
    <s v="Dept.Head"/>
    <s v="WFH"/>
    <n v="0"/>
    <n v="2"/>
    <s v="No"/>
    <s v="Job Event"/>
    <s v="Part Time"/>
    <n v="1158"/>
    <n v="46"/>
    <n v="80"/>
    <n v="0"/>
    <n v="0"/>
    <m/>
    <n v="0"/>
    <n v="1"/>
    <s v="Current Employees"/>
    <s v="No"/>
  </r>
  <r>
    <x v="9"/>
    <s v="Travel_Rarely"/>
    <x v="0"/>
    <n v="1"/>
    <x v="0"/>
    <n v="3"/>
    <n v="1"/>
    <x v="1"/>
    <n v="4"/>
    <x v="1"/>
    <n v="3420"/>
    <n v="7"/>
    <s v="No"/>
    <n v="12"/>
    <n v="3"/>
    <n v="1"/>
    <n v="17"/>
    <n v="2"/>
    <n v="6"/>
    <n v="1"/>
    <n v="2"/>
    <x v="3"/>
    <s v="26-05-2015"/>
    <m/>
    <s v="Better Opportunity"/>
    <s v="WFH"/>
    <n v="2"/>
    <n v="1"/>
    <s v="No"/>
    <s v="Job Event"/>
    <s v="FullTime"/>
    <n v="1160"/>
    <n v="72"/>
    <n v="80"/>
    <n v="2"/>
    <n v="1"/>
    <n v="1"/>
    <n v="1"/>
    <n v="0"/>
    <s v="Ex-Employees"/>
    <s v="Yes"/>
  </r>
  <r>
    <x v="0"/>
    <s v="Non-Travel"/>
    <x v="0"/>
    <n v="5"/>
    <x v="0"/>
    <n v="4"/>
    <n v="1"/>
    <x v="0"/>
    <n v="3"/>
    <x v="0"/>
    <n v="3500"/>
    <n v="0"/>
    <s v="No"/>
    <n v="14"/>
    <n v="3"/>
    <n v="0"/>
    <n v="7"/>
    <n v="2"/>
    <n v="6"/>
    <n v="1"/>
    <n v="3"/>
    <x v="2"/>
    <s v="25-03-2015"/>
    <m/>
    <s v="Better Opportunity"/>
    <s v="WFH"/>
    <n v="4"/>
    <n v="0"/>
    <s v="No"/>
    <s v="Job Portal"/>
    <s v="Part Time"/>
    <n v="1161"/>
    <n v="52"/>
    <n v="80"/>
    <n v="2"/>
    <n v="0"/>
    <m/>
    <n v="0"/>
    <n v="1"/>
    <s v="Current Employees"/>
    <s v="No"/>
  </r>
  <r>
    <x v="12"/>
    <s v="Travel_Frequently"/>
    <x v="2"/>
    <n v="10"/>
    <x v="0"/>
    <n v="3"/>
    <n v="2"/>
    <x v="8"/>
    <n v="3"/>
    <x v="1"/>
    <n v="6077"/>
    <n v="3"/>
    <s v="No"/>
    <n v="11"/>
    <n v="3"/>
    <n v="0"/>
    <n v="10"/>
    <n v="2"/>
    <n v="6"/>
    <n v="1"/>
    <n v="2"/>
    <x v="1"/>
    <s v="18-05-2015"/>
    <m/>
    <s v="Salary"/>
    <s v="OFFICE"/>
    <n v="4"/>
    <n v="1"/>
    <s v="No"/>
    <s v="Job Event"/>
    <s v="Part Time"/>
    <n v="1162"/>
    <n v="55"/>
    <n v="80"/>
    <n v="2"/>
    <n v="0"/>
    <m/>
    <n v="0"/>
    <n v="1"/>
    <s v="Current Employees"/>
    <s v="No"/>
  </r>
  <r>
    <x v="21"/>
    <s v="Non-Travel"/>
    <x v="0"/>
    <n v="1"/>
    <x v="0"/>
    <n v="3"/>
    <n v="2"/>
    <x v="1"/>
    <n v="1"/>
    <x v="1"/>
    <n v="4087"/>
    <n v="4"/>
    <s v="No"/>
    <n v="14"/>
    <n v="3"/>
    <n v="1"/>
    <n v="9"/>
    <n v="3"/>
    <n v="6"/>
    <n v="1"/>
    <n v="2"/>
    <x v="0"/>
    <s v="31-05-2015"/>
    <m/>
    <s v="Salary"/>
    <s v="WFH"/>
    <n v="1"/>
    <n v="1"/>
    <s v="Yes"/>
    <s v="Job Portal"/>
    <s v="FullTime"/>
    <n v="1163"/>
    <n v="70"/>
    <n v="80"/>
    <n v="5"/>
    <n v="0"/>
    <m/>
    <n v="0"/>
    <n v="1"/>
    <s v="Current Employees"/>
    <s v="No"/>
  </r>
  <r>
    <x v="7"/>
    <s v="Travel_Frequently"/>
    <x v="0"/>
    <n v="2"/>
    <x v="0"/>
    <n v="3"/>
    <n v="2"/>
    <x v="7"/>
    <n v="4"/>
    <x v="2"/>
    <n v="8853"/>
    <n v="1"/>
    <s v="No"/>
    <n v="19"/>
    <n v="3"/>
    <n v="1"/>
    <n v="6"/>
    <n v="0"/>
    <n v="6"/>
    <n v="1"/>
    <n v="3"/>
    <x v="2"/>
    <s v="26-04-2015"/>
    <m/>
    <s v="Salary"/>
    <s v="OFFICE"/>
    <n v="2"/>
    <n v="3"/>
    <s v="Yes"/>
    <s v="Walk-in"/>
    <s v="FullTime"/>
    <n v="1164"/>
    <n v="100"/>
    <n v="80"/>
    <n v="4"/>
    <n v="0"/>
    <m/>
    <n v="0"/>
    <n v="1"/>
    <s v="Current Employees"/>
    <s v="No"/>
  </r>
  <r>
    <x v="34"/>
    <s v="Travel_Rarely"/>
    <x v="0"/>
    <n v="27"/>
    <x v="0"/>
    <n v="4"/>
    <n v="1"/>
    <x v="0"/>
    <n v="2"/>
    <x v="2"/>
    <n v="4876"/>
    <n v="5"/>
    <s v="No"/>
    <n v="12"/>
    <n v="3"/>
    <n v="1"/>
    <n v="8"/>
    <n v="0"/>
    <n v="6"/>
    <n v="0"/>
    <n v="2"/>
    <x v="3"/>
    <d v="2015-02-04T00:00:00"/>
    <m/>
    <s v="Work Accident"/>
    <s v="OFFICE"/>
    <n v="2"/>
    <n v="2"/>
    <s v="Yes"/>
    <s v="Walk-in"/>
    <s v="Contract"/>
    <n v="1165"/>
    <n v="45"/>
    <n v="80"/>
    <n v="8"/>
    <n v="1"/>
    <n v="1"/>
    <n v="1"/>
    <n v="0"/>
    <s v="Ex-Employees"/>
    <s v="Yes"/>
  </r>
  <r>
    <x v="14"/>
    <s v="Travel_Rarely"/>
    <x v="0"/>
    <n v="7"/>
    <x v="0"/>
    <n v="2"/>
    <n v="1"/>
    <x v="1"/>
    <n v="2"/>
    <x v="1"/>
    <n v="2141"/>
    <n v="1"/>
    <s v="No"/>
    <n v="12"/>
    <n v="3"/>
    <n v="1"/>
    <n v="6"/>
    <n v="3"/>
    <n v="6"/>
    <n v="1"/>
    <n v="1"/>
    <x v="0"/>
    <s v="16-06-2015"/>
    <m/>
    <s v="Work Accident"/>
    <s v="OFFICE"/>
    <n v="0"/>
    <n v="0"/>
    <s v="Yes"/>
    <s v="Job Event"/>
    <s v="FullTime"/>
    <n v="1166"/>
    <n v="88"/>
    <n v="80"/>
    <n v="7"/>
    <n v="0"/>
    <m/>
    <n v="0"/>
    <n v="1"/>
    <s v="Current Employees"/>
    <s v="No"/>
  </r>
  <r>
    <x v="19"/>
    <s v="Travel_Frequently"/>
    <x v="0"/>
    <n v="2"/>
    <x v="1"/>
    <n v="3"/>
    <n v="1"/>
    <x v="1"/>
    <n v="4"/>
    <x v="0"/>
    <n v="3760"/>
    <n v="1"/>
    <s v="Yes"/>
    <n v="13"/>
    <n v="3"/>
    <n v="0"/>
    <n v="6"/>
    <n v="2"/>
    <n v="6"/>
    <n v="1"/>
    <n v="3"/>
    <x v="3"/>
    <s v="28-05-2015"/>
    <m/>
    <s v="Better Opportunity"/>
    <s v="OFFICE"/>
    <n v="4"/>
    <n v="0"/>
    <s v="Yes"/>
    <s v="Job Portal"/>
    <s v="Part Time"/>
    <n v="1167"/>
    <n v="44"/>
    <n v="80"/>
    <n v="9"/>
    <n v="1"/>
    <n v="1"/>
    <n v="1"/>
    <n v="0"/>
    <s v="Ex-Employees"/>
    <s v="Yes"/>
  </r>
  <r>
    <x v="20"/>
    <s v="Travel_Rarely"/>
    <x v="1"/>
    <n v="2"/>
    <x v="0"/>
    <n v="3"/>
    <n v="2"/>
    <x v="4"/>
    <n v="4"/>
    <x v="2"/>
    <n v="5505"/>
    <n v="1"/>
    <s v="No"/>
    <n v="14"/>
    <n v="3"/>
    <n v="2"/>
    <n v="6"/>
    <n v="5"/>
    <n v="6"/>
    <n v="0"/>
    <n v="4"/>
    <x v="0"/>
    <s v="24-06-2015"/>
    <m/>
    <s v="Work Environment"/>
    <s v="WFH"/>
    <n v="3"/>
    <n v="2"/>
    <s v="Yes"/>
    <s v="Job Event"/>
    <s v="FullTime"/>
    <n v="1171"/>
    <n v="45"/>
    <n v="80"/>
    <n v="4"/>
    <n v="0"/>
    <m/>
    <n v="0"/>
    <n v="1"/>
    <s v="Current Employees"/>
    <s v="No"/>
  </r>
  <r>
    <x v="20"/>
    <s v="Non-Travel"/>
    <x v="1"/>
    <n v="16"/>
    <x v="1"/>
    <n v="3"/>
    <n v="2"/>
    <x v="4"/>
    <n v="4"/>
    <x v="2"/>
    <n v="5368"/>
    <n v="1"/>
    <s v="Yes"/>
    <n v="25"/>
    <n v="4"/>
    <n v="1"/>
    <n v="7"/>
    <n v="2"/>
    <n v="6"/>
    <n v="1"/>
    <n v="2"/>
    <x v="0"/>
    <d v="2015-06-01T00:00:00"/>
    <m/>
    <s v="Salary"/>
    <s v="OFFICE"/>
    <n v="0"/>
    <n v="0"/>
    <s v="No"/>
    <s v="Walk-in"/>
    <s v="FullTime"/>
    <n v="1172"/>
    <n v="58"/>
    <n v="80"/>
    <n v="0"/>
    <n v="0"/>
    <m/>
    <n v="0"/>
    <n v="1"/>
    <s v="Current Employees"/>
    <s v="No"/>
  </r>
  <r>
    <x v="0"/>
    <s v="Travel_Frequently"/>
    <x v="1"/>
    <n v="1"/>
    <x v="0"/>
    <n v="1"/>
    <n v="2"/>
    <x v="4"/>
    <n v="4"/>
    <x v="2"/>
    <n v="9525"/>
    <n v="1"/>
    <s v="No"/>
    <n v="14"/>
    <n v="3"/>
    <n v="2"/>
    <n v="6"/>
    <n v="2"/>
    <n v="6"/>
    <n v="1"/>
    <n v="3"/>
    <x v="0"/>
    <s v="20-04-2015"/>
    <m/>
    <s v="Work Environment"/>
    <s v="OFFICE"/>
    <n v="3"/>
    <n v="3"/>
    <s v="No"/>
    <s v="Job Event"/>
    <s v="Contract"/>
    <n v="1173"/>
    <n v="49"/>
    <n v="80"/>
    <n v="3"/>
    <n v="0"/>
    <m/>
    <n v="0"/>
    <n v="1"/>
    <s v="Current Employees"/>
    <s v="No"/>
  </r>
  <r>
    <x v="19"/>
    <s v="Travel_Rarely"/>
    <x v="0"/>
    <n v="29"/>
    <x v="0"/>
    <n v="3"/>
    <n v="1"/>
    <x v="0"/>
    <n v="1"/>
    <x v="2"/>
    <n v="3907"/>
    <n v="1"/>
    <s v="No"/>
    <n v="13"/>
    <n v="3"/>
    <n v="3"/>
    <n v="6"/>
    <n v="2"/>
    <n v="6"/>
    <n v="1"/>
    <n v="2"/>
    <x v="0"/>
    <s v="26-05-2015"/>
    <m/>
    <s v="Salary"/>
    <s v="WFH"/>
    <n v="4"/>
    <n v="1"/>
    <s v="Yes"/>
    <s v="Recruiter"/>
    <s v="Part Time"/>
    <n v="1175"/>
    <n v="79"/>
    <n v="80"/>
    <n v="1"/>
    <n v="1"/>
    <n v="1"/>
    <n v="1"/>
    <n v="0"/>
    <s v="Ex-Employees"/>
    <s v="Yes"/>
  </r>
  <r>
    <x v="15"/>
    <s v="Travel_Rarely"/>
    <x v="0"/>
    <n v="8"/>
    <x v="1"/>
    <n v="3"/>
    <n v="1"/>
    <x v="1"/>
    <n v="4"/>
    <x v="0"/>
    <n v="3445"/>
    <n v="1"/>
    <s v="No"/>
    <n v="11"/>
    <n v="3"/>
    <n v="0"/>
    <n v="6"/>
    <n v="5"/>
    <n v="6"/>
    <n v="1"/>
    <n v="4"/>
    <x v="0"/>
    <d v="2015-12-01T00:00:00"/>
    <m/>
    <s v="Better Opportunity"/>
    <s v="WFH"/>
    <n v="3"/>
    <n v="3"/>
    <s v="Yes"/>
    <s v="Recruiter"/>
    <s v="Contract"/>
    <n v="1177"/>
    <n v="82"/>
    <n v="80"/>
    <n v="7"/>
    <n v="0"/>
    <m/>
    <n v="0"/>
    <n v="1"/>
    <s v="Current Employees"/>
    <s v="No"/>
  </r>
  <r>
    <x v="12"/>
    <s v="Travel_Frequently"/>
    <x v="0"/>
    <n v="2"/>
    <x v="1"/>
    <n v="2"/>
    <n v="1"/>
    <x v="0"/>
    <n v="2"/>
    <x v="1"/>
    <n v="2468"/>
    <n v="4"/>
    <s v="No"/>
    <n v="14"/>
    <n v="3"/>
    <n v="1"/>
    <n v="9"/>
    <n v="4"/>
    <n v="6"/>
    <n v="0"/>
    <n v="5"/>
    <x v="0"/>
    <s v="13-02-2015"/>
    <m/>
    <s v="Salary"/>
    <s v="OFFICE"/>
    <n v="0"/>
    <n v="0"/>
    <s v="No"/>
    <s v="Recruiter"/>
    <s v="FullTime"/>
    <n v="1179"/>
    <n v="72"/>
    <n v="80"/>
    <n v="3"/>
    <n v="0"/>
    <m/>
    <n v="0"/>
    <n v="1"/>
    <s v="Current Employees"/>
    <s v="No"/>
  </r>
  <r>
    <x v="22"/>
    <s v="Non-Travel"/>
    <x v="0"/>
    <n v="10"/>
    <x v="0"/>
    <n v="3"/>
    <n v="1"/>
    <x v="1"/>
    <n v="3"/>
    <x v="1"/>
    <n v="2936"/>
    <n v="3"/>
    <s v="No"/>
    <n v="22"/>
    <n v="4"/>
    <n v="2"/>
    <n v="10"/>
    <n v="1"/>
    <n v="6"/>
    <n v="3"/>
    <n v="3"/>
    <x v="2"/>
    <d v="2015-11-06T00:00:00"/>
    <m/>
    <s v="Better Opportunity"/>
    <s v="OFFICE"/>
    <n v="4"/>
    <n v="2"/>
    <s v="Yes"/>
    <s v="Job Portal"/>
    <s v="Part Time"/>
    <n v="1180"/>
    <n v="92"/>
    <n v="80"/>
    <n v="1"/>
    <n v="0"/>
    <m/>
    <n v="0"/>
    <n v="1"/>
    <s v="Current Employees"/>
    <s v="No"/>
  </r>
  <r>
    <x v="12"/>
    <s v="Travel_Frequently"/>
    <x v="2"/>
    <n v="1"/>
    <x v="0"/>
    <n v="3"/>
    <n v="1"/>
    <x v="8"/>
    <n v="2"/>
    <x v="1"/>
    <n v="2991"/>
    <n v="0"/>
    <s v="Yes"/>
    <n v="11"/>
    <n v="3"/>
    <n v="1"/>
    <n v="7"/>
    <n v="2"/>
    <n v="6"/>
    <n v="1"/>
    <n v="2"/>
    <x v="2"/>
    <s v="31-03-2015"/>
    <m/>
    <s v="Dept.Head"/>
    <s v="OFFICE"/>
    <n v="1"/>
    <n v="3"/>
    <s v="No"/>
    <s v="Recruiter"/>
    <s v="Contract"/>
    <n v="1182"/>
    <n v="44"/>
    <n v="80"/>
    <n v="7"/>
    <n v="0"/>
    <m/>
    <n v="0"/>
    <n v="1"/>
    <s v="Current Employees"/>
    <s v="No"/>
  </r>
  <r>
    <x v="21"/>
    <s v="Travel_Rarely"/>
    <x v="0"/>
    <n v="29"/>
    <x v="1"/>
    <n v="2"/>
    <n v="1"/>
    <x v="0"/>
    <n v="2"/>
    <x v="0"/>
    <n v="2837"/>
    <n v="1"/>
    <s v="No"/>
    <n v="13"/>
    <n v="3"/>
    <n v="0"/>
    <n v="6"/>
    <n v="3"/>
    <n v="6"/>
    <n v="4"/>
    <n v="1"/>
    <x v="1"/>
    <d v="2015-02-06T00:00:00"/>
    <m/>
    <s v="Work Accident"/>
    <s v="WFH"/>
    <n v="1"/>
    <n v="3"/>
    <s v="Yes"/>
    <s v="Walk-in"/>
    <s v="Part Time"/>
    <n v="1184"/>
    <n v="97"/>
    <n v="80"/>
    <n v="9"/>
    <n v="0"/>
    <m/>
    <n v="0"/>
    <n v="1"/>
    <s v="Current Employees"/>
    <s v="No"/>
  </r>
  <r>
    <x v="25"/>
    <s v="Non-Travel"/>
    <x v="0"/>
    <n v="9"/>
    <x v="0"/>
    <n v="3"/>
    <n v="5"/>
    <x v="5"/>
    <n v="4"/>
    <x v="0"/>
    <n v="19431"/>
    <n v="2"/>
    <s v="No"/>
    <n v="13"/>
    <n v="3"/>
    <n v="0"/>
    <n v="21"/>
    <n v="3"/>
    <n v="6"/>
    <n v="1"/>
    <n v="3"/>
    <x v="1"/>
    <d v="2015-03-06T00:00:00"/>
    <m/>
    <s v="Work Environment"/>
    <s v="WFH"/>
    <n v="1"/>
    <n v="1"/>
    <s v="No"/>
    <s v="Job Event"/>
    <s v="Contract"/>
    <n v="1185"/>
    <n v="47"/>
    <n v="80"/>
    <n v="2"/>
    <n v="0"/>
    <m/>
    <n v="0"/>
    <n v="1"/>
    <s v="Current Employees"/>
    <s v="No"/>
  </r>
  <r>
    <x v="16"/>
    <s v="Travel_Frequently"/>
    <x v="1"/>
    <n v="1"/>
    <x v="0"/>
    <n v="3"/>
    <n v="2"/>
    <x v="4"/>
    <n v="3"/>
    <x v="2"/>
    <n v="6728"/>
    <n v="7"/>
    <s v="No"/>
    <n v="12"/>
    <n v="3"/>
    <n v="2"/>
    <n v="12"/>
    <n v="3"/>
    <n v="6"/>
    <n v="0"/>
    <n v="1"/>
    <x v="0"/>
    <s v="27-01-2015"/>
    <m/>
    <s v="Dept.Head"/>
    <s v="OFFICE"/>
    <n v="5"/>
    <n v="0"/>
    <s v="No"/>
    <s v="Recruiter"/>
    <s v="Contract"/>
    <n v="1188"/>
    <n v="85"/>
    <n v="80"/>
    <n v="3"/>
    <n v="1"/>
    <n v="1"/>
    <n v="1"/>
    <n v="0"/>
    <s v="Ex-Employees"/>
    <s v="Yes"/>
  </r>
  <r>
    <x v="26"/>
    <s v="Travel_Rarely"/>
    <x v="1"/>
    <n v="11"/>
    <x v="1"/>
    <n v="2"/>
    <n v="2"/>
    <x v="4"/>
    <n v="4"/>
    <x v="1"/>
    <n v="6652"/>
    <n v="4"/>
    <s v="No"/>
    <n v="13"/>
    <n v="3"/>
    <n v="1"/>
    <n v="8"/>
    <n v="2"/>
    <n v="6"/>
    <n v="0"/>
    <n v="0"/>
    <x v="3"/>
    <s v="27-05-2015"/>
    <m/>
    <s v="Better Opportunity"/>
    <s v="OFFICE"/>
    <n v="2"/>
    <n v="3"/>
    <s v="No"/>
    <s v="Job Event"/>
    <s v="Contract"/>
    <n v="1190"/>
    <n v="76"/>
    <n v="80"/>
    <n v="0"/>
    <n v="0"/>
    <m/>
    <n v="0"/>
    <n v="1"/>
    <s v="Current Employees"/>
    <s v="No"/>
  </r>
  <r>
    <x v="15"/>
    <s v="Travel_Rarely"/>
    <x v="0"/>
    <n v="4"/>
    <x v="0"/>
    <n v="4"/>
    <n v="2"/>
    <x v="6"/>
    <n v="2"/>
    <x v="1"/>
    <n v="6142"/>
    <n v="1"/>
    <s v="Yes"/>
    <n v="20"/>
    <n v="4"/>
    <n v="1"/>
    <n v="6"/>
    <n v="0"/>
    <n v="6"/>
    <n v="0"/>
    <n v="3"/>
    <x v="1"/>
    <s v="26-03-2015"/>
    <m/>
    <s v="Salary"/>
    <s v="OFFICE"/>
    <n v="5"/>
    <n v="0"/>
    <s v="Yes"/>
    <s v="Job Portal"/>
    <s v="Contract"/>
    <n v="1191"/>
    <n v="92"/>
    <n v="80"/>
    <n v="2"/>
    <n v="0"/>
    <m/>
    <n v="0"/>
    <n v="1"/>
    <s v="Current Employees"/>
    <s v="No"/>
  </r>
  <r>
    <x v="21"/>
    <s v="Travel_Frequently"/>
    <x v="0"/>
    <n v="2"/>
    <x v="0"/>
    <n v="3"/>
    <n v="1"/>
    <x v="0"/>
    <n v="4"/>
    <x v="0"/>
    <n v="3068"/>
    <n v="0"/>
    <s v="No"/>
    <n v="13"/>
    <n v="3"/>
    <n v="0"/>
    <n v="8"/>
    <n v="2"/>
    <n v="7"/>
    <n v="3"/>
    <n v="6"/>
    <x v="2"/>
    <d v="2014-02-03T00:00:00"/>
    <m/>
    <s v="Salary"/>
    <s v="WFH"/>
    <n v="5"/>
    <n v="1"/>
    <s v="Yes"/>
    <s v="Walk-in"/>
    <s v="Part Time"/>
    <n v="1192"/>
    <n v="54"/>
    <n v="80"/>
    <n v="8"/>
    <n v="0"/>
    <m/>
    <n v="0"/>
    <n v="1"/>
    <s v="Current Employees"/>
    <s v="No"/>
  </r>
  <r>
    <x v="26"/>
    <s v="Travel_Rarely"/>
    <x v="0"/>
    <n v="27"/>
    <x v="0"/>
    <n v="3"/>
    <n v="2"/>
    <x v="7"/>
    <n v="3"/>
    <x v="1"/>
    <n v="5237"/>
    <n v="6"/>
    <s v="No"/>
    <n v="13"/>
    <n v="3"/>
    <n v="2"/>
    <n v="17"/>
    <n v="3"/>
    <n v="7"/>
    <n v="7"/>
    <n v="7"/>
    <x v="3"/>
    <s v="28-03-2014"/>
    <m/>
    <s v="Work Environment"/>
    <s v="OFFICE"/>
    <n v="0"/>
    <n v="2"/>
    <s v="No"/>
    <s v="Recruiter"/>
    <s v="Contract"/>
    <n v="1193"/>
    <n v="54"/>
    <n v="80"/>
    <n v="1"/>
    <n v="0"/>
    <m/>
    <n v="0"/>
    <n v="1"/>
    <s v="Current Employees"/>
    <s v="No"/>
  </r>
  <r>
    <x v="28"/>
    <s v="Travel_Rarely"/>
    <x v="0"/>
    <n v="7"/>
    <x v="0"/>
    <n v="3"/>
    <n v="2"/>
    <x v="0"/>
    <n v="4"/>
    <x v="2"/>
    <n v="5915"/>
    <n v="3"/>
    <s v="No"/>
    <n v="22"/>
    <n v="4"/>
    <n v="1"/>
    <n v="10"/>
    <n v="3"/>
    <n v="7"/>
    <n v="1"/>
    <n v="7"/>
    <x v="1"/>
    <s v="31-03-2014"/>
    <m/>
    <s v="Better Opportunity"/>
    <s v="WFH"/>
    <n v="5"/>
    <n v="3"/>
    <s v="No"/>
    <s v="Recruiter"/>
    <s v="FullTime"/>
    <n v="1195"/>
    <n v="83"/>
    <n v="80"/>
    <n v="2"/>
    <n v="0"/>
    <m/>
    <n v="0"/>
    <n v="1"/>
    <s v="Current Employees"/>
    <s v="No"/>
  </r>
  <r>
    <x v="0"/>
    <s v="Travel_Rarely"/>
    <x v="0"/>
    <n v="1"/>
    <x v="0"/>
    <n v="2"/>
    <n v="2"/>
    <x v="6"/>
    <n v="3"/>
    <x v="2"/>
    <n v="5993"/>
    <n v="1"/>
    <s v="No"/>
    <n v="18"/>
    <n v="3"/>
    <n v="1"/>
    <n v="7"/>
    <n v="2"/>
    <n v="7"/>
    <n v="0"/>
    <n v="7"/>
    <x v="1"/>
    <d v="2014-09-03T00:00:00"/>
    <m/>
    <s v="Dept.Head"/>
    <s v="WFH"/>
    <n v="0"/>
    <n v="3"/>
    <s v="No"/>
    <s v="Job Event"/>
    <s v="Part Time"/>
    <n v="1196"/>
    <n v="56"/>
    <n v="80"/>
    <n v="8"/>
    <n v="0"/>
    <m/>
    <n v="0"/>
    <n v="1"/>
    <s v="Current Employees"/>
    <s v="No"/>
  </r>
  <r>
    <x v="20"/>
    <s v="Non-Travel"/>
    <x v="1"/>
    <n v="22"/>
    <x v="0"/>
    <n v="3"/>
    <n v="2"/>
    <x v="4"/>
    <n v="2"/>
    <x v="1"/>
    <n v="6146"/>
    <n v="0"/>
    <s v="No"/>
    <n v="13"/>
    <n v="3"/>
    <n v="1"/>
    <n v="8"/>
    <n v="2"/>
    <n v="7"/>
    <n v="0"/>
    <n v="7"/>
    <x v="2"/>
    <d v="2014-08-06T00:00:00"/>
    <m/>
    <s v="Work Accident"/>
    <s v="OFFICE"/>
    <n v="4"/>
    <n v="3"/>
    <s v="No"/>
    <s v="Job Portal"/>
    <s v="Contract"/>
    <n v="1198"/>
    <n v="87"/>
    <n v="80"/>
    <n v="2"/>
    <n v="0"/>
    <m/>
    <n v="0"/>
    <n v="1"/>
    <s v="Current Employees"/>
    <s v="No"/>
  </r>
  <r>
    <x v="28"/>
    <s v="Travel_Rarely"/>
    <x v="1"/>
    <n v="6"/>
    <x v="0"/>
    <n v="1"/>
    <n v="2"/>
    <x v="4"/>
    <n v="3"/>
    <x v="1"/>
    <n v="6172"/>
    <n v="4"/>
    <s v="Yes"/>
    <n v="18"/>
    <n v="3"/>
    <n v="0"/>
    <n v="12"/>
    <n v="3"/>
    <n v="7"/>
    <n v="7"/>
    <n v="7"/>
    <x v="1"/>
    <d v="2014-02-02T00:00:00"/>
    <m/>
    <s v="Salary"/>
    <s v="WFH"/>
    <n v="1"/>
    <n v="1"/>
    <s v="No"/>
    <s v="Job Portal"/>
    <s v="Part Time"/>
    <n v="1200"/>
    <n v="96"/>
    <n v="80"/>
    <n v="4"/>
    <n v="1"/>
    <n v="1"/>
    <n v="1"/>
    <n v="0"/>
    <s v="Ex-Employees"/>
    <s v="Yes"/>
  </r>
  <r>
    <x v="33"/>
    <s v="Travel_Frequently"/>
    <x v="0"/>
    <n v="10"/>
    <x v="0"/>
    <n v="2"/>
    <n v="4"/>
    <x v="5"/>
    <n v="1"/>
    <x v="2"/>
    <n v="17181"/>
    <n v="4"/>
    <s v="No"/>
    <n v="13"/>
    <n v="3"/>
    <n v="1"/>
    <n v="21"/>
    <n v="2"/>
    <n v="7"/>
    <n v="7"/>
    <n v="7"/>
    <x v="1"/>
    <d v="2014-01-05T00:00:00"/>
    <m/>
    <s v="Dept.Head"/>
    <s v="OFFICE"/>
    <n v="2"/>
    <n v="2"/>
    <s v="Yes"/>
    <s v="Walk-in"/>
    <s v="Part Time"/>
    <n v="1201"/>
    <n v="50"/>
    <n v="80"/>
    <n v="7"/>
    <n v="0"/>
    <m/>
    <n v="0"/>
    <n v="1"/>
    <s v="Current Employees"/>
    <s v="No"/>
  </r>
  <r>
    <x v="42"/>
    <s v="Travel_Rarely"/>
    <x v="1"/>
    <n v="6"/>
    <x v="0"/>
    <n v="3"/>
    <n v="2"/>
    <x v="3"/>
    <n v="3"/>
    <x v="1"/>
    <n v="2306"/>
    <n v="2"/>
    <s v="Yes"/>
    <n v="20"/>
    <n v="4"/>
    <n v="1"/>
    <n v="13"/>
    <n v="3"/>
    <n v="7"/>
    <n v="4"/>
    <n v="5"/>
    <x v="2"/>
    <s v="20-04-2014"/>
    <m/>
    <s v="Work Environment"/>
    <s v="WFH"/>
    <n v="0"/>
    <n v="1"/>
    <s v="No"/>
    <s v="Recruiter"/>
    <s v="Contract"/>
    <n v="1202"/>
    <n v="69"/>
    <n v="80"/>
    <n v="4"/>
    <n v="0"/>
    <m/>
    <n v="0"/>
    <n v="1"/>
    <s v="Current Employees"/>
    <s v="No"/>
  </r>
  <r>
    <x v="31"/>
    <s v="Travel_Rarely"/>
    <x v="0"/>
    <n v="3"/>
    <x v="1"/>
    <n v="3"/>
    <n v="4"/>
    <x v="7"/>
    <n v="2"/>
    <x v="0"/>
    <n v="13734"/>
    <n v="3"/>
    <s v="No"/>
    <n v="18"/>
    <n v="3"/>
    <n v="0"/>
    <n v="21"/>
    <n v="6"/>
    <n v="7"/>
    <n v="1"/>
    <n v="0"/>
    <x v="0"/>
    <s v="22-06-2014"/>
    <m/>
    <s v="Salary"/>
    <s v="WFH"/>
    <n v="0"/>
    <n v="2"/>
    <s v="Yes"/>
    <s v="Recruiter"/>
    <s v="FullTime"/>
    <n v="1203"/>
    <n v="48"/>
    <n v="80"/>
    <n v="0"/>
    <n v="1"/>
    <n v="1"/>
    <n v="1"/>
    <n v="0"/>
    <s v="Ex-Employees"/>
    <s v="Yes"/>
  </r>
  <r>
    <x v="15"/>
    <s v="Travel_Rarely"/>
    <x v="0"/>
    <n v="9"/>
    <x v="1"/>
    <n v="3"/>
    <n v="1"/>
    <x v="1"/>
    <n v="2"/>
    <x v="0"/>
    <n v="2279"/>
    <n v="1"/>
    <s v="No"/>
    <n v="16"/>
    <n v="3"/>
    <n v="0"/>
    <n v="7"/>
    <n v="2"/>
    <n v="7"/>
    <n v="0"/>
    <n v="3"/>
    <x v="3"/>
    <s v="17-06-2014"/>
    <m/>
    <s v="Salary"/>
    <s v="WFH"/>
    <n v="1"/>
    <n v="1"/>
    <s v="Yes"/>
    <s v="Job Event"/>
    <s v="Contract"/>
    <n v="1204"/>
    <n v="69"/>
    <n v="80"/>
    <n v="15"/>
    <n v="0"/>
    <m/>
    <n v="0"/>
    <n v="1"/>
    <s v="Current Employees"/>
    <s v="No"/>
  </r>
  <r>
    <x v="12"/>
    <s v="Travel_Rarely"/>
    <x v="0"/>
    <n v="29"/>
    <x v="0"/>
    <n v="3"/>
    <n v="2"/>
    <x v="6"/>
    <n v="4"/>
    <x v="1"/>
    <n v="6261"/>
    <n v="3"/>
    <s v="No"/>
    <n v="18"/>
    <n v="3"/>
    <n v="1"/>
    <n v="9"/>
    <n v="3"/>
    <n v="7"/>
    <n v="1"/>
    <n v="7"/>
    <x v="3"/>
    <d v="2014-02-03T00:00:00"/>
    <m/>
    <s v="Better Opportunity"/>
    <s v="OFFICE"/>
    <n v="3"/>
    <n v="0"/>
    <s v="No"/>
    <s v="Recruiter"/>
    <s v="FullTime"/>
    <n v="1206"/>
    <n v="74"/>
    <n v="80"/>
    <n v="0"/>
    <n v="0"/>
    <m/>
    <n v="0"/>
    <n v="1"/>
    <s v="Current Employees"/>
    <s v="No"/>
  </r>
  <r>
    <x v="39"/>
    <s v="Non-Travel"/>
    <x v="0"/>
    <n v="18"/>
    <x v="0"/>
    <n v="3"/>
    <n v="2"/>
    <x v="6"/>
    <n v="4"/>
    <x v="2"/>
    <n v="6804"/>
    <n v="1"/>
    <s v="Yes"/>
    <n v="15"/>
    <n v="3"/>
    <n v="2"/>
    <n v="7"/>
    <n v="0"/>
    <n v="7"/>
    <n v="1"/>
    <n v="7"/>
    <x v="3"/>
    <s v="21-04-2014"/>
    <m/>
    <s v="Work Accident"/>
    <s v="WFH"/>
    <n v="2"/>
    <n v="0"/>
    <s v="No"/>
    <s v="Walk-in"/>
    <s v="Part Time"/>
    <n v="1207"/>
    <n v="99"/>
    <n v="80"/>
    <n v="4"/>
    <n v="0"/>
    <m/>
    <n v="0"/>
    <n v="1"/>
    <s v="Current Employees"/>
    <s v="No"/>
  </r>
  <r>
    <x v="18"/>
    <s v="Travel_Rarely"/>
    <x v="0"/>
    <n v="19"/>
    <x v="0"/>
    <n v="3"/>
    <n v="2"/>
    <x v="0"/>
    <n v="4"/>
    <x v="1"/>
    <n v="2741"/>
    <n v="8"/>
    <s v="Yes"/>
    <n v="15"/>
    <n v="3"/>
    <n v="1"/>
    <n v="15"/>
    <n v="2"/>
    <n v="7"/>
    <n v="3"/>
    <n v="7"/>
    <x v="1"/>
    <s v="25-04-2014"/>
    <m/>
    <s v="Better Opportunity"/>
    <s v="OFFICE"/>
    <n v="3"/>
    <n v="2"/>
    <s v="Yes"/>
    <s v="Job Portal"/>
    <s v="FullTime"/>
    <n v="1210"/>
    <n v="95"/>
    <n v="80"/>
    <n v="0"/>
    <n v="1"/>
    <n v="1"/>
    <n v="1"/>
    <n v="0"/>
    <s v="Ex-Employees"/>
    <s v="Yes"/>
  </r>
  <r>
    <x v="15"/>
    <s v="Travel_Frequently"/>
    <x v="1"/>
    <n v="20"/>
    <x v="1"/>
    <n v="3"/>
    <n v="2"/>
    <x v="4"/>
    <n v="3"/>
    <x v="0"/>
    <n v="9981"/>
    <n v="1"/>
    <s v="No"/>
    <n v="14"/>
    <n v="3"/>
    <n v="0"/>
    <n v="7"/>
    <n v="2"/>
    <n v="7"/>
    <n v="0"/>
    <n v="7"/>
    <x v="2"/>
    <s v="19-01-2014"/>
    <m/>
    <s v="Work Environment"/>
    <s v="WFH"/>
    <n v="2"/>
    <n v="3"/>
    <s v="No"/>
    <s v="Job Event"/>
    <s v="Part Time"/>
    <n v="1211"/>
    <n v="61"/>
    <n v="80"/>
    <n v="3"/>
    <n v="0"/>
    <m/>
    <n v="0"/>
    <n v="1"/>
    <s v="Current Employees"/>
    <s v="No"/>
  </r>
  <r>
    <x v="16"/>
    <s v="Travel_Rarely"/>
    <x v="1"/>
    <n v="1"/>
    <x v="1"/>
    <n v="3"/>
    <n v="5"/>
    <x v="5"/>
    <n v="4"/>
    <x v="2"/>
    <n v="19517"/>
    <n v="3"/>
    <s v="No"/>
    <n v="11"/>
    <n v="3"/>
    <n v="1"/>
    <n v="32"/>
    <n v="3"/>
    <n v="7"/>
    <n v="0"/>
    <n v="6"/>
    <x v="1"/>
    <s v="17-05-2014"/>
    <m/>
    <s v="Work Accident"/>
    <s v="OFFICE"/>
    <n v="1"/>
    <n v="2"/>
    <s v="No"/>
    <s v="Walk-in"/>
    <s v="Contract"/>
    <n v="1212"/>
    <n v="62"/>
    <n v="80"/>
    <n v="0"/>
    <n v="0"/>
    <m/>
    <n v="0"/>
    <n v="1"/>
    <s v="Current Employees"/>
    <s v="No"/>
  </r>
  <r>
    <x v="35"/>
    <s v="Travel_Rarely"/>
    <x v="1"/>
    <n v="2"/>
    <x v="1"/>
    <n v="1"/>
    <n v="4"/>
    <x v="5"/>
    <n v="2"/>
    <x v="1"/>
    <n v="16872"/>
    <n v="3"/>
    <s v="Yes"/>
    <n v="12"/>
    <n v="3"/>
    <n v="1"/>
    <n v="28"/>
    <n v="2"/>
    <n v="7"/>
    <n v="7"/>
    <n v="7"/>
    <x v="2"/>
    <s v="21-04-2014"/>
    <m/>
    <s v="Better Opportunity"/>
    <s v="OFFICE"/>
    <n v="2"/>
    <n v="0"/>
    <s v="Yes"/>
    <s v="Job Portal"/>
    <s v="FullTime"/>
    <n v="1215"/>
    <n v="30"/>
    <n v="80"/>
    <n v="2"/>
    <n v="0"/>
    <m/>
    <n v="0"/>
    <n v="1"/>
    <s v="Current Employees"/>
    <s v="No"/>
  </r>
  <r>
    <x v="27"/>
    <s v="Travel_Rarely"/>
    <x v="0"/>
    <n v="22"/>
    <x v="1"/>
    <n v="4"/>
    <n v="3"/>
    <x v="5"/>
    <n v="2"/>
    <x v="2"/>
    <n v="11996"/>
    <n v="7"/>
    <s v="No"/>
    <n v="18"/>
    <n v="3"/>
    <n v="1"/>
    <n v="10"/>
    <n v="6"/>
    <n v="7"/>
    <n v="6"/>
    <n v="2"/>
    <x v="0"/>
    <s v="27-03-2014"/>
    <m/>
    <s v="Work Environment"/>
    <s v="OFFICE"/>
    <n v="5"/>
    <n v="0"/>
    <s v="No"/>
    <s v="Job Portal"/>
    <s v="FullTime"/>
    <n v="1216"/>
    <n v="78"/>
    <n v="80"/>
    <n v="5"/>
    <n v="0"/>
    <m/>
    <n v="0"/>
    <n v="1"/>
    <s v="Current Employees"/>
    <s v="No"/>
  </r>
  <r>
    <x v="39"/>
    <s v="Travel_Rarely"/>
    <x v="0"/>
    <n v="1"/>
    <x v="1"/>
    <n v="2"/>
    <n v="4"/>
    <x v="7"/>
    <n v="3"/>
    <x v="0"/>
    <n v="13964"/>
    <n v="7"/>
    <s v="Yes"/>
    <n v="12"/>
    <n v="3"/>
    <n v="0"/>
    <n v="25"/>
    <n v="2"/>
    <n v="7"/>
    <n v="0"/>
    <n v="7"/>
    <x v="1"/>
    <d v="2014-10-03T00:00:00"/>
    <m/>
    <s v="Better Opportunity"/>
    <s v="WFH"/>
    <n v="5"/>
    <n v="1"/>
    <s v="Yes"/>
    <s v="Walk-in"/>
    <s v="Contract"/>
    <n v="1217"/>
    <n v="52"/>
    <n v="80"/>
    <n v="2"/>
    <n v="0"/>
    <m/>
    <n v="0"/>
    <n v="1"/>
    <s v="Current Employees"/>
    <s v="No"/>
  </r>
  <r>
    <x v="28"/>
    <s v="Travel_Rarely"/>
    <x v="1"/>
    <n v="7"/>
    <x v="0"/>
    <n v="3"/>
    <n v="2"/>
    <x v="4"/>
    <n v="4"/>
    <x v="2"/>
    <n v="7547"/>
    <n v="4"/>
    <s v="No"/>
    <n v="12"/>
    <n v="3"/>
    <n v="3"/>
    <n v="13"/>
    <n v="3"/>
    <n v="7"/>
    <n v="1"/>
    <n v="7"/>
    <x v="1"/>
    <s v="29-03-2014"/>
    <m/>
    <s v="Work Environment"/>
    <s v="OFFICE"/>
    <n v="0"/>
    <n v="2"/>
    <s v="Yes"/>
    <s v="Job Portal"/>
    <s v="FullTime"/>
    <n v="1218"/>
    <n v="94"/>
    <n v="80"/>
    <n v="7"/>
    <n v="0"/>
    <m/>
    <n v="0"/>
    <n v="1"/>
    <s v="Current Employees"/>
    <s v="No"/>
  </r>
  <r>
    <x v="21"/>
    <s v="Travel_Rarely"/>
    <x v="0"/>
    <n v="2"/>
    <x v="1"/>
    <n v="4"/>
    <n v="2"/>
    <x v="1"/>
    <n v="4"/>
    <x v="0"/>
    <n v="5055"/>
    <n v="7"/>
    <s v="No"/>
    <n v="16"/>
    <n v="3"/>
    <n v="0"/>
    <n v="10"/>
    <n v="0"/>
    <n v="7"/>
    <n v="0"/>
    <n v="7"/>
    <x v="3"/>
    <s v="28-01-2014"/>
    <m/>
    <s v="Dept.Head"/>
    <s v="WFH"/>
    <n v="1"/>
    <n v="1"/>
    <s v="No"/>
    <s v="Job Portal"/>
    <s v="Part Time"/>
    <n v="1219"/>
    <n v="97"/>
    <n v="80"/>
    <n v="0"/>
    <n v="1"/>
    <n v="1"/>
    <n v="1"/>
    <n v="0"/>
    <s v="Ex-Employees"/>
    <s v="Yes"/>
  </r>
  <r>
    <x v="20"/>
    <s v="Travel_Frequently"/>
    <x v="1"/>
    <n v="10"/>
    <x v="0"/>
    <n v="2"/>
    <n v="2"/>
    <x v="4"/>
    <n v="4"/>
    <x v="0"/>
    <n v="4682"/>
    <n v="3"/>
    <s v="No"/>
    <n v="14"/>
    <n v="3"/>
    <n v="0"/>
    <n v="9"/>
    <n v="6"/>
    <n v="7"/>
    <n v="0"/>
    <n v="1"/>
    <x v="2"/>
    <s v="26-03-2014"/>
    <m/>
    <s v="Work Accident"/>
    <s v="OFFICE"/>
    <n v="5"/>
    <n v="0"/>
    <s v="Yes"/>
    <s v="Walk-in"/>
    <s v="Contract"/>
    <n v="1220"/>
    <n v="82"/>
    <n v="80"/>
    <n v="7"/>
    <n v="0"/>
    <m/>
    <n v="0"/>
    <n v="1"/>
    <s v="Current Employees"/>
    <s v="No"/>
  </r>
  <r>
    <x v="7"/>
    <s v="Travel_Rarely"/>
    <x v="0"/>
    <n v="8"/>
    <x v="0"/>
    <n v="1"/>
    <n v="1"/>
    <x v="0"/>
    <n v="1"/>
    <x v="1"/>
    <n v="2119"/>
    <n v="1"/>
    <s v="Yes"/>
    <n v="11"/>
    <n v="3"/>
    <n v="0"/>
    <n v="7"/>
    <n v="4"/>
    <n v="7"/>
    <n v="0"/>
    <n v="7"/>
    <x v="0"/>
    <s v="19-03-2014"/>
    <m/>
    <s v="Dept.Head"/>
    <s v="WFH"/>
    <n v="0"/>
    <n v="0"/>
    <s v="Yes"/>
    <s v="Walk-in"/>
    <s v="FullTime"/>
    <n v="1221"/>
    <n v="60"/>
    <n v="80"/>
    <n v="7"/>
    <n v="0"/>
    <m/>
    <n v="0"/>
    <n v="1"/>
    <s v="Current Employees"/>
    <s v="No"/>
  </r>
  <r>
    <x v="7"/>
    <s v="Travel_Rarely"/>
    <x v="1"/>
    <n v="10"/>
    <x v="1"/>
    <n v="2"/>
    <n v="2"/>
    <x v="4"/>
    <n v="2"/>
    <x v="2"/>
    <n v="8268"/>
    <n v="1"/>
    <s v="Yes"/>
    <n v="14"/>
    <n v="3"/>
    <n v="2"/>
    <n v="7"/>
    <n v="2"/>
    <n v="7"/>
    <n v="1"/>
    <n v="7"/>
    <x v="3"/>
    <s v="23-05-2014"/>
    <m/>
    <s v="Better Opportunity"/>
    <s v="OFFICE"/>
    <n v="5"/>
    <n v="2"/>
    <s v="Yes"/>
    <s v="Walk-in"/>
    <s v="Part Time"/>
    <n v="1224"/>
    <n v="49"/>
    <n v="80"/>
    <n v="7"/>
    <n v="0"/>
    <m/>
    <n v="0"/>
    <n v="1"/>
    <s v="Current Employees"/>
    <s v="No"/>
  </r>
  <r>
    <x v="0"/>
    <s v="Travel_Rarely"/>
    <x v="0"/>
    <n v="6"/>
    <x v="0"/>
    <n v="4"/>
    <n v="2"/>
    <x v="1"/>
    <n v="1"/>
    <x v="2"/>
    <n v="5974"/>
    <n v="4"/>
    <s v="Yes"/>
    <n v="13"/>
    <n v="3"/>
    <n v="2"/>
    <n v="13"/>
    <n v="2"/>
    <n v="7"/>
    <n v="6"/>
    <n v="7"/>
    <x v="0"/>
    <s v="17-04-2014"/>
    <m/>
    <s v="Work Accident"/>
    <s v="WFH"/>
    <n v="3"/>
    <n v="0"/>
    <s v="Yes"/>
    <s v="Walk-in"/>
    <s v="Part Time"/>
    <n v="1225"/>
    <n v="32"/>
    <n v="80"/>
    <n v="11"/>
    <n v="0"/>
    <m/>
    <n v="0"/>
    <n v="1"/>
    <s v="Current Employees"/>
    <s v="No"/>
  </r>
  <r>
    <x v="18"/>
    <s v="Travel_Rarely"/>
    <x v="0"/>
    <n v="10"/>
    <x v="1"/>
    <n v="4"/>
    <n v="1"/>
    <x v="0"/>
    <n v="3"/>
    <x v="1"/>
    <n v="2213"/>
    <n v="3"/>
    <s v="Yes"/>
    <n v="13"/>
    <n v="3"/>
    <n v="1"/>
    <n v="10"/>
    <n v="3"/>
    <n v="7"/>
    <n v="1"/>
    <n v="7"/>
    <x v="3"/>
    <d v="2014-11-05T00:00:00"/>
    <m/>
    <s v="Salary"/>
    <s v="WFH"/>
    <n v="5"/>
    <n v="2"/>
    <s v="No"/>
    <s v="Walk-in"/>
    <s v="FullTime"/>
    <n v="1226"/>
    <n v="43"/>
    <n v="80"/>
    <n v="1"/>
    <n v="0"/>
    <m/>
    <n v="0"/>
    <n v="1"/>
    <s v="Current Employees"/>
    <s v="No"/>
  </r>
  <r>
    <x v="6"/>
    <s v="Travel_Rarely"/>
    <x v="1"/>
    <n v="9"/>
    <x v="0"/>
    <n v="3"/>
    <n v="2"/>
    <x v="4"/>
    <n v="4"/>
    <x v="0"/>
    <n v="5253"/>
    <n v="1"/>
    <s v="No"/>
    <n v="16"/>
    <n v="3"/>
    <n v="0"/>
    <n v="7"/>
    <n v="1"/>
    <n v="7"/>
    <n v="0"/>
    <n v="7"/>
    <x v="0"/>
    <d v="2014-07-03T00:00:00"/>
    <m/>
    <s v="Salary"/>
    <s v="OFFICE"/>
    <n v="4"/>
    <n v="0"/>
    <s v="No"/>
    <s v="Recruiter"/>
    <s v="FullTime"/>
    <n v="1228"/>
    <n v="60"/>
    <n v="80"/>
    <n v="3"/>
    <n v="0"/>
    <m/>
    <n v="0"/>
    <n v="1"/>
    <s v="Current Employees"/>
    <s v="No"/>
  </r>
  <r>
    <x v="31"/>
    <s v="Travel_Rarely"/>
    <x v="1"/>
    <n v="14"/>
    <x v="1"/>
    <n v="3"/>
    <n v="2"/>
    <x v="4"/>
    <n v="4"/>
    <x v="1"/>
    <n v="4936"/>
    <n v="4"/>
    <s v="No"/>
    <n v="11"/>
    <n v="3"/>
    <n v="1"/>
    <n v="18"/>
    <n v="2"/>
    <n v="7"/>
    <n v="0"/>
    <n v="7"/>
    <x v="2"/>
    <s v="23-06-2014"/>
    <m/>
    <s v="Dept.Head"/>
    <s v="WFH"/>
    <n v="4"/>
    <n v="1"/>
    <s v="Yes"/>
    <s v="Job Portal"/>
    <s v="FullTime"/>
    <n v="1231"/>
    <n v="79"/>
    <n v="80"/>
    <n v="3"/>
    <n v="0"/>
    <m/>
    <n v="0"/>
    <n v="1"/>
    <s v="Current Employees"/>
    <s v="No"/>
  </r>
  <r>
    <x v="23"/>
    <s v="Travel_Frequently"/>
    <x v="1"/>
    <n v="6"/>
    <x v="1"/>
    <n v="4"/>
    <n v="4"/>
    <x v="4"/>
    <n v="1"/>
    <x v="1"/>
    <n v="13212"/>
    <n v="9"/>
    <s v="No"/>
    <n v="11"/>
    <n v="3"/>
    <n v="3"/>
    <n v="36"/>
    <n v="0"/>
    <n v="7"/>
    <n v="7"/>
    <n v="7"/>
    <x v="0"/>
    <d v="2014-07-04T00:00:00"/>
    <m/>
    <s v="Work Environment"/>
    <s v="OFFICE"/>
    <n v="5"/>
    <n v="1"/>
    <s v="Yes"/>
    <s v="Walk-in"/>
    <s v="FullTime"/>
    <n v="1233"/>
    <n v="52"/>
    <n v="80"/>
    <n v="7"/>
    <n v="0"/>
    <m/>
    <n v="0"/>
    <n v="1"/>
    <s v="Current Employees"/>
    <s v="No"/>
  </r>
  <r>
    <x v="13"/>
    <s v="Travel_Rarely"/>
    <x v="0"/>
    <n v="2"/>
    <x v="0"/>
    <n v="2"/>
    <n v="1"/>
    <x v="1"/>
    <n v="3"/>
    <x v="2"/>
    <n v="2768"/>
    <n v="3"/>
    <s v="No"/>
    <n v="12"/>
    <n v="3"/>
    <n v="1"/>
    <n v="14"/>
    <n v="3"/>
    <n v="7"/>
    <n v="5"/>
    <n v="7"/>
    <x v="3"/>
    <s v="19-04-2014"/>
    <m/>
    <s v="Salary"/>
    <s v="WFH"/>
    <n v="2"/>
    <n v="0"/>
    <s v="Yes"/>
    <s v="Recruiter"/>
    <s v="Part Time"/>
    <n v="1234"/>
    <n v="77"/>
    <n v="80"/>
    <n v="2"/>
    <n v="0"/>
    <m/>
    <n v="0"/>
    <n v="1"/>
    <s v="Current Employees"/>
    <s v="No"/>
  </r>
  <r>
    <x v="20"/>
    <s v="Travel_Rarely"/>
    <x v="0"/>
    <n v="15"/>
    <x v="0"/>
    <n v="3"/>
    <n v="3"/>
    <x v="5"/>
    <n v="3"/>
    <x v="1"/>
    <n v="13610"/>
    <n v="7"/>
    <s v="Yes"/>
    <n v="12"/>
    <n v="3"/>
    <n v="0"/>
    <n v="15"/>
    <n v="2"/>
    <n v="7"/>
    <n v="7"/>
    <n v="7"/>
    <x v="3"/>
    <s v="30-05-2014"/>
    <m/>
    <s v="Dept.Head"/>
    <s v="OFFICE"/>
    <n v="2"/>
    <n v="1"/>
    <s v="No"/>
    <s v="Job Event"/>
    <s v="Part Time"/>
    <n v="1235"/>
    <n v="38"/>
    <n v="80"/>
    <n v="7"/>
    <n v="0"/>
    <m/>
    <n v="0"/>
    <n v="1"/>
    <s v="Current Employees"/>
    <s v="No"/>
  </r>
  <r>
    <x v="11"/>
    <s v="Travel_Frequently"/>
    <x v="2"/>
    <n v="17"/>
    <x v="1"/>
    <n v="3"/>
    <n v="1"/>
    <x v="8"/>
    <n v="3"/>
    <x v="2"/>
    <n v="2741"/>
    <n v="0"/>
    <s v="Yes"/>
    <n v="11"/>
    <n v="3"/>
    <n v="1"/>
    <n v="8"/>
    <n v="2"/>
    <n v="7"/>
    <n v="1"/>
    <n v="0"/>
    <x v="0"/>
    <d v="2014-03-02T00:00:00"/>
    <m/>
    <s v="Dept.Head"/>
    <s v="WFH"/>
    <n v="4"/>
    <n v="3"/>
    <s v="Yes"/>
    <s v="Job Event"/>
    <s v="Contract"/>
    <n v="1237"/>
    <n v="77"/>
    <n v="80"/>
    <n v="7"/>
    <n v="0"/>
    <m/>
    <n v="0"/>
    <n v="1"/>
    <s v="Current Employees"/>
    <s v="No"/>
  </r>
  <r>
    <x v="38"/>
    <s v="Travel_Rarely"/>
    <x v="1"/>
    <n v="13"/>
    <x v="0"/>
    <n v="3"/>
    <n v="1"/>
    <x v="3"/>
    <n v="3"/>
    <x v="1"/>
    <n v="2096"/>
    <n v="1"/>
    <s v="No"/>
    <n v="11"/>
    <n v="3"/>
    <n v="0"/>
    <n v="7"/>
    <n v="1"/>
    <n v="7"/>
    <n v="0"/>
    <n v="6"/>
    <x v="2"/>
    <s v="18-02-2014"/>
    <m/>
    <s v="Work Accident"/>
    <s v="OFFICE"/>
    <n v="1"/>
    <n v="1"/>
    <s v="No"/>
    <s v="Job Event"/>
    <s v="Contract"/>
    <n v="1238"/>
    <n v="60"/>
    <n v="80"/>
    <n v="10"/>
    <n v="0"/>
    <m/>
    <n v="0"/>
    <n v="1"/>
    <s v="Current Employees"/>
    <s v="No"/>
  </r>
  <r>
    <x v="28"/>
    <s v="Travel_Rarely"/>
    <x v="1"/>
    <n v="6"/>
    <x v="0"/>
    <n v="4"/>
    <n v="2"/>
    <x v="4"/>
    <n v="4"/>
    <x v="2"/>
    <n v="5460"/>
    <n v="4"/>
    <s v="No"/>
    <n v="22"/>
    <n v="4"/>
    <n v="2"/>
    <n v="13"/>
    <n v="4"/>
    <n v="7"/>
    <n v="5"/>
    <n v="7"/>
    <x v="2"/>
    <s v="14-01-2014"/>
    <m/>
    <s v="Work Accident"/>
    <s v="WFH"/>
    <n v="4"/>
    <n v="1"/>
    <s v="No"/>
    <s v="Recruiter"/>
    <s v="Part Time"/>
    <n v="1239"/>
    <n v="84"/>
    <n v="80"/>
    <n v="1"/>
    <n v="0"/>
    <m/>
    <n v="0"/>
    <n v="1"/>
    <s v="Current Employees"/>
    <s v="No"/>
  </r>
  <r>
    <x v="12"/>
    <s v="Travel_Rarely"/>
    <x v="1"/>
    <n v="7"/>
    <x v="1"/>
    <n v="2"/>
    <n v="2"/>
    <x v="4"/>
    <n v="4"/>
    <x v="0"/>
    <n v="4028"/>
    <n v="0"/>
    <s v="No"/>
    <n v="20"/>
    <n v="4"/>
    <n v="0"/>
    <n v="8"/>
    <n v="2"/>
    <n v="7"/>
    <n v="0"/>
    <n v="5"/>
    <x v="2"/>
    <s v="23-02-2014"/>
    <m/>
    <s v="Work Accident"/>
    <s v="OFFICE"/>
    <n v="1"/>
    <n v="2"/>
    <s v="No"/>
    <s v="Recruiter"/>
    <s v="FullTime"/>
    <n v="1240"/>
    <n v="57"/>
    <n v="80"/>
    <n v="3"/>
    <n v="0"/>
    <m/>
    <n v="0"/>
    <n v="1"/>
    <s v="Current Employees"/>
    <s v="No"/>
  </r>
  <r>
    <x v="21"/>
    <s v="Travel_Rarely"/>
    <x v="0"/>
    <n v="3"/>
    <x v="1"/>
    <n v="3"/>
    <n v="3"/>
    <x v="2"/>
    <n v="4"/>
    <x v="0"/>
    <n v="11159"/>
    <n v="3"/>
    <s v="No"/>
    <n v="15"/>
    <n v="3"/>
    <n v="0"/>
    <n v="10"/>
    <n v="6"/>
    <n v="7"/>
    <n v="7"/>
    <n v="7"/>
    <x v="0"/>
    <s v="19-02-2014"/>
    <m/>
    <s v="Dept.Head"/>
    <s v="WFH"/>
    <n v="4"/>
    <n v="1"/>
    <s v="Yes"/>
    <s v="Walk-in"/>
    <s v="FullTime"/>
    <n v="1241"/>
    <n v="63"/>
    <n v="80"/>
    <n v="9"/>
    <n v="0"/>
    <m/>
    <n v="0"/>
    <n v="1"/>
    <s v="Current Employees"/>
    <s v="No"/>
  </r>
  <r>
    <x v="9"/>
    <s v="Travel_Rarely"/>
    <x v="1"/>
    <n v="14"/>
    <x v="0"/>
    <n v="3"/>
    <n v="2"/>
    <x v="4"/>
    <n v="1"/>
    <x v="0"/>
    <n v="4960"/>
    <n v="2"/>
    <s v="No"/>
    <n v="12"/>
    <n v="3"/>
    <n v="0"/>
    <n v="20"/>
    <n v="2"/>
    <n v="7"/>
    <n v="1"/>
    <n v="7"/>
    <x v="1"/>
    <s v="13-06-2014"/>
    <m/>
    <s v="Salary"/>
    <s v="WFH"/>
    <n v="5"/>
    <n v="0"/>
    <s v="No"/>
    <s v="Recruiter"/>
    <s v="Part Time"/>
    <n v="1242"/>
    <n v="60"/>
    <n v="80"/>
    <n v="0"/>
    <n v="0"/>
    <m/>
    <n v="0"/>
    <n v="1"/>
    <s v="Current Employees"/>
    <s v="No"/>
  </r>
  <r>
    <x v="6"/>
    <s v="Travel_Rarely"/>
    <x v="0"/>
    <n v="1"/>
    <x v="1"/>
    <n v="1"/>
    <n v="1"/>
    <x v="1"/>
    <n v="2"/>
    <x v="0"/>
    <n v="2216"/>
    <n v="7"/>
    <s v="Yes"/>
    <n v="13"/>
    <n v="3"/>
    <n v="0"/>
    <n v="10"/>
    <n v="4"/>
    <n v="7"/>
    <n v="3"/>
    <n v="7"/>
    <x v="3"/>
    <d v="2014-11-06T00:00:00"/>
    <m/>
    <s v="Salary"/>
    <s v="OFFICE"/>
    <n v="0"/>
    <n v="0"/>
    <s v="Yes"/>
    <s v="Job Portal"/>
    <s v="FullTime"/>
    <n v="1243"/>
    <n v="78"/>
    <n v="80"/>
    <n v="2"/>
    <n v="0"/>
    <m/>
    <n v="0"/>
    <n v="1"/>
    <s v="Current Employees"/>
    <s v="No"/>
  </r>
  <r>
    <x v="15"/>
    <s v="Travel_Rarely"/>
    <x v="0"/>
    <n v="7"/>
    <x v="1"/>
    <n v="2"/>
    <n v="2"/>
    <x v="7"/>
    <n v="1"/>
    <x v="0"/>
    <n v="6811"/>
    <n v="8"/>
    <s v="No"/>
    <n v="19"/>
    <n v="3"/>
    <n v="0"/>
    <n v="9"/>
    <n v="2"/>
    <n v="7"/>
    <n v="0"/>
    <n v="7"/>
    <x v="2"/>
    <d v="2014-07-02T00:00:00"/>
    <m/>
    <s v="Salary"/>
    <s v="WFH"/>
    <n v="3"/>
    <n v="2"/>
    <s v="No"/>
    <s v="Walk-in"/>
    <s v="FullTime"/>
    <n v="1244"/>
    <n v="42"/>
    <n v="80"/>
    <n v="7"/>
    <n v="0"/>
    <m/>
    <n v="0"/>
    <n v="1"/>
    <s v="Current Employees"/>
    <s v="No"/>
  </r>
  <r>
    <x v="9"/>
    <s v="Travel_Rarely"/>
    <x v="1"/>
    <n v="2"/>
    <x v="1"/>
    <n v="3"/>
    <n v="2"/>
    <x v="4"/>
    <n v="4"/>
    <x v="1"/>
    <n v="4537"/>
    <n v="0"/>
    <s v="Yes"/>
    <n v="22"/>
    <n v="4"/>
    <n v="1"/>
    <n v="8"/>
    <n v="2"/>
    <n v="7"/>
    <n v="7"/>
    <n v="7"/>
    <x v="3"/>
    <s v="13-01-2014"/>
    <m/>
    <s v="Work Accident"/>
    <s v="WFH"/>
    <n v="2"/>
    <n v="0"/>
    <s v="Yes"/>
    <s v="Job Event"/>
    <s v="Part Time"/>
    <n v="1245"/>
    <n v="53"/>
    <n v="80"/>
    <n v="4"/>
    <n v="0"/>
    <m/>
    <n v="0"/>
    <n v="1"/>
    <s v="Current Employees"/>
    <s v="No"/>
  </r>
  <r>
    <x v="33"/>
    <s v="Travel_Rarely"/>
    <x v="0"/>
    <n v="2"/>
    <x v="1"/>
    <n v="1"/>
    <n v="1"/>
    <x v="0"/>
    <n v="4"/>
    <x v="2"/>
    <n v="2778"/>
    <n v="4"/>
    <s v="Yes"/>
    <n v="13"/>
    <n v="3"/>
    <n v="1"/>
    <n v="10"/>
    <n v="1"/>
    <n v="7"/>
    <n v="1"/>
    <n v="0"/>
    <x v="0"/>
    <s v="24-02-2014"/>
    <m/>
    <s v="Dept.Head"/>
    <s v="OFFICE"/>
    <n v="0"/>
    <n v="2"/>
    <s v="Yes"/>
    <s v="Walk-in"/>
    <s v="FullTime"/>
    <n v="1246"/>
    <n v="72"/>
    <n v="80"/>
    <n v="5"/>
    <n v="0"/>
    <m/>
    <n v="0"/>
    <n v="1"/>
    <s v="Current Employees"/>
    <s v="No"/>
  </r>
  <r>
    <x v="28"/>
    <s v="Travel_Rarely"/>
    <x v="1"/>
    <n v="7"/>
    <x v="0"/>
    <n v="2"/>
    <n v="1"/>
    <x v="3"/>
    <n v="3"/>
    <x v="1"/>
    <n v="2329"/>
    <n v="3"/>
    <s v="No"/>
    <n v="15"/>
    <n v="3"/>
    <n v="0"/>
    <n v="13"/>
    <n v="2"/>
    <n v="7"/>
    <n v="5"/>
    <n v="2"/>
    <x v="3"/>
    <d v="2014-04-05T00:00:00"/>
    <m/>
    <s v="Dept.Head"/>
    <s v="OFFICE"/>
    <n v="3"/>
    <n v="0"/>
    <s v="No"/>
    <s v="Walk-in"/>
    <s v="FullTime"/>
    <n v="1248"/>
    <n v="96"/>
    <n v="80"/>
    <n v="1"/>
    <n v="1"/>
    <n v="1"/>
    <n v="1"/>
    <n v="0"/>
    <s v="Ex-Employees"/>
    <s v="Yes"/>
  </r>
  <r>
    <x v="11"/>
    <s v="Travel_Frequently"/>
    <x v="1"/>
    <n v="1"/>
    <x v="0"/>
    <n v="2"/>
    <n v="2"/>
    <x v="4"/>
    <n v="1"/>
    <x v="0"/>
    <n v="4294"/>
    <n v="1"/>
    <s v="No"/>
    <n v="12"/>
    <n v="3"/>
    <n v="0"/>
    <n v="7"/>
    <n v="2"/>
    <n v="7"/>
    <n v="0"/>
    <n v="7"/>
    <x v="2"/>
    <s v="14-06-2014"/>
    <m/>
    <s v="Better Opportunity"/>
    <s v="WFH"/>
    <n v="4"/>
    <n v="2"/>
    <s v="No"/>
    <s v="Recruiter"/>
    <s v="Part Time"/>
    <n v="1249"/>
    <n v="97"/>
    <n v="80"/>
    <n v="2"/>
    <n v="0"/>
    <m/>
    <n v="0"/>
    <n v="1"/>
    <s v="Current Employees"/>
    <s v="No"/>
  </r>
  <r>
    <x v="26"/>
    <s v="Non-Travel"/>
    <x v="1"/>
    <n v="8"/>
    <x v="0"/>
    <n v="3"/>
    <n v="2"/>
    <x v="4"/>
    <n v="4"/>
    <x v="2"/>
    <n v="5079"/>
    <n v="4"/>
    <s v="No"/>
    <n v="13"/>
    <n v="3"/>
    <n v="2"/>
    <n v="12"/>
    <n v="3"/>
    <n v="7"/>
    <n v="0"/>
    <n v="7"/>
    <x v="3"/>
    <s v="15-05-2014"/>
    <m/>
    <s v="Salary"/>
    <s v="OFFICE"/>
    <n v="1"/>
    <n v="2"/>
    <s v="Yes"/>
    <s v="Job Event"/>
    <s v="FullTime"/>
    <n v="1250"/>
    <n v="85"/>
    <n v="80"/>
    <n v="9"/>
    <n v="0"/>
    <m/>
    <n v="0"/>
    <n v="1"/>
    <s v="Current Employees"/>
    <s v="No"/>
  </r>
  <r>
    <x v="18"/>
    <s v="Travel_Rarely"/>
    <x v="1"/>
    <n v="26"/>
    <x v="0"/>
    <n v="3"/>
    <n v="2"/>
    <x v="4"/>
    <n v="1"/>
    <x v="1"/>
    <n v="8396"/>
    <n v="1"/>
    <s v="No"/>
    <n v="14"/>
    <n v="3"/>
    <n v="1"/>
    <n v="8"/>
    <n v="3"/>
    <n v="7"/>
    <n v="7"/>
    <n v="5"/>
    <x v="1"/>
    <s v="27-04-2014"/>
    <m/>
    <s v="Dept.Head"/>
    <s v="WFH"/>
    <n v="0"/>
    <n v="3"/>
    <s v="No"/>
    <s v="Walk-in"/>
    <s v="FullTime"/>
    <n v="1251"/>
    <n v="80"/>
    <n v="80"/>
    <n v="5"/>
    <n v="0"/>
    <m/>
    <n v="0"/>
    <n v="1"/>
    <s v="Current Employees"/>
    <s v="No"/>
  </r>
  <r>
    <x v="38"/>
    <s v="Travel_Rarely"/>
    <x v="0"/>
    <n v="4"/>
    <x v="0"/>
    <n v="3"/>
    <n v="1"/>
    <x v="0"/>
    <n v="4"/>
    <x v="1"/>
    <n v="3691"/>
    <n v="1"/>
    <s v="Yes"/>
    <n v="15"/>
    <n v="3"/>
    <n v="1"/>
    <n v="7"/>
    <n v="3"/>
    <n v="7"/>
    <n v="5"/>
    <n v="6"/>
    <x v="3"/>
    <d v="2014-10-02T00:00:00"/>
    <m/>
    <s v="Work Accident"/>
    <s v="OFFICE"/>
    <n v="4"/>
    <n v="2"/>
    <s v="Yes"/>
    <s v="Job Event"/>
    <s v="Contract"/>
    <n v="1252"/>
    <n v="96"/>
    <n v="80"/>
    <n v="9"/>
    <n v="0"/>
    <m/>
    <n v="0"/>
    <n v="1"/>
    <s v="Current Employees"/>
    <s v="No"/>
  </r>
  <r>
    <x v="7"/>
    <s v="Travel_Rarely"/>
    <x v="0"/>
    <n v="28"/>
    <x v="1"/>
    <n v="3"/>
    <n v="1"/>
    <x v="1"/>
    <n v="4"/>
    <x v="2"/>
    <n v="2514"/>
    <n v="4"/>
    <s v="No"/>
    <n v="22"/>
    <n v="4"/>
    <n v="1"/>
    <n v="11"/>
    <n v="1"/>
    <n v="7"/>
    <n v="1"/>
    <n v="7"/>
    <x v="1"/>
    <s v="22-01-2014"/>
    <m/>
    <s v="Work Environment"/>
    <s v="OFFICE"/>
    <n v="1"/>
    <n v="3"/>
    <s v="Yes"/>
    <s v="Job Portal"/>
    <s v="Contract"/>
    <n v="1254"/>
    <n v="48"/>
    <n v="80"/>
    <n v="1"/>
    <n v="0"/>
    <m/>
    <n v="0"/>
    <n v="1"/>
    <s v="Current Employees"/>
    <s v="No"/>
  </r>
  <r>
    <x v="7"/>
    <s v="Travel_Frequently"/>
    <x v="0"/>
    <n v="10"/>
    <x v="1"/>
    <n v="3"/>
    <n v="1"/>
    <x v="1"/>
    <n v="2"/>
    <x v="2"/>
    <n v="3291"/>
    <n v="0"/>
    <s v="No"/>
    <n v="14"/>
    <n v="3"/>
    <n v="2"/>
    <n v="8"/>
    <n v="2"/>
    <n v="7"/>
    <n v="1"/>
    <n v="1"/>
    <x v="2"/>
    <s v="15-03-2014"/>
    <m/>
    <s v="Work Accident"/>
    <s v="OFFICE"/>
    <n v="1"/>
    <n v="1"/>
    <s v="No"/>
    <s v="Walk-in"/>
    <s v="Contract"/>
    <n v="1255"/>
    <n v="96"/>
    <n v="80"/>
    <n v="7"/>
    <n v="0"/>
    <m/>
    <n v="0"/>
    <n v="1"/>
    <s v="Current Employees"/>
    <s v="No"/>
  </r>
  <r>
    <x v="12"/>
    <s v="Travel_Rarely"/>
    <x v="2"/>
    <n v="1"/>
    <x v="0"/>
    <n v="4"/>
    <n v="1"/>
    <x v="8"/>
    <n v="3"/>
    <x v="1"/>
    <n v="2844"/>
    <n v="1"/>
    <s v="No"/>
    <n v="13"/>
    <n v="3"/>
    <n v="1"/>
    <n v="7"/>
    <n v="2"/>
    <n v="7"/>
    <n v="5"/>
    <n v="0"/>
    <x v="0"/>
    <d v="2014-06-03T00:00:00"/>
    <m/>
    <s v="Salary"/>
    <s v="OFFICE"/>
    <n v="4"/>
    <n v="2"/>
    <s v="No"/>
    <s v="Job Portal"/>
    <s v="Part Time"/>
    <n v="1256"/>
    <n v="85"/>
    <n v="80"/>
    <n v="0"/>
    <n v="0"/>
    <m/>
    <n v="0"/>
    <n v="1"/>
    <s v="Current Employees"/>
    <s v="No"/>
  </r>
  <r>
    <x v="27"/>
    <s v="Travel_Rarely"/>
    <x v="0"/>
    <n v="2"/>
    <x v="0"/>
    <n v="2"/>
    <n v="3"/>
    <x v="6"/>
    <n v="2"/>
    <x v="2"/>
    <n v="10274"/>
    <n v="2"/>
    <s v="No"/>
    <n v="18"/>
    <n v="3"/>
    <n v="1"/>
    <n v="15"/>
    <n v="2"/>
    <n v="7"/>
    <n v="6"/>
    <n v="4"/>
    <x v="0"/>
    <d v="2014-11-05T00:00:00"/>
    <m/>
    <s v="Better Opportunity"/>
    <s v="WFH"/>
    <n v="2"/>
    <n v="0"/>
    <s v="Yes"/>
    <s v="Walk-in"/>
    <s v="FullTime"/>
    <n v="1257"/>
    <n v="46"/>
    <n v="80"/>
    <n v="10"/>
    <n v="0"/>
    <m/>
    <n v="0"/>
    <n v="1"/>
    <s v="Current Employees"/>
    <s v="No"/>
  </r>
  <r>
    <x v="42"/>
    <s v="Travel_Rarely"/>
    <x v="0"/>
    <n v="7"/>
    <x v="1"/>
    <n v="3"/>
    <n v="5"/>
    <x v="5"/>
    <n v="3"/>
    <x v="2"/>
    <n v="18606"/>
    <n v="3"/>
    <s v="No"/>
    <n v="18"/>
    <n v="3"/>
    <n v="1"/>
    <n v="26"/>
    <n v="6"/>
    <n v="7"/>
    <n v="4"/>
    <n v="7"/>
    <x v="0"/>
    <s v="22-04-2014"/>
    <m/>
    <s v="Salary"/>
    <s v="WFH"/>
    <n v="2"/>
    <n v="2"/>
    <s v="No"/>
    <s v="Job Event"/>
    <s v="Contract"/>
    <n v="1258"/>
    <n v="76"/>
    <n v="80"/>
    <n v="0"/>
    <n v="0"/>
    <m/>
    <n v="0"/>
    <n v="1"/>
    <s v="Current Employees"/>
    <s v="No"/>
  </r>
  <r>
    <x v="27"/>
    <s v="Travel_Rarely"/>
    <x v="1"/>
    <n v="17"/>
    <x v="0"/>
    <n v="3"/>
    <n v="2"/>
    <x v="4"/>
    <n v="1"/>
    <x v="1"/>
    <n v="8966"/>
    <n v="3"/>
    <s v="Yes"/>
    <n v="15"/>
    <n v="3"/>
    <n v="3"/>
    <n v="15"/>
    <n v="2"/>
    <n v="7"/>
    <n v="1"/>
    <n v="7"/>
    <x v="3"/>
    <s v="17-06-2014"/>
    <m/>
    <s v="Dept.Head"/>
    <s v="OFFICE"/>
    <n v="4"/>
    <n v="0"/>
    <s v="Yes"/>
    <s v="Job Event"/>
    <s v="Contract"/>
    <n v="1259"/>
    <n v="76"/>
    <n v="80"/>
    <n v="3"/>
    <n v="0"/>
    <m/>
    <n v="0"/>
    <n v="1"/>
    <s v="Current Employees"/>
    <s v="No"/>
  </r>
  <r>
    <x v="26"/>
    <s v="Travel_Rarely"/>
    <x v="0"/>
    <n v="6"/>
    <x v="0"/>
    <n v="1"/>
    <n v="1"/>
    <x v="0"/>
    <n v="3"/>
    <x v="2"/>
    <n v="2741"/>
    <n v="1"/>
    <s v="No"/>
    <n v="14"/>
    <n v="3"/>
    <n v="1"/>
    <n v="7"/>
    <n v="4"/>
    <n v="7"/>
    <n v="1"/>
    <n v="7"/>
    <x v="1"/>
    <d v="2014-08-03T00:00:00"/>
    <m/>
    <s v="Work Environment"/>
    <s v="OFFICE"/>
    <n v="2"/>
    <n v="0"/>
    <s v="No"/>
    <s v="Recruiter"/>
    <s v="Part Time"/>
    <n v="1260"/>
    <n v="82"/>
    <n v="80"/>
    <n v="0"/>
    <n v="0"/>
    <m/>
    <n v="0"/>
    <n v="1"/>
    <s v="Current Employees"/>
    <s v="No"/>
  </r>
  <r>
    <x v="26"/>
    <s v="Travel_Rarely"/>
    <x v="0"/>
    <n v="1"/>
    <x v="1"/>
    <n v="1"/>
    <n v="3"/>
    <x v="6"/>
    <n v="1"/>
    <x v="2"/>
    <n v="10252"/>
    <n v="2"/>
    <s v="Yes"/>
    <n v="21"/>
    <n v="4"/>
    <n v="1"/>
    <n v="17"/>
    <n v="2"/>
    <n v="7"/>
    <n v="7"/>
    <n v="7"/>
    <x v="2"/>
    <s v="20-05-2014"/>
    <m/>
    <s v="Dept.Head"/>
    <s v="OFFICE"/>
    <n v="5"/>
    <n v="1"/>
    <s v="No"/>
    <s v="Recruiter"/>
    <s v="FullTime"/>
    <n v="1263"/>
    <n v="76"/>
    <n v="80"/>
    <n v="0"/>
    <n v="0"/>
    <m/>
    <n v="0"/>
    <n v="1"/>
    <s v="Current Employees"/>
    <s v="No"/>
  </r>
  <r>
    <x v="7"/>
    <s v="Travel_Rarely"/>
    <x v="0"/>
    <n v="1"/>
    <x v="1"/>
    <n v="2"/>
    <n v="4"/>
    <x v="2"/>
    <n v="4"/>
    <x v="2"/>
    <n v="16124"/>
    <n v="3"/>
    <s v="No"/>
    <n v="14"/>
    <n v="3"/>
    <n v="2"/>
    <n v="9"/>
    <n v="2"/>
    <n v="7"/>
    <n v="1"/>
    <n v="7"/>
    <x v="3"/>
    <d v="2014-01-03T00:00:00"/>
    <m/>
    <s v="Dept.Head"/>
    <s v="OFFICE"/>
    <n v="0"/>
    <n v="3"/>
    <s v="No"/>
    <s v="Walk-in"/>
    <s v="Contract"/>
    <n v="1264"/>
    <n v="87"/>
    <n v="80"/>
    <n v="7"/>
    <n v="0"/>
    <m/>
    <n v="0"/>
    <n v="1"/>
    <s v="Current Employees"/>
    <s v="No"/>
  </r>
  <r>
    <x v="31"/>
    <s v="Travel_Frequently"/>
    <x v="0"/>
    <n v="6"/>
    <x v="1"/>
    <n v="2"/>
    <n v="1"/>
    <x v="0"/>
    <n v="3"/>
    <x v="0"/>
    <n v="2838"/>
    <n v="0"/>
    <s v="No"/>
    <n v="14"/>
    <n v="3"/>
    <n v="0"/>
    <n v="8"/>
    <n v="6"/>
    <n v="7"/>
    <n v="7"/>
    <n v="7"/>
    <x v="3"/>
    <d v="2014-02-01T00:00:00"/>
    <m/>
    <s v="Better Opportunity"/>
    <s v="WFH"/>
    <n v="1"/>
    <n v="3"/>
    <s v="Yes"/>
    <s v="Job Portal"/>
    <s v="Contract"/>
    <n v="1265"/>
    <n v="89"/>
    <n v="80"/>
    <n v="0"/>
    <n v="0"/>
    <m/>
    <n v="0"/>
    <n v="1"/>
    <s v="Current Employees"/>
    <s v="No"/>
  </r>
  <r>
    <x v="7"/>
    <s v="Travel_Rarely"/>
    <x v="0"/>
    <n v="7"/>
    <x v="1"/>
    <n v="3"/>
    <n v="1"/>
    <x v="0"/>
    <n v="3"/>
    <x v="2"/>
    <n v="3339"/>
    <n v="3"/>
    <s v="Yes"/>
    <n v="13"/>
    <n v="3"/>
    <n v="2"/>
    <n v="10"/>
    <n v="2"/>
    <n v="7"/>
    <n v="7"/>
    <n v="7"/>
    <x v="2"/>
    <s v="16-01-2014"/>
    <m/>
    <s v="Better Opportunity"/>
    <s v="WFH"/>
    <n v="1"/>
    <n v="2"/>
    <s v="Yes"/>
    <s v="Job Portal"/>
    <s v="Part Time"/>
    <n v="1267"/>
    <n v="88"/>
    <n v="80"/>
    <n v="9"/>
    <n v="0"/>
    <m/>
    <n v="0"/>
    <n v="1"/>
    <s v="Current Employees"/>
    <s v="No"/>
  </r>
  <r>
    <x v="26"/>
    <s v="Travel_Rarely"/>
    <x v="0"/>
    <n v="10"/>
    <x v="1"/>
    <n v="3"/>
    <n v="3"/>
    <x v="7"/>
    <n v="3"/>
    <x v="1"/>
    <n v="7094"/>
    <n v="3"/>
    <s v="No"/>
    <n v="12"/>
    <n v="3"/>
    <n v="0"/>
    <n v="10"/>
    <n v="0"/>
    <n v="7"/>
    <n v="1"/>
    <n v="7"/>
    <x v="2"/>
    <s v="14-04-2014"/>
    <m/>
    <s v="Salary"/>
    <s v="WFH"/>
    <n v="1"/>
    <n v="0"/>
    <s v="Yes"/>
    <s v="Recruiter"/>
    <s v="Contract"/>
    <n v="1268"/>
    <n v="82"/>
    <n v="80"/>
    <n v="8"/>
    <n v="0"/>
    <m/>
    <n v="0"/>
    <n v="1"/>
    <s v="Current Employees"/>
    <s v="No"/>
  </r>
  <r>
    <x v="35"/>
    <s v="Travel_Rarely"/>
    <x v="2"/>
    <n v="1"/>
    <x v="1"/>
    <n v="3"/>
    <n v="1"/>
    <x v="8"/>
    <n v="1"/>
    <x v="0"/>
    <n v="3423"/>
    <n v="6"/>
    <s v="No"/>
    <n v="12"/>
    <n v="3"/>
    <n v="0"/>
    <n v="10"/>
    <n v="3"/>
    <n v="7"/>
    <n v="5"/>
    <n v="7"/>
    <x v="0"/>
    <s v="16-02-2014"/>
    <m/>
    <s v="Dept.Head"/>
    <s v="OFFICE"/>
    <n v="5"/>
    <n v="3"/>
    <s v="Yes"/>
    <s v="Recruiter"/>
    <s v="Part Time"/>
    <n v="1269"/>
    <n v="57"/>
    <n v="80"/>
    <n v="0"/>
    <n v="0"/>
    <m/>
    <n v="0"/>
    <n v="1"/>
    <s v="Current Employees"/>
    <s v="No"/>
  </r>
  <r>
    <x v="23"/>
    <s v="Travel_Rarely"/>
    <x v="2"/>
    <n v="8"/>
    <x v="0"/>
    <n v="3"/>
    <n v="5"/>
    <x v="5"/>
    <n v="2"/>
    <x v="0"/>
    <n v="19717"/>
    <n v="6"/>
    <s v="No"/>
    <n v="14"/>
    <n v="3"/>
    <n v="0"/>
    <n v="36"/>
    <n v="4"/>
    <n v="7"/>
    <n v="7"/>
    <n v="7"/>
    <x v="3"/>
    <d v="2014-11-06T00:00:00"/>
    <m/>
    <s v="Work Accident"/>
    <s v="OFFICE"/>
    <n v="3"/>
    <n v="2"/>
    <s v="Yes"/>
    <s v="Job Event"/>
    <s v="Part Time"/>
    <n v="1270"/>
    <n v="47"/>
    <n v="80"/>
    <n v="0"/>
    <n v="0"/>
    <m/>
    <n v="0"/>
    <n v="1"/>
    <s v="Current Employees"/>
    <s v="No"/>
  </r>
  <r>
    <x v="12"/>
    <s v="Travel_Rarely"/>
    <x v="1"/>
    <n v="2"/>
    <x v="1"/>
    <n v="3"/>
    <n v="2"/>
    <x v="4"/>
    <n v="1"/>
    <x v="2"/>
    <n v="6893"/>
    <n v="3"/>
    <s v="No"/>
    <n v="15"/>
    <n v="3"/>
    <n v="1"/>
    <n v="11"/>
    <n v="3"/>
    <n v="7"/>
    <n v="1"/>
    <n v="7"/>
    <x v="2"/>
    <d v="2014-07-03T00:00:00"/>
    <m/>
    <s v="Dept.Head"/>
    <s v="OFFICE"/>
    <n v="0"/>
    <n v="3"/>
    <s v="No"/>
    <s v="Recruiter"/>
    <s v="Contract"/>
    <n v="1273"/>
    <n v="73"/>
    <n v="80"/>
    <n v="0"/>
    <n v="1"/>
    <n v="1"/>
    <n v="1"/>
    <n v="0"/>
    <s v="Ex-Employees"/>
    <s v="Yes"/>
  </r>
  <r>
    <x v="11"/>
    <s v="Travel_Rarely"/>
    <x v="0"/>
    <n v="7"/>
    <x v="0"/>
    <n v="4"/>
    <n v="1"/>
    <x v="0"/>
    <n v="1"/>
    <x v="0"/>
    <n v="3578"/>
    <n v="0"/>
    <s v="No"/>
    <n v="12"/>
    <n v="3"/>
    <n v="0"/>
    <n v="8"/>
    <n v="2"/>
    <n v="7"/>
    <n v="0"/>
    <n v="7"/>
    <x v="2"/>
    <d v="2014-03-06T00:00:00"/>
    <m/>
    <s v="Dept.Head"/>
    <s v="WFH"/>
    <n v="3"/>
    <n v="0"/>
    <s v="Yes"/>
    <s v="Walk-in"/>
    <s v="Part Time"/>
    <n v="1275"/>
    <n v="53"/>
    <n v="80"/>
    <n v="5"/>
    <n v="0"/>
    <m/>
    <n v="0"/>
    <n v="1"/>
    <s v="Current Employees"/>
    <s v="No"/>
  </r>
  <r>
    <x v="29"/>
    <s v="Travel_Rarely"/>
    <x v="0"/>
    <n v="1"/>
    <x v="0"/>
    <n v="4"/>
    <n v="4"/>
    <x v="2"/>
    <n v="4"/>
    <x v="2"/>
    <n v="14732"/>
    <n v="2"/>
    <s v="No"/>
    <n v="13"/>
    <n v="3"/>
    <n v="2"/>
    <n v="31"/>
    <n v="4"/>
    <n v="7"/>
    <n v="0"/>
    <n v="0"/>
    <x v="1"/>
    <s v="21-04-2014"/>
    <m/>
    <s v="Work Environment"/>
    <s v="OFFICE"/>
    <n v="3"/>
    <n v="0"/>
    <s v="No"/>
    <s v="Job Portal"/>
    <s v="Contract"/>
    <n v="1277"/>
    <n v="94"/>
    <n v="80"/>
    <n v="10"/>
    <n v="1"/>
    <n v="1"/>
    <n v="1"/>
    <n v="0"/>
    <s v="Ex-Employees"/>
    <s v="Yes"/>
  </r>
  <r>
    <x v="35"/>
    <s v="Travel_Rarely"/>
    <x v="1"/>
    <n v="9"/>
    <x v="0"/>
    <n v="3"/>
    <n v="3"/>
    <x v="4"/>
    <n v="4"/>
    <x v="2"/>
    <n v="10096"/>
    <n v="4"/>
    <s v="No"/>
    <n v="11"/>
    <n v="3"/>
    <n v="1"/>
    <n v="28"/>
    <n v="1"/>
    <n v="7"/>
    <n v="4"/>
    <n v="3"/>
    <x v="3"/>
    <s v="26-03-2014"/>
    <m/>
    <s v="Salary"/>
    <s v="OFFICE"/>
    <n v="4"/>
    <n v="0"/>
    <s v="Yes"/>
    <s v="Walk-in"/>
    <s v="FullTime"/>
    <n v="1278"/>
    <n v="37"/>
    <n v="80"/>
    <n v="9"/>
    <n v="0"/>
    <m/>
    <n v="0"/>
    <n v="1"/>
    <s v="Current Employees"/>
    <s v="No"/>
  </r>
  <r>
    <x v="2"/>
    <s v="Travel_Rarely"/>
    <x v="0"/>
    <n v="20"/>
    <x v="0"/>
    <n v="1"/>
    <n v="3"/>
    <x v="7"/>
    <n v="1"/>
    <x v="2"/>
    <n v="10851"/>
    <n v="2"/>
    <s v="Yes"/>
    <n v="18"/>
    <n v="3"/>
    <n v="1"/>
    <n v="24"/>
    <n v="2"/>
    <n v="7"/>
    <n v="0"/>
    <n v="7"/>
    <x v="2"/>
    <s v="24-05-2014"/>
    <m/>
    <s v="Dept.Head"/>
    <s v="WFH"/>
    <n v="2"/>
    <n v="0"/>
    <s v="No"/>
    <s v="Recruiter"/>
    <s v="Contract"/>
    <n v="1279"/>
    <n v="45"/>
    <n v="80"/>
    <n v="2"/>
    <n v="1"/>
    <n v="1"/>
    <n v="1"/>
    <n v="0"/>
    <s v="Ex-Employees"/>
    <s v="Yes"/>
  </r>
  <r>
    <x v="28"/>
    <s v="Travel_Frequently"/>
    <x v="0"/>
    <n v="3"/>
    <x v="1"/>
    <n v="3"/>
    <n v="1"/>
    <x v="1"/>
    <n v="3"/>
    <x v="0"/>
    <n v="4084"/>
    <n v="1"/>
    <s v="No"/>
    <n v="12"/>
    <n v="3"/>
    <n v="0"/>
    <n v="7"/>
    <n v="2"/>
    <n v="7"/>
    <n v="7"/>
    <n v="7"/>
    <x v="1"/>
    <d v="2014-10-06T00:00:00"/>
    <m/>
    <s v="Salary"/>
    <s v="OFFICE"/>
    <n v="1"/>
    <n v="2"/>
    <s v="No"/>
    <s v="Recruiter"/>
    <s v="Part Time"/>
    <n v="1280"/>
    <n v="33"/>
    <n v="80"/>
    <n v="4"/>
    <n v="0"/>
    <m/>
    <n v="0"/>
    <n v="1"/>
    <s v="Current Employees"/>
    <s v="No"/>
  </r>
  <r>
    <x v="7"/>
    <s v="Travel_Rarely"/>
    <x v="0"/>
    <n v="8"/>
    <x v="1"/>
    <n v="1"/>
    <n v="2"/>
    <x v="7"/>
    <n v="1"/>
    <x v="1"/>
    <n v="9715"/>
    <n v="3"/>
    <s v="No"/>
    <n v="13"/>
    <n v="3"/>
    <n v="1"/>
    <n v="9"/>
    <n v="3"/>
    <n v="7"/>
    <n v="0"/>
    <n v="7"/>
    <x v="2"/>
    <d v="2014-11-05T00:00:00"/>
    <m/>
    <s v="Work Environment"/>
    <s v="WFH"/>
    <n v="5"/>
    <n v="0"/>
    <s v="Yes"/>
    <s v="Walk-in"/>
    <s v="Part Time"/>
    <n v="1281"/>
    <n v="86"/>
    <n v="80"/>
    <n v="2"/>
    <n v="0"/>
    <m/>
    <n v="0"/>
    <n v="1"/>
    <s v="Current Employees"/>
    <s v="No"/>
  </r>
  <r>
    <x v="21"/>
    <s v="Travel_Rarely"/>
    <x v="0"/>
    <n v="5"/>
    <x v="1"/>
    <n v="2"/>
    <n v="2"/>
    <x v="1"/>
    <n v="2"/>
    <x v="1"/>
    <n v="5878"/>
    <n v="3"/>
    <s v="No"/>
    <n v="12"/>
    <n v="3"/>
    <n v="1"/>
    <n v="12"/>
    <n v="2"/>
    <n v="7"/>
    <n v="2"/>
    <n v="5"/>
    <x v="1"/>
    <s v="22-06-2014"/>
    <m/>
    <s v="Work Environment"/>
    <s v="OFFICE"/>
    <n v="3"/>
    <n v="1"/>
    <s v="Yes"/>
    <s v="Job Portal"/>
    <s v="Part Time"/>
    <n v="1282"/>
    <n v="83"/>
    <n v="80"/>
    <n v="10"/>
    <n v="0"/>
    <m/>
    <n v="0"/>
    <n v="1"/>
    <s v="Current Employees"/>
    <s v="No"/>
  </r>
  <r>
    <x v="25"/>
    <s v="Travel_Rarely"/>
    <x v="1"/>
    <n v="6"/>
    <x v="0"/>
    <n v="4"/>
    <n v="3"/>
    <x v="4"/>
    <n v="3"/>
    <x v="1"/>
    <n v="8237"/>
    <n v="2"/>
    <s v="No"/>
    <n v="11"/>
    <n v="3"/>
    <n v="1"/>
    <n v="11"/>
    <n v="3"/>
    <n v="7"/>
    <n v="7"/>
    <n v="6"/>
    <x v="0"/>
    <d v="2014-09-03T00:00:00"/>
    <m/>
    <s v="Dept.Head"/>
    <s v="OFFICE"/>
    <n v="2"/>
    <n v="0"/>
    <s v="Yes"/>
    <s v="Recruiter"/>
    <s v="Part Time"/>
    <n v="1283"/>
    <n v="67"/>
    <n v="80"/>
    <n v="7"/>
    <n v="0"/>
    <m/>
    <n v="0"/>
    <n v="1"/>
    <s v="Current Employees"/>
    <s v="No"/>
  </r>
  <r>
    <x v="25"/>
    <s v="Travel_Rarely"/>
    <x v="0"/>
    <n v="10"/>
    <x v="0"/>
    <n v="3"/>
    <n v="2"/>
    <x v="6"/>
    <n v="1"/>
    <x v="1"/>
    <n v="5377"/>
    <n v="2"/>
    <s v="No"/>
    <n v="13"/>
    <n v="3"/>
    <n v="3"/>
    <n v="10"/>
    <n v="3"/>
    <n v="7"/>
    <n v="7"/>
    <n v="7"/>
    <x v="2"/>
    <s v="14-02-2014"/>
    <m/>
    <s v="Better Opportunity"/>
    <s v="WFH"/>
    <n v="5"/>
    <n v="3"/>
    <s v="Yes"/>
    <s v="Job Portal"/>
    <s v="Part Time"/>
    <n v="1285"/>
    <n v="46"/>
    <n v="80"/>
    <n v="8"/>
    <n v="0"/>
    <m/>
    <n v="0"/>
    <n v="1"/>
    <s v="Current Employees"/>
    <s v="No"/>
  </r>
  <r>
    <x v="15"/>
    <s v="Travel_Rarely"/>
    <x v="0"/>
    <n v="19"/>
    <x v="0"/>
    <n v="2"/>
    <n v="1"/>
    <x v="0"/>
    <n v="1"/>
    <x v="2"/>
    <n v="4066"/>
    <n v="1"/>
    <s v="No"/>
    <n v="11"/>
    <n v="3"/>
    <n v="2"/>
    <n v="7"/>
    <n v="3"/>
    <n v="7"/>
    <n v="0"/>
    <n v="7"/>
    <x v="3"/>
    <d v="2014-12-03T00:00:00"/>
    <m/>
    <s v="Salary"/>
    <s v="OFFICE"/>
    <n v="3"/>
    <n v="2"/>
    <s v="No"/>
    <s v="Job Event"/>
    <s v="FullTime"/>
    <n v="1286"/>
    <n v="44"/>
    <n v="80"/>
    <n v="2"/>
    <n v="0"/>
    <m/>
    <n v="0"/>
    <n v="1"/>
    <s v="Current Employees"/>
    <s v="No"/>
  </r>
  <r>
    <x v="38"/>
    <s v="Travel_Frequently"/>
    <x v="0"/>
    <n v="2"/>
    <x v="0"/>
    <n v="4"/>
    <n v="2"/>
    <x v="6"/>
    <n v="3"/>
    <x v="2"/>
    <n v="5206"/>
    <n v="1"/>
    <s v="No"/>
    <n v="17"/>
    <n v="3"/>
    <n v="2"/>
    <n v="7"/>
    <n v="6"/>
    <n v="7"/>
    <n v="0"/>
    <n v="7"/>
    <x v="2"/>
    <d v="2014-05-06T00:00:00"/>
    <m/>
    <s v="Better Opportunity"/>
    <s v="OFFICE"/>
    <n v="5"/>
    <n v="3"/>
    <s v="No"/>
    <s v="Job Portal"/>
    <s v="Part Time"/>
    <n v="1288"/>
    <n v="92"/>
    <n v="80"/>
    <n v="9"/>
    <n v="0"/>
    <m/>
    <n v="0"/>
    <n v="1"/>
    <s v="Current Employees"/>
    <s v="No"/>
  </r>
  <r>
    <x v="11"/>
    <s v="Non-Travel"/>
    <x v="0"/>
    <n v="7"/>
    <x v="0"/>
    <n v="3"/>
    <n v="1"/>
    <x v="0"/>
    <n v="4"/>
    <x v="0"/>
    <n v="2570"/>
    <n v="1"/>
    <s v="No"/>
    <n v="20"/>
    <n v="4"/>
    <n v="0"/>
    <n v="7"/>
    <n v="5"/>
    <n v="7"/>
    <n v="5"/>
    <n v="7"/>
    <x v="2"/>
    <d v="2014-11-02T00:00:00"/>
    <m/>
    <s v="Salary"/>
    <s v="OFFICE"/>
    <n v="3"/>
    <n v="1"/>
    <s v="Yes"/>
    <s v="Job Event"/>
    <s v="Part Time"/>
    <n v="1289"/>
    <n v="56"/>
    <n v="80"/>
    <n v="9"/>
    <n v="0"/>
    <m/>
    <n v="0"/>
    <n v="1"/>
    <s v="Current Employees"/>
    <s v="No"/>
  </r>
  <r>
    <x v="27"/>
    <s v="Travel_Rarely"/>
    <x v="0"/>
    <n v="27"/>
    <x v="0"/>
    <n v="3"/>
    <n v="2"/>
    <x v="6"/>
    <n v="3"/>
    <x v="1"/>
    <n v="6883"/>
    <n v="2"/>
    <s v="No"/>
    <n v="16"/>
    <n v="3"/>
    <n v="1"/>
    <n v="17"/>
    <n v="3"/>
    <n v="7"/>
    <n v="0"/>
    <n v="7"/>
    <x v="0"/>
    <s v="28-06-2014"/>
    <m/>
    <s v="Salary"/>
    <s v="OFFICE"/>
    <n v="2"/>
    <n v="3"/>
    <s v="Yes"/>
    <s v="Recruiter"/>
    <s v="Contract"/>
    <n v="1291"/>
    <n v="66"/>
    <n v="80"/>
    <n v="2"/>
    <n v="0"/>
    <m/>
    <n v="0"/>
    <n v="1"/>
    <s v="Current Employees"/>
    <s v="No"/>
  </r>
  <r>
    <x v="14"/>
    <s v="Travel_Rarely"/>
    <x v="1"/>
    <n v="15"/>
    <x v="0"/>
    <n v="2"/>
    <n v="3"/>
    <x v="4"/>
    <n v="1"/>
    <x v="2"/>
    <n v="7140"/>
    <n v="2"/>
    <s v="No"/>
    <n v="11"/>
    <n v="3"/>
    <n v="1"/>
    <n v="12"/>
    <n v="2"/>
    <n v="7"/>
    <n v="1"/>
    <n v="7"/>
    <x v="0"/>
    <s v="14-05-2014"/>
    <m/>
    <s v="Work Accident"/>
    <s v="OFFICE"/>
    <n v="3"/>
    <n v="3"/>
    <s v="No"/>
    <s v="Job Portal"/>
    <s v="FullTime"/>
    <n v="1292"/>
    <n v="78"/>
    <n v="80"/>
    <n v="0"/>
    <n v="0"/>
    <m/>
    <n v="0"/>
    <n v="1"/>
    <s v="Current Employees"/>
    <s v="No"/>
  </r>
  <r>
    <x v="14"/>
    <s v="Travel_Rarely"/>
    <x v="0"/>
    <n v="16"/>
    <x v="0"/>
    <n v="4"/>
    <n v="2"/>
    <x v="7"/>
    <n v="3"/>
    <x v="1"/>
    <n v="5294"/>
    <n v="3"/>
    <s v="No"/>
    <n v="16"/>
    <n v="3"/>
    <n v="1"/>
    <n v="10"/>
    <n v="3"/>
    <n v="7"/>
    <n v="1"/>
    <n v="7"/>
    <x v="0"/>
    <s v="14-05-2014"/>
    <m/>
    <s v="Work Accident"/>
    <s v="OFFICE"/>
    <n v="4"/>
    <n v="1"/>
    <s v="Yes"/>
    <s v="Job Event"/>
    <s v="Part Time"/>
    <n v="1293"/>
    <n v="56"/>
    <n v="80"/>
    <n v="7"/>
    <n v="0"/>
    <m/>
    <n v="0"/>
    <n v="1"/>
    <s v="Current Employees"/>
    <s v="No"/>
  </r>
  <r>
    <x v="21"/>
    <s v="Non-Travel"/>
    <x v="0"/>
    <n v="5"/>
    <x v="0"/>
    <n v="3"/>
    <n v="1"/>
    <x v="1"/>
    <n v="2"/>
    <x v="0"/>
    <n v="2718"/>
    <n v="2"/>
    <s v="No"/>
    <n v="14"/>
    <n v="3"/>
    <n v="0"/>
    <n v="12"/>
    <n v="3"/>
    <n v="7"/>
    <n v="0"/>
    <n v="7"/>
    <x v="1"/>
    <s v="28-01-2014"/>
    <m/>
    <s v="Work Environment"/>
    <s v="WFH"/>
    <n v="4"/>
    <n v="1"/>
    <s v="Yes"/>
    <s v="Recruiter"/>
    <s v="FullTime"/>
    <n v="1294"/>
    <n v="53"/>
    <n v="80"/>
    <n v="14"/>
    <n v="0"/>
    <m/>
    <n v="0"/>
    <n v="1"/>
    <s v="Current Employees"/>
    <s v="No"/>
  </r>
  <r>
    <x v="27"/>
    <s v="Non-Travel"/>
    <x v="0"/>
    <n v="2"/>
    <x v="0"/>
    <n v="3"/>
    <n v="2"/>
    <x v="6"/>
    <n v="4"/>
    <x v="2"/>
    <n v="5762"/>
    <n v="2"/>
    <s v="No"/>
    <n v="14"/>
    <n v="3"/>
    <n v="1"/>
    <n v="15"/>
    <n v="6"/>
    <n v="7"/>
    <n v="1"/>
    <n v="7"/>
    <x v="2"/>
    <s v="22-02-2014"/>
    <m/>
    <s v="Dept.Head"/>
    <s v="WFH"/>
    <n v="3"/>
    <n v="1"/>
    <s v="Yes"/>
    <s v="Recruiter"/>
    <s v="Part Time"/>
    <n v="1295"/>
    <n v="73"/>
    <n v="80"/>
    <n v="7"/>
    <n v="1"/>
    <n v="1"/>
    <n v="1"/>
    <n v="0"/>
    <s v="Ex-Employees"/>
    <s v="Yes"/>
  </r>
  <r>
    <x v="13"/>
    <s v="Travel_Frequently"/>
    <x v="0"/>
    <n v="9"/>
    <x v="0"/>
    <n v="3"/>
    <n v="2"/>
    <x v="0"/>
    <n v="1"/>
    <x v="1"/>
    <n v="5346"/>
    <n v="4"/>
    <s v="No"/>
    <n v="17"/>
    <n v="3"/>
    <n v="1"/>
    <n v="11"/>
    <n v="3"/>
    <n v="7"/>
    <n v="0"/>
    <n v="7"/>
    <x v="3"/>
    <d v="2014-02-06T00:00:00"/>
    <m/>
    <s v="Work Accident"/>
    <s v="WFH"/>
    <n v="2"/>
    <n v="3"/>
    <s v="Yes"/>
    <s v="Job Event"/>
    <s v="Contract"/>
    <n v="1296"/>
    <n v="52"/>
    <n v="80"/>
    <n v="2"/>
    <n v="0"/>
    <m/>
    <n v="0"/>
    <n v="1"/>
    <s v="Current Employees"/>
    <s v="No"/>
  </r>
  <r>
    <x v="14"/>
    <s v="Travel_Rarely"/>
    <x v="0"/>
    <n v="10"/>
    <x v="1"/>
    <n v="3"/>
    <n v="3"/>
    <x v="6"/>
    <n v="3"/>
    <x v="0"/>
    <n v="9667"/>
    <n v="9"/>
    <s v="No"/>
    <n v="14"/>
    <n v="3"/>
    <n v="0"/>
    <n v="9"/>
    <n v="3"/>
    <n v="7"/>
    <n v="0"/>
    <n v="2"/>
    <x v="3"/>
    <s v="14-04-2014"/>
    <m/>
    <s v="Better Opportunity"/>
    <s v="WFH"/>
    <n v="3"/>
    <n v="3"/>
    <s v="Yes"/>
    <s v="Recruiter"/>
    <s v="Part Time"/>
    <n v="1297"/>
    <n v="40"/>
    <n v="80"/>
    <n v="0"/>
    <n v="0"/>
    <m/>
    <n v="0"/>
    <n v="1"/>
    <s v="Current Employees"/>
    <s v="No"/>
  </r>
  <r>
    <x v="18"/>
    <s v="Travel_Rarely"/>
    <x v="0"/>
    <n v="12"/>
    <x v="1"/>
    <n v="3"/>
    <n v="2"/>
    <x v="7"/>
    <n v="1"/>
    <x v="2"/>
    <n v="4448"/>
    <n v="2"/>
    <s v="No"/>
    <n v="12"/>
    <n v="3"/>
    <n v="1"/>
    <n v="15"/>
    <n v="3"/>
    <n v="7"/>
    <n v="7"/>
    <n v="7"/>
    <x v="3"/>
    <d v="2014-06-04T00:00:00"/>
    <m/>
    <s v="Work Environment"/>
    <s v="WFH"/>
    <n v="3"/>
    <n v="3"/>
    <s v="Yes"/>
    <s v="Walk-in"/>
    <s v="Contract"/>
    <n v="1298"/>
    <n v="72"/>
    <n v="80"/>
    <n v="4"/>
    <n v="0"/>
    <m/>
    <n v="0"/>
    <n v="1"/>
    <s v="Current Employees"/>
    <s v="No"/>
  </r>
  <r>
    <x v="37"/>
    <s v="Travel_Rarely"/>
    <x v="0"/>
    <n v="7"/>
    <x v="1"/>
    <n v="3"/>
    <n v="2"/>
    <x v="1"/>
    <n v="4"/>
    <x v="1"/>
    <n v="6854"/>
    <n v="4"/>
    <s v="No"/>
    <n v="15"/>
    <n v="3"/>
    <n v="1"/>
    <n v="14"/>
    <n v="2"/>
    <n v="7"/>
    <n v="1"/>
    <n v="7"/>
    <x v="0"/>
    <s v="18-02-2014"/>
    <m/>
    <s v="Salary"/>
    <s v="WFH"/>
    <n v="1"/>
    <n v="3"/>
    <s v="No"/>
    <s v="Job Portal"/>
    <s v="Part Time"/>
    <n v="1299"/>
    <n v="39"/>
    <n v="80"/>
    <n v="7"/>
    <n v="1"/>
    <n v="1"/>
    <n v="1"/>
    <n v="0"/>
    <s v="Ex-Employees"/>
    <s v="Yes"/>
  </r>
  <r>
    <x v="34"/>
    <s v="Travel_Frequently"/>
    <x v="1"/>
    <n v="2"/>
    <x v="0"/>
    <n v="3"/>
    <n v="2"/>
    <x v="4"/>
    <n v="4"/>
    <x v="1"/>
    <n v="5675"/>
    <n v="1"/>
    <s v="No"/>
    <n v="20"/>
    <n v="4"/>
    <n v="1"/>
    <n v="7"/>
    <n v="5"/>
    <n v="7"/>
    <n v="7"/>
    <n v="7"/>
    <x v="2"/>
    <s v="15-04-2014"/>
    <m/>
    <s v="Work Environment"/>
    <s v="OFFICE"/>
    <n v="2"/>
    <n v="3"/>
    <s v="No"/>
    <s v="Job Portal"/>
    <s v="Contract"/>
    <n v="1301"/>
    <n v="84"/>
    <n v="80"/>
    <n v="2"/>
    <n v="0"/>
    <m/>
    <n v="0"/>
    <n v="1"/>
    <s v="Current Employees"/>
    <s v="No"/>
  </r>
  <r>
    <x v="7"/>
    <s v="Travel_Rarely"/>
    <x v="0"/>
    <n v="29"/>
    <x v="0"/>
    <n v="1"/>
    <n v="2"/>
    <x v="7"/>
    <n v="3"/>
    <x v="2"/>
    <n v="6384"/>
    <n v="8"/>
    <s v="No"/>
    <n v="17"/>
    <n v="3"/>
    <n v="2"/>
    <n v="11"/>
    <n v="3"/>
    <n v="7"/>
    <n v="1"/>
    <n v="6"/>
    <x v="1"/>
    <s v="25-04-2014"/>
    <m/>
    <s v="Work Accident"/>
    <s v="WFH"/>
    <n v="0"/>
    <n v="1"/>
    <s v="Yes"/>
    <s v="Walk-in"/>
    <s v="Contract"/>
    <n v="1303"/>
    <n v="40"/>
    <n v="80"/>
    <n v="2"/>
    <n v="0"/>
    <m/>
    <n v="0"/>
    <n v="1"/>
    <s v="Current Employees"/>
    <s v="No"/>
  </r>
  <r>
    <x v="15"/>
    <s v="Travel_Frequently"/>
    <x v="0"/>
    <n v="15"/>
    <x v="1"/>
    <n v="2"/>
    <n v="1"/>
    <x v="1"/>
    <n v="1"/>
    <x v="1"/>
    <n v="4774"/>
    <n v="0"/>
    <s v="No"/>
    <n v="19"/>
    <n v="3"/>
    <n v="1"/>
    <n v="8"/>
    <n v="2"/>
    <n v="7"/>
    <n v="7"/>
    <n v="3"/>
    <x v="1"/>
    <s v="19-03-2014"/>
    <m/>
    <s v="Dept.Head"/>
    <s v="WFH"/>
    <n v="2"/>
    <n v="1"/>
    <s v="Yes"/>
    <s v="Job Portal"/>
    <s v="Part Time"/>
    <n v="1304"/>
    <n v="56"/>
    <n v="80"/>
    <n v="7"/>
    <n v="0"/>
    <m/>
    <n v="0"/>
    <n v="1"/>
    <s v="Current Employees"/>
    <s v="No"/>
  </r>
  <r>
    <x v="11"/>
    <s v="Travel_Frequently"/>
    <x v="0"/>
    <n v="6"/>
    <x v="0"/>
    <n v="4"/>
    <n v="1"/>
    <x v="0"/>
    <n v="4"/>
    <x v="1"/>
    <n v="2544"/>
    <n v="0"/>
    <s v="No"/>
    <n v="18"/>
    <n v="3"/>
    <n v="1"/>
    <n v="8"/>
    <n v="3"/>
    <n v="7"/>
    <n v="7"/>
    <n v="7"/>
    <x v="0"/>
    <s v="19-02-2014"/>
    <m/>
    <s v="Salary"/>
    <s v="WFH"/>
    <n v="5"/>
    <n v="0"/>
    <s v="No"/>
    <s v="Job Event"/>
    <s v="FullTime"/>
    <n v="1306"/>
    <n v="83"/>
    <n v="80"/>
    <n v="0"/>
    <n v="0"/>
    <m/>
    <n v="0"/>
    <n v="1"/>
    <s v="Current Employees"/>
    <s v="No"/>
  </r>
  <r>
    <x v="6"/>
    <s v="Travel_Frequently"/>
    <x v="1"/>
    <n v="1"/>
    <x v="0"/>
    <n v="2"/>
    <n v="2"/>
    <x v="4"/>
    <n v="4"/>
    <x v="1"/>
    <n v="6834"/>
    <n v="1"/>
    <s v="Yes"/>
    <n v="12"/>
    <n v="3"/>
    <n v="1"/>
    <n v="7"/>
    <n v="2"/>
    <n v="7"/>
    <n v="0"/>
    <n v="7"/>
    <x v="1"/>
    <s v="23-03-2014"/>
    <m/>
    <s v="Work Environment"/>
    <s v="WFH"/>
    <n v="2"/>
    <n v="0"/>
    <s v="No"/>
    <s v="Job Event"/>
    <s v="Part Time"/>
    <n v="1307"/>
    <n v="94"/>
    <n v="80"/>
    <n v="9"/>
    <n v="0"/>
    <m/>
    <n v="0"/>
    <n v="1"/>
    <s v="Current Employees"/>
    <s v="No"/>
  </r>
  <r>
    <x v="11"/>
    <s v="Travel_Rarely"/>
    <x v="0"/>
    <n v="1"/>
    <x v="0"/>
    <n v="3"/>
    <n v="1"/>
    <x v="0"/>
    <n v="1"/>
    <x v="0"/>
    <n v="2867"/>
    <n v="0"/>
    <s v="No"/>
    <n v="13"/>
    <n v="3"/>
    <n v="0"/>
    <n v="8"/>
    <n v="6"/>
    <n v="7"/>
    <n v="7"/>
    <n v="6"/>
    <x v="0"/>
    <s v="20-03-2014"/>
    <m/>
    <s v="Work Accident"/>
    <s v="OFFICE"/>
    <n v="1"/>
    <n v="0"/>
    <s v="No"/>
    <s v="Job Portal"/>
    <s v="FullTime"/>
    <n v="1308"/>
    <n v="88"/>
    <n v="80"/>
    <n v="2"/>
    <n v="0"/>
    <m/>
    <n v="0"/>
    <n v="1"/>
    <s v="Current Employees"/>
    <s v="No"/>
  </r>
  <r>
    <x v="15"/>
    <s v="Travel_Rarely"/>
    <x v="1"/>
    <n v="9"/>
    <x v="0"/>
    <n v="3"/>
    <n v="2"/>
    <x v="4"/>
    <n v="4"/>
    <x v="0"/>
    <n v="4105"/>
    <n v="1"/>
    <s v="No"/>
    <n v="14"/>
    <n v="3"/>
    <n v="0"/>
    <n v="7"/>
    <n v="5"/>
    <n v="7"/>
    <n v="0"/>
    <n v="7"/>
    <x v="3"/>
    <s v="31-01-2014"/>
    <m/>
    <s v="Dept.Head"/>
    <s v="OFFICE"/>
    <n v="4"/>
    <n v="1"/>
    <s v="No"/>
    <s v="Job Event"/>
    <s v="FullTime"/>
    <n v="1309"/>
    <n v="79"/>
    <n v="80"/>
    <n v="4"/>
    <n v="1"/>
    <n v="1"/>
    <n v="1"/>
    <n v="0"/>
    <s v="Ex-Employees"/>
    <s v="Yes"/>
  </r>
  <r>
    <x v="25"/>
    <s v="Travel_Rarely"/>
    <x v="0"/>
    <n v="24"/>
    <x v="0"/>
    <n v="3"/>
    <n v="2"/>
    <x v="1"/>
    <n v="4"/>
    <x v="0"/>
    <n v="4108"/>
    <n v="7"/>
    <s v="No"/>
    <n v="13"/>
    <n v="3"/>
    <n v="0"/>
    <n v="18"/>
    <n v="2"/>
    <n v="7"/>
    <n v="1"/>
    <n v="7"/>
    <x v="0"/>
    <s v="15-05-2014"/>
    <m/>
    <s v="Salary"/>
    <s v="OFFICE"/>
    <n v="2"/>
    <n v="0"/>
    <s v="Yes"/>
    <s v="Recruiter"/>
    <s v="Contract"/>
    <n v="1310"/>
    <n v="93"/>
    <n v="80"/>
    <n v="2"/>
    <n v="1"/>
    <n v="1"/>
    <n v="1"/>
    <n v="0"/>
    <s v="Ex-Employees"/>
    <s v="Yes"/>
  </r>
  <r>
    <x v="25"/>
    <s v="Travel_Rarely"/>
    <x v="0"/>
    <n v="6"/>
    <x v="0"/>
    <n v="2"/>
    <n v="3"/>
    <x v="7"/>
    <n v="1"/>
    <x v="1"/>
    <n v="9991"/>
    <n v="4"/>
    <s v="No"/>
    <n v="15"/>
    <n v="3"/>
    <n v="1"/>
    <n v="9"/>
    <n v="5"/>
    <n v="7"/>
    <n v="1"/>
    <n v="7"/>
    <x v="1"/>
    <s v="22-02-2014"/>
    <m/>
    <s v="Work Accident"/>
    <s v="OFFICE"/>
    <n v="5"/>
    <n v="2"/>
    <s v="Yes"/>
    <s v="Job Portal"/>
    <s v="FullTime"/>
    <n v="1311"/>
    <n v="48"/>
    <n v="80"/>
    <n v="2"/>
    <n v="0"/>
    <m/>
    <n v="0"/>
    <n v="1"/>
    <s v="Current Employees"/>
    <s v="No"/>
  </r>
  <r>
    <x v="20"/>
    <s v="Travel_Frequently"/>
    <x v="0"/>
    <n v="3"/>
    <x v="1"/>
    <n v="3"/>
    <n v="1"/>
    <x v="1"/>
    <n v="3"/>
    <x v="1"/>
    <n v="2909"/>
    <n v="1"/>
    <s v="Yes"/>
    <n v="11"/>
    <n v="3"/>
    <n v="0"/>
    <n v="8"/>
    <n v="3"/>
    <n v="8"/>
    <n v="3"/>
    <n v="0"/>
    <x v="0"/>
    <s v="26-04-2013"/>
    <m/>
    <s v="Dept.Head"/>
    <s v="WFH"/>
    <n v="2"/>
    <n v="0"/>
    <s v="No"/>
    <s v="Walk-in"/>
    <s v="Contract"/>
    <n v="1312"/>
    <n v="63"/>
    <n v="80"/>
    <n v="7"/>
    <n v="0"/>
    <m/>
    <n v="0"/>
    <n v="1"/>
    <s v="Current Employees"/>
    <s v="No"/>
  </r>
  <r>
    <x v="16"/>
    <s v="Travel_Frequently"/>
    <x v="0"/>
    <n v="1"/>
    <x v="1"/>
    <n v="3"/>
    <n v="5"/>
    <x v="2"/>
    <n v="2"/>
    <x v="1"/>
    <n v="18172"/>
    <n v="3"/>
    <s v="Yes"/>
    <n v="19"/>
    <n v="3"/>
    <n v="0"/>
    <n v="28"/>
    <n v="1"/>
    <n v="8"/>
    <n v="0"/>
    <n v="7"/>
    <x v="1"/>
    <s v="30-03-2013"/>
    <m/>
    <s v="Work Accident"/>
    <s v="WFH"/>
    <n v="5"/>
    <n v="3"/>
    <s v="Yes"/>
    <s v="Walk-in"/>
    <s v="FullTime"/>
    <n v="1314"/>
    <n v="44"/>
    <n v="80"/>
    <n v="6"/>
    <n v="0"/>
    <m/>
    <n v="0"/>
    <n v="1"/>
    <s v="Current Employees"/>
    <s v="No"/>
  </r>
  <r>
    <x v="11"/>
    <s v="Travel_Rarely"/>
    <x v="2"/>
    <n v="25"/>
    <x v="1"/>
    <n v="3"/>
    <n v="1"/>
    <x v="8"/>
    <n v="3"/>
    <x v="1"/>
    <n v="2942"/>
    <n v="1"/>
    <s v="No"/>
    <n v="23"/>
    <n v="4"/>
    <n v="1"/>
    <n v="8"/>
    <n v="3"/>
    <n v="8"/>
    <n v="5"/>
    <n v="7"/>
    <x v="3"/>
    <s v="13-02-2013"/>
    <m/>
    <s v="Salary"/>
    <s v="OFFICE"/>
    <n v="0"/>
    <n v="2"/>
    <s v="No"/>
    <s v="Walk-in"/>
    <s v="Part Time"/>
    <n v="1315"/>
    <n v="55"/>
    <n v="80"/>
    <n v="8"/>
    <n v="0"/>
    <m/>
    <n v="0"/>
    <n v="1"/>
    <s v="Current Employees"/>
    <s v="No"/>
  </r>
  <r>
    <x v="21"/>
    <s v="Travel_Frequently"/>
    <x v="1"/>
    <n v="9"/>
    <x v="0"/>
    <n v="1"/>
    <n v="2"/>
    <x v="4"/>
    <n v="4"/>
    <x v="2"/>
    <n v="4668"/>
    <n v="0"/>
    <s v="No"/>
    <n v="17"/>
    <n v="3"/>
    <n v="3"/>
    <n v="9"/>
    <n v="2"/>
    <n v="8"/>
    <n v="0"/>
    <n v="7"/>
    <x v="3"/>
    <s v="27-03-2013"/>
    <m/>
    <s v="Work Environment"/>
    <s v="OFFICE"/>
    <n v="5"/>
    <n v="3"/>
    <s v="Yes"/>
    <s v="Job Event"/>
    <s v="FullTime"/>
    <n v="1317"/>
    <n v="43"/>
    <n v="80"/>
    <n v="2"/>
    <n v="0"/>
    <m/>
    <n v="0"/>
    <n v="1"/>
    <s v="Current Employees"/>
    <s v="No"/>
  </r>
  <r>
    <x v="12"/>
    <s v="Travel_Rarely"/>
    <x v="1"/>
    <n v="1"/>
    <x v="1"/>
    <n v="2"/>
    <n v="2"/>
    <x v="4"/>
    <n v="4"/>
    <x v="0"/>
    <n v="8686"/>
    <n v="4"/>
    <s v="No"/>
    <n v="22"/>
    <n v="4"/>
    <n v="0"/>
    <n v="12"/>
    <n v="2"/>
    <n v="8"/>
    <n v="0"/>
    <n v="7"/>
    <x v="3"/>
    <s v="22-01-2013"/>
    <m/>
    <s v="Better Opportunity"/>
    <s v="WFH"/>
    <n v="0"/>
    <n v="1"/>
    <s v="No"/>
    <s v="Job Event"/>
    <s v="Contract"/>
    <n v="1318"/>
    <n v="57"/>
    <n v="80"/>
    <n v="4"/>
    <n v="1"/>
    <n v="1"/>
    <n v="1"/>
    <n v="0"/>
    <s v="Ex-Employees"/>
    <s v="Yes"/>
  </r>
  <r>
    <x v="26"/>
    <s v="Travel_Frequently"/>
    <x v="0"/>
    <n v="3"/>
    <x v="0"/>
    <n v="3"/>
    <n v="1"/>
    <x v="0"/>
    <n v="2"/>
    <x v="0"/>
    <n v="2088"/>
    <n v="4"/>
    <s v="No"/>
    <n v="12"/>
    <n v="3"/>
    <n v="0"/>
    <n v="13"/>
    <n v="3"/>
    <n v="8"/>
    <n v="7"/>
    <n v="2"/>
    <x v="0"/>
    <s v="18-04-2013"/>
    <m/>
    <s v="Dept.Head"/>
    <s v="WFH"/>
    <n v="5"/>
    <n v="1"/>
    <s v="Yes"/>
    <s v="Job Event"/>
    <s v="FullTime"/>
    <n v="1319"/>
    <n v="64"/>
    <n v="80"/>
    <n v="7"/>
    <n v="1"/>
    <n v="1"/>
    <n v="1"/>
    <n v="0"/>
    <s v="Ex-Employees"/>
    <s v="Yes"/>
  </r>
  <r>
    <x v="20"/>
    <s v="Travel_Rarely"/>
    <x v="0"/>
    <n v="14"/>
    <x v="1"/>
    <n v="3"/>
    <n v="1"/>
    <x v="1"/>
    <n v="2"/>
    <x v="1"/>
    <n v="2756"/>
    <n v="1"/>
    <s v="No"/>
    <n v="13"/>
    <n v="3"/>
    <n v="1"/>
    <n v="8"/>
    <n v="5"/>
    <n v="8"/>
    <n v="1"/>
    <n v="6"/>
    <x v="2"/>
    <s v="23-01-2013"/>
    <m/>
    <s v="Work Environment"/>
    <s v="OFFICE"/>
    <n v="4"/>
    <n v="1"/>
    <s v="No"/>
    <s v="Recruiter"/>
    <s v="Contract"/>
    <n v="1321"/>
    <n v="95"/>
    <n v="80"/>
    <n v="1"/>
    <n v="0"/>
    <m/>
    <n v="0"/>
    <n v="1"/>
    <s v="Current Employees"/>
    <s v="No"/>
  </r>
  <r>
    <x v="0"/>
    <s v="Travel_Rarely"/>
    <x v="0"/>
    <n v="21"/>
    <x v="0"/>
    <n v="4"/>
    <n v="1"/>
    <x v="1"/>
    <n v="1"/>
    <x v="1"/>
    <n v="3564"/>
    <n v="1"/>
    <s v="Yes"/>
    <n v="12"/>
    <n v="3"/>
    <n v="1"/>
    <n v="8"/>
    <n v="3"/>
    <n v="8"/>
    <n v="1"/>
    <n v="7"/>
    <x v="2"/>
    <d v="2013-11-05T00:00:00"/>
    <m/>
    <s v="Dept.Head"/>
    <s v="OFFICE"/>
    <n v="3"/>
    <n v="0"/>
    <s v="Yes"/>
    <s v="Walk-in"/>
    <s v="FullTime"/>
    <n v="1322"/>
    <n v="32"/>
    <n v="80"/>
    <n v="7"/>
    <n v="0"/>
    <m/>
    <n v="0"/>
    <n v="1"/>
    <s v="Current Employees"/>
    <s v="No"/>
  </r>
  <r>
    <x v="26"/>
    <s v="Travel_Frequently"/>
    <x v="0"/>
    <n v="18"/>
    <x v="1"/>
    <n v="3"/>
    <n v="1"/>
    <x v="0"/>
    <n v="4"/>
    <x v="0"/>
    <n v="2153"/>
    <n v="1"/>
    <s v="No"/>
    <n v="13"/>
    <n v="3"/>
    <n v="0"/>
    <n v="8"/>
    <n v="2"/>
    <n v="8"/>
    <n v="1"/>
    <n v="7"/>
    <x v="1"/>
    <s v="24-06-2013"/>
    <m/>
    <s v="Work Environment"/>
    <s v="OFFICE"/>
    <n v="4"/>
    <n v="3"/>
    <s v="Yes"/>
    <s v="Recruiter"/>
    <s v="Part Time"/>
    <n v="1324"/>
    <n v="57"/>
    <n v="80"/>
    <n v="8"/>
    <n v="0"/>
    <m/>
    <n v="0"/>
    <n v="1"/>
    <s v="Current Employees"/>
    <s v="No"/>
  </r>
  <r>
    <x v="12"/>
    <s v="Non-Travel"/>
    <x v="1"/>
    <n v="2"/>
    <x v="0"/>
    <n v="2"/>
    <n v="2"/>
    <x v="4"/>
    <n v="4"/>
    <x v="1"/>
    <n v="5249"/>
    <n v="3"/>
    <s v="No"/>
    <n v="18"/>
    <n v="3"/>
    <n v="1"/>
    <n v="13"/>
    <n v="0"/>
    <n v="8"/>
    <n v="7"/>
    <n v="5"/>
    <x v="2"/>
    <s v="26-01-2013"/>
    <m/>
    <s v="Salary"/>
    <s v="WFH"/>
    <n v="1"/>
    <n v="0"/>
    <s v="Yes"/>
    <s v="Walk-in"/>
    <s v="Part Time"/>
    <n v="1329"/>
    <n v="40"/>
    <n v="80"/>
    <n v="2"/>
    <n v="0"/>
    <m/>
    <n v="0"/>
    <n v="1"/>
    <s v="Current Employees"/>
    <s v="No"/>
  </r>
  <r>
    <x v="12"/>
    <s v="Travel_Rarely"/>
    <x v="1"/>
    <n v="7"/>
    <x v="1"/>
    <n v="4"/>
    <n v="2"/>
    <x v="4"/>
    <n v="1"/>
    <x v="2"/>
    <n v="5605"/>
    <n v="1"/>
    <s v="Yes"/>
    <n v="24"/>
    <n v="4"/>
    <n v="1"/>
    <n v="8"/>
    <n v="3"/>
    <n v="8"/>
    <n v="7"/>
    <n v="7"/>
    <x v="3"/>
    <d v="2013-09-01T00:00:00"/>
    <m/>
    <s v="Dept.Head"/>
    <s v="WFH"/>
    <n v="5"/>
    <n v="3"/>
    <s v="No"/>
    <s v="Walk-in"/>
    <s v="Contract"/>
    <n v="1331"/>
    <n v="54"/>
    <n v="80"/>
    <n v="2"/>
    <n v="1"/>
    <n v="1"/>
    <n v="1"/>
    <n v="0"/>
    <s v="Ex-Employees"/>
    <s v="Yes"/>
  </r>
  <r>
    <x v="26"/>
    <s v="Travel_Rarely"/>
    <x v="0"/>
    <n v="3"/>
    <x v="0"/>
    <n v="3"/>
    <n v="2"/>
    <x v="1"/>
    <n v="2"/>
    <x v="0"/>
    <n v="4485"/>
    <n v="4"/>
    <s v="No"/>
    <n v="12"/>
    <n v="3"/>
    <n v="0"/>
    <n v="10"/>
    <n v="2"/>
    <n v="8"/>
    <n v="7"/>
    <n v="7"/>
    <x v="3"/>
    <s v="17-02-2013"/>
    <m/>
    <s v="Dept.Head"/>
    <s v="WFH"/>
    <n v="5"/>
    <n v="2"/>
    <s v="No"/>
    <s v="Recruiter"/>
    <s v="FullTime"/>
    <n v="1333"/>
    <n v="89"/>
    <n v="80"/>
    <n v="2"/>
    <n v="1"/>
    <n v="1"/>
    <n v="1"/>
    <n v="0"/>
    <s v="Ex-Employees"/>
    <s v="Yes"/>
  </r>
  <r>
    <x v="11"/>
    <s v="Travel_Rarely"/>
    <x v="1"/>
    <n v="4"/>
    <x v="0"/>
    <n v="2"/>
    <n v="2"/>
    <x v="4"/>
    <n v="4"/>
    <x v="0"/>
    <n v="5828"/>
    <n v="1"/>
    <s v="Yes"/>
    <n v="12"/>
    <n v="3"/>
    <n v="0"/>
    <n v="8"/>
    <n v="0"/>
    <n v="8"/>
    <n v="7"/>
    <n v="4"/>
    <x v="3"/>
    <s v="28-03-2013"/>
    <m/>
    <s v="Work Accident"/>
    <s v="WFH"/>
    <n v="3"/>
    <n v="3"/>
    <s v="Yes"/>
    <s v="Recruiter"/>
    <s v="Part Time"/>
    <n v="1334"/>
    <n v="37"/>
    <n v="80"/>
    <n v="8"/>
    <n v="0"/>
    <m/>
    <n v="0"/>
    <n v="1"/>
    <s v="Current Employees"/>
    <s v="No"/>
  </r>
  <r>
    <x v="6"/>
    <s v="Travel_Rarely"/>
    <x v="0"/>
    <n v="16"/>
    <x v="0"/>
    <n v="4"/>
    <n v="2"/>
    <x v="7"/>
    <n v="1"/>
    <x v="0"/>
    <n v="5661"/>
    <n v="0"/>
    <s v="No"/>
    <n v="19"/>
    <n v="3"/>
    <n v="0"/>
    <n v="9"/>
    <n v="2"/>
    <n v="8"/>
    <n v="0"/>
    <n v="7"/>
    <x v="3"/>
    <s v="25-06-2013"/>
    <m/>
    <s v="Better Opportunity"/>
    <s v="OFFICE"/>
    <n v="2"/>
    <n v="2"/>
    <s v="No"/>
    <s v="Job Event"/>
    <s v="Part Time"/>
    <n v="1336"/>
    <n v="58"/>
    <n v="80"/>
    <n v="9"/>
    <n v="0"/>
    <m/>
    <n v="0"/>
    <n v="1"/>
    <s v="Current Employees"/>
    <s v="No"/>
  </r>
  <r>
    <x v="28"/>
    <s v="Travel_Rarely"/>
    <x v="1"/>
    <n v="7"/>
    <x v="0"/>
    <n v="4"/>
    <n v="2"/>
    <x v="4"/>
    <n v="4"/>
    <x v="1"/>
    <n v="6929"/>
    <n v="4"/>
    <s v="No"/>
    <n v="11"/>
    <n v="3"/>
    <n v="1"/>
    <n v="10"/>
    <n v="3"/>
    <n v="8"/>
    <n v="7"/>
    <n v="7"/>
    <x v="1"/>
    <d v="2013-08-04T00:00:00"/>
    <m/>
    <s v="Work Accident"/>
    <s v="WFH"/>
    <n v="2"/>
    <n v="2"/>
    <s v="Yes"/>
    <s v="Walk-in"/>
    <s v="FullTime"/>
    <n v="1338"/>
    <n v="99"/>
    <n v="80"/>
    <n v="3"/>
    <n v="0"/>
    <m/>
    <n v="0"/>
    <n v="1"/>
    <s v="Current Employees"/>
    <s v="No"/>
  </r>
  <r>
    <x v="34"/>
    <s v="Travel_Frequently"/>
    <x v="0"/>
    <n v="10"/>
    <x v="1"/>
    <n v="3"/>
    <n v="1"/>
    <x v="0"/>
    <n v="4"/>
    <x v="0"/>
    <n v="2455"/>
    <n v="0"/>
    <s v="No"/>
    <n v="19"/>
    <n v="3"/>
    <n v="0"/>
    <n v="9"/>
    <n v="5"/>
    <n v="8"/>
    <n v="1"/>
    <n v="7"/>
    <x v="3"/>
    <s v="28-06-2013"/>
    <m/>
    <s v="Better Opportunity"/>
    <s v="WFH"/>
    <n v="0"/>
    <n v="1"/>
    <s v="No"/>
    <s v="Job Event"/>
    <s v="Part Time"/>
    <n v="1340"/>
    <n v="74"/>
    <n v="80"/>
    <n v="2"/>
    <n v="0"/>
    <m/>
    <n v="0"/>
    <n v="1"/>
    <s v="Current Employees"/>
    <s v="No"/>
  </r>
  <r>
    <x v="41"/>
    <s v="Travel_Rarely"/>
    <x v="0"/>
    <n v="8"/>
    <x v="0"/>
    <n v="2"/>
    <n v="2"/>
    <x v="1"/>
    <n v="2"/>
    <x v="1"/>
    <n v="4941"/>
    <n v="2"/>
    <s v="No"/>
    <n v="15"/>
    <n v="3"/>
    <n v="0"/>
    <n v="11"/>
    <n v="3"/>
    <n v="8"/>
    <n v="7"/>
    <n v="7"/>
    <x v="3"/>
    <s v="25-04-2013"/>
    <m/>
    <s v="Dept.Head"/>
    <s v="OFFICE"/>
    <n v="5"/>
    <n v="2"/>
    <s v="No"/>
    <s v="Job Event"/>
    <s v="Contract"/>
    <n v="1344"/>
    <n v="86"/>
    <n v="80"/>
    <n v="7"/>
    <n v="0"/>
    <m/>
    <n v="0"/>
    <n v="1"/>
    <s v="Current Employees"/>
    <s v="No"/>
  </r>
  <r>
    <x v="15"/>
    <s v="Travel_Rarely"/>
    <x v="1"/>
    <n v="8"/>
    <x v="1"/>
    <n v="3"/>
    <n v="2"/>
    <x v="4"/>
    <n v="2"/>
    <x v="1"/>
    <n v="6214"/>
    <n v="1"/>
    <s v="No"/>
    <n v="18"/>
    <n v="3"/>
    <n v="1"/>
    <n v="8"/>
    <n v="3"/>
    <n v="8"/>
    <n v="0"/>
    <n v="7"/>
    <x v="2"/>
    <d v="2013-04-04T00:00:00"/>
    <m/>
    <s v="Work Environment"/>
    <s v="OFFICE"/>
    <n v="5"/>
    <n v="2"/>
    <s v="Yes"/>
    <s v="Walk-in"/>
    <s v="Part Time"/>
    <n v="1346"/>
    <n v="98"/>
    <n v="80"/>
    <n v="8"/>
    <n v="0"/>
    <m/>
    <n v="0"/>
    <n v="1"/>
    <s v="Current Employees"/>
    <s v="No"/>
  </r>
  <r>
    <x v="21"/>
    <s v="Travel_Rarely"/>
    <x v="0"/>
    <n v="2"/>
    <x v="1"/>
    <n v="3"/>
    <n v="1"/>
    <x v="0"/>
    <n v="2"/>
    <x v="1"/>
    <n v="2370"/>
    <n v="1"/>
    <s v="No"/>
    <n v="13"/>
    <n v="3"/>
    <n v="1"/>
    <n v="8"/>
    <n v="4"/>
    <n v="8"/>
    <n v="0"/>
    <n v="7"/>
    <x v="2"/>
    <s v="25-03-2013"/>
    <m/>
    <s v="Work Environment"/>
    <s v="OFFICE"/>
    <n v="3"/>
    <n v="1"/>
    <s v="Yes"/>
    <s v="Job Portal"/>
    <s v="Part Time"/>
    <n v="1349"/>
    <n v="66"/>
    <n v="80"/>
    <n v="3"/>
    <n v="0"/>
    <m/>
    <n v="0"/>
    <n v="1"/>
    <s v="Current Employees"/>
    <s v="No"/>
  </r>
  <r>
    <x v="11"/>
    <s v="Travel_Rarely"/>
    <x v="1"/>
    <n v="1"/>
    <x v="0"/>
    <n v="3"/>
    <n v="2"/>
    <x v="4"/>
    <n v="3"/>
    <x v="1"/>
    <n v="5296"/>
    <n v="1"/>
    <s v="No"/>
    <n v="17"/>
    <n v="3"/>
    <n v="1"/>
    <n v="8"/>
    <n v="3"/>
    <n v="8"/>
    <n v="7"/>
    <n v="7"/>
    <x v="2"/>
    <s v="13-05-2013"/>
    <m/>
    <s v="Dept.Head"/>
    <s v="WFH"/>
    <n v="0"/>
    <n v="2"/>
    <s v="Yes"/>
    <s v="Walk-in"/>
    <s v="Contract"/>
    <n v="1350"/>
    <n v="87"/>
    <n v="80"/>
    <n v="6"/>
    <n v="0"/>
    <m/>
    <n v="0"/>
    <n v="1"/>
    <s v="Current Employees"/>
    <s v="No"/>
  </r>
  <r>
    <x v="33"/>
    <s v="Travel_Frequently"/>
    <x v="1"/>
    <n v="4"/>
    <x v="0"/>
    <n v="3"/>
    <n v="2"/>
    <x v="4"/>
    <n v="2"/>
    <x v="0"/>
    <n v="9355"/>
    <n v="1"/>
    <s v="No"/>
    <n v="18"/>
    <n v="3"/>
    <n v="0"/>
    <n v="8"/>
    <n v="5"/>
    <n v="8"/>
    <n v="7"/>
    <n v="7"/>
    <x v="2"/>
    <s v="26-03-2013"/>
    <m/>
    <s v="Work Accident"/>
    <s v="WFH"/>
    <n v="1"/>
    <n v="1"/>
    <s v="Yes"/>
    <s v="Job Event"/>
    <s v="Part Time"/>
    <n v="1352"/>
    <n v="84"/>
    <n v="80"/>
    <n v="9"/>
    <n v="0"/>
    <m/>
    <n v="0"/>
    <n v="1"/>
    <s v="Current Employees"/>
    <s v="No"/>
  </r>
  <r>
    <x v="27"/>
    <s v="Travel_Rarely"/>
    <x v="0"/>
    <n v="16"/>
    <x v="0"/>
    <n v="3"/>
    <n v="3"/>
    <x v="7"/>
    <n v="3"/>
    <x v="1"/>
    <n v="7632"/>
    <n v="4"/>
    <s v="Yes"/>
    <n v="12"/>
    <n v="3"/>
    <n v="0"/>
    <n v="10"/>
    <n v="2"/>
    <n v="8"/>
    <n v="0"/>
    <n v="0"/>
    <x v="0"/>
    <s v="13-03-2013"/>
    <m/>
    <s v="Salary"/>
    <s v="WFH"/>
    <n v="2"/>
    <n v="1"/>
    <s v="Yes"/>
    <s v="Walk-in"/>
    <s v="Part Time"/>
    <n v="1355"/>
    <n v="31"/>
    <n v="80"/>
    <n v="7"/>
    <n v="0"/>
    <m/>
    <n v="0"/>
    <n v="1"/>
    <s v="Current Employees"/>
    <s v="No"/>
  </r>
  <r>
    <x v="25"/>
    <s v="Travel_Frequently"/>
    <x v="0"/>
    <n v="8"/>
    <x v="1"/>
    <n v="3"/>
    <n v="1"/>
    <x v="0"/>
    <n v="3"/>
    <x v="1"/>
    <n v="3755"/>
    <n v="1"/>
    <s v="No"/>
    <n v="11"/>
    <n v="3"/>
    <n v="1"/>
    <n v="8"/>
    <n v="3"/>
    <n v="8"/>
    <n v="0"/>
    <n v="7"/>
    <x v="1"/>
    <s v="25-04-2013"/>
    <m/>
    <s v="Better Opportunity"/>
    <s v="OFFICE"/>
    <n v="1"/>
    <n v="3"/>
    <s v="Yes"/>
    <s v="Walk-in"/>
    <s v="FullTime"/>
    <n v="1356"/>
    <n v="66"/>
    <n v="80"/>
    <n v="8"/>
    <n v="0"/>
    <m/>
    <n v="0"/>
    <n v="1"/>
    <s v="Current Employees"/>
    <s v="No"/>
  </r>
  <r>
    <x v="2"/>
    <s v="Travel_Rarely"/>
    <x v="1"/>
    <n v="2"/>
    <x v="0"/>
    <n v="3"/>
    <n v="2"/>
    <x v="4"/>
    <n v="2"/>
    <x v="1"/>
    <n v="4805"/>
    <n v="0"/>
    <s v="No"/>
    <n v="19"/>
    <n v="3"/>
    <n v="1"/>
    <n v="9"/>
    <n v="3"/>
    <n v="8"/>
    <n v="3"/>
    <n v="7"/>
    <x v="1"/>
    <s v="20-01-2013"/>
    <m/>
    <s v="Work Environment"/>
    <s v="WFH"/>
    <n v="5"/>
    <n v="3"/>
    <s v="Yes"/>
    <s v="Job Event"/>
    <s v="FullTime"/>
    <n v="1358"/>
    <n v="67"/>
    <n v="80"/>
    <n v="2"/>
    <n v="0"/>
    <m/>
    <n v="0"/>
    <n v="1"/>
    <s v="Current Employees"/>
    <s v="No"/>
  </r>
  <r>
    <x v="33"/>
    <s v="Non-Travel"/>
    <x v="0"/>
    <n v="2"/>
    <x v="1"/>
    <n v="2"/>
    <n v="2"/>
    <x v="7"/>
    <n v="3"/>
    <x v="0"/>
    <n v="6811"/>
    <n v="2"/>
    <s v="Yes"/>
    <n v="17"/>
    <n v="3"/>
    <n v="0"/>
    <n v="10"/>
    <n v="3"/>
    <n v="8"/>
    <n v="0"/>
    <n v="7"/>
    <x v="0"/>
    <s v="13-02-2013"/>
    <m/>
    <s v="Work Environment"/>
    <s v="OFFICE"/>
    <n v="3"/>
    <n v="0"/>
    <s v="No"/>
    <s v="Job Event"/>
    <s v="FullTime"/>
    <n v="1360"/>
    <n v="53"/>
    <n v="80"/>
    <n v="9"/>
    <n v="1"/>
    <n v="1"/>
    <n v="1"/>
    <n v="0"/>
    <s v="Ex-Employees"/>
    <s v="Yes"/>
  </r>
  <r>
    <x v="34"/>
    <s v="Travel_Frequently"/>
    <x v="0"/>
    <n v="9"/>
    <x v="0"/>
    <n v="3"/>
    <n v="2"/>
    <x v="0"/>
    <n v="3"/>
    <x v="2"/>
    <n v="5679"/>
    <n v="3"/>
    <s v="Yes"/>
    <n v="13"/>
    <n v="3"/>
    <n v="1"/>
    <n v="10"/>
    <n v="3"/>
    <n v="8"/>
    <n v="4"/>
    <n v="7"/>
    <x v="2"/>
    <s v="24-02-2013"/>
    <m/>
    <s v="Salary"/>
    <s v="WFH"/>
    <n v="4"/>
    <n v="2"/>
    <s v="No"/>
    <s v="Job Portal"/>
    <s v="Part Time"/>
    <n v="1361"/>
    <n v="88"/>
    <n v="80"/>
    <n v="2"/>
    <n v="0"/>
    <m/>
    <n v="0"/>
    <n v="1"/>
    <s v="Current Employees"/>
    <s v="No"/>
  </r>
  <r>
    <x v="13"/>
    <s v="Travel_Rarely"/>
    <x v="1"/>
    <n v="14"/>
    <x v="1"/>
    <n v="3"/>
    <n v="1"/>
    <x v="3"/>
    <n v="3"/>
    <x v="2"/>
    <n v="2579"/>
    <n v="1"/>
    <s v="Yes"/>
    <n v="18"/>
    <n v="3"/>
    <n v="2"/>
    <n v="8"/>
    <n v="3"/>
    <n v="8"/>
    <n v="0"/>
    <n v="6"/>
    <x v="2"/>
    <s v="24-01-2013"/>
    <m/>
    <s v="Better Opportunity"/>
    <s v="WFH"/>
    <n v="3"/>
    <n v="0"/>
    <s v="Yes"/>
    <s v="Walk-in"/>
    <s v="Part Time"/>
    <n v="1362"/>
    <n v="83"/>
    <n v="80"/>
    <n v="7"/>
    <n v="0"/>
    <m/>
    <n v="0"/>
    <n v="1"/>
    <s v="Current Employees"/>
    <s v="No"/>
  </r>
  <r>
    <x v="13"/>
    <s v="Travel_Rarely"/>
    <x v="0"/>
    <n v="9"/>
    <x v="1"/>
    <n v="2"/>
    <n v="3"/>
    <x v="7"/>
    <n v="2"/>
    <x v="0"/>
    <n v="8621"/>
    <n v="1"/>
    <s v="No"/>
    <n v="14"/>
    <n v="3"/>
    <n v="0"/>
    <n v="9"/>
    <n v="3"/>
    <n v="8"/>
    <n v="7"/>
    <n v="7"/>
    <x v="0"/>
    <d v="2013-02-05T00:00:00"/>
    <m/>
    <s v="Work Environment"/>
    <s v="WFH"/>
    <n v="0"/>
    <n v="2"/>
    <s v="Yes"/>
    <s v="Recruiter"/>
    <s v="Contract"/>
    <n v="1363"/>
    <n v="54"/>
    <n v="80"/>
    <n v="9"/>
    <n v="0"/>
    <m/>
    <n v="0"/>
    <n v="1"/>
    <s v="Current Employees"/>
    <s v="No"/>
  </r>
  <r>
    <x v="26"/>
    <s v="Non-Travel"/>
    <x v="0"/>
    <n v="8"/>
    <x v="1"/>
    <n v="4"/>
    <n v="3"/>
    <x v="2"/>
    <n v="1"/>
    <x v="1"/>
    <n v="11713"/>
    <n v="9"/>
    <s v="No"/>
    <n v="14"/>
    <n v="3"/>
    <n v="1"/>
    <n v="10"/>
    <n v="2"/>
    <n v="8"/>
    <n v="0"/>
    <n v="5"/>
    <x v="0"/>
    <s v="17-03-2013"/>
    <m/>
    <s v="Dept.Head"/>
    <s v="OFFICE"/>
    <n v="1"/>
    <n v="0"/>
    <s v="Yes"/>
    <s v="Recruiter"/>
    <s v="Contract"/>
    <n v="1364"/>
    <n v="98"/>
    <n v="80"/>
    <n v="0"/>
    <n v="0"/>
    <m/>
    <n v="0"/>
    <n v="1"/>
    <s v="Current Employees"/>
    <s v="No"/>
  </r>
  <r>
    <x v="14"/>
    <s v="Travel_Rarely"/>
    <x v="1"/>
    <n v="27"/>
    <x v="0"/>
    <n v="3"/>
    <n v="2"/>
    <x v="4"/>
    <n v="4"/>
    <x v="2"/>
    <n v="5304"/>
    <n v="7"/>
    <s v="No"/>
    <n v="23"/>
    <n v="4"/>
    <n v="1"/>
    <n v="10"/>
    <n v="2"/>
    <n v="8"/>
    <n v="7"/>
    <n v="7"/>
    <x v="0"/>
    <s v="31-03-2013"/>
    <m/>
    <s v="Dept.Head"/>
    <s v="OFFICE"/>
    <n v="2"/>
    <n v="2"/>
    <s v="No"/>
    <s v="Job Portal"/>
    <s v="Contract"/>
    <n v="1367"/>
    <n v="82"/>
    <n v="80"/>
    <n v="2"/>
    <n v="0"/>
    <m/>
    <n v="0"/>
    <n v="1"/>
    <s v="Current Employees"/>
    <s v="No"/>
  </r>
  <r>
    <x v="25"/>
    <s v="Travel_Rarely"/>
    <x v="2"/>
    <n v="3"/>
    <x v="1"/>
    <n v="4"/>
    <n v="2"/>
    <x v="8"/>
    <n v="2"/>
    <x v="1"/>
    <n v="6389"/>
    <n v="9"/>
    <s v="No"/>
    <n v="15"/>
    <n v="3"/>
    <n v="1"/>
    <n v="12"/>
    <n v="3"/>
    <n v="8"/>
    <n v="3"/>
    <n v="6"/>
    <x v="0"/>
    <s v="17-05-2013"/>
    <m/>
    <s v="Salary"/>
    <s v="WFH"/>
    <n v="3"/>
    <n v="3"/>
    <s v="No"/>
    <s v="Recruiter"/>
    <s v="Contract"/>
    <n v="1368"/>
    <n v="97"/>
    <n v="80"/>
    <n v="0"/>
    <n v="0"/>
    <m/>
    <n v="0"/>
    <n v="1"/>
    <s v="Current Employees"/>
    <s v="No"/>
  </r>
  <r>
    <x v="2"/>
    <s v="Travel_Rarely"/>
    <x v="1"/>
    <n v="2"/>
    <x v="0"/>
    <n v="1"/>
    <n v="2"/>
    <x v="3"/>
    <n v="3"/>
    <x v="0"/>
    <n v="6632"/>
    <n v="0"/>
    <s v="No"/>
    <n v="13"/>
    <n v="3"/>
    <n v="0"/>
    <n v="9"/>
    <n v="3"/>
    <n v="8"/>
    <n v="3"/>
    <n v="1"/>
    <x v="3"/>
    <s v="23-02-2013"/>
    <m/>
    <s v="Salary"/>
    <s v="WFH"/>
    <n v="4"/>
    <n v="0"/>
    <s v="No"/>
    <s v="Walk-in"/>
    <s v="FullTime"/>
    <n v="1369"/>
    <n v="60"/>
    <n v="80"/>
    <n v="7"/>
    <n v="0"/>
    <m/>
    <n v="0"/>
    <n v="1"/>
    <s v="Current Employees"/>
    <s v="No"/>
  </r>
  <r>
    <x v="7"/>
    <s v="Travel_Rarely"/>
    <x v="0"/>
    <n v="27"/>
    <x v="1"/>
    <n v="3"/>
    <n v="2"/>
    <x v="7"/>
    <n v="3"/>
    <x v="1"/>
    <n v="4335"/>
    <n v="4"/>
    <s v="No"/>
    <n v="12"/>
    <n v="3"/>
    <n v="1"/>
    <n v="11"/>
    <n v="3"/>
    <n v="8"/>
    <n v="1"/>
    <n v="1"/>
    <x v="2"/>
    <s v="31-03-2013"/>
    <m/>
    <s v="Salary"/>
    <s v="WFH"/>
    <n v="5"/>
    <n v="1"/>
    <s v="No"/>
    <s v="Job Event"/>
    <s v="Part Time"/>
    <n v="1371"/>
    <n v="43"/>
    <n v="80"/>
    <n v="2"/>
    <n v="0"/>
    <m/>
    <n v="0"/>
    <n v="1"/>
    <s v="Current Employees"/>
    <s v="No"/>
  </r>
  <r>
    <x v="18"/>
    <s v="Travel_Frequently"/>
    <x v="0"/>
    <n v="2"/>
    <x v="1"/>
    <n v="4"/>
    <n v="2"/>
    <x v="7"/>
    <n v="2"/>
    <x v="1"/>
    <n v="4244"/>
    <n v="1"/>
    <s v="No"/>
    <n v="24"/>
    <n v="4"/>
    <n v="1"/>
    <n v="8"/>
    <n v="2"/>
    <n v="8"/>
    <n v="3"/>
    <n v="7"/>
    <x v="1"/>
    <s v="27-04-2013"/>
    <m/>
    <s v="Salary"/>
    <s v="WFH"/>
    <n v="5"/>
    <n v="1"/>
    <s v="Yes"/>
    <s v="Job Event"/>
    <s v="Part Time"/>
    <n v="1372"/>
    <n v="85"/>
    <n v="80"/>
    <n v="7"/>
    <n v="1"/>
    <n v="1"/>
    <n v="1"/>
    <n v="0"/>
    <s v="Ex-Employees"/>
    <s v="Yes"/>
  </r>
  <r>
    <x v="27"/>
    <s v="Travel_Rarely"/>
    <x v="0"/>
    <n v="7"/>
    <x v="0"/>
    <n v="3"/>
    <n v="3"/>
    <x v="6"/>
    <n v="3"/>
    <x v="0"/>
    <n v="10221"/>
    <n v="3"/>
    <s v="No"/>
    <n v="21"/>
    <n v="4"/>
    <n v="0"/>
    <n v="17"/>
    <n v="3"/>
    <n v="8"/>
    <n v="1"/>
    <n v="6"/>
    <x v="2"/>
    <s v="30-01-2013"/>
    <m/>
    <s v="Salary"/>
    <s v="WFH"/>
    <n v="1"/>
    <n v="1"/>
    <s v="No"/>
    <s v="Job Event"/>
    <s v="Part Time"/>
    <n v="1373"/>
    <n v="68"/>
    <n v="80"/>
    <n v="16"/>
    <n v="0"/>
    <m/>
    <n v="0"/>
    <n v="1"/>
    <s v="Current Employees"/>
    <s v="No"/>
  </r>
  <r>
    <x v="6"/>
    <s v="Travel_Rarely"/>
    <x v="1"/>
    <n v="2"/>
    <x v="1"/>
    <n v="3"/>
    <n v="2"/>
    <x v="4"/>
    <n v="2"/>
    <x v="1"/>
    <n v="4779"/>
    <n v="1"/>
    <s v="Yes"/>
    <n v="20"/>
    <n v="4"/>
    <n v="0"/>
    <n v="8"/>
    <n v="2"/>
    <n v="8"/>
    <n v="7"/>
    <n v="5"/>
    <x v="0"/>
    <s v="13-02-2013"/>
    <m/>
    <s v="Salary"/>
    <s v="OFFICE"/>
    <n v="0"/>
    <n v="1"/>
    <s v="No"/>
    <s v="Job Portal"/>
    <s v="Contract"/>
    <n v="1374"/>
    <n v="92"/>
    <n v="80"/>
    <n v="4"/>
    <n v="0"/>
    <m/>
    <n v="0"/>
    <n v="1"/>
    <s v="Current Employees"/>
    <s v="No"/>
  </r>
  <r>
    <x v="11"/>
    <s v="Travel_Frequently"/>
    <x v="0"/>
    <n v="5"/>
    <x v="1"/>
    <n v="2"/>
    <n v="1"/>
    <x v="1"/>
    <n v="3"/>
    <x v="1"/>
    <n v="2366"/>
    <n v="1"/>
    <s v="Yes"/>
    <n v="14"/>
    <n v="3"/>
    <n v="1"/>
    <n v="8"/>
    <n v="2"/>
    <n v="8"/>
    <n v="1"/>
    <n v="7"/>
    <x v="0"/>
    <s v="16-04-2013"/>
    <m/>
    <s v="Better Opportunity"/>
    <s v="OFFICE"/>
    <n v="5"/>
    <n v="0"/>
    <s v="Yes"/>
    <s v="Recruiter"/>
    <s v="Part Time"/>
    <n v="1375"/>
    <n v="89"/>
    <n v="80"/>
    <n v="11"/>
    <n v="0"/>
    <m/>
    <n v="0"/>
    <n v="1"/>
    <s v="Current Employees"/>
    <s v="No"/>
  </r>
  <r>
    <x v="17"/>
    <s v="Travel_Rarely"/>
    <x v="0"/>
    <n v="9"/>
    <x v="0"/>
    <n v="3"/>
    <n v="1"/>
    <x v="1"/>
    <n v="1"/>
    <x v="1"/>
    <n v="2559"/>
    <n v="1"/>
    <s v="Yes"/>
    <n v="13"/>
    <n v="3"/>
    <n v="0"/>
    <n v="8"/>
    <n v="0"/>
    <n v="8"/>
    <n v="7"/>
    <n v="1"/>
    <x v="2"/>
    <s v="26-04-2013"/>
    <m/>
    <s v="Work Environment"/>
    <s v="WFH"/>
    <n v="3"/>
    <n v="1"/>
    <s v="Yes"/>
    <s v="Recruiter"/>
    <s v="Part Time"/>
    <n v="1377"/>
    <n v="86"/>
    <n v="80"/>
    <n v="7"/>
    <n v="0"/>
    <m/>
    <n v="0"/>
    <n v="1"/>
    <s v="Current Employees"/>
    <s v="No"/>
  </r>
  <r>
    <x v="21"/>
    <s v="Travel_Rarely"/>
    <x v="0"/>
    <n v="3"/>
    <x v="1"/>
    <n v="3"/>
    <n v="2"/>
    <x v="6"/>
    <n v="1"/>
    <x v="1"/>
    <n v="6725"/>
    <n v="1"/>
    <s v="No"/>
    <n v="12"/>
    <n v="3"/>
    <n v="1"/>
    <n v="8"/>
    <n v="2"/>
    <n v="8"/>
    <n v="6"/>
    <n v="3"/>
    <x v="1"/>
    <s v="20-02-2013"/>
    <m/>
    <s v="Better Opportunity"/>
    <s v="WFH"/>
    <n v="3"/>
    <n v="0"/>
    <s v="Yes"/>
    <s v="Job Event"/>
    <s v="FullTime"/>
    <n v="1379"/>
    <n v="90"/>
    <n v="80"/>
    <n v="0"/>
    <n v="1"/>
    <n v="1"/>
    <n v="1"/>
    <n v="0"/>
    <s v="Ex-Employees"/>
    <s v="Yes"/>
  </r>
  <r>
    <x v="14"/>
    <s v="Travel_Rarely"/>
    <x v="1"/>
    <n v="8"/>
    <x v="0"/>
    <n v="3"/>
    <n v="3"/>
    <x v="4"/>
    <n v="3"/>
    <x v="2"/>
    <n v="7264"/>
    <n v="5"/>
    <s v="No"/>
    <n v="11"/>
    <n v="3"/>
    <n v="1"/>
    <n v="10"/>
    <n v="2"/>
    <n v="8"/>
    <n v="7"/>
    <n v="7"/>
    <x v="2"/>
    <s v="19-03-2013"/>
    <m/>
    <s v="Salary"/>
    <s v="WFH"/>
    <n v="5"/>
    <n v="2"/>
    <s v="Yes"/>
    <s v="Recruiter"/>
    <s v="Part Time"/>
    <n v="1380"/>
    <n v="67"/>
    <n v="80"/>
    <n v="2"/>
    <n v="1"/>
    <n v="1"/>
    <n v="1"/>
    <n v="0"/>
    <s v="Ex-Employees"/>
    <s v="Yes"/>
  </r>
  <r>
    <x v="25"/>
    <s v="Travel_Rarely"/>
    <x v="1"/>
    <n v="2"/>
    <x v="0"/>
    <n v="4"/>
    <n v="3"/>
    <x v="4"/>
    <n v="3"/>
    <x v="0"/>
    <n v="7880"/>
    <n v="0"/>
    <s v="No"/>
    <n v="18"/>
    <n v="3"/>
    <n v="0"/>
    <n v="9"/>
    <n v="3"/>
    <n v="8"/>
    <n v="0"/>
    <n v="7"/>
    <x v="3"/>
    <s v="17-02-2013"/>
    <m/>
    <s v="Dept.Head"/>
    <s v="OFFICE"/>
    <n v="1"/>
    <n v="1"/>
    <s v="Yes"/>
    <s v="Walk-in"/>
    <s v="FullTime"/>
    <n v="1382"/>
    <n v="57"/>
    <n v="80"/>
    <n v="2"/>
    <n v="0"/>
    <m/>
    <n v="0"/>
    <n v="1"/>
    <s v="Current Employees"/>
    <s v="No"/>
  </r>
  <r>
    <x v="35"/>
    <s v="Travel_Rarely"/>
    <x v="0"/>
    <n v="7"/>
    <x v="0"/>
    <n v="3"/>
    <n v="3"/>
    <x v="6"/>
    <n v="3"/>
    <x v="2"/>
    <n v="10845"/>
    <n v="6"/>
    <s v="No"/>
    <n v="13"/>
    <n v="3"/>
    <n v="1"/>
    <n v="13"/>
    <n v="3"/>
    <n v="8"/>
    <n v="0"/>
    <n v="7"/>
    <x v="1"/>
    <s v="26-04-2013"/>
    <m/>
    <s v="Work Accident"/>
    <s v="WFH"/>
    <n v="2"/>
    <n v="0"/>
    <s v="No"/>
    <s v="Job Event"/>
    <s v="Contract"/>
    <n v="1383"/>
    <n v="98"/>
    <n v="80"/>
    <n v="11"/>
    <n v="0"/>
    <m/>
    <n v="0"/>
    <n v="1"/>
    <s v="Current Employees"/>
    <s v="No"/>
  </r>
  <r>
    <x v="14"/>
    <s v="Travel_Rarely"/>
    <x v="0"/>
    <n v="8"/>
    <x v="1"/>
    <n v="4"/>
    <n v="3"/>
    <x v="2"/>
    <n v="1"/>
    <x v="1"/>
    <n v="11416"/>
    <n v="0"/>
    <s v="Yes"/>
    <n v="12"/>
    <n v="3"/>
    <n v="3"/>
    <n v="9"/>
    <n v="4"/>
    <n v="8"/>
    <n v="1"/>
    <n v="7"/>
    <x v="1"/>
    <s v="25-05-2013"/>
    <m/>
    <s v="Dept.Head"/>
    <s v="WFH"/>
    <n v="2"/>
    <n v="2"/>
    <s v="No"/>
    <s v="Walk-in"/>
    <s v="Part Time"/>
    <n v="1387"/>
    <n v="48"/>
    <n v="80"/>
    <n v="3"/>
    <n v="0"/>
    <m/>
    <n v="0"/>
    <n v="1"/>
    <s v="Current Employees"/>
    <s v="No"/>
  </r>
  <r>
    <x v="11"/>
    <s v="Travel_Rarely"/>
    <x v="0"/>
    <n v="2"/>
    <x v="0"/>
    <n v="4"/>
    <n v="2"/>
    <x v="6"/>
    <n v="4"/>
    <x v="1"/>
    <n v="5472"/>
    <n v="1"/>
    <s v="No"/>
    <n v="12"/>
    <n v="3"/>
    <n v="0"/>
    <n v="8"/>
    <n v="2"/>
    <n v="8"/>
    <n v="1"/>
    <n v="3"/>
    <x v="2"/>
    <s v="15-01-2013"/>
    <m/>
    <s v="Better Opportunity"/>
    <s v="WFH"/>
    <n v="5"/>
    <n v="0"/>
    <s v="No"/>
    <s v="Recruiter"/>
    <s v="FullTime"/>
    <n v="1389"/>
    <n v="98"/>
    <n v="80"/>
    <n v="2"/>
    <n v="1"/>
    <n v="1"/>
    <n v="1"/>
    <n v="0"/>
    <s v="Ex-Employees"/>
    <s v="Yes"/>
  </r>
  <r>
    <x v="29"/>
    <s v="Travel_Frequently"/>
    <x v="0"/>
    <n v="18"/>
    <x v="0"/>
    <n v="3"/>
    <n v="2"/>
    <x v="7"/>
    <n v="2"/>
    <x v="1"/>
    <n v="6385"/>
    <n v="3"/>
    <s v="Yes"/>
    <n v="14"/>
    <n v="3"/>
    <n v="2"/>
    <n v="17"/>
    <n v="3"/>
    <n v="8"/>
    <n v="6"/>
    <n v="7"/>
    <x v="0"/>
    <s v="16-03-2013"/>
    <m/>
    <s v="Better Opportunity"/>
    <s v="WFH"/>
    <n v="1"/>
    <n v="2"/>
    <s v="No"/>
    <s v="Job Event"/>
    <s v="FullTime"/>
    <n v="1390"/>
    <n v="44"/>
    <n v="80"/>
    <n v="4"/>
    <n v="0"/>
    <m/>
    <n v="0"/>
    <n v="1"/>
    <s v="Current Employees"/>
    <s v="No"/>
  </r>
  <r>
    <x v="21"/>
    <s v="Non-Travel"/>
    <x v="0"/>
    <n v="29"/>
    <x v="1"/>
    <n v="3"/>
    <n v="1"/>
    <x v="0"/>
    <n v="3"/>
    <x v="0"/>
    <n v="4025"/>
    <n v="9"/>
    <s v="No"/>
    <n v="12"/>
    <n v="3"/>
    <n v="0"/>
    <n v="10"/>
    <n v="2"/>
    <n v="8"/>
    <n v="7"/>
    <n v="7"/>
    <x v="2"/>
    <s v="21-01-2013"/>
    <m/>
    <s v="Dept.Head"/>
    <s v="WFH"/>
    <n v="2"/>
    <n v="3"/>
    <s v="No"/>
    <s v="Job Event"/>
    <s v="FullTime"/>
    <n v="1391"/>
    <n v="52"/>
    <n v="80"/>
    <n v="2"/>
    <n v="0"/>
    <m/>
    <n v="0"/>
    <n v="1"/>
    <s v="Current Employees"/>
    <s v="No"/>
  </r>
  <r>
    <x v="16"/>
    <s v="Travel_Rarely"/>
    <x v="0"/>
    <n v="2"/>
    <x v="0"/>
    <n v="3"/>
    <n v="5"/>
    <x v="2"/>
    <n v="3"/>
    <x v="1"/>
    <n v="19237"/>
    <n v="2"/>
    <s v="Yes"/>
    <n v="11"/>
    <n v="3"/>
    <n v="1"/>
    <n v="29"/>
    <n v="2"/>
    <n v="8"/>
    <n v="7"/>
    <n v="7"/>
    <x v="2"/>
    <d v="2013-12-05T00:00:00"/>
    <m/>
    <s v="Work Accident"/>
    <s v="OFFICE"/>
    <n v="4"/>
    <n v="1"/>
    <s v="No"/>
    <s v="Recruiter"/>
    <s v="FullTime"/>
    <n v="1392"/>
    <n v="75"/>
    <n v="80"/>
    <n v="2"/>
    <n v="0"/>
    <m/>
    <n v="0"/>
    <n v="1"/>
    <s v="Current Employees"/>
    <s v="No"/>
  </r>
  <r>
    <x v="6"/>
    <s v="Travel_Rarely"/>
    <x v="0"/>
    <n v="10"/>
    <x v="1"/>
    <n v="3"/>
    <n v="2"/>
    <x v="1"/>
    <n v="3"/>
    <x v="0"/>
    <n v="3660"/>
    <n v="3"/>
    <s v="No"/>
    <n v="13"/>
    <n v="3"/>
    <n v="0"/>
    <n v="10"/>
    <n v="4"/>
    <n v="8"/>
    <n v="1"/>
    <n v="7"/>
    <x v="1"/>
    <d v="2013-05-03T00:00:00"/>
    <m/>
    <s v="Better Opportunity"/>
    <s v="WFH"/>
    <n v="0"/>
    <n v="2"/>
    <s v="Yes"/>
    <s v="Recruiter"/>
    <s v="Part Time"/>
    <n v="1394"/>
    <n v="54"/>
    <n v="80"/>
    <n v="4"/>
    <n v="0"/>
    <m/>
    <n v="0"/>
    <n v="1"/>
    <s v="Current Employees"/>
    <s v="No"/>
  </r>
  <r>
    <x v="27"/>
    <s v="Travel_Rarely"/>
    <x v="1"/>
    <n v="4"/>
    <x v="0"/>
    <n v="3"/>
    <n v="3"/>
    <x v="4"/>
    <n v="1"/>
    <x v="0"/>
    <n v="9582"/>
    <n v="0"/>
    <s v="Yes"/>
    <n v="22"/>
    <n v="4"/>
    <n v="0"/>
    <n v="9"/>
    <n v="2"/>
    <n v="8"/>
    <n v="4"/>
    <n v="7"/>
    <x v="1"/>
    <s v="16-05-2013"/>
    <m/>
    <s v="Dept.Head"/>
    <s v="WFH"/>
    <n v="5"/>
    <n v="0"/>
    <s v="Yes"/>
    <s v="Job Event"/>
    <s v="Contract"/>
    <n v="1395"/>
    <n v="61"/>
    <n v="80"/>
    <n v="4"/>
    <n v="0"/>
    <m/>
    <n v="0"/>
    <n v="1"/>
    <s v="Current Employees"/>
    <s v="No"/>
  </r>
  <r>
    <x v="41"/>
    <s v="Travel_Rarely"/>
    <x v="0"/>
    <n v="7"/>
    <x v="0"/>
    <n v="3"/>
    <n v="3"/>
    <x v="7"/>
    <n v="2"/>
    <x v="0"/>
    <n v="10445"/>
    <n v="7"/>
    <s v="No"/>
    <n v="19"/>
    <n v="3"/>
    <n v="0"/>
    <n v="18"/>
    <n v="4"/>
    <n v="8"/>
    <n v="4"/>
    <n v="0"/>
    <x v="1"/>
    <d v="2013-02-03T00:00:00"/>
    <m/>
    <s v="Salary"/>
    <s v="OFFICE"/>
    <n v="0"/>
    <n v="3"/>
    <s v="Yes"/>
    <s v="Walk-in"/>
    <s v="FullTime"/>
    <n v="1396"/>
    <n v="36"/>
    <n v="80"/>
    <n v="2"/>
    <n v="0"/>
    <m/>
    <n v="0"/>
    <n v="1"/>
    <s v="Current Employees"/>
    <s v="No"/>
  </r>
  <r>
    <x v="12"/>
    <s v="Travel_Rarely"/>
    <x v="1"/>
    <n v="10"/>
    <x v="0"/>
    <n v="2"/>
    <n v="3"/>
    <x v="4"/>
    <n v="3"/>
    <x v="2"/>
    <n v="8740"/>
    <n v="0"/>
    <s v="Yes"/>
    <n v="14"/>
    <n v="3"/>
    <n v="2"/>
    <n v="9"/>
    <n v="2"/>
    <n v="8"/>
    <n v="2"/>
    <n v="7"/>
    <x v="1"/>
    <d v="2013-01-02T00:00:00"/>
    <m/>
    <s v="Work Environment"/>
    <s v="WFH"/>
    <n v="4"/>
    <n v="2"/>
    <s v="No"/>
    <s v="Job Event"/>
    <s v="Part Time"/>
    <n v="1397"/>
    <n v="71"/>
    <n v="80"/>
    <n v="4"/>
    <n v="0"/>
    <m/>
    <n v="0"/>
    <n v="1"/>
    <s v="Current Employees"/>
    <s v="No"/>
  </r>
  <r>
    <x v="34"/>
    <s v="Travel_Frequently"/>
    <x v="0"/>
    <n v="27"/>
    <x v="1"/>
    <n v="3"/>
    <n v="3"/>
    <x v="6"/>
    <n v="1"/>
    <x v="1"/>
    <n v="10820"/>
    <n v="8"/>
    <s v="No"/>
    <n v="11"/>
    <n v="3"/>
    <n v="1"/>
    <n v="18"/>
    <n v="1"/>
    <n v="8"/>
    <n v="0"/>
    <n v="1"/>
    <x v="3"/>
    <s v="23-05-2013"/>
    <m/>
    <s v="Salary"/>
    <s v="OFFICE"/>
    <n v="1"/>
    <n v="1"/>
    <s v="Yes"/>
    <s v="Walk-in"/>
    <s v="FullTime"/>
    <n v="1399"/>
    <n v="93"/>
    <n v="80"/>
    <n v="2"/>
    <n v="0"/>
    <m/>
    <n v="0"/>
    <n v="1"/>
    <s v="Current Employees"/>
    <s v="No"/>
  </r>
  <r>
    <x v="27"/>
    <s v="Travel_Rarely"/>
    <x v="0"/>
    <n v="1"/>
    <x v="0"/>
    <n v="2"/>
    <n v="1"/>
    <x v="0"/>
    <n v="3"/>
    <x v="1"/>
    <n v="2258"/>
    <n v="6"/>
    <s v="No"/>
    <n v="12"/>
    <n v="3"/>
    <n v="1"/>
    <n v="10"/>
    <n v="2"/>
    <n v="8"/>
    <n v="1"/>
    <n v="7"/>
    <x v="1"/>
    <s v="20-04-2013"/>
    <m/>
    <s v="Work Accident"/>
    <s v="WFH"/>
    <n v="0"/>
    <n v="3"/>
    <s v="Yes"/>
    <s v="Walk-in"/>
    <s v="Contract"/>
    <n v="1401"/>
    <n v="59"/>
    <n v="80"/>
    <n v="3"/>
    <n v="0"/>
    <m/>
    <n v="0"/>
    <n v="1"/>
    <s v="Current Employees"/>
    <s v="No"/>
  </r>
  <r>
    <x v="11"/>
    <s v="Travel_Rarely"/>
    <x v="0"/>
    <n v="3"/>
    <x v="0"/>
    <n v="4"/>
    <n v="1"/>
    <x v="0"/>
    <n v="4"/>
    <x v="1"/>
    <n v="4420"/>
    <n v="1"/>
    <s v="No"/>
    <n v="22"/>
    <n v="4"/>
    <n v="1"/>
    <n v="8"/>
    <n v="2"/>
    <n v="8"/>
    <n v="0"/>
    <n v="7"/>
    <x v="2"/>
    <s v="15-01-2013"/>
    <m/>
    <s v="Work Environment"/>
    <s v="OFFICE"/>
    <n v="0"/>
    <n v="0"/>
    <s v="Yes"/>
    <s v="Recruiter"/>
    <s v="Contract"/>
    <n v="1402"/>
    <n v="73"/>
    <n v="80"/>
    <n v="7"/>
    <n v="0"/>
    <m/>
    <n v="0"/>
    <n v="1"/>
    <s v="Current Employees"/>
    <s v="No"/>
  </r>
  <r>
    <x v="21"/>
    <s v="Travel_Frequently"/>
    <x v="0"/>
    <n v="2"/>
    <x v="1"/>
    <n v="3"/>
    <n v="2"/>
    <x v="1"/>
    <n v="3"/>
    <x v="0"/>
    <n v="4998"/>
    <n v="4"/>
    <s v="Yes"/>
    <n v="14"/>
    <n v="3"/>
    <n v="0"/>
    <n v="10"/>
    <n v="2"/>
    <n v="8"/>
    <n v="0"/>
    <n v="7"/>
    <x v="1"/>
    <d v="2013-09-05T00:00:00"/>
    <m/>
    <s v="Salary"/>
    <s v="OFFICE"/>
    <n v="1"/>
    <n v="3"/>
    <s v="Yes"/>
    <s v="Recruiter"/>
    <s v="Contract"/>
    <n v="1403"/>
    <n v="98"/>
    <n v="80"/>
    <n v="2"/>
    <n v="0"/>
    <m/>
    <n v="0"/>
    <n v="1"/>
    <s v="Current Employees"/>
    <s v="No"/>
  </r>
  <r>
    <x v="34"/>
    <s v="Travel_Rarely"/>
    <x v="0"/>
    <n v="3"/>
    <x v="0"/>
    <n v="1"/>
    <n v="5"/>
    <x v="2"/>
    <n v="4"/>
    <x v="1"/>
    <n v="19740"/>
    <n v="3"/>
    <s v="No"/>
    <n v="14"/>
    <n v="3"/>
    <n v="1"/>
    <n v="25"/>
    <n v="2"/>
    <n v="8"/>
    <n v="0"/>
    <n v="7"/>
    <x v="1"/>
    <d v="2013-10-03T00:00:00"/>
    <m/>
    <s v="Better Opportunity"/>
    <s v="OFFICE"/>
    <n v="2"/>
    <n v="0"/>
    <s v="Yes"/>
    <s v="Recruiter"/>
    <s v="Part Time"/>
    <n v="1405"/>
    <n v="51"/>
    <n v="80"/>
    <n v="2"/>
    <n v="1"/>
    <n v="1"/>
    <n v="1"/>
    <n v="0"/>
    <s v="Ex-Employees"/>
    <s v="Yes"/>
  </r>
  <r>
    <x v="11"/>
    <s v="Travel_Rarely"/>
    <x v="0"/>
    <n v="4"/>
    <x v="0"/>
    <n v="3"/>
    <n v="1"/>
    <x v="1"/>
    <n v="4"/>
    <x v="0"/>
    <n v="2875"/>
    <n v="1"/>
    <s v="Yes"/>
    <n v="20"/>
    <n v="4"/>
    <n v="0"/>
    <n v="8"/>
    <n v="2"/>
    <n v="8"/>
    <n v="2"/>
    <n v="2"/>
    <x v="0"/>
    <s v="15-06-2013"/>
    <m/>
    <s v="Better Opportunity"/>
    <s v="WFH"/>
    <n v="0"/>
    <n v="3"/>
    <s v="Yes"/>
    <s v="Recruiter"/>
    <s v="Contract"/>
    <n v="1407"/>
    <n v="36"/>
    <n v="80"/>
    <n v="3"/>
    <n v="0"/>
    <m/>
    <n v="0"/>
    <n v="1"/>
    <s v="Current Employees"/>
    <s v="No"/>
  </r>
  <r>
    <x v="14"/>
    <s v="Non-Travel"/>
    <x v="0"/>
    <n v="9"/>
    <x v="1"/>
    <n v="3"/>
    <n v="2"/>
    <x v="6"/>
    <n v="3"/>
    <x v="0"/>
    <n v="4695"/>
    <n v="7"/>
    <s v="Yes"/>
    <n v="18"/>
    <n v="3"/>
    <n v="0"/>
    <n v="10"/>
    <n v="3"/>
    <n v="8"/>
    <n v="1"/>
    <n v="7"/>
    <x v="2"/>
    <d v="2013-09-05T00:00:00"/>
    <m/>
    <s v="Work Accident"/>
    <s v="OFFICE"/>
    <n v="4"/>
    <n v="1"/>
    <s v="No"/>
    <s v="Job Event"/>
    <s v="FullTime"/>
    <n v="1408"/>
    <n v="31"/>
    <n v="80"/>
    <n v="7"/>
    <n v="0"/>
    <m/>
    <n v="0"/>
    <n v="1"/>
    <s v="Current Employees"/>
    <s v="No"/>
  </r>
  <r>
    <x v="41"/>
    <s v="Travel_Rarely"/>
    <x v="1"/>
    <n v="5"/>
    <x v="0"/>
    <n v="3"/>
    <n v="3"/>
    <x v="4"/>
    <n v="2"/>
    <x v="0"/>
    <n v="8446"/>
    <n v="9"/>
    <s v="Yes"/>
    <n v="19"/>
    <n v="3"/>
    <n v="0"/>
    <n v="10"/>
    <n v="2"/>
    <n v="8"/>
    <n v="7"/>
    <n v="7"/>
    <x v="2"/>
    <s v="13-02-2013"/>
    <m/>
    <s v="Salary"/>
    <s v="OFFICE"/>
    <n v="4"/>
    <n v="0"/>
    <s v="Yes"/>
    <s v="Job Event"/>
    <s v="FullTime"/>
    <n v="1955"/>
    <n v="34"/>
    <n v="80"/>
    <n v="1"/>
    <n v="0"/>
    <m/>
    <n v="0"/>
    <n v="1"/>
    <s v="Current Employees"/>
    <s v="No"/>
  </r>
  <r>
    <x v="25"/>
    <s v="Travel_Rarely"/>
    <x v="0"/>
    <n v="18"/>
    <x v="0"/>
    <n v="3"/>
    <n v="2"/>
    <x v="6"/>
    <n v="3"/>
    <x v="0"/>
    <n v="4534"/>
    <n v="0"/>
    <s v="No"/>
    <n v="11"/>
    <n v="3"/>
    <n v="0"/>
    <n v="9"/>
    <n v="6"/>
    <n v="8"/>
    <n v="1"/>
    <n v="7"/>
    <x v="0"/>
    <d v="2013-03-01T00:00:00"/>
    <m/>
    <s v="Dept.Head"/>
    <s v="OFFICE"/>
    <n v="3"/>
    <n v="0"/>
    <s v="Yes"/>
    <s v="Job Event"/>
    <s v="Contract"/>
    <n v="1662"/>
    <n v="33"/>
    <n v="80"/>
    <n v="2"/>
    <n v="0"/>
    <m/>
    <n v="0"/>
    <n v="1"/>
    <s v="Current Employees"/>
    <s v="No"/>
  </r>
  <r>
    <x v="13"/>
    <s v="Travel_Rarely"/>
    <x v="0"/>
    <n v="29"/>
    <x v="0"/>
    <n v="3"/>
    <n v="2"/>
    <x v="0"/>
    <n v="3"/>
    <x v="1"/>
    <n v="5429"/>
    <n v="4"/>
    <s v="No"/>
    <n v="13"/>
    <n v="3"/>
    <n v="2"/>
    <n v="10"/>
    <n v="1"/>
    <n v="8"/>
    <n v="7"/>
    <n v="7"/>
    <x v="0"/>
    <d v="2013-01-05T00:00:00"/>
    <m/>
    <s v="Better Opportunity"/>
    <s v="OFFICE"/>
    <n v="3"/>
    <n v="1"/>
    <s v="No"/>
    <s v="Recruiter"/>
    <s v="FullTime"/>
    <n v="1630"/>
    <n v="52"/>
    <n v="80"/>
    <n v="11"/>
    <n v="0"/>
    <m/>
    <n v="0"/>
    <n v="1"/>
    <s v="Current Employees"/>
    <s v="No"/>
  </r>
  <r>
    <x v="15"/>
    <s v="Travel_Rarely"/>
    <x v="0"/>
    <n v="17"/>
    <x v="1"/>
    <n v="3"/>
    <n v="1"/>
    <x v="1"/>
    <n v="3"/>
    <x v="0"/>
    <n v="2394"/>
    <n v="1"/>
    <s v="Yes"/>
    <n v="13"/>
    <n v="3"/>
    <n v="0"/>
    <n v="8"/>
    <n v="2"/>
    <n v="8"/>
    <n v="7"/>
    <n v="7"/>
    <x v="3"/>
    <d v="2013-04-02T00:00:00"/>
    <m/>
    <s v="Better Opportunity"/>
    <s v="WFH"/>
    <n v="1"/>
    <n v="0"/>
    <s v="Yes"/>
    <s v="Walk-in"/>
    <s v="Contract"/>
    <n v="2000"/>
    <n v="98"/>
    <n v="80"/>
    <n v="8"/>
    <n v="0"/>
    <m/>
    <n v="0"/>
    <n v="1"/>
    <s v="Current Employees"/>
    <s v="No"/>
  </r>
  <r>
    <x v="7"/>
    <s v="Travel_Frequently"/>
    <x v="0"/>
    <n v="14"/>
    <x v="1"/>
    <n v="3"/>
    <n v="3"/>
    <x v="7"/>
    <n v="4"/>
    <x v="0"/>
    <n v="7553"/>
    <n v="0"/>
    <s v="Yes"/>
    <n v="12"/>
    <n v="3"/>
    <n v="0"/>
    <n v="9"/>
    <n v="1"/>
    <n v="8"/>
    <n v="7"/>
    <n v="7"/>
    <x v="1"/>
    <s v="24-01-2013"/>
    <m/>
    <s v="Work Accident"/>
    <s v="WFH"/>
    <n v="1"/>
    <n v="2"/>
    <s v="Yes"/>
    <s v="Walk-in"/>
    <s v="FullTime"/>
    <n v="1839"/>
    <n v="33"/>
    <n v="80"/>
    <n v="0"/>
    <n v="0"/>
    <m/>
    <n v="0"/>
    <n v="1"/>
    <s v="Current Employees"/>
    <s v="No"/>
  </r>
  <r>
    <x v="18"/>
    <s v="Non-Travel"/>
    <x v="0"/>
    <n v="9"/>
    <x v="0"/>
    <n v="3"/>
    <n v="2"/>
    <x v="0"/>
    <n v="3"/>
    <x v="2"/>
    <n v="3975"/>
    <n v="3"/>
    <s v="No"/>
    <n v="11"/>
    <n v="3"/>
    <n v="2"/>
    <n v="11"/>
    <n v="2"/>
    <n v="8"/>
    <n v="0"/>
    <n v="7"/>
    <x v="2"/>
    <d v="2013-07-04T00:00:00"/>
    <m/>
    <s v="Work Accident"/>
    <s v="OFFICE"/>
    <n v="4"/>
    <n v="3"/>
    <s v="Yes"/>
    <s v="Walk-in"/>
    <s v="FullTime"/>
    <n v="1929"/>
    <n v="32"/>
    <n v="80"/>
    <n v="2"/>
    <n v="0"/>
    <m/>
    <n v="0"/>
    <n v="1"/>
    <s v="Current Employees"/>
    <s v="No"/>
  </r>
  <r>
    <x v="39"/>
    <s v="Travel_Rarely"/>
    <x v="0"/>
    <n v="7"/>
    <x v="0"/>
    <n v="3"/>
    <n v="3"/>
    <x v="7"/>
    <n v="2"/>
    <x v="2"/>
    <n v="10466"/>
    <n v="3"/>
    <s v="No"/>
    <n v="14"/>
    <n v="3"/>
    <n v="2"/>
    <n v="29"/>
    <n v="3"/>
    <n v="8"/>
    <n v="0"/>
    <n v="7"/>
    <x v="2"/>
    <d v="2013-12-03T00:00:00"/>
    <m/>
    <s v="Work Accident"/>
    <s v="OFFICE"/>
    <n v="4"/>
    <n v="0"/>
    <s v="Yes"/>
    <s v="Recruiter"/>
    <s v="Contract"/>
    <n v="1495"/>
    <n v="78"/>
    <n v="80"/>
    <n v="0"/>
    <n v="0"/>
    <m/>
    <n v="0"/>
    <n v="1"/>
    <s v="Current Employees"/>
    <s v="No"/>
  </r>
  <r>
    <x v="6"/>
    <s v="Travel_Rarely"/>
    <x v="0"/>
    <n v="29"/>
    <x v="0"/>
    <n v="1"/>
    <n v="2"/>
    <x v="6"/>
    <n v="2"/>
    <x v="1"/>
    <n v="6549"/>
    <n v="1"/>
    <s v="No"/>
    <n v="14"/>
    <n v="3"/>
    <n v="2"/>
    <n v="8"/>
    <n v="2"/>
    <n v="8"/>
    <n v="1"/>
    <n v="7"/>
    <x v="2"/>
    <d v="2013-12-06T00:00:00"/>
    <m/>
    <s v="Salary"/>
    <s v="OFFICE"/>
    <n v="3"/>
    <n v="2"/>
    <s v="Yes"/>
    <s v="Job Event"/>
    <s v="FullTime"/>
    <n v="1756"/>
    <n v="62"/>
    <n v="80"/>
    <n v="7"/>
    <n v="0"/>
    <m/>
    <n v="0"/>
    <n v="1"/>
    <s v="Current Employees"/>
    <s v="No"/>
  </r>
  <r>
    <x v="18"/>
    <s v="Travel_Rarely"/>
    <x v="1"/>
    <n v="9"/>
    <x v="0"/>
    <n v="3"/>
    <n v="2"/>
    <x v="4"/>
    <n v="1"/>
    <x v="1"/>
    <n v="5473"/>
    <n v="0"/>
    <s v="No"/>
    <n v="12"/>
    <n v="3"/>
    <n v="0"/>
    <n v="9"/>
    <n v="5"/>
    <n v="8"/>
    <n v="7"/>
    <n v="1"/>
    <x v="1"/>
    <s v="13-06-2013"/>
    <m/>
    <s v="Dept.Head"/>
    <s v="WFH"/>
    <n v="4"/>
    <n v="0"/>
    <s v="Yes"/>
    <s v="Job Event"/>
    <s v="Part Time"/>
    <n v="1900"/>
    <n v="58"/>
    <n v="80"/>
    <n v="17"/>
    <n v="0"/>
    <m/>
    <n v="0"/>
    <n v="1"/>
    <s v="Current Employees"/>
    <s v="No"/>
  </r>
  <r>
    <x v="10"/>
    <s v="Travel_Rarely"/>
    <x v="1"/>
    <n v="16"/>
    <x v="1"/>
    <n v="3"/>
    <n v="2"/>
    <x v="4"/>
    <n v="3"/>
    <x v="2"/>
    <n v="6439"/>
    <n v="8"/>
    <s v="No"/>
    <n v="14"/>
    <n v="3"/>
    <n v="1"/>
    <n v="18"/>
    <n v="2"/>
    <n v="8"/>
    <n v="7"/>
    <n v="7"/>
    <x v="2"/>
    <s v="25-05-2013"/>
    <m/>
    <s v="Work Environment"/>
    <s v="OFFICE"/>
    <n v="5"/>
    <n v="1"/>
    <s v="No"/>
    <s v="Job Portal"/>
    <s v="Part Time"/>
    <n v="2025"/>
    <n v="97"/>
    <n v="80"/>
    <n v="2"/>
    <n v="0"/>
    <m/>
    <n v="0"/>
    <n v="1"/>
    <s v="Current Employees"/>
    <s v="No"/>
  </r>
  <r>
    <x v="10"/>
    <s v="Travel_Rarely"/>
    <x v="0"/>
    <n v="15"/>
    <x v="1"/>
    <n v="3"/>
    <n v="1"/>
    <x v="1"/>
    <n v="1"/>
    <x v="1"/>
    <n v="2367"/>
    <n v="8"/>
    <s v="No"/>
    <n v="12"/>
    <n v="3"/>
    <n v="1"/>
    <n v="10"/>
    <n v="3"/>
    <n v="8"/>
    <n v="7"/>
    <n v="6"/>
    <x v="3"/>
    <s v="16-02-2013"/>
    <m/>
    <s v="Salary"/>
    <s v="OFFICE"/>
    <n v="0"/>
    <n v="1"/>
    <s v="Yes"/>
    <s v="Recruiter"/>
    <s v="Part Time"/>
    <n v="1760"/>
    <n v="75"/>
    <n v="80"/>
    <n v="1"/>
    <n v="0"/>
    <m/>
    <n v="0"/>
    <n v="1"/>
    <s v="Current Employees"/>
    <s v="No"/>
  </r>
  <r>
    <x v="13"/>
    <s v="Travel_Frequently"/>
    <x v="0"/>
    <n v="10"/>
    <x v="0"/>
    <n v="2"/>
    <n v="2"/>
    <x v="7"/>
    <n v="3"/>
    <x v="1"/>
    <n v="5063"/>
    <n v="1"/>
    <s v="No"/>
    <n v="14"/>
    <n v="3"/>
    <n v="1"/>
    <n v="8"/>
    <n v="3"/>
    <n v="8"/>
    <n v="7"/>
    <n v="7"/>
    <x v="1"/>
    <d v="2013-03-02T00:00:00"/>
    <m/>
    <s v="Work Accident"/>
    <s v="OFFICE"/>
    <n v="5"/>
    <n v="0"/>
    <s v="No"/>
    <s v="Recruiter"/>
    <s v="FullTime"/>
    <n v="1870"/>
    <n v="77"/>
    <n v="80"/>
    <n v="6"/>
    <n v="0"/>
    <m/>
    <n v="0"/>
    <n v="1"/>
    <s v="Current Employees"/>
    <s v="No"/>
  </r>
  <r>
    <x v="0"/>
    <s v="Travel_Rarely"/>
    <x v="0"/>
    <n v="10"/>
    <x v="1"/>
    <n v="3"/>
    <n v="1"/>
    <x v="1"/>
    <n v="2"/>
    <x v="1"/>
    <n v="3936"/>
    <n v="1"/>
    <s v="No"/>
    <n v="11"/>
    <n v="3"/>
    <n v="1"/>
    <n v="8"/>
    <n v="2"/>
    <n v="8"/>
    <n v="7"/>
    <n v="7"/>
    <x v="1"/>
    <s v="30-03-2013"/>
    <m/>
    <s v="Work Environment"/>
    <s v="WFH"/>
    <n v="1"/>
    <n v="1"/>
    <s v="No"/>
    <s v="Walk-in"/>
    <s v="FullTime"/>
    <n v="1985"/>
    <n v="73"/>
    <n v="80"/>
    <n v="9"/>
    <n v="0"/>
    <m/>
    <n v="0"/>
    <n v="1"/>
    <s v="Current Employees"/>
    <s v="No"/>
  </r>
  <r>
    <x v="39"/>
    <s v="Travel_Rarely"/>
    <x v="0"/>
    <n v="1"/>
    <x v="0"/>
    <n v="3"/>
    <n v="4"/>
    <x v="5"/>
    <n v="3"/>
    <x v="0"/>
    <n v="15379"/>
    <n v="4"/>
    <s v="No"/>
    <n v="14"/>
    <n v="3"/>
    <n v="0"/>
    <n v="23"/>
    <n v="2"/>
    <n v="8"/>
    <n v="0"/>
    <n v="0"/>
    <x v="2"/>
    <d v="2013-12-06T00:00:00"/>
    <m/>
    <s v="Dept.Head"/>
    <s v="OFFICE"/>
    <n v="3"/>
    <n v="0"/>
    <s v="Yes"/>
    <s v="Recruiter"/>
    <s v="Contract"/>
    <n v="1513"/>
    <n v="97"/>
    <n v="80"/>
    <n v="2"/>
    <n v="0"/>
    <m/>
    <n v="0"/>
    <n v="1"/>
    <s v="Current Employees"/>
    <s v="No"/>
  </r>
  <r>
    <x v="17"/>
    <s v="Travel_Rarely"/>
    <x v="0"/>
    <n v="2"/>
    <x v="1"/>
    <n v="4"/>
    <n v="3"/>
    <x v="7"/>
    <n v="4"/>
    <x v="1"/>
    <n v="7879"/>
    <n v="1"/>
    <s v="Yes"/>
    <n v="19"/>
    <n v="3"/>
    <n v="1"/>
    <n v="9"/>
    <n v="2"/>
    <n v="8"/>
    <n v="6"/>
    <n v="7"/>
    <x v="0"/>
    <s v="25-03-2013"/>
    <m/>
    <s v="Better Opportunity"/>
    <s v="WFH"/>
    <n v="3"/>
    <n v="3"/>
    <s v="No"/>
    <s v="Job Event"/>
    <s v="Part Time"/>
    <n v="1633"/>
    <n v="81"/>
    <n v="80"/>
    <n v="2"/>
    <n v="0"/>
    <m/>
    <n v="0"/>
    <n v="1"/>
    <s v="Current Employees"/>
    <s v="No"/>
  </r>
  <r>
    <x v="2"/>
    <s v="Non-Travel"/>
    <x v="1"/>
    <n v="2"/>
    <x v="1"/>
    <n v="3"/>
    <n v="2"/>
    <x v="4"/>
    <n v="3"/>
    <x v="1"/>
    <n v="5154"/>
    <n v="4"/>
    <s v="No"/>
    <n v="22"/>
    <n v="4"/>
    <n v="2"/>
    <n v="10"/>
    <n v="3"/>
    <n v="8"/>
    <n v="5"/>
    <n v="7"/>
    <x v="1"/>
    <s v="18-02-2013"/>
    <m/>
    <s v="Salary"/>
    <s v="OFFICE"/>
    <n v="4"/>
    <n v="2"/>
    <s v="Yes"/>
    <s v="Job Portal"/>
    <s v="Part Time"/>
    <n v="1480"/>
    <n v="74"/>
    <n v="80"/>
    <n v="9"/>
    <n v="0"/>
    <m/>
    <n v="0"/>
    <n v="1"/>
    <s v="Current Employees"/>
    <s v="No"/>
  </r>
  <r>
    <x v="35"/>
    <s v="Travel_Rarely"/>
    <x v="1"/>
    <n v="10"/>
    <x v="1"/>
    <n v="3"/>
    <n v="3"/>
    <x v="4"/>
    <n v="2"/>
    <x v="1"/>
    <n v="7314"/>
    <n v="5"/>
    <s v="No"/>
    <n v="21"/>
    <n v="4"/>
    <n v="3"/>
    <n v="14"/>
    <n v="2"/>
    <n v="8"/>
    <n v="0"/>
    <n v="7"/>
    <x v="1"/>
    <s v="22-06-2013"/>
    <m/>
    <s v="Salary"/>
    <s v="OFFICE"/>
    <n v="5"/>
    <n v="0"/>
    <s v="Yes"/>
    <s v="Walk-in"/>
    <s v="Part Time"/>
    <n v="1745"/>
    <n v="78"/>
    <n v="80"/>
    <n v="7"/>
    <n v="0"/>
    <m/>
    <n v="0"/>
    <n v="1"/>
    <s v="Current Employees"/>
    <s v="No"/>
  </r>
  <r>
    <x v="15"/>
    <s v="Travel_Rarely"/>
    <x v="1"/>
    <n v="2"/>
    <x v="1"/>
    <n v="4"/>
    <n v="2"/>
    <x v="4"/>
    <n v="3"/>
    <x v="0"/>
    <n v="6500"/>
    <n v="0"/>
    <s v="No"/>
    <n v="14"/>
    <n v="3"/>
    <n v="0"/>
    <n v="9"/>
    <n v="5"/>
    <n v="8"/>
    <n v="0"/>
    <n v="7"/>
    <x v="3"/>
    <s v="23-02-2013"/>
    <m/>
    <s v="Dept.Head"/>
    <s v="WFH"/>
    <n v="1"/>
    <n v="0"/>
    <s v="Yes"/>
    <s v="Recruiter"/>
    <s v="Contract"/>
    <n v="1481"/>
    <n v="79"/>
    <n v="80"/>
    <n v="0"/>
    <n v="0"/>
    <m/>
    <n v="0"/>
    <n v="1"/>
    <s v="Current Employees"/>
    <s v="No"/>
  </r>
  <r>
    <x v="9"/>
    <s v="Non-Travel"/>
    <x v="0"/>
    <n v="14"/>
    <x v="0"/>
    <n v="3"/>
    <n v="2"/>
    <x v="1"/>
    <n v="2"/>
    <x v="1"/>
    <n v="5467"/>
    <n v="8"/>
    <s v="No"/>
    <n v="18"/>
    <n v="3"/>
    <n v="1"/>
    <n v="16"/>
    <n v="4"/>
    <n v="8"/>
    <n v="1"/>
    <n v="7"/>
    <x v="1"/>
    <s v="26-05-2013"/>
    <m/>
    <s v="Work Environment"/>
    <s v="WFH"/>
    <n v="0"/>
    <n v="0"/>
    <s v="No"/>
    <s v="Job Portal"/>
    <s v="Part Time"/>
    <n v="1833"/>
    <n v="68"/>
    <n v="80"/>
    <n v="2"/>
    <n v="0"/>
    <m/>
    <n v="0"/>
    <n v="1"/>
    <s v="Current Employees"/>
    <s v="No"/>
  </r>
  <r>
    <x v="13"/>
    <s v="Travel_Rarely"/>
    <x v="1"/>
    <n v="13"/>
    <x v="0"/>
    <n v="3"/>
    <n v="3"/>
    <x v="4"/>
    <n v="3"/>
    <x v="2"/>
    <n v="8628"/>
    <n v="1"/>
    <s v="No"/>
    <n v="18"/>
    <n v="3"/>
    <n v="1"/>
    <n v="9"/>
    <n v="2"/>
    <n v="8"/>
    <n v="1"/>
    <n v="1"/>
    <x v="0"/>
    <d v="2013-02-06T00:00:00"/>
    <m/>
    <s v="Work Environment"/>
    <s v="OFFICE"/>
    <n v="3"/>
    <n v="1"/>
    <s v="Yes"/>
    <s v="Recruiter"/>
    <s v="Part Time"/>
    <n v="1987"/>
    <n v="82"/>
    <n v="80"/>
    <n v="0"/>
    <n v="0"/>
    <m/>
    <n v="0"/>
    <n v="1"/>
    <s v="Current Employees"/>
    <s v="No"/>
  </r>
  <r>
    <x v="12"/>
    <s v="Travel_Frequently"/>
    <x v="0"/>
    <n v="6"/>
    <x v="0"/>
    <n v="2"/>
    <n v="2"/>
    <x v="6"/>
    <n v="3"/>
    <x v="1"/>
    <n v="5321"/>
    <n v="2"/>
    <s v="No"/>
    <n v="11"/>
    <n v="3"/>
    <n v="1"/>
    <n v="10"/>
    <n v="1"/>
    <n v="8"/>
    <n v="7"/>
    <n v="7"/>
    <x v="1"/>
    <s v="15-01-2013"/>
    <m/>
    <s v="Dept.Head"/>
    <s v="OFFICE"/>
    <n v="5"/>
    <n v="0"/>
    <s v="Yes"/>
    <s v="Walk-in"/>
    <s v="FullTime"/>
    <n v="1625"/>
    <n v="98"/>
    <n v="80"/>
    <n v="2"/>
    <n v="0"/>
    <m/>
    <n v="0"/>
    <n v="1"/>
    <s v="Current Employees"/>
    <s v="No"/>
  </r>
  <r>
    <x v="13"/>
    <s v="Travel_Rarely"/>
    <x v="1"/>
    <n v="28"/>
    <x v="1"/>
    <n v="2"/>
    <n v="2"/>
    <x v="4"/>
    <n v="3"/>
    <x v="1"/>
    <n v="6712"/>
    <n v="1"/>
    <s v="No"/>
    <n v="21"/>
    <n v="4"/>
    <n v="2"/>
    <n v="8"/>
    <n v="2"/>
    <n v="8"/>
    <n v="1"/>
    <n v="7"/>
    <x v="1"/>
    <d v="2013-02-06T00:00:00"/>
    <m/>
    <s v="Better Opportunity"/>
    <s v="WFH"/>
    <n v="0"/>
    <n v="2"/>
    <s v="Yes"/>
    <s v="Recruiter"/>
    <s v="Contract"/>
    <n v="1461"/>
    <n v="96"/>
    <n v="80"/>
    <n v="2"/>
    <n v="0"/>
    <m/>
    <n v="0"/>
    <n v="1"/>
    <s v="Current Employees"/>
    <s v="No"/>
  </r>
  <r>
    <x v="12"/>
    <s v="Travel_Frequently"/>
    <x v="0"/>
    <n v="23"/>
    <x v="0"/>
    <n v="2"/>
    <n v="3"/>
    <x v="6"/>
    <n v="3"/>
    <x v="0"/>
    <n v="9526"/>
    <n v="0"/>
    <s v="No"/>
    <n v="21"/>
    <n v="4"/>
    <n v="0"/>
    <n v="10"/>
    <n v="2"/>
    <n v="9"/>
    <n v="1"/>
    <n v="8"/>
    <x v="1"/>
    <s v="14-05-2012"/>
    <m/>
    <s v="Work Accident"/>
    <s v="WFH"/>
    <n v="2"/>
    <n v="1"/>
    <s v="No"/>
    <s v="Job Portal"/>
    <s v="Contract"/>
    <n v="1916"/>
    <n v="62"/>
    <n v="80"/>
    <n v="2"/>
    <n v="0"/>
    <m/>
    <n v="0"/>
    <n v="1"/>
    <s v="Current Employees"/>
    <s v="No"/>
  </r>
  <r>
    <x v="7"/>
    <s v="Travel_Rarely"/>
    <x v="0"/>
    <n v="15"/>
    <x v="1"/>
    <n v="2"/>
    <n v="2"/>
    <x v="0"/>
    <n v="3"/>
    <x v="0"/>
    <n v="4193"/>
    <n v="0"/>
    <s v="Yes"/>
    <n v="12"/>
    <n v="3"/>
    <n v="0"/>
    <n v="10"/>
    <n v="3"/>
    <n v="9"/>
    <n v="0"/>
    <n v="8"/>
    <x v="2"/>
    <s v="24-04-2012"/>
    <m/>
    <s v="Work Accident"/>
    <s v="WFH"/>
    <n v="5"/>
    <n v="1"/>
    <s v="Yes"/>
    <s v="Job Portal"/>
    <s v="FullTime"/>
    <n v="1829"/>
    <n v="47"/>
    <n v="80"/>
    <n v="4"/>
    <n v="0"/>
    <m/>
    <n v="0"/>
    <n v="1"/>
    <s v="Current Employees"/>
    <s v="No"/>
  </r>
  <r>
    <x v="22"/>
    <s v="Travel_Rarely"/>
    <x v="1"/>
    <n v="8"/>
    <x v="0"/>
    <n v="3"/>
    <n v="2"/>
    <x v="4"/>
    <n v="2"/>
    <x v="1"/>
    <n v="6825"/>
    <n v="0"/>
    <s v="No"/>
    <n v="11"/>
    <n v="3"/>
    <n v="1"/>
    <n v="10"/>
    <n v="2"/>
    <n v="9"/>
    <n v="4"/>
    <n v="2"/>
    <x v="0"/>
    <s v="21-02-2012"/>
    <m/>
    <s v="Work Environment"/>
    <s v="OFFICE"/>
    <n v="0"/>
    <n v="0"/>
    <s v="No"/>
    <s v="Job Portal"/>
    <s v="FullTime"/>
    <n v="1822"/>
    <n v="52"/>
    <n v="80"/>
    <n v="3"/>
    <n v="0"/>
    <m/>
    <n v="0"/>
    <n v="1"/>
    <s v="Current Employees"/>
    <s v="No"/>
  </r>
  <r>
    <x v="15"/>
    <s v="Travel_Frequently"/>
    <x v="1"/>
    <n v="8"/>
    <x v="0"/>
    <n v="3"/>
    <n v="3"/>
    <x v="4"/>
    <n v="3"/>
    <x v="0"/>
    <n v="8726"/>
    <n v="1"/>
    <s v="No"/>
    <n v="15"/>
    <n v="3"/>
    <n v="0"/>
    <n v="9"/>
    <n v="0"/>
    <n v="9"/>
    <n v="1"/>
    <n v="7"/>
    <x v="1"/>
    <d v="2012-10-03T00:00:00"/>
    <m/>
    <s v="Dept.Head"/>
    <s v="WFH"/>
    <n v="5"/>
    <n v="1"/>
    <s v="No"/>
    <s v="Recruiter"/>
    <s v="FullTime"/>
    <n v="1762"/>
    <n v="91"/>
    <n v="80"/>
    <n v="0"/>
    <n v="0"/>
    <m/>
    <n v="0"/>
    <n v="1"/>
    <s v="Current Employees"/>
    <s v="No"/>
  </r>
  <r>
    <x v="13"/>
    <s v="Non-Travel"/>
    <x v="1"/>
    <n v="23"/>
    <x v="0"/>
    <n v="3"/>
    <n v="2"/>
    <x v="4"/>
    <n v="3"/>
    <x v="0"/>
    <n v="4568"/>
    <n v="0"/>
    <s v="No"/>
    <n v="20"/>
    <n v="4"/>
    <n v="0"/>
    <n v="10"/>
    <n v="2"/>
    <n v="9"/>
    <n v="8"/>
    <n v="7"/>
    <x v="3"/>
    <s v="27-06-2012"/>
    <m/>
    <s v="Dept.Head"/>
    <s v="WFH"/>
    <n v="5"/>
    <n v="3"/>
    <s v="Yes"/>
    <s v="Walk-in"/>
    <s v="Part Time"/>
    <n v="1658"/>
    <n v="66"/>
    <n v="80"/>
    <n v="8"/>
    <n v="0"/>
    <m/>
    <n v="0"/>
    <n v="1"/>
    <s v="Current Employees"/>
    <s v="No"/>
  </r>
  <r>
    <x v="35"/>
    <s v="Travel_Frequently"/>
    <x v="1"/>
    <n v="5"/>
    <x v="0"/>
    <n v="3"/>
    <n v="2"/>
    <x v="4"/>
    <n v="4"/>
    <x v="0"/>
    <n v="5772"/>
    <n v="4"/>
    <s v="Yes"/>
    <n v="21"/>
    <n v="4"/>
    <n v="0"/>
    <n v="14"/>
    <n v="4"/>
    <n v="9"/>
    <n v="0"/>
    <n v="8"/>
    <x v="3"/>
    <d v="2012-03-02T00:00:00"/>
    <m/>
    <s v="Dept.Head"/>
    <s v="OFFICE"/>
    <n v="4"/>
    <n v="1"/>
    <s v="Yes"/>
    <s v="Job Portal"/>
    <s v="Contract"/>
    <n v="1635"/>
    <n v="59"/>
    <n v="80"/>
    <n v="7"/>
    <n v="0"/>
    <m/>
    <n v="0"/>
    <n v="1"/>
    <s v="Current Employees"/>
    <s v="No"/>
  </r>
  <r>
    <x v="27"/>
    <s v="Travel_Frequently"/>
    <x v="1"/>
    <n v="18"/>
    <x v="0"/>
    <n v="3"/>
    <n v="3"/>
    <x v="4"/>
    <n v="1"/>
    <x v="1"/>
    <n v="9069"/>
    <n v="1"/>
    <s v="No"/>
    <n v="22"/>
    <n v="4"/>
    <n v="1"/>
    <n v="9"/>
    <n v="3"/>
    <n v="9"/>
    <n v="1"/>
    <n v="8"/>
    <x v="1"/>
    <d v="2012-11-05T00:00:00"/>
    <m/>
    <s v="Dept.Head"/>
    <s v="OFFICE"/>
    <n v="4"/>
    <n v="0"/>
    <s v="No"/>
    <s v="Job Event"/>
    <s v="FullTime"/>
    <n v="1656"/>
    <n v="50"/>
    <n v="80"/>
    <n v="11"/>
    <n v="0"/>
    <m/>
    <n v="0"/>
    <n v="1"/>
    <s v="Current Employees"/>
    <s v="No"/>
  </r>
  <r>
    <x v="21"/>
    <s v="Travel_Rarely"/>
    <x v="0"/>
    <n v="1"/>
    <x v="0"/>
    <n v="3"/>
    <n v="2"/>
    <x v="6"/>
    <n v="4"/>
    <x v="1"/>
    <n v="6162"/>
    <n v="1"/>
    <s v="Yes"/>
    <n v="22"/>
    <n v="4"/>
    <n v="1"/>
    <n v="9"/>
    <n v="3"/>
    <n v="9"/>
    <n v="7"/>
    <n v="8"/>
    <x v="0"/>
    <d v="2012-05-06T00:00:00"/>
    <m/>
    <s v="Work Environment"/>
    <s v="WFH"/>
    <n v="0"/>
    <n v="0"/>
    <s v="Yes"/>
    <s v="Job Event"/>
    <s v="FullTime"/>
    <n v="1502"/>
    <n v="82"/>
    <n v="80"/>
    <n v="4"/>
    <n v="0"/>
    <m/>
    <n v="0"/>
    <n v="1"/>
    <s v="Current Employees"/>
    <s v="No"/>
  </r>
  <r>
    <x v="35"/>
    <s v="Travel_Rarely"/>
    <x v="1"/>
    <n v="9"/>
    <x v="0"/>
    <n v="2"/>
    <n v="3"/>
    <x v="4"/>
    <n v="4"/>
    <x v="0"/>
    <n v="9619"/>
    <n v="1"/>
    <s v="No"/>
    <n v="16"/>
    <n v="3"/>
    <n v="0"/>
    <n v="9"/>
    <n v="3"/>
    <n v="9"/>
    <n v="4"/>
    <n v="7"/>
    <x v="1"/>
    <s v="25-04-2012"/>
    <m/>
    <s v="Better Opportunity"/>
    <s v="WFH"/>
    <n v="2"/>
    <n v="3"/>
    <s v="No"/>
    <s v="Job Portal"/>
    <s v="FullTime"/>
    <n v="1866"/>
    <n v="81"/>
    <n v="80"/>
    <n v="12"/>
    <n v="0"/>
    <m/>
    <n v="0"/>
    <n v="1"/>
    <s v="Current Employees"/>
    <s v="No"/>
  </r>
  <r>
    <x v="13"/>
    <s v="Travel_Frequently"/>
    <x v="0"/>
    <n v="7"/>
    <x v="0"/>
    <n v="1"/>
    <n v="2"/>
    <x v="0"/>
    <n v="3"/>
    <x v="0"/>
    <n v="6074"/>
    <n v="1"/>
    <s v="Yes"/>
    <n v="24"/>
    <n v="4"/>
    <n v="0"/>
    <n v="9"/>
    <n v="3"/>
    <n v="9"/>
    <n v="0"/>
    <n v="6"/>
    <x v="0"/>
    <d v="2012-05-06T00:00:00"/>
    <m/>
    <s v="Salary"/>
    <s v="OFFICE"/>
    <n v="4"/>
    <n v="1"/>
    <s v="Yes"/>
    <s v="Job Portal"/>
    <s v="Part Time"/>
    <n v="1786"/>
    <n v="53"/>
    <n v="80"/>
    <n v="2"/>
    <n v="0"/>
    <m/>
    <n v="0"/>
    <n v="1"/>
    <s v="Current Employees"/>
    <s v="No"/>
  </r>
  <r>
    <x v="26"/>
    <s v="Travel_Frequently"/>
    <x v="1"/>
    <n v="11"/>
    <x v="1"/>
    <n v="3"/>
    <n v="3"/>
    <x v="4"/>
    <n v="4"/>
    <x v="1"/>
    <n v="9738"/>
    <n v="0"/>
    <s v="No"/>
    <n v="14"/>
    <n v="3"/>
    <n v="1"/>
    <n v="10"/>
    <n v="6"/>
    <n v="9"/>
    <n v="2"/>
    <n v="8"/>
    <x v="1"/>
    <d v="2012-01-02T00:00:00"/>
    <m/>
    <s v="Work Environment"/>
    <s v="WFH"/>
    <n v="2"/>
    <n v="0"/>
    <s v="No"/>
    <s v="Walk-in"/>
    <s v="Contract"/>
    <n v="1701"/>
    <n v="35"/>
    <n v="80"/>
    <n v="9"/>
    <n v="0"/>
    <m/>
    <n v="0"/>
    <n v="1"/>
    <s v="Current Employees"/>
    <s v="No"/>
  </r>
  <r>
    <x v="33"/>
    <s v="Travel_Rarely"/>
    <x v="1"/>
    <n v="9"/>
    <x v="0"/>
    <n v="3"/>
    <n v="3"/>
    <x v="4"/>
    <n v="3"/>
    <x v="2"/>
    <n v="8189"/>
    <n v="3"/>
    <s v="Yes"/>
    <n v="13"/>
    <n v="3"/>
    <n v="1"/>
    <n v="12"/>
    <n v="2"/>
    <n v="9"/>
    <n v="0"/>
    <n v="7"/>
    <x v="1"/>
    <d v="2012-09-03T00:00:00"/>
    <m/>
    <s v="Work Accident"/>
    <s v="OFFICE"/>
    <n v="3"/>
    <n v="1"/>
    <s v="Yes"/>
    <s v="Walk-in"/>
    <s v="Part Time"/>
    <n v="1647"/>
    <n v="86"/>
    <n v="80"/>
    <n v="2"/>
    <n v="0"/>
    <m/>
    <n v="0"/>
    <n v="1"/>
    <s v="Current Employees"/>
    <s v="No"/>
  </r>
  <r>
    <x v="21"/>
    <s v="Travel_Frequently"/>
    <x v="1"/>
    <n v="8"/>
    <x v="1"/>
    <n v="3"/>
    <n v="3"/>
    <x v="4"/>
    <n v="4"/>
    <x v="0"/>
    <n v="8998"/>
    <n v="1"/>
    <s v="No"/>
    <n v="14"/>
    <n v="3"/>
    <n v="0"/>
    <n v="9"/>
    <n v="2"/>
    <n v="9"/>
    <n v="3"/>
    <n v="7"/>
    <x v="0"/>
    <d v="2012-03-04T00:00:00"/>
    <m/>
    <s v="Salary"/>
    <s v="OFFICE"/>
    <n v="5"/>
    <n v="2"/>
    <s v="Yes"/>
    <s v="Recruiter"/>
    <s v="FullTime"/>
    <n v="1409"/>
    <n v="54"/>
    <n v="80"/>
    <n v="4"/>
    <n v="0"/>
    <m/>
    <n v="0"/>
    <n v="1"/>
    <s v="Current Employees"/>
    <s v="No"/>
  </r>
  <r>
    <x v="33"/>
    <s v="Travel_Rarely"/>
    <x v="0"/>
    <n v="14"/>
    <x v="0"/>
    <n v="3"/>
    <n v="1"/>
    <x v="1"/>
    <n v="3"/>
    <x v="2"/>
    <n v="2451"/>
    <n v="4"/>
    <s v="No"/>
    <n v="12"/>
    <n v="3"/>
    <n v="1"/>
    <n v="13"/>
    <n v="2"/>
    <n v="9"/>
    <n v="1"/>
    <n v="8"/>
    <x v="2"/>
    <s v="19-05-2012"/>
    <m/>
    <s v="Dept.Head"/>
    <s v="WFH"/>
    <n v="4"/>
    <n v="3"/>
    <s v="Yes"/>
    <s v="Walk-in"/>
    <s v="Contract"/>
    <n v="2015"/>
    <n v="99"/>
    <n v="80"/>
    <n v="16"/>
    <n v="0"/>
    <m/>
    <n v="0"/>
    <n v="1"/>
    <s v="Current Employees"/>
    <s v="No"/>
  </r>
  <r>
    <x v="0"/>
    <s v="Travel_Frequently"/>
    <x v="1"/>
    <n v="4"/>
    <x v="0"/>
    <n v="3"/>
    <n v="1"/>
    <x v="3"/>
    <n v="4"/>
    <x v="2"/>
    <n v="2793"/>
    <n v="4"/>
    <s v="No"/>
    <n v="17"/>
    <n v="3"/>
    <n v="1"/>
    <n v="13"/>
    <n v="2"/>
    <n v="9"/>
    <n v="5"/>
    <n v="8"/>
    <x v="2"/>
    <s v="26-04-2012"/>
    <m/>
    <s v="Better Opportunity"/>
    <s v="OFFICE"/>
    <n v="2"/>
    <n v="1"/>
    <s v="Yes"/>
    <s v="Recruiter"/>
    <s v="Contract"/>
    <n v="1640"/>
    <n v="71"/>
    <n v="80"/>
    <n v="4"/>
    <n v="0"/>
    <m/>
    <n v="0"/>
    <n v="1"/>
    <s v="Current Employees"/>
    <s v="No"/>
  </r>
  <r>
    <x v="20"/>
    <s v="Travel_Rarely"/>
    <x v="0"/>
    <n v="2"/>
    <x v="1"/>
    <n v="3"/>
    <n v="1"/>
    <x v="0"/>
    <n v="1"/>
    <x v="1"/>
    <n v="2707"/>
    <n v="7"/>
    <s v="No"/>
    <n v="20"/>
    <n v="4"/>
    <n v="0"/>
    <n v="13"/>
    <n v="3"/>
    <n v="9"/>
    <n v="1"/>
    <n v="7"/>
    <x v="1"/>
    <s v="20-02-2012"/>
    <m/>
    <s v="Work Accident"/>
    <s v="WFH"/>
    <n v="0"/>
    <n v="1"/>
    <s v="Yes"/>
    <s v="Recruiter"/>
    <s v="FullTime"/>
    <n v="1544"/>
    <n v="39"/>
    <n v="80"/>
    <n v="7"/>
    <n v="0"/>
    <m/>
    <n v="0"/>
    <n v="1"/>
    <s v="Current Employees"/>
    <s v="No"/>
  </r>
  <r>
    <x v="18"/>
    <s v="Travel_Rarely"/>
    <x v="0"/>
    <n v="24"/>
    <x v="0"/>
    <n v="3"/>
    <n v="2"/>
    <x v="1"/>
    <n v="4"/>
    <x v="2"/>
    <n v="3319"/>
    <n v="1"/>
    <s v="No"/>
    <n v="17"/>
    <n v="3"/>
    <n v="2"/>
    <n v="9"/>
    <n v="3"/>
    <n v="9"/>
    <n v="4"/>
    <n v="7"/>
    <x v="1"/>
    <d v="2012-01-05T00:00:00"/>
    <m/>
    <s v="Salary"/>
    <s v="WFH"/>
    <n v="2"/>
    <n v="1"/>
    <s v="Yes"/>
    <s v="Job Portal"/>
    <s v="FullTime"/>
    <n v="2052"/>
    <n v="62"/>
    <n v="80"/>
    <n v="3"/>
    <n v="0"/>
    <m/>
    <n v="0"/>
    <n v="1"/>
    <s v="Current Employees"/>
    <s v="No"/>
  </r>
  <r>
    <x v="22"/>
    <s v="Travel_Rarely"/>
    <x v="0"/>
    <n v="2"/>
    <x v="1"/>
    <n v="2"/>
    <n v="1"/>
    <x v="0"/>
    <n v="1"/>
    <x v="2"/>
    <n v="2593"/>
    <n v="0"/>
    <s v="Yes"/>
    <n v="11"/>
    <n v="3"/>
    <n v="1"/>
    <n v="10"/>
    <n v="4"/>
    <n v="9"/>
    <n v="7"/>
    <n v="8"/>
    <x v="3"/>
    <d v="2012-04-04T00:00:00"/>
    <m/>
    <s v="Work Environment"/>
    <s v="OFFICE"/>
    <n v="4"/>
    <n v="2"/>
    <s v="No"/>
    <s v="Walk-in"/>
    <s v="Contract"/>
    <n v="1802"/>
    <n v="99"/>
    <n v="80"/>
    <n v="3"/>
    <n v="0"/>
    <m/>
    <n v="0"/>
    <n v="1"/>
    <s v="Current Employees"/>
    <s v="No"/>
  </r>
  <r>
    <x v="28"/>
    <s v="Travel_Rarely"/>
    <x v="0"/>
    <n v="23"/>
    <x v="0"/>
    <n v="2"/>
    <n v="2"/>
    <x v="7"/>
    <n v="4"/>
    <x v="1"/>
    <n v="5582"/>
    <n v="0"/>
    <s v="No"/>
    <n v="21"/>
    <n v="4"/>
    <n v="1"/>
    <n v="10"/>
    <n v="2"/>
    <n v="9"/>
    <n v="7"/>
    <n v="8"/>
    <x v="1"/>
    <s v="22-04-2012"/>
    <m/>
    <s v="Work Accident"/>
    <s v="OFFICE"/>
    <n v="4"/>
    <n v="1"/>
    <s v="No"/>
    <s v="Job Event"/>
    <s v="FullTime"/>
    <n v="1617"/>
    <n v="84"/>
    <n v="80"/>
    <n v="6"/>
    <n v="0"/>
    <m/>
    <n v="0"/>
    <n v="1"/>
    <s v="Current Employees"/>
    <s v="No"/>
  </r>
  <r>
    <x v="26"/>
    <s v="Non-Travel"/>
    <x v="0"/>
    <n v="24"/>
    <x v="1"/>
    <n v="3"/>
    <n v="2"/>
    <x v="0"/>
    <n v="2"/>
    <x v="1"/>
    <n v="5674"/>
    <n v="7"/>
    <s v="No"/>
    <n v="15"/>
    <n v="3"/>
    <n v="1"/>
    <n v="11"/>
    <n v="3"/>
    <n v="9"/>
    <n v="0"/>
    <n v="8"/>
    <x v="3"/>
    <s v="17-02-2012"/>
    <m/>
    <s v="Work Accident"/>
    <s v="WFH"/>
    <n v="5"/>
    <n v="1"/>
    <s v="Yes"/>
    <s v="Recruiter"/>
    <s v="Contract"/>
    <n v="1576"/>
    <n v="65"/>
    <n v="80"/>
    <n v="2"/>
    <n v="0"/>
    <m/>
    <n v="0"/>
    <n v="1"/>
    <s v="Current Employees"/>
    <s v="No"/>
  </r>
  <r>
    <x v="34"/>
    <s v="Travel_Frequently"/>
    <x v="0"/>
    <n v="10"/>
    <x v="1"/>
    <n v="2"/>
    <n v="2"/>
    <x v="0"/>
    <n v="3"/>
    <x v="2"/>
    <n v="5257"/>
    <n v="1"/>
    <s v="No"/>
    <n v="11"/>
    <n v="3"/>
    <n v="1"/>
    <n v="9"/>
    <n v="3"/>
    <n v="9"/>
    <n v="0"/>
    <n v="0"/>
    <x v="0"/>
    <s v="23-02-2012"/>
    <m/>
    <s v="Better Opportunity"/>
    <s v="OFFICE"/>
    <n v="3"/>
    <n v="3"/>
    <s v="No"/>
    <s v="Recruiter"/>
    <s v="FullTime"/>
    <n v="1447"/>
    <n v="86"/>
    <n v="80"/>
    <n v="4"/>
    <n v="0"/>
    <m/>
    <n v="0"/>
    <n v="1"/>
    <s v="Current Employees"/>
    <s v="No"/>
  </r>
  <r>
    <x v="14"/>
    <s v="Non-Travel"/>
    <x v="1"/>
    <n v="22"/>
    <x v="1"/>
    <n v="3"/>
    <n v="3"/>
    <x v="4"/>
    <n v="1"/>
    <x v="1"/>
    <n v="8412"/>
    <n v="0"/>
    <s v="No"/>
    <n v="11"/>
    <n v="3"/>
    <n v="0"/>
    <n v="10"/>
    <n v="3"/>
    <n v="9"/>
    <n v="7"/>
    <n v="8"/>
    <x v="0"/>
    <s v="13-04-2012"/>
    <m/>
    <s v="Work Environment"/>
    <s v="WFH"/>
    <n v="4"/>
    <n v="2"/>
    <s v="Yes"/>
    <s v="Recruiter"/>
    <s v="Part Time"/>
    <n v="1555"/>
    <n v="67"/>
    <n v="80"/>
    <n v="1"/>
    <n v="0"/>
    <m/>
    <n v="0"/>
    <n v="1"/>
    <s v="Current Employees"/>
    <s v="No"/>
  </r>
  <r>
    <x v="10"/>
    <s v="Travel_Rarely"/>
    <x v="1"/>
    <n v="2"/>
    <x v="1"/>
    <n v="3"/>
    <n v="2"/>
    <x v="4"/>
    <n v="4"/>
    <x v="1"/>
    <n v="4051"/>
    <n v="2"/>
    <s v="No"/>
    <n v="14"/>
    <n v="3"/>
    <n v="1"/>
    <n v="14"/>
    <n v="2"/>
    <n v="9"/>
    <n v="6"/>
    <n v="7"/>
    <x v="2"/>
    <s v="15-02-2012"/>
    <m/>
    <s v="Work Accident"/>
    <s v="OFFICE"/>
    <n v="2"/>
    <n v="0"/>
    <s v="Yes"/>
    <s v="Job Portal"/>
    <s v="Part Time"/>
    <n v="1782"/>
    <n v="40"/>
    <n v="80"/>
    <n v="4"/>
    <n v="0"/>
    <m/>
    <n v="0"/>
    <n v="1"/>
    <s v="Current Employees"/>
    <s v="No"/>
  </r>
  <r>
    <x v="0"/>
    <s v="Non-Travel"/>
    <x v="1"/>
    <n v="9"/>
    <x v="0"/>
    <n v="3"/>
    <n v="3"/>
    <x v="4"/>
    <n v="2"/>
    <x v="2"/>
    <n v="8834"/>
    <n v="1"/>
    <s v="No"/>
    <n v="13"/>
    <n v="3"/>
    <n v="1"/>
    <n v="9"/>
    <n v="6"/>
    <n v="9"/>
    <n v="7"/>
    <n v="7"/>
    <x v="2"/>
    <s v="15-01-2012"/>
    <m/>
    <s v="Salary"/>
    <s v="WFH"/>
    <n v="3"/>
    <n v="2"/>
    <s v="No"/>
    <s v="Job Event"/>
    <s v="FullTime"/>
    <n v="1687"/>
    <n v="87"/>
    <n v="80"/>
    <n v="0"/>
    <n v="0"/>
    <m/>
    <n v="0"/>
    <n v="1"/>
    <s v="Current Employees"/>
    <s v="No"/>
  </r>
  <r>
    <x v="37"/>
    <s v="Travel_Rarely"/>
    <x v="2"/>
    <n v="19"/>
    <x v="0"/>
    <n v="3"/>
    <n v="3"/>
    <x v="8"/>
    <n v="2"/>
    <x v="1"/>
    <n v="10725"/>
    <n v="2"/>
    <s v="No"/>
    <n v="15"/>
    <n v="3"/>
    <n v="1"/>
    <n v="16"/>
    <n v="1"/>
    <n v="9"/>
    <n v="7"/>
    <n v="1"/>
    <x v="0"/>
    <d v="2012-07-01T00:00:00"/>
    <m/>
    <s v="Dept.Head"/>
    <s v="OFFICE"/>
    <n v="4"/>
    <n v="0"/>
    <s v="No"/>
    <s v="Job Portal"/>
    <s v="Part Time"/>
    <n v="1709"/>
    <n v="43"/>
    <n v="80"/>
    <n v="3"/>
    <n v="0"/>
    <m/>
    <n v="0"/>
    <n v="1"/>
    <s v="Current Employees"/>
    <s v="No"/>
  </r>
  <r>
    <x v="12"/>
    <s v="Travel_Rarely"/>
    <x v="0"/>
    <n v="1"/>
    <x v="1"/>
    <n v="4"/>
    <n v="2"/>
    <x v="7"/>
    <n v="4"/>
    <x v="0"/>
    <n v="7625"/>
    <n v="0"/>
    <s v="No"/>
    <n v="13"/>
    <n v="3"/>
    <n v="0"/>
    <n v="10"/>
    <n v="4"/>
    <n v="9"/>
    <n v="1"/>
    <n v="8"/>
    <x v="3"/>
    <d v="2012-02-04T00:00:00"/>
    <m/>
    <s v="Better Opportunity"/>
    <s v="OFFICE"/>
    <n v="3"/>
    <n v="3"/>
    <s v="No"/>
    <s v="Walk-in"/>
    <s v="Contract"/>
    <n v="1830"/>
    <n v="68"/>
    <n v="80"/>
    <n v="1"/>
    <n v="0"/>
    <m/>
    <n v="0"/>
    <n v="1"/>
    <s v="Current Employees"/>
    <s v="No"/>
  </r>
  <r>
    <x v="15"/>
    <s v="Travel_Rarely"/>
    <x v="0"/>
    <n v="1"/>
    <x v="1"/>
    <n v="3"/>
    <n v="3"/>
    <x v="6"/>
    <n v="1"/>
    <x v="1"/>
    <n v="7412"/>
    <n v="1"/>
    <s v="No"/>
    <n v="11"/>
    <n v="3"/>
    <n v="0"/>
    <n v="9"/>
    <n v="3"/>
    <n v="9"/>
    <n v="0"/>
    <n v="7"/>
    <x v="1"/>
    <s v="28-03-2012"/>
    <m/>
    <s v="Better Opportunity"/>
    <s v="OFFICE"/>
    <n v="2"/>
    <n v="2"/>
    <s v="Yes"/>
    <s v="Recruiter"/>
    <s v="Contract"/>
    <n v="1628"/>
    <n v="80"/>
    <n v="80"/>
    <n v="15"/>
    <n v="0"/>
    <m/>
    <n v="0"/>
    <n v="1"/>
    <s v="Current Employees"/>
    <s v="No"/>
  </r>
  <r>
    <x v="15"/>
    <s v="Travel_Frequently"/>
    <x v="0"/>
    <n v="10"/>
    <x v="0"/>
    <n v="3"/>
    <n v="3"/>
    <x v="6"/>
    <n v="1"/>
    <x v="2"/>
    <n v="8793"/>
    <n v="1"/>
    <s v="No"/>
    <n v="21"/>
    <n v="4"/>
    <n v="2"/>
    <n v="9"/>
    <n v="4"/>
    <n v="9"/>
    <n v="1"/>
    <n v="7"/>
    <x v="2"/>
    <d v="2012-11-01T00:00:00"/>
    <m/>
    <s v="Dept.Head"/>
    <s v="OFFICE"/>
    <n v="1"/>
    <n v="3"/>
    <s v="No"/>
    <s v="Recruiter"/>
    <s v="Contract"/>
    <n v="1655"/>
    <n v="72"/>
    <n v="80"/>
    <n v="2"/>
    <n v="0"/>
    <m/>
    <n v="0"/>
    <n v="1"/>
    <s v="Current Employees"/>
    <s v="No"/>
  </r>
  <r>
    <x v="26"/>
    <s v="Travel_Rarely"/>
    <x v="0"/>
    <n v="1"/>
    <x v="1"/>
    <n v="3"/>
    <n v="2"/>
    <x v="6"/>
    <n v="2"/>
    <x v="1"/>
    <n v="5228"/>
    <n v="0"/>
    <s v="No"/>
    <n v="15"/>
    <n v="3"/>
    <n v="1"/>
    <n v="10"/>
    <n v="2"/>
    <n v="9"/>
    <n v="0"/>
    <n v="5"/>
    <x v="1"/>
    <s v="15-05-2012"/>
    <m/>
    <s v="Dept.Head"/>
    <s v="WFH"/>
    <n v="0"/>
    <n v="0"/>
    <s v="Yes"/>
    <s v="Job Portal"/>
    <s v="Contract"/>
    <n v="1969"/>
    <n v="67"/>
    <n v="80"/>
    <n v="3"/>
    <n v="0"/>
    <m/>
    <n v="0"/>
    <n v="1"/>
    <s v="Current Employees"/>
    <s v="No"/>
  </r>
  <r>
    <x v="22"/>
    <s v="Travel_Rarely"/>
    <x v="0"/>
    <n v="29"/>
    <x v="0"/>
    <n v="3"/>
    <n v="2"/>
    <x v="6"/>
    <n v="2"/>
    <x v="1"/>
    <n v="4434"/>
    <n v="1"/>
    <s v="No"/>
    <n v="13"/>
    <n v="3"/>
    <n v="1"/>
    <n v="10"/>
    <n v="3"/>
    <n v="9"/>
    <n v="7"/>
    <n v="8"/>
    <x v="0"/>
    <s v="13-06-2012"/>
    <m/>
    <s v="Work Environment"/>
    <s v="WFH"/>
    <n v="4"/>
    <n v="3"/>
    <s v="Yes"/>
    <s v="Recruiter"/>
    <s v="FullTime"/>
    <n v="1443"/>
    <n v="82"/>
    <n v="80"/>
    <n v="17"/>
    <n v="0"/>
    <m/>
    <n v="0"/>
    <n v="1"/>
    <s v="Current Employees"/>
    <s v="No"/>
  </r>
  <r>
    <x v="39"/>
    <s v="Travel_Rarely"/>
    <x v="1"/>
    <n v="11"/>
    <x v="1"/>
    <n v="3"/>
    <n v="3"/>
    <x v="4"/>
    <n v="4"/>
    <x v="1"/>
    <n v="7654"/>
    <n v="1"/>
    <s v="No"/>
    <n v="18"/>
    <n v="3"/>
    <n v="2"/>
    <n v="9"/>
    <n v="3"/>
    <n v="9"/>
    <n v="7"/>
    <n v="7"/>
    <x v="3"/>
    <s v="15-01-2012"/>
    <m/>
    <s v="Work Accident"/>
    <s v="OFFICE"/>
    <n v="4"/>
    <n v="0"/>
    <s v="Yes"/>
    <s v="Job Event"/>
    <s v="Contract"/>
    <n v="1888"/>
    <n v="93"/>
    <n v="80"/>
    <n v="8"/>
    <n v="0"/>
    <m/>
    <n v="0"/>
    <n v="1"/>
    <s v="Current Employees"/>
    <s v="No"/>
  </r>
  <r>
    <x v="29"/>
    <s v="Travel_Rarely"/>
    <x v="1"/>
    <n v="2"/>
    <x v="0"/>
    <n v="3"/>
    <n v="2"/>
    <x v="4"/>
    <n v="4"/>
    <x v="0"/>
    <n v="5160"/>
    <n v="4"/>
    <s v="No"/>
    <n v="16"/>
    <n v="3"/>
    <n v="0"/>
    <n v="12"/>
    <n v="3"/>
    <n v="9"/>
    <n v="7"/>
    <n v="3"/>
    <x v="1"/>
    <s v="18-02-2012"/>
    <m/>
    <s v="Work Accident"/>
    <s v="WFH"/>
    <n v="0"/>
    <n v="2"/>
    <s v="No"/>
    <s v="Job Event"/>
    <s v="Part Time"/>
    <n v="1651"/>
    <n v="42"/>
    <n v="80"/>
    <n v="2"/>
    <n v="0"/>
    <m/>
    <n v="0"/>
    <n v="1"/>
    <s v="Current Employees"/>
    <s v="No"/>
  </r>
  <r>
    <x v="15"/>
    <s v="Travel_Rarely"/>
    <x v="0"/>
    <n v="5"/>
    <x v="0"/>
    <n v="2"/>
    <n v="3"/>
    <x v="2"/>
    <n v="4"/>
    <x v="2"/>
    <n v="12808"/>
    <n v="1"/>
    <s v="Yes"/>
    <n v="16"/>
    <n v="3"/>
    <n v="1"/>
    <n v="9"/>
    <n v="3"/>
    <n v="9"/>
    <n v="0"/>
    <n v="8"/>
    <x v="3"/>
    <s v="19-06-2012"/>
    <m/>
    <s v="Work Accident"/>
    <s v="WFH"/>
    <n v="4"/>
    <n v="0"/>
    <s v="Yes"/>
    <s v="Walk-in"/>
    <s v="FullTime"/>
    <n v="1607"/>
    <n v="35"/>
    <n v="80"/>
    <n v="2"/>
    <n v="0"/>
    <m/>
    <n v="0"/>
    <n v="1"/>
    <s v="Current Employees"/>
    <s v="No"/>
  </r>
  <r>
    <x v="20"/>
    <s v="Travel_Rarely"/>
    <x v="1"/>
    <n v="1"/>
    <x v="0"/>
    <n v="4"/>
    <n v="2"/>
    <x v="4"/>
    <n v="1"/>
    <x v="2"/>
    <n v="4037"/>
    <n v="1"/>
    <s v="No"/>
    <n v="22"/>
    <n v="4"/>
    <n v="1"/>
    <n v="9"/>
    <n v="5"/>
    <n v="9"/>
    <n v="0"/>
    <n v="8"/>
    <x v="2"/>
    <d v="2012-03-01T00:00:00"/>
    <m/>
    <s v="Better Opportunity"/>
    <s v="OFFICE"/>
    <n v="2"/>
    <n v="3"/>
    <s v="Yes"/>
    <s v="Walk-in"/>
    <s v="FullTime"/>
    <n v="2051"/>
    <n v="98"/>
    <n v="80"/>
    <n v="3"/>
    <n v="0"/>
    <m/>
    <n v="0"/>
    <n v="1"/>
    <s v="Current Employees"/>
    <s v="No"/>
  </r>
  <r>
    <x v="41"/>
    <s v="Travel_Frequently"/>
    <x v="0"/>
    <n v="25"/>
    <x v="1"/>
    <n v="2"/>
    <n v="4"/>
    <x v="6"/>
    <n v="4"/>
    <x v="1"/>
    <n v="13826"/>
    <n v="3"/>
    <s v="No"/>
    <n v="22"/>
    <n v="4"/>
    <n v="0"/>
    <n v="31"/>
    <n v="3"/>
    <n v="9"/>
    <n v="0"/>
    <n v="0"/>
    <x v="2"/>
    <s v="30-04-2012"/>
    <m/>
    <s v="Better Opportunity"/>
    <s v="OFFICE"/>
    <n v="2"/>
    <n v="3"/>
    <s v="No"/>
    <s v="Job Event"/>
    <s v="FullTime"/>
    <n v="1430"/>
    <n v="93"/>
    <n v="80"/>
    <n v="2"/>
    <n v="0"/>
    <m/>
    <n v="0"/>
    <n v="1"/>
    <s v="Current Employees"/>
    <s v="No"/>
  </r>
  <r>
    <x v="28"/>
    <s v="Non-Travel"/>
    <x v="1"/>
    <n v="20"/>
    <x v="1"/>
    <n v="3"/>
    <n v="2"/>
    <x v="4"/>
    <n v="3"/>
    <x v="1"/>
    <n v="6932"/>
    <n v="1"/>
    <s v="No"/>
    <n v="13"/>
    <n v="3"/>
    <n v="1"/>
    <n v="9"/>
    <n v="2"/>
    <n v="9"/>
    <n v="0"/>
    <n v="0"/>
    <x v="2"/>
    <d v="2012-06-02T00:00:00"/>
    <m/>
    <s v="Dept.Head"/>
    <s v="WFH"/>
    <n v="3"/>
    <n v="1"/>
    <s v="Yes"/>
    <s v="Job Portal"/>
    <s v="Contract"/>
    <n v="1411"/>
    <n v="94"/>
    <n v="80"/>
    <n v="2"/>
    <n v="0"/>
    <m/>
    <n v="0"/>
    <n v="1"/>
    <s v="Current Employees"/>
    <s v="No"/>
  </r>
  <r>
    <x v="28"/>
    <s v="Travel_Rarely"/>
    <x v="0"/>
    <n v="12"/>
    <x v="1"/>
    <n v="3"/>
    <n v="2"/>
    <x v="7"/>
    <n v="4"/>
    <x v="1"/>
    <n v="5855"/>
    <n v="0"/>
    <s v="Yes"/>
    <n v="11"/>
    <n v="3"/>
    <n v="2"/>
    <n v="10"/>
    <n v="2"/>
    <n v="9"/>
    <n v="8"/>
    <n v="5"/>
    <x v="0"/>
    <d v="2012-12-04T00:00:00"/>
    <m/>
    <s v="Dept.Head"/>
    <s v="WFH"/>
    <n v="3"/>
    <n v="1"/>
    <s v="Yes"/>
    <s v="Job Event"/>
    <s v="Part Time"/>
    <n v="1816"/>
    <n v="64"/>
    <n v="80"/>
    <n v="7"/>
    <n v="0"/>
    <m/>
    <n v="0"/>
    <n v="1"/>
    <s v="Current Employees"/>
    <s v="No"/>
  </r>
  <r>
    <x v="2"/>
    <s v="Non-Travel"/>
    <x v="0"/>
    <n v="4"/>
    <x v="0"/>
    <n v="3"/>
    <n v="2"/>
    <x v="0"/>
    <n v="2"/>
    <x v="1"/>
    <n v="4447"/>
    <n v="1"/>
    <s v="No"/>
    <n v="12"/>
    <n v="3"/>
    <n v="0"/>
    <n v="9"/>
    <n v="5"/>
    <n v="9"/>
    <n v="0"/>
    <n v="8"/>
    <x v="0"/>
    <s v="25-04-2012"/>
    <m/>
    <s v="Salary"/>
    <s v="OFFICE"/>
    <n v="2"/>
    <n v="2"/>
    <s v="Yes"/>
    <s v="Job Portal"/>
    <s v="FullTime"/>
    <n v="1525"/>
    <n v="32"/>
    <n v="80"/>
    <n v="0"/>
    <n v="0"/>
    <m/>
    <n v="0"/>
    <n v="1"/>
    <s v="Current Employees"/>
    <s v="No"/>
  </r>
  <r>
    <x v="41"/>
    <s v="Travel_Rarely"/>
    <x v="0"/>
    <n v="1"/>
    <x v="0"/>
    <n v="3"/>
    <n v="4"/>
    <x v="5"/>
    <n v="4"/>
    <x v="1"/>
    <n v="17099"/>
    <n v="2"/>
    <s v="No"/>
    <n v="15"/>
    <n v="3"/>
    <n v="1"/>
    <n v="26"/>
    <n v="2"/>
    <n v="9"/>
    <n v="7"/>
    <n v="8"/>
    <x v="2"/>
    <d v="2012-02-06T00:00:00"/>
    <m/>
    <s v="Salary"/>
    <s v="OFFICE"/>
    <n v="0"/>
    <n v="1"/>
    <s v="No"/>
    <s v="Walk-in"/>
    <s v="Part Time"/>
    <n v="1856"/>
    <n v="64"/>
    <n v="80"/>
    <n v="2"/>
    <n v="0"/>
    <m/>
    <n v="0"/>
    <n v="1"/>
    <s v="Current Employees"/>
    <s v="No"/>
  </r>
  <r>
    <x v="2"/>
    <s v="Non-Travel"/>
    <x v="0"/>
    <n v="23"/>
    <x v="0"/>
    <n v="3"/>
    <n v="2"/>
    <x v="0"/>
    <n v="1"/>
    <x v="1"/>
    <n v="3633"/>
    <n v="1"/>
    <s v="Yes"/>
    <n v="15"/>
    <n v="3"/>
    <n v="1"/>
    <n v="9"/>
    <n v="2"/>
    <n v="9"/>
    <n v="0"/>
    <n v="8"/>
    <x v="0"/>
    <s v="24-03-2012"/>
    <m/>
    <s v="Dept.Head"/>
    <s v="OFFICE"/>
    <n v="1"/>
    <n v="3"/>
    <s v="Yes"/>
    <s v="Walk-in"/>
    <s v="FullTime"/>
    <n v="2010"/>
    <n v="49"/>
    <n v="80"/>
    <n v="2"/>
    <n v="0"/>
    <m/>
    <n v="0"/>
    <n v="1"/>
    <s v="Current Employees"/>
    <s v="No"/>
  </r>
  <r>
    <x v="9"/>
    <s v="Travel_Rarely"/>
    <x v="1"/>
    <n v="4"/>
    <x v="1"/>
    <n v="3"/>
    <n v="2"/>
    <x v="4"/>
    <n v="4"/>
    <x v="0"/>
    <n v="4163"/>
    <n v="1"/>
    <s v="Yes"/>
    <n v="17"/>
    <n v="3"/>
    <n v="0"/>
    <n v="9"/>
    <n v="0"/>
    <n v="9"/>
    <n v="0"/>
    <n v="7"/>
    <x v="1"/>
    <s v="23-02-2012"/>
    <m/>
    <s v="Salary"/>
    <s v="WFH"/>
    <n v="0"/>
    <n v="0"/>
    <s v="Yes"/>
    <s v="Walk-in"/>
    <s v="Part Time"/>
    <n v="1735"/>
    <n v="51"/>
    <n v="80"/>
    <n v="2"/>
    <n v="0"/>
    <m/>
    <n v="0"/>
    <n v="1"/>
    <s v="Current Employees"/>
    <s v="No"/>
  </r>
  <r>
    <x v="2"/>
    <s v="Travel_Rarely"/>
    <x v="1"/>
    <n v="11"/>
    <x v="1"/>
    <n v="3"/>
    <n v="4"/>
    <x v="5"/>
    <n v="4"/>
    <x v="1"/>
    <n v="17650"/>
    <n v="3"/>
    <s v="No"/>
    <n v="13"/>
    <n v="3"/>
    <n v="1"/>
    <n v="26"/>
    <n v="4"/>
    <n v="9"/>
    <n v="1"/>
    <n v="1"/>
    <x v="2"/>
    <d v="2012-01-05T00:00:00"/>
    <m/>
    <s v="Dept.Head"/>
    <s v="WFH"/>
    <n v="5"/>
    <n v="2"/>
    <s v="No"/>
    <s v="Recruiter"/>
    <s v="Contract"/>
    <n v="1751"/>
    <n v="67"/>
    <n v="80"/>
    <n v="2"/>
    <n v="0"/>
    <m/>
    <n v="0"/>
    <n v="1"/>
    <s v="Current Employees"/>
    <s v="No"/>
  </r>
  <r>
    <x v="37"/>
    <s v="Travel_Rarely"/>
    <x v="1"/>
    <n v="2"/>
    <x v="1"/>
    <n v="2"/>
    <n v="3"/>
    <x v="4"/>
    <n v="3"/>
    <x v="1"/>
    <n v="10686"/>
    <n v="6"/>
    <s v="No"/>
    <n v="11"/>
    <n v="3"/>
    <n v="1"/>
    <n v="13"/>
    <n v="4"/>
    <n v="9"/>
    <n v="7"/>
    <n v="0"/>
    <x v="2"/>
    <s v="16-05-2012"/>
    <m/>
    <s v="Dept.Head"/>
    <s v="OFFICE"/>
    <n v="3"/>
    <n v="3"/>
    <s v="No"/>
    <s v="Recruiter"/>
    <s v="FullTime"/>
    <n v="2054"/>
    <n v="73"/>
    <n v="80"/>
    <n v="4"/>
    <n v="0"/>
    <m/>
    <n v="0"/>
    <n v="1"/>
    <s v="Current Employees"/>
    <s v="No"/>
  </r>
  <r>
    <x v="29"/>
    <s v="Non-Travel"/>
    <x v="0"/>
    <n v="2"/>
    <x v="0"/>
    <n v="2"/>
    <n v="4"/>
    <x v="5"/>
    <n v="1"/>
    <x v="0"/>
    <n v="16756"/>
    <n v="7"/>
    <s v="No"/>
    <n v="15"/>
    <n v="3"/>
    <n v="0"/>
    <n v="31"/>
    <n v="3"/>
    <n v="9"/>
    <n v="6"/>
    <n v="2"/>
    <x v="1"/>
    <s v="14-06-2012"/>
    <m/>
    <s v="Dept.Head"/>
    <s v="OFFICE"/>
    <n v="4"/>
    <n v="3"/>
    <s v="Yes"/>
    <s v="Recruiter"/>
    <s v="Contract"/>
    <n v="1529"/>
    <n v="91"/>
    <n v="80"/>
    <n v="8"/>
    <n v="0"/>
    <m/>
    <n v="0"/>
    <n v="1"/>
    <s v="Current Employees"/>
    <s v="No"/>
  </r>
  <r>
    <x v="6"/>
    <s v="Travel_Rarely"/>
    <x v="0"/>
    <n v="3"/>
    <x v="1"/>
    <n v="3"/>
    <n v="3"/>
    <x v="6"/>
    <n v="2"/>
    <x v="2"/>
    <n v="7655"/>
    <n v="0"/>
    <s v="No"/>
    <n v="17"/>
    <n v="3"/>
    <n v="3"/>
    <n v="10"/>
    <n v="3"/>
    <n v="9"/>
    <n v="1"/>
    <n v="7"/>
    <x v="1"/>
    <d v="2012-10-01T00:00:00"/>
    <m/>
    <s v="Better Opportunity"/>
    <s v="OFFICE"/>
    <n v="3"/>
    <n v="2"/>
    <s v="No"/>
    <s v="Walk-in"/>
    <s v="FullTime"/>
    <n v="1719"/>
    <n v="48"/>
    <n v="80"/>
    <n v="6"/>
    <n v="0"/>
    <m/>
    <n v="0"/>
    <n v="1"/>
    <s v="Current Employees"/>
    <s v="No"/>
  </r>
  <r>
    <x v="39"/>
    <s v="Travel_Rarely"/>
    <x v="1"/>
    <n v="8"/>
    <x v="0"/>
    <n v="2"/>
    <n v="4"/>
    <x v="4"/>
    <n v="2"/>
    <x v="1"/>
    <n v="13120"/>
    <n v="6"/>
    <s v="No"/>
    <n v="17"/>
    <n v="3"/>
    <n v="1"/>
    <n v="22"/>
    <n v="3"/>
    <n v="9"/>
    <n v="2"/>
    <n v="3"/>
    <x v="3"/>
    <s v="20-03-2012"/>
    <m/>
    <s v="Work Accident"/>
    <s v="WFH"/>
    <n v="5"/>
    <n v="1"/>
    <s v="No"/>
    <s v="Recruiter"/>
    <s v="Part Time"/>
    <n v="1422"/>
    <n v="54"/>
    <n v="80"/>
    <n v="7"/>
    <n v="0"/>
    <m/>
    <n v="0"/>
    <n v="1"/>
    <s v="Current Employees"/>
    <s v="No"/>
  </r>
  <r>
    <x v="15"/>
    <s v="Travel_Rarely"/>
    <x v="0"/>
    <n v="14"/>
    <x v="0"/>
    <n v="3"/>
    <n v="1"/>
    <x v="1"/>
    <n v="1"/>
    <x v="1"/>
    <n v="2235"/>
    <n v="1"/>
    <s v="Yes"/>
    <n v="14"/>
    <n v="3"/>
    <n v="2"/>
    <n v="9"/>
    <n v="3"/>
    <n v="9"/>
    <n v="6"/>
    <n v="8"/>
    <x v="1"/>
    <s v="14-06-2012"/>
    <m/>
    <s v="Work Accident"/>
    <s v="WFH"/>
    <n v="4"/>
    <n v="1"/>
    <s v="No"/>
    <s v="Job Portal"/>
    <s v="Part Time"/>
    <n v="1863"/>
    <n v="45"/>
    <n v="80"/>
    <n v="17"/>
    <n v="0"/>
    <m/>
    <n v="0"/>
    <n v="1"/>
    <s v="Current Employees"/>
    <s v="No"/>
  </r>
  <r>
    <x v="20"/>
    <s v="Travel_Rarely"/>
    <x v="1"/>
    <n v="10"/>
    <x v="0"/>
    <n v="4"/>
    <n v="3"/>
    <x v="4"/>
    <n v="3"/>
    <x v="2"/>
    <n v="8380"/>
    <n v="0"/>
    <s v="Yes"/>
    <n v="14"/>
    <n v="3"/>
    <n v="2"/>
    <n v="10"/>
    <n v="3"/>
    <n v="9"/>
    <n v="0"/>
    <n v="8"/>
    <x v="1"/>
    <d v="2012-11-03T00:00:00"/>
    <m/>
    <s v="Better Opportunity"/>
    <s v="OFFICE"/>
    <n v="2"/>
    <n v="1"/>
    <s v="No"/>
    <s v="Recruiter"/>
    <s v="FullTime"/>
    <n v="1557"/>
    <n v="96"/>
    <n v="80"/>
    <n v="7"/>
    <n v="0"/>
    <m/>
    <n v="0"/>
    <n v="1"/>
    <s v="Current Employees"/>
    <s v="No"/>
  </r>
  <r>
    <x v="24"/>
    <s v="Travel_Rarely"/>
    <x v="0"/>
    <n v="18"/>
    <x v="0"/>
    <n v="3"/>
    <n v="3"/>
    <x v="6"/>
    <n v="4"/>
    <x v="0"/>
    <n v="10512"/>
    <n v="6"/>
    <s v="No"/>
    <n v="12"/>
    <n v="3"/>
    <n v="0"/>
    <n v="25"/>
    <n v="6"/>
    <n v="9"/>
    <n v="5"/>
    <n v="4"/>
    <x v="0"/>
    <s v="14-06-2012"/>
    <m/>
    <s v="Dept.Head"/>
    <s v="OFFICE"/>
    <n v="4"/>
    <n v="1"/>
    <s v="No"/>
    <s v="Recruiter"/>
    <s v="FullTime"/>
    <n v="1428"/>
    <n v="73"/>
    <n v="80"/>
    <n v="2"/>
    <n v="0"/>
    <m/>
    <n v="0"/>
    <n v="1"/>
    <s v="Current Employees"/>
    <s v="No"/>
  </r>
  <r>
    <x v="14"/>
    <s v="Travel_Rarely"/>
    <x v="0"/>
    <n v="6"/>
    <x v="1"/>
    <n v="2"/>
    <n v="2"/>
    <x v="0"/>
    <n v="4"/>
    <x v="1"/>
    <n v="4627"/>
    <n v="0"/>
    <s v="No"/>
    <n v="12"/>
    <n v="3"/>
    <n v="1"/>
    <n v="10"/>
    <n v="6"/>
    <n v="9"/>
    <n v="6"/>
    <n v="7"/>
    <x v="1"/>
    <s v="29-02-2012"/>
    <m/>
    <s v="Work Accident"/>
    <s v="WFH"/>
    <n v="3"/>
    <n v="0"/>
    <s v="No"/>
    <s v="Job Event"/>
    <s v="Contract"/>
    <n v="1676"/>
    <n v="47"/>
    <n v="80"/>
    <n v="2"/>
    <n v="0"/>
    <m/>
    <n v="0"/>
    <n v="1"/>
    <s v="Current Employees"/>
    <s v="No"/>
  </r>
  <r>
    <x v="6"/>
    <s v="Non-Travel"/>
    <x v="0"/>
    <n v="1"/>
    <x v="1"/>
    <n v="1"/>
    <n v="2"/>
    <x v="0"/>
    <n v="4"/>
    <x v="1"/>
    <n v="6674"/>
    <n v="0"/>
    <s v="No"/>
    <n v="11"/>
    <n v="3"/>
    <n v="3"/>
    <n v="10"/>
    <n v="6"/>
    <n v="9"/>
    <n v="7"/>
    <n v="5"/>
    <x v="0"/>
    <s v="18-04-2012"/>
    <m/>
    <s v="Work Environment"/>
    <s v="OFFICE"/>
    <n v="2"/>
    <n v="2"/>
    <s v="No"/>
    <s v="Job Portal"/>
    <s v="Part Time"/>
    <n v="2041"/>
    <n v="100"/>
    <n v="80"/>
    <n v="7"/>
    <n v="0"/>
    <m/>
    <n v="0"/>
    <n v="1"/>
    <s v="Current Employees"/>
    <s v="No"/>
  </r>
  <r>
    <x v="14"/>
    <s v="Travel_Rarely"/>
    <x v="0"/>
    <n v="17"/>
    <x v="1"/>
    <n v="3"/>
    <n v="3"/>
    <x v="5"/>
    <n v="1"/>
    <x v="1"/>
    <n v="11916"/>
    <n v="1"/>
    <s v="Yes"/>
    <n v="23"/>
    <n v="4"/>
    <n v="2"/>
    <n v="9"/>
    <n v="2"/>
    <n v="9"/>
    <n v="0"/>
    <n v="8"/>
    <x v="0"/>
    <s v="23-02-2012"/>
    <m/>
    <s v="Better Opportunity"/>
    <s v="OFFICE"/>
    <n v="1"/>
    <n v="3"/>
    <s v="No"/>
    <s v="Job Event"/>
    <s v="Part Time"/>
    <n v="2045"/>
    <n v="100"/>
    <n v="80"/>
    <n v="3"/>
    <n v="0"/>
    <m/>
    <n v="0"/>
    <n v="1"/>
    <s v="Current Employees"/>
    <s v="No"/>
  </r>
  <r>
    <x v="13"/>
    <s v="Travel_Rarely"/>
    <x v="0"/>
    <n v="9"/>
    <x v="0"/>
    <n v="3"/>
    <n v="3"/>
    <x v="7"/>
    <n v="4"/>
    <x v="2"/>
    <n v="8500"/>
    <n v="0"/>
    <s v="No"/>
    <n v="11"/>
    <n v="3"/>
    <n v="1"/>
    <n v="10"/>
    <n v="0"/>
    <n v="9"/>
    <n v="1"/>
    <n v="6"/>
    <x v="2"/>
    <d v="2012-03-03T00:00:00"/>
    <m/>
    <s v="Work Environment"/>
    <s v="OFFICE"/>
    <n v="0"/>
    <n v="1"/>
    <s v="No"/>
    <s v="Walk-in"/>
    <s v="FullTime"/>
    <n v="2056"/>
    <n v="60"/>
    <n v="80"/>
    <n v="9"/>
    <n v="0"/>
    <m/>
    <n v="0"/>
    <n v="1"/>
    <s v="Current Employees"/>
    <s v="No"/>
  </r>
  <r>
    <x v="18"/>
    <s v="Travel_Rarely"/>
    <x v="0"/>
    <n v="2"/>
    <x v="0"/>
    <n v="3"/>
    <n v="2"/>
    <x v="1"/>
    <n v="4"/>
    <x v="0"/>
    <n v="4661"/>
    <n v="1"/>
    <s v="No"/>
    <n v="13"/>
    <n v="3"/>
    <n v="0"/>
    <n v="9"/>
    <n v="4"/>
    <n v="9"/>
    <n v="8"/>
    <n v="8"/>
    <x v="1"/>
    <s v="15-03-2012"/>
    <m/>
    <s v="Salary"/>
    <s v="WFH"/>
    <n v="0"/>
    <n v="2"/>
    <s v="Yes"/>
    <s v="Walk-in"/>
    <s v="Part Time"/>
    <n v="1986"/>
    <n v="92"/>
    <n v="80"/>
    <n v="8"/>
    <n v="0"/>
    <m/>
    <n v="0"/>
    <n v="1"/>
    <s v="Current Employees"/>
    <s v="No"/>
  </r>
  <r>
    <x v="33"/>
    <s v="Travel_Frequently"/>
    <x v="1"/>
    <n v="1"/>
    <x v="1"/>
    <n v="3"/>
    <n v="2"/>
    <x v="4"/>
    <n v="1"/>
    <x v="2"/>
    <n v="4103"/>
    <n v="0"/>
    <s v="No"/>
    <n v="17"/>
    <n v="3"/>
    <n v="1"/>
    <n v="10"/>
    <n v="2"/>
    <n v="9"/>
    <n v="1"/>
    <n v="7"/>
    <x v="3"/>
    <s v="16-03-2012"/>
    <m/>
    <s v="Work Environment"/>
    <s v="OFFICE"/>
    <n v="0"/>
    <n v="3"/>
    <s v="No"/>
    <s v="Recruiter"/>
    <s v="FullTime"/>
    <n v="1875"/>
    <n v="78"/>
    <n v="80"/>
    <n v="0"/>
    <n v="0"/>
    <m/>
    <n v="0"/>
    <n v="1"/>
    <s v="Current Employees"/>
    <s v="No"/>
  </r>
  <r>
    <x v="27"/>
    <s v="Travel_Frequently"/>
    <x v="0"/>
    <n v="4"/>
    <x v="0"/>
    <n v="3"/>
    <n v="2"/>
    <x v="1"/>
    <n v="3"/>
    <x v="0"/>
    <n v="4249"/>
    <n v="1"/>
    <s v="Yes"/>
    <n v="11"/>
    <n v="3"/>
    <n v="0"/>
    <n v="9"/>
    <n v="3"/>
    <n v="9"/>
    <n v="1"/>
    <n v="1"/>
    <x v="0"/>
    <d v="2012-08-05T00:00:00"/>
    <m/>
    <s v="Work Environment"/>
    <s v="WFH"/>
    <n v="1"/>
    <n v="3"/>
    <s v="No"/>
    <s v="Job Portal"/>
    <s v="FullTime"/>
    <n v="1527"/>
    <n v="51"/>
    <n v="80"/>
    <n v="12"/>
    <n v="0"/>
    <m/>
    <n v="0"/>
    <n v="1"/>
    <s v="Current Employees"/>
    <s v="No"/>
  </r>
  <r>
    <x v="27"/>
    <s v="Travel_Rarely"/>
    <x v="0"/>
    <n v="1"/>
    <x v="1"/>
    <n v="2"/>
    <n v="2"/>
    <x v="0"/>
    <n v="4"/>
    <x v="1"/>
    <n v="5363"/>
    <n v="0"/>
    <s v="No"/>
    <n v="12"/>
    <n v="3"/>
    <n v="1"/>
    <n v="10"/>
    <n v="0"/>
    <n v="9"/>
    <n v="0"/>
    <n v="0"/>
    <x v="3"/>
    <d v="2012-09-02T00:00:00"/>
    <m/>
    <s v="Better Opportunity"/>
    <s v="OFFICE"/>
    <n v="3"/>
    <n v="3"/>
    <s v="No"/>
    <s v="Recruiter"/>
    <s v="FullTime"/>
    <n v="1935"/>
    <n v="89"/>
    <n v="80"/>
    <n v="0"/>
    <n v="0"/>
    <m/>
    <n v="0"/>
    <n v="1"/>
    <s v="Current Employees"/>
    <s v="No"/>
  </r>
  <r>
    <x v="32"/>
    <s v="Travel_Rarely"/>
    <x v="0"/>
    <n v="1"/>
    <x v="1"/>
    <n v="3"/>
    <n v="5"/>
    <x v="2"/>
    <n v="1"/>
    <x v="1"/>
    <n v="19701"/>
    <n v="3"/>
    <s v="Yes"/>
    <n v="21"/>
    <n v="4"/>
    <n v="1"/>
    <n v="32"/>
    <n v="3"/>
    <n v="9"/>
    <n v="1"/>
    <n v="5"/>
    <x v="2"/>
    <d v="2012-12-01T00:00:00"/>
    <m/>
    <s v="Dept.Head"/>
    <s v="OFFICE"/>
    <n v="4"/>
    <n v="0"/>
    <s v="Yes"/>
    <s v="Job Portal"/>
    <s v="Part Time"/>
    <n v="1598"/>
    <n v="84"/>
    <n v="80"/>
    <n v="4"/>
    <n v="0"/>
    <m/>
    <n v="0"/>
    <n v="1"/>
    <s v="Current Employees"/>
    <s v="No"/>
  </r>
  <r>
    <x v="18"/>
    <s v="Non-Travel"/>
    <x v="0"/>
    <n v="8"/>
    <x v="0"/>
    <n v="2"/>
    <n v="3"/>
    <x v="2"/>
    <n v="2"/>
    <x v="2"/>
    <n v="13757"/>
    <n v="2"/>
    <s v="No"/>
    <n v="11"/>
    <n v="3"/>
    <n v="1"/>
    <n v="16"/>
    <n v="5"/>
    <n v="9"/>
    <n v="4"/>
    <n v="8"/>
    <x v="3"/>
    <s v="17-02-2012"/>
    <m/>
    <s v="Dept.Head"/>
    <s v="OFFICE"/>
    <n v="0"/>
    <n v="2"/>
    <s v="Yes"/>
    <s v="Walk-in"/>
    <s v="Contract"/>
    <n v="1784"/>
    <n v="91"/>
    <n v="80"/>
    <n v="7"/>
    <n v="0"/>
    <m/>
    <n v="0"/>
    <n v="1"/>
    <s v="Current Employees"/>
    <s v="No"/>
  </r>
  <r>
    <x v="42"/>
    <s v="Travel_Rarely"/>
    <x v="0"/>
    <n v="2"/>
    <x v="0"/>
    <n v="4"/>
    <n v="4"/>
    <x v="2"/>
    <n v="2"/>
    <x v="0"/>
    <n v="16598"/>
    <n v="4"/>
    <s v="No"/>
    <n v="12"/>
    <n v="3"/>
    <n v="0"/>
    <n v="35"/>
    <n v="2"/>
    <n v="9"/>
    <n v="8"/>
    <n v="8"/>
    <x v="1"/>
    <s v="28-04-2012"/>
    <m/>
    <s v="Work Environment"/>
    <s v="OFFICE"/>
    <n v="0"/>
    <n v="1"/>
    <s v="No"/>
    <s v="Recruiter"/>
    <s v="FullTime"/>
    <n v="2024"/>
    <n v="94"/>
    <n v="80"/>
    <n v="7"/>
    <n v="0"/>
    <m/>
    <n v="0"/>
    <n v="1"/>
    <s v="Current Employees"/>
    <s v="No"/>
  </r>
  <r>
    <x v="7"/>
    <s v="Travel_Rarely"/>
    <x v="0"/>
    <n v="1"/>
    <x v="0"/>
    <n v="2"/>
    <n v="1"/>
    <x v="1"/>
    <n v="1"/>
    <x v="0"/>
    <n v="2362"/>
    <n v="6"/>
    <s v="No"/>
    <n v="13"/>
    <n v="3"/>
    <n v="0"/>
    <n v="11"/>
    <n v="2"/>
    <n v="9"/>
    <n v="0"/>
    <n v="7"/>
    <x v="2"/>
    <d v="2012-03-02T00:00:00"/>
    <m/>
    <s v="Salary"/>
    <s v="OFFICE"/>
    <n v="4"/>
    <n v="3"/>
    <s v="No"/>
    <s v="Recruiter"/>
    <s v="FullTime"/>
    <n v="1673"/>
    <n v="67"/>
    <n v="80"/>
    <n v="0"/>
    <n v="0"/>
    <m/>
    <n v="0"/>
    <n v="1"/>
    <s v="Current Employees"/>
    <s v="No"/>
  </r>
  <r>
    <x v="12"/>
    <s v="Travel_Rarely"/>
    <x v="1"/>
    <n v="14"/>
    <x v="0"/>
    <n v="3"/>
    <n v="2"/>
    <x v="4"/>
    <n v="2"/>
    <x v="1"/>
    <n v="9924"/>
    <n v="0"/>
    <s v="No"/>
    <n v="11"/>
    <n v="3"/>
    <n v="1"/>
    <n v="10"/>
    <n v="3"/>
    <n v="9"/>
    <n v="7"/>
    <n v="7"/>
    <x v="1"/>
    <d v="2012-05-02T00:00:00"/>
    <m/>
    <s v="Better Opportunity"/>
    <s v="OFFICE"/>
    <n v="4"/>
    <n v="3"/>
    <s v="No"/>
    <s v="Job Portal"/>
    <s v="Contract"/>
    <n v="1436"/>
    <n v="98"/>
    <n v="80"/>
    <n v="2"/>
    <n v="0"/>
    <m/>
    <n v="0"/>
    <n v="1"/>
    <s v="Current Employees"/>
    <s v="No"/>
  </r>
  <r>
    <x v="13"/>
    <s v="Travel_Frequently"/>
    <x v="0"/>
    <n v="10"/>
    <x v="0"/>
    <n v="4"/>
    <n v="2"/>
    <x v="6"/>
    <n v="4"/>
    <x v="2"/>
    <n v="4724"/>
    <n v="1"/>
    <s v="No"/>
    <n v="13"/>
    <n v="3"/>
    <n v="1"/>
    <n v="9"/>
    <n v="3"/>
    <n v="9"/>
    <n v="7"/>
    <n v="2"/>
    <x v="2"/>
    <s v="28-01-2012"/>
    <m/>
    <s v="Dept.Head"/>
    <s v="WFH"/>
    <n v="1"/>
    <n v="1"/>
    <s v="No"/>
    <s v="Job Event"/>
    <s v="Contract"/>
    <n v="2016"/>
    <n v="48"/>
    <n v="80"/>
    <n v="10"/>
    <n v="0"/>
    <m/>
    <n v="0"/>
    <n v="1"/>
    <s v="Current Employees"/>
    <s v="No"/>
  </r>
  <r>
    <x v="39"/>
    <s v="Travel_Rarely"/>
    <x v="0"/>
    <n v="25"/>
    <x v="1"/>
    <n v="3"/>
    <n v="1"/>
    <x v="0"/>
    <n v="1"/>
    <x v="1"/>
    <n v="3211"/>
    <n v="1"/>
    <s v="No"/>
    <n v="14"/>
    <n v="3"/>
    <n v="1"/>
    <n v="10"/>
    <n v="3"/>
    <n v="9"/>
    <n v="1"/>
    <n v="4"/>
    <x v="1"/>
    <s v="16-02-2012"/>
    <m/>
    <s v="Work Environment"/>
    <s v="OFFICE"/>
    <n v="5"/>
    <n v="3"/>
    <s v="Yes"/>
    <s v="Job Event"/>
    <s v="Part Time"/>
    <n v="1898"/>
    <n v="89"/>
    <n v="80"/>
    <n v="7"/>
    <n v="0"/>
    <m/>
    <n v="0"/>
    <n v="1"/>
    <s v="Current Employees"/>
    <s v="No"/>
  </r>
  <r>
    <x v="25"/>
    <s v="Travel_Frequently"/>
    <x v="0"/>
    <n v="4"/>
    <x v="1"/>
    <n v="3"/>
    <n v="2"/>
    <x v="6"/>
    <n v="3"/>
    <x v="0"/>
    <n v="5042"/>
    <n v="0"/>
    <s v="No"/>
    <n v="13"/>
    <n v="3"/>
    <n v="0"/>
    <n v="10"/>
    <n v="2"/>
    <n v="9"/>
    <n v="3"/>
    <n v="8"/>
    <x v="0"/>
    <s v="30-06-2012"/>
    <m/>
    <s v="Work Accident"/>
    <s v="WFH"/>
    <n v="5"/>
    <n v="2"/>
    <s v="No"/>
    <s v="Job Portal"/>
    <s v="Part Time"/>
    <n v="1583"/>
    <n v="90"/>
    <n v="80"/>
    <n v="2"/>
    <n v="0"/>
    <m/>
    <n v="0"/>
    <n v="1"/>
    <s v="Current Employees"/>
    <s v="No"/>
  </r>
  <r>
    <x v="21"/>
    <s v="Travel_Rarely"/>
    <x v="0"/>
    <n v="2"/>
    <x v="0"/>
    <n v="3"/>
    <n v="2"/>
    <x v="1"/>
    <n v="2"/>
    <x v="2"/>
    <n v="5470"/>
    <n v="0"/>
    <s v="No"/>
    <n v="13"/>
    <n v="3"/>
    <n v="2"/>
    <n v="10"/>
    <n v="4"/>
    <n v="9"/>
    <n v="1"/>
    <n v="6"/>
    <x v="0"/>
    <s v="19-02-2012"/>
    <m/>
    <s v="Salary"/>
    <s v="OFFICE"/>
    <n v="5"/>
    <n v="1"/>
    <s v="No"/>
    <s v="Job Portal"/>
    <s v="Contract"/>
    <n v="1585"/>
    <n v="73"/>
    <n v="80"/>
    <n v="0"/>
    <n v="0"/>
    <m/>
    <n v="0"/>
    <n v="1"/>
    <s v="Current Employees"/>
    <s v="No"/>
  </r>
  <r>
    <x v="10"/>
    <s v="Travel_Frequently"/>
    <x v="1"/>
    <n v="7"/>
    <x v="1"/>
    <n v="3"/>
    <n v="1"/>
    <x v="3"/>
    <n v="3"/>
    <x v="1"/>
    <n v="2655"/>
    <n v="2"/>
    <s v="Yes"/>
    <n v="11"/>
    <n v="3"/>
    <n v="2"/>
    <n v="19"/>
    <n v="3"/>
    <n v="9"/>
    <n v="7"/>
    <n v="7"/>
    <x v="3"/>
    <s v="28-05-2012"/>
    <m/>
    <s v="Better Opportunity"/>
    <s v="WFH"/>
    <n v="3"/>
    <n v="0"/>
    <s v="No"/>
    <s v="Job Event"/>
    <s v="Contract"/>
    <n v="1657"/>
    <n v="31"/>
    <n v="80"/>
    <n v="2"/>
    <n v="0"/>
    <m/>
    <n v="0"/>
    <n v="1"/>
    <s v="Current Employees"/>
    <s v="No"/>
  </r>
  <r>
    <x v="25"/>
    <s v="Non-Travel"/>
    <x v="0"/>
    <n v="1"/>
    <x v="0"/>
    <n v="3"/>
    <n v="2"/>
    <x v="0"/>
    <n v="4"/>
    <x v="1"/>
    <n v="6472"/>
    <n v="1"/>
    <s v="Yes"/>
    <n v="15"/>
    <n v="3"/>
    <n v="1"/>
    <n v="9"/>
    <n v="2"/>
    <n v="9"/>
    <n v="5"/>
    <n v="8"/>
    <x v="0"/>
    <s v="23-06-2012"/>
    <m/>
    <s v="Dept.Head"/>
    <s v="OFFICE"/>
    <n v="4"/>
    <n v="2"/>
    <s v="Yes"/>
    <s v="Job Event"/>
    <s v="Contract"/>
    <n v="1710"/>
    <n v="51"/>
    <n v="80"/>
    <n v="7"/>
    <n v="0"/>
    <m/>
    <n v="0"/>
    <n v="1"/>
    <s v="Current Employees"/>
    <s v="No"/>
  </r>
  <r>
    <x v="14"/>
    <s v="Travel_Frequently"/>
    <x v="0"/>
    <n v="2"/>
    <x v="1"/>
    <n v="2"/>
    <n v="1"/>
    <x v="1"/>
    <n v="1"/>
    <x v="0"/>
    <n v="4968"/>
    <n v="0"/>
    <s v="No"/>
    <n v="16"/>
    <n v="3"/>
    <n v="0"/>
    <n v="10"/>
    <n v="2"/>
    <n v="9"/>
    <n v="0"/>
    <n v="7"/>
    <x v="1"/>
    <d v="2012-02-01T00:00:00"/>
    <m/>
    <s v="Work Accident"/>
    <s v="WFH"/>
    <n v="0"/>
    <n v="2"/>
    <s v="No"/>
    <s v="Job Portal"/>
    <s v="Part Time"/>
    <n v="1779"/>
    <n v="32"/>
    <n v="80"/>
    <n v="2"/>
    <n v="0"/>
    <m/>
    <n v="0"/>
    <n v="1"/>
    <s v="Current Employees"/>
    <s v="No"/>
  </r>
  <r>
    <x v="20"/>
    <s v="Non-Travel"/>
    <x v="0"/>
    <n v="4"/>
    <x v="0"/>
    <n v="3"/>
    <n v="2"/>
    <x v="1"/>
    <n v="2"/>
    <x v="2"/>
    <n v="3055"/>
    <n v="5"/>
    <s v="No"/>
    <n v="15"/>
    <n v="3"/>
    <n v="2"/>
    <n v="11"/>
    <n v="2"/>
    <n v="9"/>
    <n v="1"/>
    <n v="7"/>
    <x v="2"/>
    <d v="2012-08-01T00:00:00"/>
    <m/>
    <s v="Dept.Head"/>
    <s v="WFH"/>
    <n v="4"/>
    <n v="2"/>
    <s v="Yes"/>
    <s v="Job Event"/>
    <s v="Contract"/>
    <n v="2060"/>
    <n v="30"/>
    <n v="80"/>
    <n v="2"/>
    <n v="0"/>
    <m/>
    <n v="0"/>
    <n v="1"/>
    <s v="Current Employees"/>
    <s v="No"/>
  </r>
  <r>
    <x v="34"/>
    <s v="Travel_Rarely"/>
    <x v="2"/>
    <n v="2"/>
    <x v="0"/>
    <n v="3"/>
    <n v="1"/>
    <x v="8"/>
    <n v="4"/>
    <x v="0"/>
    <n v="3539"/>
    <n v="0"/>
    <s v="No"/>
    <n v="13"/>
    <n v="3"/>
    <n v="0"/>
    <n v="10"/>
    <n v="5"/>
    <n v="9"/>
    <n v="1"/>
    <n v="8"/>
    <x v="2"/>
    <d v="2012-03-05T00:00:00"/>
    <m/>
    <s v="Work Environment"/>
    <s v="OFFICE"/>
    <n v="3"/>
    <n v="1"/>
    <s v="No"/>
    <s v="Recruiter"/>
    <s v="Contract"/>
    <n v="2046"/>
    <n v="50"/>
    <n v="80"/>
    <n v="3"/>
    <n v="0"/>
    <m/>
    <n v="0"/>
    <n v="1"/>
    <s v="Current Employees"/>
    <s v="No"/>
  </r>
  <r>
    <x v="35"/>
    <s v="Travel_Rarely"/>
    <x v="0"/>
    <n v="21"/>
    <x v="1"/>
    <n v="3"/>
    <n v="2"/>
    <x v="7"/>
    <n v="2"/>
    <x v="1"/>
    <n v="8926"/>
    <n v="4"/>
    <s v="No"/>
    <n v="22"/>
    <n v="4"/>
    <n v="1"/>
    <n v="13"/>
    <n v="2"/>
    <n v="9"/>
    <n v="3"/>
    <n v="7"/>
    <x v="0"/>
    <s v="26-06-2012"/>
    <m/>
    <s v="Better Opportunity"/>
    <s v="OFFICE"/>
    <n v="0"/>
    <n v="3"/>
    <s v="No"/>
    <s v="Walk-in"/>
    <s v="Part Time"/>
    <n v="1757"/>
    <n v="80"/>
    <n v="80"/>
    <n v="1"/>
    <n v="0"/>
    <m/>
    <n v="0"/>
    <n v="1"/>
    <s v="Current Employees"/>
    <s v="No"/>
  </r>
  <r>
    <x v="35"/>
    <s v="Travel_Rarely"/>
    <x v="0"/>
    <n v="2"/>
    <x v="0"/>
    <n v="3"/>
    <n v="3"/>
    <x v="6"/>
    <n v="4"/>
    <x v="2"/>
    <n v="8578"/>
    <n v="3"/>
    <s v="No"/>
    <n v="14"/>
    <n v="3"/>
    <n v="1"/>
    <n v="12"/>
    <n v="4"/>
    <n v="9"/>
    <n v="4"/>
    <n v="7"/>
    <x v="3"/>
    <s v="28-01-2012"/>
    <m/>
    <s v="Better Opportunity"/>
    <s v="OFFICE"/>
    <n v="2"/>
    <n v="3"/>
    <s v="Yes"/>
    <s v="Job Event"/>
    <s v="Contract"/>
    <n v="1858"/>
    <n v="43"/>
    <n v="80"/>
    <n v="2"/>
    <n v="0"/>
    <m/>
    <n v="0"/>
    <n v="1"/>
    <s v="Current Employees"/>
    <s v="No"/>
  </r>
  <r>
    <x v="15"/>
    <s v="Travel_Rarely"/>
    <x v="1"/>
    <n v="23"/>
    <x v="1"/>
    <n v="2"/>
    <n v="2"/>
    <x v="3"/>
    <n v="3"/>
    <x v="1"/>
    <n v="3540"/>
    <n v="1"/>
    <s v="No"/>
    <n v="21"/>
    <n v="4"/>
    <n v="1"/>
    <n v="9"/>
    <n v="5"/>
    <n v="9"/>
    <n v="5"/>
    <n v="8"/>
    <x v="1"/>
    <d v="2012-09-05T00:00:00"/>
    <m/>
    <s v="Work Accident"/>
    <s v="WFH"/>
    <n v="3"/>
    <n v="2"/>
    <s v="No"/>
    <s v="Job Portal"/>
    <s v="Contract"/>
    <n v="1805"/>
    <n v="100"/>
    <n v="80"/>
    <n v="10"/>
    <n v="0"/>
    <m/>
    <n v="0"/>
    <n v="1"/>
    <s v="Current Employees"/>
    <s v="No"/>
  </r>
  <r>
    <x v="2"/>
    <s v="Travel_Rarely"/>
    <x v="0"/>
    <n v="25"/>
    <x v="1"/>
    <n v="2"/>
    <n v="2"/>
    <x v="6"/>
    <n v="4"/>
    <x v="1"/>
    <n v="5906"/>
    <n v="0"/>
    <s v="No"/>
    <n v="13"/>
    <n v="3"/>
    <n v="2"/>
    <n v="10"/>
    <n v="2"/>
    <n v="9"/>
    <n v="3"/>
    <n v="8"/>
    <x v="1"/>
    <s v="16-06-2012"/>
    <m/>
    <s v="Better Opportunity"/>
    <s v="WFH"/>
    <n v="3"/>
    <n v="1"/>
    <s v="Yes"/>
    <s v="Job Portal"/>
    <s v="Contract"/>
    <n v="1722"/>
    <n v="60"/>
    <n v="80"/>
    <n v="2"/>
    <n v="0"/>
    <m/>
    <n v="0"/>
    <n v="1"/>
    <s v="Current Employees"/>
    <s v="No"/>
  </r>
  <r>
    <x v="20"/>
    <s v="Travel_Frequently"/>
    <x v="0"/>
    <n v="7"/>
    <x v="0"/>
    <n v="3"/>
    <n v="2"/>
    <x v="7"/>
    <n v="3"/>
    <x v="2"/>
    <n v="5968"/>
    <n v="1"/>
    <s v="No"/>
    <n v="20"/>
    <n v="4"/>
    <n v="3"/>
    <n v="9"/>
    <n v="2"/>
    <n v="9"/>
    <n v="2"/>
    <n v="8"/>
    <x v="3"/>
    <s v="26-04-2012"/>
    <m/>
    <s v="Work Environment"/>
    <s v="WFH"/>
    <n v="1"/>
    <n v="0"/>
    <s v="No"/>
    <s v="Job Event"/>
    <s v="Contract"/>
    <n v="1804"/>
    <n v="90"/>
    <n v="80"/>
    <n v="7"/>
    <n v="0"/>
    <m/>
    <n v="0"/>
    <n v="1"/>
    <s v="Current Employees"/>
    <s v="No"/>
  </r>
  <r>
    <x v="20"/>
    <s v="Travel_Rarely"/>
    <x v="0"/>
    <n v="15"/>
    <x v="1"/>
    <n v="3"/>
    <n v="2"/>
    <x v="7"/>
    <n v="4"/>
    <x v="1"/>
    <n v="4878"/>
    <n v="0"/>
    <s v="Yes"/>
    <n v="13"/>
    <n v="3"/>
    <n v="1"/>
    <n v="10"/>
    <n v="6"/>
    <n v="9"/>
    <n v="8"/>
    <n v="1"/>
    <x v="1"/>
    <d v="2012-05-03T00:00:00"/>
    <m/>
    <s v="Work Environment"/>
    <s v="OFFICE"/>
    <n v="0"/>
    <n v="3"/>
    <s v="No"/>
    <s v="Job Portal"/>
    <s v="Part Time"/>
    <n v="1468"/>
    <n v="55"/>
    <n v="80"/>
    <n v="8"/>
    <n v="0"/>
    <m/>
    <n v="0"/>
    <n v="1"/>
    <s v="Current Employees"/>
    <s v="No"/>
  </r>
  <r>
    <x v="41"/>
    <s v="Non-Travel"/>
    <x v="1"/>
    <n v="29"/>
    <x v="0"/>
    <n v="3"/>
    <n v="1"/>
    <x v="3"/>
    <n v="4"/>
    <x v="2"/>
    <n v="3482"/>
    <n v="2"/>
    <s v="No"/>
    <n v="15"/>
    <n v="3"/>
    <n v="2"/>
    <n v="16"/>
    <n v="3"/>
    <n v="9"/>
    <n v="0"/>
    <n v="0"/>
    <x v="2"/>
    <d v="2012-10-03T00:00:00"/>
    <m/>
    <s v="Salary"/>
    <s v="WFH"/>
    <n v="1"/>
    <n v="1"/>
    <s v="No"/>
    <s v="Job Event"/>
    <s v="Part Time"/>
    <n v="1482"/>
    <n v="64"/>
    <n v="80"/>
    <n v="0"/>
    <n v="0"/>
    <m/>
    <n v="0"/>
    <n v="1"/>
    <s v="Current Employees"/>
    <s v="No"/>
  </r>
  <r>
    <x v="26"/>
    <s v="Travel_Rarely"/>
    <x v="1"/>
    <n v="3"/>
    <x v="1"/>
    <n v="2"/>
    <n v="3"/>
    <x v="4"/>
    <n v="4"/>
    <x v="1"/>
    <n v="7644"/>
    <n v="0"/>
    <s v="No"/>
    <n v="19"/>
    <n v="3"/>
    <n v="2"/>
    <n v="10"/>
    <n v="2"/>
    <n v="9"/>
    <n v="3"/>
    <n v="4"/>
    <x v="0"/>
    <d v="2012-07-05T00:00:00"/>
    <m/>
    <s v="Salary"/>
    <s v="OFFICE"/>
    <n v="5"/>
    <n v="0"/>
    <s v="Yes"/>
    <s v="Recruiter"/>
    <s v="Part Time"/>
    <n v="1449"/>
    <n v="81"/>
    <n v="80"/>
    <n v="7"/>
    <n v="0"/>
    <m/>
    <n v="0"/>
    <n v="1"/>
    <s v="Current Employees"/>
    <s v="No"/>
  </r>
  <r>
    <x v="27"/>
    <s v="Travel_Rarely"/>
    <x v="2"/>
    <n v="26"/>
    <x v="1"/>
    <n v="3"/>
    <n v="3"/>
    <x v="8"/>
    <n v="4"/>
    <x v="0"/>
    <n v="8837"/>
    <n v="1"/>
    <s v="Yes"/>
    <n v="16"/>
    <n v="3"/>
    <n v="0"/>
    <n v="9"/>
    <n v="2"/>
    <n v="9"/>
    <n v="1"/>
    <n v="7"/>
    <x v="0"/>
    <s v="14-06-2012"/>
    <m/>
    <s v="Work Accident"/>
    <s v="WFH"/>
    <n v="4"/>
    <n v="1"/>
    <s v="Yes"/>
    <s v="Job Event"/>
    <s v="Part Time"/>
    <n v="1771"/>
    <n v="90"/>
    <n v="80"/>
    <n v="8"/>
    <n v="0"/>
    <m/>
    <n v="0"/>
    <n v="1"/>
    <s v="Current Employees"/>
    <s v="No"/>
  </r>
  <r>
    <x v="28"/>
    <s v="Non-Travel"/>
    <x v="0"/>
    <n v="5"/>
    <x v="0"/>
    <n v="3"/>
    <n v="2"/>
    <x v="6"/>
    <n v="1"/>
    <x v="0"/>
    <n v="9936"/>
    <n v="0"/>
    <s v="No"/>
    <n v="19"/>
    <n v="3"/>
    <n v="0"/>
    <n v="10"/>
    <n v="2"/>
    <n v="9"/>
    <n v="1"/>
    <n v="7"/>
    <x v="2"/>
    <s v="24-02-2012"/>
    <m/>
    <s v="Better Opportunity"/>
    <s v="WFH"/>
    <n v="2"/>
    <n v="2"/>
    <s v="No"/>
    <s v="Job Portal"/>
    <s v="Contract"/>
    <n v="1994"/>
    <n v="59"/>
    <n v="80"/>
    <n v="1"/>
    <n v="0"/>
    <m/>
    <n v="0"/>
    <n v="1"/>
    <s v="Current Employees"/>
    <s v="No"/>
  </r>
  <r>
    <x v="39"/>
    <s v="Travel_Frequently"/>
    <x v="1"/>
    <n v="2"/>
    <x v="0"/>
    <n v="2"/>
    <n v="2"/>
    <x v="4"/>
    <n v="2"/>
    <x v="1"/>
    <n v="5390"/>
    <n v="2"/>
    <s v="No"/>
    <n v="14"/>
    <n v="3"/>
    <n v="0"/>
    <n v="17"/>
    <n v="3"/>
    <n v="9"/>
    <n v="0"/>
    <n v="8"/>
    <x v="2"/>
    <s v="17-03-2012"/>
    <m/>
    <s v="Salary"/>
    <s v="WFH"/>
    <n v="3"/>
    <n v="0"/>
    <s v="No"/>
    <s v="Job Portal"/>
    <s v="Contract"/>
    <n v="1934"/>
    <n v="64"/>
    <n v="80"/>
    <n v="7"/>
    <n v="0"/>
    <m/>
    <n v="0"/>
    <n v="1"/>
    <s v="Current Employees"/>
    <s v="No"/>
  </r>
  <r>
    <x v="39"/>
    <s v="Travel_Frequently"/>
    <x v="0"/>
    <n v="8"/>
    <x v="0"/>
    <n v="2"/>
    <n v="2"/>
    <x v="1"/>
    <n v="2"/>
    <x v="1"/>
    <n v="5130"/>
    <n v="1"/>
    <s v="No"/>
    <n v="23"/>
    <n v="4"/>
    <n v="1"/>
    <n v="10"/>
    <n v="3"/>
    <n v="10"/>
    <n v="1"/>
    <n v="7"/>
    <x v="0"/>
    <d v="2011-06-03T00:00:00"/>
    <m/>
    <s v="Salary"/>
    <s v="OFFICE"/>
    <n v="2"/>
    <n v="0"/>
    <s v="No"/>
    <s v="Recruiter"/>
    <s v="FullTime"/>
    <n v="1574"/>
    <n v="62"/>
    <n v="80"/>
    <n v="5"/>
    <n v="0"/>
    <m/>
    <n v="0"/>
    <n v="1"/>
    <s v="Current Employees"/>
    <s v="No"/>
  </r>
  <r>
    <x v="7"/>
    <s v="Travel_Rarely"/>
    <x v="0"/>
    <n v="21"/>
    <x v="1"/>
    <n v="4"/>
    <n v="3"/>
    <x v="6"/>
    <n v="1"/>
    <x v="2"/>
    <n v="9980"/>
    <n v="1"/>
    <s v="No"/>
    <n v="11"/>
    <n v="3"/>
    <n v="1"/>
    <n v="10"/>
    <n v="1"/>
    <n v="10"/>
    <n v="8"/>
    <n v="8"/>
    <x v="0"/>
    <s v="27-03-2011"/>
    <m/>
    <s v="Work Environment"/>
    <s v="OFFICE"/>
    <n v="3"/>
    <n v="3"/>
    <s v="No"/>
    <s v="Recruiter"/>
    <s v="Part Time"/>
    <n v="1813"/>
    <n v="52"/>
    <n v="80"/>
    <n v="2"/>
    <n v="0"/>
    <m/>
    <n v="0"/>
    <n v="1"/>
    <s v="Current Employees"/>
    <s v="No"/>
  </r>
  <r>
    <x v="21"/>
    <s v="Travel_Frequently"/>
    <x v="0"/>
    <n v="16"/>
    <x v="1"/>
    <n v="1"/>
    <n v="1"/>
    <x v="1"/>
    <n v="1"/>
    <x v="0"/>
    <n v="3919"/>
    <n v="1"/>
    <s v="Yes"/>
    <n v="22"/>
    <n v="4"/>
    <n v="0"/>
    <n v="10"/>
    <n v="5"/>
    <n v="10"/>
    <n v="6"/>
    <n v="7"/>
    <x v="3"/>
    <s v="20-06-2011"/>
    <m/>
    <s v="Work Environment"/>
    <s v="OFFICE"/>
    <n v="1"/>
    <n v="2"/>
    <s v="No"/>
    <s v="Job Event"/>
    <s v="FullTime"/>
    <n v="2057"/>
    <n v="74"/>
    <n v="80"/>
    <n v="4"/>
    <n v="0"/>
    <m/>
    <n v="0"/>
    <n v="1"/>
    <s v="Current Employees"/>
    <s v="No"/>
  </r>
  <r>
    <x v="14"/>
    <s v="Travel_Rarely"/>
    <x v="0"/>
    <n v="9"/>
    <x v="0"/>
    <n v="2"/>
    <n v="1"/>
    <x v="0"/>
    <n v="3"/>
    <x v="0"/>
    <n v="2206"/>
    <n v="1"/>
    <s v="No"/>
    <n v="13"/>
    <n v="3"/>
    <n v="0"/>
    <n v="10"/>
    <n v="5"/>
    <n v="10"/>
    <n v="1"/>
    <n v="8"/>
    <x v="1"/>
    <d v="2011-06-01T00:00:00"/>
    <m/>
    <s v="Work Environment"/>
    <s v="WFH"/>
    <n v="1"/>
    <n v="1"/>
    <s v="No"/>
    <s v="Recruiter"/>
    <s v="Contract"/>
    <n v="1764"/>
    <n v="65"/>
    <n v="80"/>
    <n v="7"/>
    <n v="0"/>
    <m/>
    <n v="0"/>
    <n v="1"/>
    <s v="Current Employees"/>
    <s v="No"/>
  </r>
  <r>
    <x v="12"/>
    <s v="Travel_Frequently"/>
    <x v="0"/>
    <n v="29"/>
    <x v="1"/>
    <n v="3"/>
    <n v="2"/>
    <x v="0"/>
    <n v="4"/>
    <x v="0"/>
    <n v="2406"/>
    <n v="1"/>
    <s v="No"/>
    <n v="11"/>
    <n v="3"/>
    <n v="0"/>
    <n v="10"/>
    <n v="2"/>
    <n v="10"/>
    <n v="9"/>
    <n v="9"/>
    <x v="3"/>
    <s v="22-03-2011"/>
    <m/>
    <s v="Salary"/>
    <s v="OFFICE"/>
    <n v="1"/>
    <n v="0"/>
    <s v="No"/>
    <s v="Job Portal"/>
    <s v="Part Time"/>
    <n v="1471"/>
    <n v="90"/>
    <n v="80"/>
    <n v="2"/>
    <n v="0"/>
    <m/>
    <n v="0"/>
    <n v="1"/>
    <s v="Current Employees"/>
    <s v="No"/>
  </r>
  <r>
    <x v="21"/>
    <s v="Travel_Rarely"/>
    <x v="0"/>
    <n v="1"/>
    <x v="0"/>
    <n v="3"/>
    <n v="2"/>
    <x v="1"/>
    <n v="2"/>
    <x v="1"/>
    <n v="6220"/>
    <n v="1"/>
    <s v="No"/>
    <n v="17"/>
    <n v="3"/>
    <n v="2"/>
    <n v="10"/>
    <n v="3"/>
    <n v="10"/>
    <n v="0"/>
    <n v="9"/>
    <x v="1"/>
    <s v="15-05-2011"/>
    <m/>
    <s v="Better Opportunity"/>
    <s v="WFH"/>
    <n v="4"/>
    <n v="3"/>
    <s v="No"/>
    <s v="Recruiter"/>
    <s v="FullTime"/>
    <n v="1947"/>
    <n v="49"/>
    <n v="80"/>
    <n v="3"/>
    <n v="0"/>
    <m/>
    <n v="0"/>
    <n v="1"/>
    <s v="Current Employees"/>
    <s v="No"/>
  </r>
  <r>
    <x v="14"/>
    <s v="Travel_Rarely"/>
    <x v="0"/>
    <n v="1"/>
    <x v="0"/>
    <n v="2"/>
    <n v="2"/>
    <x v="0"/>
    <n v="4"/>
    <x v="1"/>
    <n v="5126"/>
    <n v="1"/>
    <s v="Yes"/>
    <n v="12"/>
    <n v="3"/>
    <n v="2"/>
    <n v="10"/>
    <n v="1"/>
    <n v="10"/>
    <n v="3"/>
    <n v="0"/>
    <x v="0"/>
    <s v="30-06-2011"/>
    <m/>
    <s v="Dept.Head"/>
    <s v="WFH"/>
    <n v="2"/>
    <n v="2"/>
    <s v="Yes"/>
    <s v="Job Portal"/>
    <s v="Part Time"/>
    <n v="1440"/>
    <n v="84"/>
    <n v="80"/>
    <n v="5"/>
    <n v="0"/>
    <m/>
    <n v="0"/>
    <n v="1"/>
    <s v="Current Employees"/>
    <s v="No"/>
  </r>
  <r>
    <x v="31"/>
    <s v="Travel_Rarely"/>
    <x v="1"/>
    <n v="21"/>
    <x v="0"/>
    <n v="3"/>
    <n v="2"/>
    <x v="4"/>
    <n v="4"/>
    <x v="0"/>
    <n v="5441"/>
    <n v="0"/>
    <s v="Yes"/>
    <n v="22"/>
    <n v="4"/>
    <n v="0"/>
    <n v="11"/>
    <n v="2"/>
    <n v="10"/>
    <n v="1"/>
    <n v="0"/>
    <x v="1"/>
    <s v="27-04-2011"/>
    <m/>
    <s v="Dept.Head"/>
    <s v="OFFICE"/>
    <n v="5"/>
    <n v="3"/>
    <s v="Yes"/>
    <s v="Job Portal"/>
    <s v="Part Time"/>
    <n v="1976"/>
    <n v="37"/>
    <n v="80"/>
    <n v="9"/>
    <n v="0"/>
    <m/>
    <n v="0"/>
    <n v="1"/>
    <s v="Current Employees"/>
    <s v="No"/>
  </r>
  <r>
    <x v="35"/>
    <s v="Travel_Frequently"/>
    <x v="0"/>
    <n v="1"/>
    <x v="0"/>
    <n v="2"/>
    <n v="3"/>
    <x v="7"/>
    <n v="1"/>
    <x v="1"/>
    <n v="10673"/>
    <n v="2"/>
    <s v="Yes"/>
    <n v="13"/>
    <n v="3"/>
    <n v="1"/>
    <n v="21"/>
    <n v="5"/>
    <n v="10"/>
    <n v="9"/>
    <n v="5"/>
    <x v="2"/>
    <s v="21-06-2011"/>
    <m/>
    <s v="Salary"/>
    <s v="WFH"/>
    <n v="4"/>
    <n v="3"/>
    <s v="No"/>
    <s v="Walk-in"/>
    <s v="Contract"/>
    <n v="2022"/>
    <n v="87"/>
    <n v="80"/>
    <n v="0"/>
    <n v="0"/>
    <m/>
    <n v="0"/>
    <n v="1"/>
    <s v="Current Employees"/>
    <s v="No"/>
  </r>
  <r>
    <x v="14"/>
    <s v="Travel_Frequently"/>
    <x v="0"/>
    <n v="23"/>
    <x v="0"/>
    <n v="1"/>
    <n v="1"/>
    <x v="1"/>
    <n v="3"/>
    <x v="2"/>
    <n v="2613"/>
    <n v="1"/>
    <s v="No"/>
    <n v="25"/>
    <n v="4"/>
    <n v="3"/>
    <n v="10"/>
    <n v="2"/>
    <n v="10"/>
    <n v="0"/>
    <n v="9"/>
    <x v="0"/>
    <s v="21-04-2011"/>
    <m/>
    <s v="Work Environment"/>
    <s v="OFFICE"/>
    <n v="5"/>
    <n v="0"/>
    <s v="Yes"/>
    <s v="Walk-in"/>
    <s v="FullTime"/>
    <n v="2019"/>
    <n v="40"/>
    <n v="80"/>
    <n v="8"/>
    <n v="0"/>
    <m/>
    <n v="0"/>
    <n v="1"/>
    <s v="Current Employees"/>
    <s v="No"/>
  </r>
  <r>
    <x v="27"/>
    <s v="Travel_Rarely"/>
    <x v="1"/>
    <n v="1"/>
    <x v="0"/>
    <n v="3"/>
    <n v="3"/>
    <x v="4"/>
    <n v="2"/>
    <x v="1"/>
    <n v="7295"/>
    <n v="1"/>
    <s v="No"/>
    <n v="13"/>
    <n v="3"/>
    <n v="2"/>
    <n v="10"/>
    <n v="3"/>
    <n v="10"/>
    <n v="0"/>
    <n v="6"/>
    <x v="2"/>
    <s v="18-02-2011"/>
    <m/>
    <s v="Work Accident"/>
    <s v="OFFICE"/>
    <n v="0"/>
    <n v="0"/>
    <s v="Yes"/>
    <s v="Walk-in"/>
    <s v="Contract"/>
    <n v="1612"/>
    <n v="52"/>
    <n v="80"/>
    <n v="7"/>
    <n v="0"/>
    <m/>
    <n v="0"/>
    <n v="1"/>
    <s v="Current Employees"/>
    <s v="No"/>
  </r>
  <r>
    <x v="7"/>
    <s v="Non-Travel"/>
    <x v="0"/>
    <n v="1"/>
    <x v="0"/>
    <n v="3"/>
    <n v="2"/>
    <x v="6"/>
    <n v="3"/>
    <x v="1"/>
    <n v="4319"/>
    <n v="1"/>
    <s v="No"/>
    <n v="13"/>
    <n v="3"/>
    <n v="1"/>
    <n v="10"/>
    <n v="1"/>
    <n v="10"/>
    <n v="0"/>
    <n v="9"/>
    <x v="2"/>
    <s v="24-05-2011"/>
    <m/>
    <s v="Work Accident"/>
    <s v="OFFICE"/>
    <n v="4"/>
    <n v="1"/>
    <s v="No"/>
    <s v="Walk-in"/>
    <s v="Part Time"/>
    <n v="1731"/>
    <n v="87"/>
    <n v="80"/>
    <n v="0"/>
    <n v="0"/>
    <m/>
    <n v="0"/>
    <n v="1"/>
    <s v="Current Employees"/>
    <s v="No"/>
  </r>
  <r>
    <x v="14"/>
    <s v="Travel_Rarely"/>
    <x v="1"/>
    <n v="5"/>
    <x v="1"/>
    <n v="3"/>
    <n v="3"/>
    <x v="4"/>
    <n v="4"/>
    <x v="1"/>
    <n v="9419"/>
    <n v="2"/>
    <s v="No"/>
    <n v="12"/>
    <n v="3"/>
    <n v="1"/>
    <n v="12"/>
    <n v="2"/>
    <n v="10"/>
    <n v="7"/>
    <n v="4"/>
    <x v="2"/>
    <d v="2011-09-06T00:00:00"/>
    <m/>
    <s v="Better Opportunity"/>
    <s v="WFH"/>
    <n v="1"/>
    <n v="2"/>
    <s v="Yes"/>
    <s v="Recruiter"/>
    <s v="FullTime"/>
    <n v="1801"/>
    <n v="98"/>
    <n v="80"/>
    <n v="2"/>
    <n v="0"/>
    <m/>
    <n v="0"/>
    <n v="1"/>
    <s v="Current Employees"/>
    <s v="No"/>
  </r>
  <r>
    <x v="13"/>
    <s v="Travel_Frequently"/>
    <x v="0"/>
    <n v="2"/>
    <x v="0"/>
    <n v="2"/>
    <n v="2"/>
    <x v="6"/>
    <n v="3"/>
    <x v="1"/>
    <n v="9547"/>
    <n v="1"/>
    <s v="No"/>
    <n v="17"/>
    <n v="3"/>
    <n v="0"/>
    <n v="10"/>
    <n v="2"/>
    <n v="10"/>
    <n v="1"/>
    <n v="9"/>
    <x v="0"/>
    <s v="20-04-2011"/>
    <m/>
    <s v="Work Accident"/>
    <s v="WFH"/>
    <n v="2"/>
    <n v="1"/>
    <s v="No"/>
    <s v="Recruiter"/>
    <s v="Part Time"/>
    <n v="1563"/>
    <n v="71"/>
    <n v="80"/>
    <n v="3"/>
    <n v="0"/>
    <m/>
    <n v="0"/>
    <n v="1"/>
    <s v="Current Employees"/>
    <s v="No"/>
  </r>
  <r>
    <x v="7"/>
    <s v="Travel_Rarely"/>
    <x v="1"/>
    <n v="27"/>
    <x v="1"/>
    <n v="3"/>
    <n v="3"/>
    <x v="4"/>
    <n v="4"/>
    <x v="1"/>
    <n v="7639"/>
    <n v="1"/>
    <s v="No"/>
    <n v="22"/>
    <n v="4"/>
    <n v="3"/>
    <n v="10"/>
    <n v="3"/>
    <n v="10"/>
    <n v="1"/>
    <n v="9"/>
    <x v="1"/>
    <s v="17-04-2011"/>
    <m/>
    <s v="Dept.Head"/>
    <s v="OFFICE"/>
    <n v="0"/>
    <n v="0"/>
    <s v="Yes"/>
    <s v="Job Event"/>
    <s v="Contract"/>
    <n v="1746"/>
    <n v="59"/>
    <n v="80"/>
    <n v="2"/>
    <n v="0"/>
    <m/>
    <n v="0"/>
    <n v="1"/>
    <s v="Current Employees"/>
    <s v="No"/>
  </r>
  <r>
    <x v="31"/>
    <s v="Travel_Rarely"/>
    <x v="0"/>
    <n v="8"/>
    <x v="0"/>
    <n v="2"/>
    <n v="3"/>
    <x v="2"/>
    <n v="2"/>
    <x v="1"/>
    <n v="12490"/>
    <n v="5"/>
    <s v="No"/>
    <n v="16"/>
    <n v="3"/>
    <n v="2"/>
    <n v="16"/>
    <n v="5"/>
    <n v="10"/>
    <n v="4"/>
    <n v="7"/>
    <x v="1"/>
    <s v="13-01-2011"/>
    <m/>
    <s v="Better Opportunity"/>
    <s v="WFH"/>
    <n v="3"/>
    <n v="3"/>
    <s v="Yes"/>
    <s v="Job Event"/>
    <s v="Contract"/>
    <n v="1590"/>
    <n v="87"/>
    <n v="80"/>
    <n v="4"/>
    <n v="0"/>
    <m/>
    <n v="0"/>
    <n v="1"/>
    <s v="Current Employees"/>
    <s v="No"/>
  </r>
  <r>
    <x v="0"/>
    <s v="Travel_Frequently"/>
    <x v="0"/>
    <n v="11"/>
    <x v="0"/>
    <n v="3"/>
    <n v="3"/>
    <x v="2"/>
    <n v="4"/>
    <x v="2"/>
    <n v="12185"/>
    <n v="1"/>
    <s v="Yes"/>
    <n v="14"/>
    <n v="3"/>
    <n v="3"/>
    <n v="10"/>
    <n v="1"/>
    <n v="10"/>
    <n v="0"/>
    <n v="7"/>
    <x v="3"/>
    <d v="2011-05-05T00:00:00"/>
    <m/>
    <s v="Work Accident"/>
    <s v="OFFICE"/>
    <n v="5"/>
    <n v="0"/>
    <s v="No"/>
    <s v="Recruiter"/>
    <s v="FullTime"/>
    <n v="1615"/>
    <n v="42"/>
    <n v="80"/>
    <n v="7"/>
    <n v="0"/>
    <m/>
    <n v="0"/>
    <n v="1"/>
    <s v="Current Employees"/>
    <s v="No"/>
  </r>
  <r>
    <x v="27"/>
    <s v="Travel_Frequently"/>
    <x v="1"/>
    <n v="1"/>
    <x v="1"/>
    <n v="3"/>
    <n v="3"/>
    <x v="4"/>
    <n v="3"/>
    <x v="0"/>
    <n v="8789"/>
    <n v="1"/>
    <s v="No"/>
    <n v="14"/>
    <n v="3"/>
    <n v="0"/>
    <n v="10"/>
    <n v="3"/>
    <n v="10"/>
    <n v="0"/>
    <n v="8"/>
    <x v="1"/>
    <d v="2011-03-03T00:00:00"/>
    <m/>
    <s v="Work Accident"/>
    <s v="WFH"/>
    <n v="5"/>
    <n v="1"/>
    <s v="No"/>
    <s v="Job Portal"/>
    <s v="Part Time"/>
    <n v="1485"/>
    <n v="71"/>
    <n v="80"/>
    <n v="8"/>
    <n v="0"/>
    <m/>
    <n v="0"/>
    <n v="1"/>
    <s v="Current Employees"/>
    <s v="No"/>
  </r>
  <r>
    <x v="9"/>
    <s v="Non-Travel"/>
    <x v="0"/>
    <n v="29"/>
    <x v="0"/>
    <n v="3"/>
    <n v="3"/>
    <x v="5"/>
    <n v="2"/>
    <x v="1"/>
    <n v="11849"/>
    <n v="1"/>
    <s v="Yes"/>
    <n v="12"/>
    <n v="3"/>
    <n v="1"/>
    <n v="10"/>
    <n v="2"/>
    <n v="10"/>
    <n v="9"/>
    <n v="9"/>
    <x v="1"/>
    <d v="2011-06-04T00:00:00"/>
    <m/>
    <s v="Work Accident"/>
    <s v="WFH"/>
    <n v="3"/>
    <n v="1"/>
    <s v="No"/>
    <s v="Walk-in"/>
    <s v="Contract"/>
    <n v="1431"/>
    <n v="91"/>
    <n v="80"/>
    <n v="3"/>
    <n v="0"/>
    <m/>
    <n v="0"/>
    <n v="1"/>
    <s v="Current Employees"/>
    <s v="No"/>
  </r>
  <r>
    <x v="16"/>
    <s v="Travel_Rarely"/>
    <x v="0"/>
    <n v="4"/>
    <x v="0"/>
    <n v="3"/>
    <n v="5"/>
    <x v="2"/>
    <n v="2"/>
    <x v="2"/>
    <n v="19144"/>
    <n v="3"/>
    <s v="No"/>
    <n v="14"/>
    <n v="3"/>
    <n v="2"/>
    <n v="28"/>
    <n v="4"/>
    <n v="10"/>
    <n v="1"/>
    <n v="6"/>
    <x v="2"/>
    <s v="31-01-2011"/>
    <m/>
    <s v="Dept.Head"/>
    <s v="OFFICE"/>
    <n v="2"/>
    <n v="1"/>
    <s v="No"/>
    <s v="Job Event"/>
    <s v="Contract"/>
    <n v="1653"/>
    <n v="77"/>
    <n v="80"/>
    <n v="7"/>
    <n v="0"/>
    <m/>
    <n v="0"/>
    <n v="1"/>
    <s v="Current Employees"/>
    <s v="No"/>
  </r>
  <r>
    <x v="7"/>
    <s v="Travel_Frequently"/>
    <x v="1"/>
    <n v="2"/>
    <x v="0"/>
    <n v="3"/>
    <n v="2"/>
    <x v="4"/>
    <n v="4"/>
    <x v="0"/>
    <n v="4554"/>
    <n v="1"/>
    <s v="No"/>
    <n v="18"/>
    <n v="3"/>
    <n v="0"/>
    <n v="10"/>
    <n v="3"/>
    <n v="10"/>
    <n v="0"/>
    <n v="9"/>
    <x v="2"/>
    <s v="17-06-2011"/>
    <m/>
    <s v="Work Accident"/>
    <s v="OFFICE"/>
    <n v="2"/>
    <n v="2"/>
    <s v="Yes"/>
    <s v="Walk-in"/>
    <s v="Contract"/>
    <n v="1941"/>
    <n v="42"/>
    <n v="80"/>
    <n v="4"/>
    <n v="0"/>
    <m/>
    <n v="0"/>
    <n v="1"/>
    <s v="Current Employees"/>
    <s v="No"/>
  </r>
  <r>
    <x v="29"/>
    <s v="Travel_Rarely"/>
    <x v="0"/>
    <n v="20"/>
    <x v="0"/>
    <n v="3"/>
    <n v="2"/>
    <x v="0"/>
    <n v="4"/>
    <x v="1"/>
    <n v="5415"/>
    <n v="3"/>
    <s v="Yes"/>
    <n v="19"/>
    <n v="3"/>
    <n v="1"/>
    <n v="12"/>
    <n v="4"/>
    <n v="10"/>
    <n v="0"/>
    <n v="8"/>
    <x v="1"/>
    <d v="2011-12-02T00:00:00"/>
    <m/>
    <s v="Work Accident"/>
    <s v="WFH"/>
    <n v="3"/>
    <n v="3"/>
    <s v="Yes"/>
    <s v="Job Event"/>
    <s v="FullTime"/>
    <n v="1852"/>
    <n v="40"/>
    <n v="80"/>
    <n v="8"/>
    <n v="0"/>
    <m/>
    <n v="0"/>
    <n v="1"/>
    <s v="Current Employees"/>
    <s v="No"/>
  </r>
  <r>
    <x v="12"/>
    <s v="Travel_Rarely"/>
    <x v="0"/>
    <n v="25"/>
    <x v="1"/>
    <n v="2"/>
    <n v="3"/>
    <x v="2"/>
    <n v="2"/>
    <x v="1"/>
    <n v="12061"/>
    <n v="3"/>
    <s v="No"/>
    <n v="17"/>
    <n v="3"/>
    <n v="1"/>
    <n v="19"/>
    <n v="2"/>
    <n v="10"/>
    <n v="0"/>
    <n v="1"/>
    <x v="0"/>
    <d v="2011-10-01T00:00:00"/>
    <m/>
    <s v="Work Environment"/>
    <s v="WFH"/>
    <n v="0"/>
    <n v="1"/>
    <s v="No"/>
    <s v="Job Event"/>
    <s v="Part Time"/>
    <n v="1997"/>
    <n v="72"/>
    <n v="80"/>
    <n v="3"/>
    <n v="0"/>
    <m/>
    <n v="0"/>
    <n v="1"/>
    <s v="Current Employees"/>
    <s v="No"/>
  </r>
  <r>
    <x v="20"/>
    <s v="Travel_Frequently"/>
    <x v="0"/>
    <n v="5"/>
    <x v="1"/>
    <n v="3"/>
    <n v="3"/>
    <x v="5"/>
    <n v="2"/>
    <x v="1"/>
    <n v="11878"/>
    <n v="6"/>
    <s v="No"/>
    <n v="11"/>
    <n v="3"/>
    <n v="2"/>
    <n v="12"/>
    <n v="2"/>
    <n v="10"/>
    <n v="8"/>
    <n v="8"/>
    <x v="0"/>
    <d v="2011-08-06T00:00:00"/>
    <m/>
    <s v="Better Opportunity"/>
    <s v="OFFICE"/>
    <n v="3"/>
    <n v="2"/>
    <s v="Yes"/>
    <s v="Walk-in"/>
    <s v="FullTime"/>
    <n v="1720"/>
    <n v="56"/>
    <n v="80"/>
    <n v="2"/>
    <n v="0"/>
    <m/>
    <n v="0"/>
    <n v="1"/>
    <s v="Current Employees"/>
    <s v="No"/>
  </r>
  <r>
    <x v="14"/>
    <s v="Travel_Rarely"/>
    <x v="0"/>
    <n v="28"/>
    <x v="1"/>
    <n v="3"/>
    <n v="2"/>
    <x v="1"/>
    <n v="4"/>
    <x v="1"/>
    <n v="5775"/>
    <n v="1"/>
    <s v="No"/>
    <n v="13"/>
    <n v="3"/>
    <n v="2"/>
    <n v="11"/>
    <n v="2"/>
    <n v="10"/>
    <n v="1"/>
    <n v="9"/>
    <x v="2"/>
    <s v="30-05-2011"/>
    <m/>
    <s v="Salary"/>
    <s v="WFH"/>
    <n v="4"/>
    <n v="1"/>
    <s v="Yes"/>
    <s v="Job Event"/>
    <s v="Contract"/>
    <n v="1918"/>
    <n v="61"/>
    <n v="80"/>
    <n v="7"/>
    <n v="0"/>
    <m/>
    <n v="0"/>
    <n v="1"/>
    <s v="Current Employees"/>
    <s v="No"/>
  </r>
  <r>
    <x v="28"/>
    <s v="Travel_Frequently"/>
    <x v="0"/>
    <n v="7"/>
    <x v="1"/>
    <n v="2"/>
    <n v="3"/>
    <x v="6"/>
    <n v="3"/>
    <x v="1"/>
    <n v="8943"/>
    <n v="1"/>
    <s v="No"/>
    <n v="24"/>
    <n v="4"/>
    <n v="1"/>
    <n v="10"/>
    <n v="2"/>
    <n v="10"/>
    <n v="8"/>
    <n v="9"/>
    <x v="2"/>
    <d v="2011-12-02T00:00:00"/>
    <m/>
    <s v="Dept.Head"/>
    <s v="OFFICE"/>
    <n v="1"/>
    <n v="0"/>
    <s v="No"/>
    <s v="Recruiter"/>
    <s v="Contract"/>
    <n v="2061"/>
    <n v="41"/>
    <n v="80"/>
    <n v="2"/>
    <n v="0"/>
    <m/>
    <n v="0"/>
    <n v="1"/>
    <s v="Current Employees"/>
    <s v="No"/>
  </r>
  <r>
    <x v="2"/>
    <s v="Travel_Rarely"/>
    <x v="0"/>
    <n v="8"/>
    <x v="0"/>
    <n v="3"/>
    <n v="2"/>
    <x v="1"/>
    <n v="4"/>
    <x v="1"/>
    <n v="3697"/>
    <n v="9"/>
    <s v="No"/>
    <n v="14"/>
    <n v="3"/>
    <n v="2"/>
    <n v="12"/>
    <n v="3"/>
    <n v="10"/>
    <n v="9"/>
    <n v="8"/>
    <x v="0"/>
    <s v="17-01-2011"/>
    <m/>
    <s v="Work Accident"/>
    <s v="WFH"/>
    <n v="4"/>
    <n v="0"/>
    <s v="Yes"/>
    <s v="Recruiter"/>
    <s v="FullTime"/>
    <n v="1597"/>
    <n v="92"/>
    <n v="80"/>
    <n v="2"/>
    <n v="0"/>
    <m/>
    <n v="0"/>
    <n v="1"/>
    <s v="Current Employees"/>
    <s v="No"/>
  </r>
  <r>
    <x v="14"/>
    <s v="Travel_Rarely"/>
    <x v="1"/>
    <n v="5"/>
    <x v="1"/>
    <n v="2"/>
    <n v="2"/>
    <x v="4"/>
    <n v="3"/>
    <x v="2"/>
    <n v="6118"/>
    <n v="1"/>
    <s v="No"/>
    <n v="13"/>
    <n v="3"/>
    <n v="3"/>
    <n v="10"/>
    <n v="2"/>
    <n v="10"/>
    <n v="1"/>
    <n v="2"/>
    <x v="1"/>
    <s v="23-05-2011"/>
    <m/>
    <s v="Work Accident"/>
    <s v="WFH"/>
    <n v="2"/>
    <n v="2"/>
    <s v="Yes"/>
    <s v="Job Event"/>
    <s v="FullTime"/>
    <n v="1668"/>
    <n v="90"/>
    <n v="80"/>
    <n v="11"/>
    <n v="0"/>
    <m/>
    <n v="0"/>
    <n v="1"/>
    <s v="Current Employees"/>
    <s v="No"/>
  </r>
  <r>
    <x v="26"/>
    <s v="Travel_Rarely"/>
    <x v="1"/>
    <n v="2"/>
    <x v="0"/>
    <n v="2"/>
    <n v="3"/>
    <x v="4"/>
    <n v="3"/>
    <x v="1"/>
    <n v="7596"/>
    <n v="1"/>
    <s v="No"/>
    <n v="13"/>
    <n v="3"/>
    <n v="2"/>
    <n v="10"/>
    <n v="2"/>
    <n v="10"/>
    <n v="9"/>
    <n v="0"/>
    <x v="3"/>
    <s v="21-03-2011"/>
    <m/>
    <s v="Work Accident"/>
    <s v="OFFICE"/>
    <n v="1"/>
    <n v="2"/>
    <s v="No"/>
    <s v="Job Portal"/>
    <s v="Part Time"/>
    <n v="1922"/>
    <n v="44"/>
    <n v="80"/>
    <n v="2"/>
    <n v="0"/>
    <m/>
    <n v="0"/>
    <n v="1"/>
    <s v="Current Employees"/>
    <s v="No"/>
  </r>
  <r>
    <x v="33"/>
    <s v="Travel_Rarely"/>
    <x v="1"/>
    <n v="1"/>
    <x v="0"/>
    <n v="4"/>
    <n v="3"/>
    <x v="4"/>
    <n v="1"/>
    <x v="1"/>
    <n v="8392"/>
    <n v="1"/>
    <s v="No"/>
    <n v="16"/>
    <n v="3"/>
    <n v="1"/>
    <n v="10"/>
    <n v="2"/>
    <n v="10"/>
    <n v="0"/>
    <n v="7"/>
    <x v="3"/>
    <s v="27-04-2011"/>
    <m/>
    <s v="Work Accident"/>
    <s v="OFFICE"/>
    <n v="2"/>
    <n v="2"/>
    <s v="No"/>
    <s v="Recruiter"/>
    <s v="Part Time"/>
    <n v="1412"/>
    <n v="60"/>
    <n v="80"/>
    <n v="2"/>
    <n v="0"/>
    <m/>
    <n v="0"/>
    <n v="1"/>
    <s v="Current Employees"/>
    <s v="No"/>
  </r>
  <r>
    <x v="6"/>
    <s v="Travel_Rarely"/>
    <x v="0"/>
    <n v="17"/>
    <x v="0"/>
    <n v="3"/>
    <n v="2"/>
    <x v="0"/>
    <n v="1"/>
    <x v="2"/>
    <n v="4558"/>
    <n v="1"/>
    <s v="No"/>
    <n v="12"/>
    <n v="3"/>
    <n v="1"/>
    <n v="10"/>
    <n v="2"/>
    <n v="10"/>
    <n v="1"/>
    <n v="8"/>
    <x v="0"/>
    <d v="2011-04-03T00:00:00"/>
    <m/>
    <s v="Dept.Head"/>
    <s v="WFH"/>
    <n v="2"/>
    <n v="1"/>
    <s v="Yes"/>
    <s v="Job Portal"/>
    <s v="FullTime"/>
    <n v="1648"/>
    <n v="87"/>
    <n v="80"/>
    <n v="2"/>
    <n v="0"/>
    <m/>
    <n v="0"/>
    <n v="1"/>
    <s v="Current Employees"/>
    <s v="No"/>
  </r>
  <r>
    <x v="35"/>
    <s v="Travel_Rarely"/>
    <x v="0"/>
    <n v="18"/>
    <x v="1"/>
    <n v="3"/>
    <n v="2"/>
    <x v="6"/>
    <n v="3"/>
    <x v="2"/>
    <n v="4810"/>
    <n v="2"/>
    <s v="No"/>
    <n v="14"/>
    <n v="3"/>
    <n v="1"/>
    <n v="19"/>
    <n v="5"/>
    <n v="10"/>
    <n v="0"/>
    <n v="8"/>
    <x v="2"/>
    <d v="2011-07-03T00:00:00"/>
    <m/>
    <s v="Work Environment"/>
    <s v="WFH"/>
    <n v="0"/>
    <n v="2"/>
    <s v="Yes"/>
    <s v="Job Portal"/>
    <s v="Contract"/>
    <n v="1812"/>
    <n v="83"/>
    <n v="80"/>
    <n v="1"/>
    <n v="0"/>
    <m/>
    <n v="0"/>
    <n v="1"/>
    <s v="Current Employees"/>
    <s v="No"/>
  </r>
  <r>
    <x v="7"/>
    <s v="Travel_Rarely"/>
    <x v="0"/>
    <n v="3"/>
    <x v="0"/>
    <n v="2"/>
    <n v="3"/>
    <x v="2"/>
    <n v="3"/>
    <x v="1"/>
    <n v="11935"/>
    <n v="1"/>
    <s v="No"/>
    <n v="18"/>
    <n v="3"/>
    <n v="0"/>
    <n v="10"/>
    <n v="2"/>
    <n v="10"/>
    <n v="0"/>
    <n v="7"/>
    <x v="1"/>
    <s v="23-01-2011"/>
    <m/>
    <s v="Dept.Head"/>
    <s v="WFH"/>
    <n v="0"/>
    <n v="1"/>
    <s v="No"/>
    <s v="Job Event"/>
    <s v="FullTime"/>
    <n v="1700"/>
    <n v="31"/>
    <n v="80"/>
    <n v="3"/>
    <n v="0"/>
    <m/>
    <n v="0"/>
    <n v="1"/>
    <s v="Current Employees"/>
    <s v="No"/>
  </r>
  <r>
    <x v="26"/>
    <s v="Non-Travel"/>
    <x v="1"/>
    <n v="10"/>
    <x v="0"/>
    <n v="3"/>
    <n v="3"/>
    <x v="4"/>
    <n v="4"/>
    <x v="0"/>
    <n v="9980"/>
    <n v="1"/>
    <s v="No"/>
    <n v="14"/>
    <n v="3"/>
    <n v="0"/>
    <n v="10"/>
    <n v="3"/>
    <n v="10"/>
    <n v="9"/>
    <n v="7"/>
    <x v="2"/>
    <d v="2011-12-05T00:00:00"/>
    <m/>
    <s v="Work Accident"/>
    <s v="WFH"/>
    <n v="3"/>
    <n v="3"/>
    <s v="No"/>
    <s v="Recruiter"/>
    <s v="Contract"/>
    <n v="2065"/>
    <n v="63"/>
    <n v="80"/>
    <n v="6"/>
    <n v="0"/>
    <m/>
    <n v="0"/>
    <n v="1"/>
    <s v="Current Employees"/>
    <s v="No"/>
  </r>
  <r>
    <x v="29"/>
    <s v="Travel_Rarely"/>
    <x v="1"/>
    <n v="18"/>
    <x v="1"/>
    <n v="3"/>
    <n v="4"/>
    <x v="5"/>
    <n v="2"/>
    <x v="0"/>
    <n v="16835"/>
    <n v="3"/>
    <s v="No"/>
    <n v="23"/>
    <n v="4"/>
    <n v="0"/>
    <n v="37"/>
    <n v="2"/>
    <n v="10"/>
    <n v="7"/>
    <n v="7"/>
    <x v="0"/>
    <d v="2011-08-03T00:00:00"/>
    <m/>
    <s v="Work Accident"/>
    <s v="WFH"/>
    <n v="2"/>
    <n v="0"/>
    <s v="Yes"/>
    <s v="Job Event"/>
    <s v="FullTime"/>
    <n v="1477"/>
    <n v="54"/>
    <n v="80"/>
    <n v="3"/>
    <n v="0"/>
    <m/>
    <n v="0"/>
    <n v="1"/>
    <s v="Current Employees"/>
    <s v="No"/>
  </r>
  <r>
    <x v="22"/>
    <s v="Travel_Rarely"/>
    <x v="0"/>
    <n v="24"/>
    <x v="0"/>
    <n v="3"/>
    <n v="3"/>
    <x v="6"/>
    <n v="1"/>
    <x v="1"/>
    <n v="7406"/>
    <n v="1"/>
    <s v="Yes"/>
    <n v="21"/>
    <n v="4"/>
    <n v="1"/>
    <n v="10"/>
    <n v="5"/>
    <n v="10"/>
    <n v="5"/>
    <n v="8"/>
    <x v="1"/>
    <s v="15-05-2011"/>
    <m/>
    <s v="Salary"/>
    <s v="WFH"/>
    <n v="3"/>
    <n v="1"/>
    <s v="No"/>
    <s v="Recruiter"/>
    <s v="Part Time"/>
    <n v="1507"/>
    <n v="55"/>
    <n v="80"/>
    <n v="2"/>
    <n v="0"/>
    <m/>
    <n v="0"/>
    <n v="1"/>
    <s v="Current Employees"/>
    <s v="No"/>
  </r>
  <r>
    <x v="13"/>
    <s v="Travel_Rarely"/>
    <x v="1"/>
    <n v="21"/>
    <x v="0"/>
    <n v="4"/>
    <n v="2"/>
    <x v="4"/>
    <n v="4"/>
    <x v="0"/>
    <n v="5337"/>
    <n v="1"/>
    <s v="No"/>
    <n v="12"/>
    <n v="3"/>
    <n v="0"/>
    <n v="10"/>
    <n v="3"/>
    <n v="10"/>
    <n v="5"/>
    <n v="7"/>
    <x v="0"/>
    <d v="2011-02-04T00:00:00"/>
    <m/>
    <s v="Salary"/>
    <s v="OFFICE"/>
    <n v="2"/>
    <n v="3"/>
    <s v="No"/>
    <s v="Job Portal"/>
    <s v="Part Time"/>
    <n v="1613"/>
    <n v="54"/>
    <n v="80"/>
    <n v="2"/>
    <n v="0"/>
    <m/>
    <n v="0"/>
    <n v="1"/>
    <s v="Current Employees"/>
    <s v="No"/>
  </r>
  <r>
    <x v="41"/>
    <s v="Travel_Rarely"/>
    <x v="0"/>
    <n v="6"/>
    <x v="0"/>
    <n v="3"/>
    <n v="2"/>
    <x v="1"/>
    <n v="1"/>
    <x v="2"/>
    <n v="5577"/>
    <n v="3"/>
    <s v="Yes"/>
    <n v="12"/>
    <n v="3"/>
    <n v="2"/>
    <n v="18"/>
    <n v="3"/>
    <n v="10"/>
    <n v="6"/>
    <n v="9"/>
    <x v="3"/>
    <s v="27-02-2011"/>
    <m/>
    <s v="Dept.Head"/>
    <s v="OFFICE"/>
    <n v="3"/>
    <n v="2"/>
    <s v="No"/>
    <s v="Recruiter"/>
    <s v="Contract"/>
    <n v="1853"/>
    <n v="79"/>
    <n v="80"/>
    <n v="0"/>
    <n v="0"/>
    <m/>
    <n v="0"/>
    <n v="1"/>
    <s v="Current Employees"/>
    <s v="No"/>
  </r>
  <r>
    <x v="22"/>
    <s v="Travel_Rarely"/>
    <x v="0"/>
    <n v="2"/>
    <x v="1"/>
    <n v="3"/>
    <n v="2"/>
    <x v="7"/>
    <n v="4"/>
    <x v="1"/>
    <n v="4089"/>
    <n v="1"/>
    <s v="No"/>
    <n v="13"/>
    <n v="3"/>
    <n v="2"/>
    <n v="10"/>
    <n v="4"/>
    <n v="10"/>
    <n v="2"/>
    <n v="2"/>
    <x v="3"/>
    <d v="2011-10-02T00:00:00"/>
    <m/>
    <s v="Salary"/>
    <s v="WFH"/>
    <n v="5"/>
    <n v="0"/>
    <s v="No"/>
    <s v="Job Portal"/>
    <s v="FullTime"/>
    <n v="1794"/>
    <n v="89"/>
    <n v="80"/>
    <n v="0"/>
    <n v="0"/>
    <m/>
    <n v="0"/>
    <n v="1"/>
    <s v="Current Employees"/>
    <s v="No"/>
  </r>
  <r>
    <x v="13"/>
    <s v="Travel_Rarely"/>
    <x v="0"/>
    <n v="1"/>
    <x v="0"/>
    <n v="3"/>
    <n v="1"/>
    <x v="1"/>
    <n v="4"/>
    <x v="1"/>
    <n v="2691"/>
    <n v="1"/>
    <s v="No"/>
    <n v="12"/>
    <n v="3"/>
    <n v="1"/>
    <n v="10"/>
    <n v="4"/>
    <n v="10"/>
    <n v="8"/>
    <n v="8"/>
    <x v="2"/>
    <s v="15-05-2011"/>
    <m/>
    <s v="Better Opportunity"/>
    <s v="WFH"/>
    <n v="5"/>
    <n v="2"/>
    <s v="Yes"/>
    <s v="Job Event"/>
    <s v="Part Time"/>
    <n v="1865"/>
    <n v="87"/>
    <n v="80"/>
    <n v="0"/>
    <n v="0"/>
    <m/>
    <n v="0"/>
    <n v="1"/>
    <s v="Current Employees"/>
    <s v="No"/>
  </r>
  <r>
    <x v="0"/>
    <s v="Travel_Rarely"/>
    <x v="0"/>
    <n v="3"/>
    <x v="0"/>
    <n v="3"/>
    <n v="3"/>
    <x v="6"/>
    <n v="3"/>
    <x v="1"/>
    <n v="9434"/>
    <n v="1"/>
    <s v="No"/>
    <n v="15"/>
    <n v="3"/>
    <n v="1"/>
    <n v="10"/>
    <n v="2"/>
    <n v="10"/>
    <n v="7"/>
    <n v="8"/>
    <x v="1"/>
    <s v="16-01-2011"/>
    <m/>
    <s v="Better Opportunity"/>
    <s v="WFH"/>
    <n v="0"/>
    <n v="1"/>
    <s v="No"/>
    <s v="Job Event"/>
    <s v="Part Time"/>
    <n v="1419"/>
    <n v="51"/>
    <n v="80"/>
    <n v="9"/>
    <n v="0"/>
    <m/>
    <n v="0"/>
    <n v="1"/>
    <s v="Current Employees"/>
    <s v="No"/>
  </r>
  <r>
    <x v="20"/>
    <s v="Travel_Frequently"/>
    <x v="0"/>
    <n v="3"/>
    <x v="0"/>
    <n v="3"/>
    <n v="1"/>
    <x v="1"/>
    <n v="1"/>
    <x v="0"/>
    <n v="3348"/>
    <n v="1"/>
    <s v="Yes"/>
    <n v="11"/>
    <n v="3"/>
    <n v="0"/>
    <n v="10"/>
    <n v="3"/>
    <n v="10"/>
    <n v="9"/>
    <n v="7"/>
    <x v="1"/>
    <d v="2011-03-03T00:00:00"/>
    <m/>
    <s v="Work Environment"/>
    <s v="WFH"/>
    <n v="1"/>
    <n v="3"/>
    <s v="No"/>
    <s v="Job Portal"/>
    <s v="FullTime"/>
    <n v="1778"/>
    <n v="97"/>
    <n v="80"/>
    <n v="7"/>
    <n v="0"/>
    <m/>
    <n v="0"/>
    <n v="1"/>
    <s v="Current Employees"/>
    <s v="No"/>
  </r>
  <r>
    <x v="7"/>
    <s v="Travel_Frequently"/>
    <x v="0"/>
    <n v="1"/>
    <x v="0"/>
    <n v="1"/>
    <n v="1"/>
    <x v="1"/>
    <n v="4"/>
    <x v="2"/>
    <n v="2720"/>
    <n v="1"/>
    <s v="No"/>
    <n v="18"/>
    <n v="3"/>
    <n v="1"/>
    <n v="10"/>
    <n v="5"/>
    <n v="10"/>
    <n v="2"/>
    <n v="8"/>
    <x v="0"/>
    <s v="17-06-2011"/>
    <m/>
    <s v="Dept.Head"/>
    <s v="WFH"/>
    <n v="4"/>
    <n v="0"/>
    <s v="No"/>
    <s v="Job Portal"/>
    <s v="FullTime"/>
    <n v="1694"/>
    <n v="94"/>
    <n v="80"/>
    <n v="2"/>
    <n v="0"/>
    <m/>
    <n v="0"/>
    <n v="1"/>
    <s v="Current Employees"/>
    <s v="No"/>
  </r>
  <r>
    <x v="21"/>
    <s v="Travel_Rarely"/>
    <x v="1"/>
    <n v="10"/>
    <x v="0"/>
    <n v="3"/>
    <n v="2"/>
    <x v="4"/>
    <n v="4"/>
    <x v="0"/>
    <n v="5396"/>
    <n v="1"/>
    <s v="No"/>
    <n v="12"/>
    <n v="3"/>
    <n v="0"/>
    <n v="10"/>
    <n v="2"/>
    <n v="10"/>
    <n v="0"/>
    <n v="8"/>
    <x v="0"/>
    <d v="2011-02-01T00:00:00"/>
    <m/>
    <s v="Salary"/>
    <s v="WFH"/>
    <n v="1"/>
    <n v="1"/>
    <s v="Yes"/>
    <s v="Job Portal"/>
    <s v="FullTime"/>
    <n v="1506"/>
    <n v="72"/>
    <n v="80"/>
    <n v="0"/>
    <n v="0"/>
    <m/>
    <n v="0"/>
    <n v="1"/>
    <s v="Current Employees"/>
    <s v="No"/>
  </r>
  <r>
    <x v="23"/>
    <s v="Travel_Rarely"/>
    <x v="0"/>
    <n v="9"/>
    <x v="0"/>
    <n v="3"/>
    <n v="4"/>
    <x v="7"/>
    <n v="4"/>
    <x v="1"/>
    <n v="11103"/>
    <n v="7"/>
    <s v="No"/>
    <n v="11"/>
    <n v="3"/>
    <n v="0"/>
    <n v="30"/>
    <n v="1"/>
    <n v="10"/>
    <n v="1"/>
    <n v="1"/>
    <x v="3"/>
    <d v="2011-04-01T00:00:00"/>
    <m/>
    <s v="Dept.Head"/>
    <s v="OFFICE"/>
    <n v="4"/>
    <n v="1"/>
    <s v="Yes"/>
    <s v="Recruiter"/>
    <s v="FullTime"/>
    <n v="1892"/>
    <n v="98"/>
    <n v="80"/>
    <n v="7"/>
    <n v="0"/>
    <m/>
    <n v="0"/>
    <n v="1"/>
    <s v="Current Employees"/>
    <s v="No"/>
  </r>
  <r>
    <x v="21"/>
    <s v="Travel_Frequently"/>
    <x v="0"/>
    <n v="24"/>
    <x v="0"/>
    <n v="3"/>
    <n v="2"/>
    <x v="0"/>
    <n v="4"/>
    <x v="1"/>
    <n v="5309"/>
    <n v="1"/>
    <s v="No"/>
    <n v="15"/>
    <n v="3"/>
    <n v="2"/>
    <n v="10"/>
    <n v="2"/>
    <n v="10"/>
    <n v="4"/>
    <n v="7"/>
    <x v="3"/>
    <d v="2011-02-04T00:00:00"/>
    <m/>
    <s v="Salary"/>
    <s v="OFFICE"/>
    <n v="2"/>
    <n v="2"/>
    <s v="No"/>
    <s v="Job Event"/>
    <s v="Contract"/>
    <n v="1881"/>
    <n v="89"/>
    <n v="80"/>
    <n v="8"/>
    <n v="0"/>
    <m/>
    <n v="0"/>
    <n v="1"/>
    <s v="Current Employees"/>
    <s v="No"/>
  </r>
  <r>
    <x v="20"/>
    <s v="Travel_Rarely"/>
    <x v="0"/>
    <n v="1"/>
    <x v="0"/>
    <n v="3"/>
    <n v="1"/>
    <x v="1"/>
    <n v="4"/>
    <x v="0"/>
    <n v="2686"/>
    <n v="1"/>
    <s v="Yes"/>
    <n v="13"/>
    <n v="3"/>
    <n v="0"/>
    <n v="10"/>
    <n v="2"/>
    <n v="10"/>
    <n v="7"/>
    <n v="8"/>
    <x v="0"/>
    <d v="2011-12-04T00:00:00"/>
    <m/>
    <s v="Salary"/>
    <s v="WFH"/>
    <n v="2"/>
    <n v="0"/>
    <s v="No"/>
    <s v="Walk-in"/>
    <s v="Contract"/>
    <n v="1627"/>
    <n v="76"/>
    <n v="80"/>
    <n v="8"/>
    <n v="0"/>
    <m/>
    <n v="0"/>
    <n v="1"/>
    <s v="Current Employees"/>
    <s v="No"/>
  </r>
  <r>
    <x v="26"/>
    <s v="Non-Travel"/>
    <x v="1"/>
    <n v="8"/>
    <x v="0"/>
    <n v="2"/>
    <n v="3"/>
    <x v="4"/>
    <n v="1"/>
    <x v="0"/>
    <n v="7587"/>
    <n v="1"/>
    <s v="No"/>
    <n v="15"/>
    <n v="3"/>
    <n v="0"/>
    <n v="10"/>
    <n v="1"/>
    <n v="10"/>
    <n v="0"/>
    <n v="9"/>
    <x v="0"/>
    <s v="22-04-2011"/>
    <m/>
    <s v="Better Opportunity"/>
    <s v="OFFICE"/>
    <n v="1"/>
    <n v="1"/>
    <s v="No"/>
    <s v="Job Event"/>
    <s v="Part Time"/>
    <n v="1474"/>
    <n v="68"/>
    <n v="80"/>
    <n v="1"/>
    <n v="0"/>
    <m/>
    <n v="0"/>
    <n v="1"/>
    <s v="Current Employees"/>
    <s v="No"/>
  </r>
  <r>
    <x v="7"/>
    <s v="Travel_Rarely"/>
    <x v="0"/>
    <n v="23"/>
    <x v="0"/>
    <n v="4"/>
    <n v="1"/>
    <x v="1"/>
    <n v="3"/>
    <x v="1"/>
    <n v="2700"/>
    <n v="1"/>
    <s v="No"/>
    <n v="24"/>
    <n v="4"/>
    <n v="1"/>
    <n v="10"/>
    <n v="3"/>
    <n v="10"/>
    <n v="0"/>
    <n v="7"/>
    <x v="2"/>
    <s v="29-01-2011"/>
    <m/>
    <s v="Dept.Head"/>
    <s v="OFFICE"/>
    <n v="0"/>
    <n v="2"/>
    <s v="No"/>
    <s v="Recruiter"/>
    <s v="Part Time"/>
    <n v="1857"/>
    <n v="82"/>
    <n v="80"/>
    <n v="8"/>
    <n v="0"/>
    <m/>
    <n v="0"/>
    <n v="1"/>
    <s v="Current Employees"/>
    <s v="No"/>
  </r>
  <r>
    <x v="27"/>
    <s v="Travel_Frequently"/>
    <x v="0"/>
    <n v="25"/>
    <x v="1"/>
    <n v="3"/>
    <n v="1"/>
    <x v="1"/>
    <n v="2"/>
    <x v="2"/>
    <n v="2022"/>
    <n v="1"/>
    <s v="Yes"/>
    <n v="19"/>
    <n v="3"/>
    <n v="1"/>
    <n v="10"/>
    <n v="3"/>
    <n v="10"/>
    <n v="7"/>
    <n v="8"/>
    <x v="3"/>
    <d v="2011-12-05T00:00:00"/>
    <m/>
    <s v="Better Opportunity"/>
    <s v="WFH"/>
    <n v="5"/>
    <n v="0"/>
    <s v="No"/>
    <s v="Recruiter"/>
    <s v="FullTime"/>
    <n v="1599"/>
    <n v="87"/>
    <n v="80"/>
    <n v="4"/>
    <n v="0"/>
    <m/>
    <n v="0"/>
    <n v="1"/>
    <s v="Current Employees"/>
    <s v="No"/>
  </r>
  <r>
    <x v="21"/>
    <s v="Travel_Frequently"/>
    <x v="1"/>
    <n v="5"/>
    <x v="0"/>
    <n v="3"/>
    <n v="2"/>
    <x v="4"/>
    <n v="2"/>
    <x v="1"/>
    <n v="6524"/>
    <n v="1"/>
    <s v="No"/>
    <n v="14"/>
    <n v="3"/>
    <n v="1"/>
    <n v="10"/>
    <n v="3"/>
    <n v="10"/>
    <n v="5"/>
    <n v="3"/>
    <x v="1"/>
    <s v="13-04-2011"/>
    <m/>
    <s v="Dept.Head"/>
    <s v="WFH"/>
    <n v="5"/>
    <n v="3"/>
    <s v="No"/>
    <s v="Recruiter"/>
    <s v="FullTime"/>
    <n v="1940"/>
    <n v="71"/>
    <n v="80"/>
    <n v="2"/>
    <n v="0"/>
    <m/>
    <n v="0"/>
    <n v="1"/>
    <s v="Current Employees"/>
    <s v="No"/>
  </r>
  <r>
    <x v="0"/>
    <s v="Non-Travel"/>
    <x v="1"/>
    <n v="19"/>
    <x v="0"/>
    <n v="3"/>
    <n v="3"/>
    <x v="4"/>
    <n v="2"/>
    <x v="0"/>
    <n v="7642"/>
    <n v="1"/>
    <s v="Yes"/>
    <n v="13"/>
    <n v="3"/>
    <n v="0"/>
    <n v="10"/>
    <n v="2"/>
    <n v="10"/>
    <n v="0"/>
    <n v="9"/>
    <x v="2"/>
    <s v="27-06-2011"/>
    <m/>
    <s v="Work Environment"/>
    <s v="OFFICE"/>
    <n v="4"/>
    <n v="3"/>
    <s v="Yes"/>
    <s v="Job Portal"/>
    <s v="Part Time"/>
    <n v="1424"/>
    <n v="81"/>
    <n v="80"/>
    <n v="7"/>
    <n v="0"/>
    <m/>
    <n v="0"/>
    <n v="1"/>
    <s v="Current Employees"/>
    <s v="No"/>
  </r>
  <r>
    <x v="27"/>
    <s v="Travel_Rarely"/>
    <x v="0"/>
    <n v="21"/>
    <x v="1"/>
    <n v="3"/>
    <n v="2"/>
    <x v="7"/>
    <n v="4"/>
    <x v="1"/>
    <n v="4014"/>
    <n v="1"/>
    <s v="Yes"/>
    <n v="25"/>
    <n v="4"/>
    <n v="1"/>
    <n v="10"/>
    <n v="2"/>
    <n v="10"/>
    <n v="0"/>
    <n v="7"/>
    <x v="0"/>
    <s v="19-02-2011"/>
    <m/>
    <s v="Better Opportunity"/>
    <s v="WFH"/>
    <n v="2"/>
    <n v="2"/>
    <s v="No"/>
    <s v="Job Portal"/>
    <s v="Contract"/>
    <n v="1484"/>
    <n v="35"/>
    <n v="80"/>
    <n v="7"/>
    <n v="0"/>
    <m/>
    <n v="0"/>
    <n v="1"/>
    <s v="Current Employees"/>
    <s v="No"/>
  </r>
  <r>
    <x v="27"/>
    <s v="Travel_Rarely"/>
    <x v="1"/>
    <n v="3"/>
    <x v="0"/>
    <n v="3"/>
    <n v="3"/>
    <x v="4"/>
    <n v="4"/>
    <x v="2"/>
    <n v="7823"/>
    <n v="6"/>
    <s v="No"/>
    <n v="13"/>
    <n v="3"/>
    <n v="1"/>
    <n v="12"/>
    <n v="2"/>
    <n v="10"/>
    <n v="0"/>
    <n v="8"/>
    <x v="1"/>
    <d v="2011-08-05T00:00:00"/>
    <m/>
    <s v="Work Environment"/>
    <s v="OFFICE"/>
    <n v="5"/>
    <n v="1"/>
    <s v="Yes"/>
    <s v="Recruiter"/>
    <s v="Part Time"/>
    <n v="1859"/>
    <n v="93"/>
    <n v="80"/>
    <n v="0"/>
    <n v="0"/>
    <m/>
    <n v="0"/>
    <n v="1"/>
    <s v="Current Employees"/>
    <s v="No"/>
  </r>
  <r>
    <x v="20"/>
    <s v="Non-Travel"/>
    <x v="1"/>
    <n v="17"/>
    <x v="0"/>
    <n v="3"/>
    <n v="4"/>
    <x v="5"/>
    <n v="3"/>
    <x v="0"/>
    <n v="17444"/>
    <n v="1"/>
    <s v="No"/>
    <n v="11"/>
    <n v="3"/>
    <n v="0"/>
    <n v="10"/>
    <n v="2"/>
    <n v="10"/>
    <n v="6"/>
    <n v="0"/>
    <x v="2"/>
    <d v="2011-01-06T00:00:00"/>
    <m/>
    <s v="Better Opportunity"/>
    <s v="OFFICE"/>
    <n v="0"/>
    <n v="2"/>
    <s v="Yes"/>
    <s v="Job Event"/>
    <s v="Contract"/>
    <n v="1619"/>
    <n v="67"/>
    <n v="80"/>
    <n v="7"/>
    <n v="0"/>
    <m/>
    <n v="0"/>
    <n v="1"/>
    <s v="Current Employees"/>
    <s v="No"/>
  </r>
  <r>
    <x v="37"/>
    <s v="Travel_Rarely"/>
    <x v="0"/>
    <n v="17"/>
    <x v="1"/>
    <n v="3"/>
    <n v="3"/>
    <x v="6"/>
    <n v="3"/>
    <x v="1"/>
    <n v="10739"/>
    <n v="8"/>
    <s v="No"/>
    <n v="11"/>
    <n v="3"/>
    <n v="1"/>
    <n v="22"/>
    <n v="2"/>
    <n v="10"/>
    <n v="0"/>
    <n v="8"/>
    <x v="1"/>
    <d v="2011-06-03T00:00:00"/>
    <m/>
    <s v="Dept.Head"/>
    <s v="WFH"/>
    <n v="5"/>
    <n v="0"/>
    <s v="No"/>
    <s v="Walk-in"/>
    <s v="Part Time"/>
    <n v="1671"/>
    <n v="45"/>
    <n v="80"/>
    <n v="5"/>
    <n v="0"/>
    <m/>
    <n v="0"/>
    <n v="1"/>
    <s v="Current Employees"/>
    <s v="No"/>
  </r>
  <r>
    <x v="31"/>
    <s v="Travel_Rarely"/>
    <x v="0"/>
    <n v="4"/>
    <x v="0"/>
    <n v="3"/>
    <n v="1"/>
    <x v="1"/>
    <n v="3"/>
    <x v="1"/>
    <n v="2461"/>
    <n v="9"/>
    <s v="Yes"/>
    <n v="12"/>
    <n v="3"/>
    <n v="3"/>
    <n v="18"/>
    <n v="2"/>
    <n v="10"/>
    <n v="2"/>
    <n v="7"/>
    <x v="0"/>
    <d v="2011-01-04T00:00:00"/>
    <m/>
    <s v="Work Environment"/>
    <s v="WFH"/>
    <n v="1"/>
    <n v="1"/>
    <s v="No"/>
    <s v="Job Portal"/>
    <s v="Part Time"/>
    <n v="1553"/>
    <n v="66"/>
    <n v="80"/>
    <n v="8"/>
    <n v="0"/>
    <m/>
    <n v="0"/>
    <n v="1"/>
    <s v="Current Employees"/>
    <s v="No"/>
  </r>
  <r>
    <x v="6"/>
    <s v="Non-Travel"/>
    <x v="0"/>
    <n v="24"/>
    <x v="0"/>
    <n v="2"/>
    <n v="3"/>
    <x v="7"/>
    <n v="1"/>
    <x v="0"/>
    <n v="8722"/>
    <n v="1"/>
    <s v="No"/>
    <n v="12"/>
    <n v="3"/>
    <n v="0"/>
    <n v="10"/>
    <n v="2"/>
    <n v="10"/>
    <n v="1"/>
    <n v="9"/>
    <x v="3"/>
    <d v="2011-08-02T00:00:00"/>
    <m/>
    <s v="Work Accident"/>
    <s v="OFFICE"/>
    <n v="3"/>
    <n v="1"/>
    <s v="No"/>
    <s v="Recruiter"/>
    <s v="FullTime"/>
    <n v="1725"/>
    <n v="91"/>
    <n v="80"/>
    <n v="2"/>
    <n v="0"/>
    <m/>
    <n v="0"/>
    <n v="1"/>
    <s v="Current Employees"/>
    <s v="No"/>
  </r>
  <r>
    <x v="33"/>
    <s v="Travel_Rarely"/>
    <x v="0"/>
    <n v="7"/>
    <x v="1"/>
    <n v="4"/>
    <n v="1"/>
    <x v="1"/>
    <n v="3"/>
    <x v="1"/>
    <n v="3376"/>
    <n v="1"/>
    <s v="No"/>
    <n v="13"/>
    <n v="3"/>
    <n v="0"/>
    <n v="10"/>
    <n v="3"/>
    <n v="10"/>
    <n v="0"/>
    <n v="8"/>
    <x v="2"/>
    <s v="18-05-2011"/>
    <m/>
    <s v="Work Accident"/>
    <s v="OFFICE"/>
    <n v="2"/>
    <n v="1"/>
    <s v="No"/>
    <s v="Job Portal"/>
    <s v="FullTime"/>
    <n v="1551"/>
    <n v="57"/>
    <n v="80"/>
    <n v="1"/>
    <n v="0"/>
    <m/>
    <n v="0"/>
    <n v="1"/>
    <s v="Current Employees"/>
    <s v="No"/>
  </r>
  <r>
    <x v="7"/>
    <s v="Travel_Rarely"/>
    <x v="0"/>
    <n v="8"/>
    <x v="0"/>
    <n v="2"/>
    <n v="2"/>
    <x v="6"/>
    <n v="4"/>
    <x v="1"/>
    <n v="5056"/>
    <n v="1"/>
    <s v="Yes"/>
    <n v="15"/>
    <n v="3"/>
    <n v="1"/>
    <n v="10"/>
    <n v="2"/>
    <n v="10"/>
    <n v="1"/>
    <n v="2"/>
    <x v="0"/>
    <d v="2011-03-04T00:00:00"/>
    <m/>
    <s v="Work Accident"/>
    <s v="WFH"/>
    <n v="1"/>
    <n v="2"/>
    <s v="No"/>
    <s v="Walk-in"/>
    <s v="Part Time"/>
    <n v="1871"/>
    <n v="41"/>
    <n v="80"/>
    <n v="2"/>
    <n v="0"/>
    <m/>
    <n v="0"/>
    <n v="1"/>
    <s v="Current Employees"/>
    <s v="No"/>
  </r>
  <r>
    <x v="14"/>
    <s v="Travel_Rarely"/>
    <x v="1"/>
    <n v="10"/>
    <x v="0"/>
    <n v="2"/>
    <n v="2"/>
    <x v="4"/>
    <n v="3"/>
    <x v="1"/>
    <n v="6578"/>
    <n v="1"/>
    <s v="No"/>
    <n v="18"/>
    <n v="3"/>
    <n v="1"/>
    <n v="10"/>
    <n v="3"/>
    <n v="10"/>
    <n v="1"/>
    <n v="4"/>
    <x v="2"/>
    <s v="27-05-2011"/>
    <m/>
    <s v="Dept.Head"/>
    <s v="WFH"/>
    <n v="4"/>
    <n v="3"/>
    <s v="Yes"/>
    <s v="Recruiter"/>
    <s v="Part Time"/>
    <n v="2031"/>
    <n v="56"/>
    <n v="80"/>
    <n v="6"/>
    <n v="0"/>
    <m/>
    <n v="0"/>
    <n v="1"/>
    <s v="Current Employees"/>
    <s v="No"/>
  </r>
  <r>
    <x v="7"/>
    <s v="Travel_Rarely"/>
    <x v="0"/>
    <n v="6"/>
    <x v="1"/>
    <n v="3"/>
    <n v="1"/>
    <x v="0"/>
    <n v="4"/>
    <x v="1"/>
    <n v="3131"/>
    <n v="1"/>
    <s v="No"/>
    <n v="13"/>
    <n v="3"/>
    <n v="1"/>
    <n v="10"/>
    <n v="5"/>
    <n v="10"/>
    <n v="0"/>
    <n v="8"/>
    <x v="1"/>
    <s v="23-03-2011"/>
    <m/>
    <s v="Work Accident"/>
    <s v="WFH"/>
    <n v="0"/>
    <n v="2"/>
    <s v="Yes"/>
    <s v="Job Portal"/>
    <s v="FullTime"/>
    <n v="1543"/>
    <n v="47"/>
    <n v="80"/>
    <n v="8"/>
    <n v="0"/>
    <m/>
    <n v="0"/>
    <n v="1"/>
    <s v="Current Employees"/>
    <s v="No"/>
  </r>
  <r>
    <x v="20"/>
    <s v="Travel_Frequently"/>
    <x v="1"/>
    <n v="25"/>
    <x v="1"/>
    <n v="3"/>
    <n v="2"/>
    <x v="4"/>
    <n v="3"/>
    <x v="1"/>
    <n v="4539"/>
    <n v="1"/>
    <s v="No"/>
    <n v="12"/>
    <n v="3"/>
    <n v="1"/>
    <n v="10"/>
    <n v="3"/>
    <n v="10"/>
    <n v="0"/>
    <n v="1"/>
    <x v="1"/>
    <d v="2011-06-01T00:00:00"/>
    <m/>
    <s v="Work Accident"/>
    <s v="OFFICE"/>
    <n v="5"/>
    <n v="2"/>
    <s v="No"/>
    <s v="Recruiter"/>
    <s v="FullTime"/>
    <n v="1434"/>
    <n v="91"/>
    <n v="80"/>
    <n v="0"/>
    <n v="0"/>
    <m/>
    <n v="0"/>
    <n v="1"/>
    <s v="Current Employees"/>
    <s v="No"/>
  </r>
  <r>
    <x v="14"/>
    <s v="Travel_Rarely"/>
    <x v="0"/>
    <n v="7"/>
    <x v="0"/>
    <n v="3"/>
    <n v="2"/>
    <x v="0"/>
    <n v="3"/>
    <x v="2"/>
    <n v="3491"/>
    <n v="1"/>
    <s v="No"/>
    <n v="13"/>
    <n v="3"/>
    <n v="3"/>
    <n v="10"/>
    <n v="4"/>
    <n v="10"/>
    <n v="8"/>
    <n v="9"/>
    <x v="0"/>
    <s v="26-05-2011"/>
    <m/>
    <s v="Better Opportunity"/>
    <s v="OFFICE"/>
    <n v="3"/>
    <n v="3"/>
    <s v="No"/>
    <s v="Job Event"/>
    <s v="Part Time"/>
    <n v="1621"/>
    <n v="48"/>
    <n v="80"/>
    <n v="15"/>
    <n v="0"/>
    <m/>
    <n v="0"/>
    <n v="1"/>
    <s v="Current Employees"/>
    <s v="No"/>
  </r>
  <r>
    <x v="17"/>
    <s v="Travel_Rarely"/>
    <x v="0"/>
    <n v="2"/>
    <x v="1"/>
    <n v="4"/>
    <n v="1"/>
    <x v="1"/>
    <n v="4"/>
    <x v="1"/>
    <n v="2011"/>
    <n v="1"/>
    <s v="No"/>
    <n v="13"/>
    <n v="3"/>
    <n v="1"/>
    <n v="10"/>
    <n v="5"/>
    <n v="10"/>
    <n v="7"/>
    <n v="7"/>
    <x v="0"/>
    <s v="19-02-2011"/>
    <m/>
    <s v="Salary"/>
    <s v="OFFICE"/>
    <n v="1"/>
    <n v="3"/>
    <s v="Yes"/>
    <s v="Walk-in"/>
    <s v="Contract"/>
    <n v="2068"/>
    <n v="82"/>
    <n v="80"/>
    <n v="3"/>
    <n v="0"/>
    <m/>
    <n v="0"/>
    <n v="1"/>
    <s v="Current Employees"/>
    <s v="No"/>
  </r>
  <r>
    <x v="37"/>
    <s v="Travel_Rarely"/>
    <x v="0"/>
    <n v="3"/>
    <x v="0"/>
    <n v="3"/>
    <n v="4"/>
    <x v="2"/>
    <n v="4"/>
    <x v="1"/>
    <n v="17779"/>
    <n v="3"/>
    <s v="No"/>
    <n v="14"/>
    <n v="3"/>
    <n v="0"/>
    <n v="36"/>
    <n v="2"/>
    <n v="10"/>
    <n v="0"/>
    <n v="9"/>
    <x v="3"/>
    <s v="25-04-2011"/>
    <m/>
    <s v="Salary"/>
    <s v="WFH"/>
    <n v="0"/>
    <n v="0"/>
    <s v="Yes"/>
    <s v="Job Event"/>
    <s v="Part Time"/>
    <n v="1689"/>
    <n v="48"/>
    <n v="80"/>
    <n v="3"/>
    <n v="0"/>
    <m/>
    <n v="0"/>
    <n v="1"/>
    <s v="Current Employees"/>
    <s v="No"/>
  </r>
  <r>
    <x v="28"/>
    <s v="Travel_Rarely"/>
    <x v="0"/>
    <n v="24"/>
    <x v="1"/>
    <n v="2"/>
    <n v="2"/>
    <x v="7"/>
    <n v="1"/>
    <x v="0"/>
    <n v="6812"/>
    <n v="1"/>
    <s v="No"/>
    <n v="19"/>
    <n v="3"/>
    <n v="0"/>
    <n v="10"/>
    <n v="2"/>
    <n v="10"/>
    <n v="1"/>
    <n v="8"/>
    <x v="3"/>
    <d v="2011-11-04T00:00:00"/>
    <m/>
    <s v="Dept.Head"/>
    <s v="OFFICE"/>
    <n v="5"/>
    <n v="0"/>
    <s v="No"/>
    <s v="Walk-in"/>
    <s v="Part Time"/>
    <n v="1867"/>
    <n v="91"/>
    <n v="80"/>
    <n v="10"/>
    <n v="0"/>
    <m/>
    <n v="0"/>
    <n v="1"/>
    <s v="Current Employees"/>
    <s v="No"/>
  </r>
  <r>
    <x v="13"/>
    <s v="Travel_Frequently"/>
    <x v="2"/>
    <n v="11"/>
    <x v="0"/>
    <n v="2"/>
    <n v="2"/>
    <x v="8"/>
    <n v="2"/>
    <x v="1"/>
    <n v="4490"/>
    <n v="4"/>
    <s v="No"/>
    <n v="11"/>
    <n v="3"/>
    <n v="2"/>
    <n v="14"/>
    <n v="5"/>
    <n v="10"/>
    <n v="1"/>
    <n v="8"/>
    <x v="3"/>
    <s v="27-03-2011"/>
    <m/>
    <s v="Salary"/>
    <s v="WFH"/>
    <n v="2"/>
    <n v="3"/>
    <s v="Yes"/>
    <s v="Job Portal"/>
    <s v="FullTime"/>
    <n v="1989"/>
    <n v="76"/>
    <n v="80"/>
    <n v="8"/>
    <n v="0"/>
    <m/>
    <n v="0"/>
    <n v="1"/>
    <s v="Current Employees"/>
    <s v="No"/>
  </r>
  <r>
    <x v="17"/>
    <s v="Travel_Rarely"/>
    <x v="0"/>
    <n v="15"/>
    <x v="1"/>
    <n v="3"/>
    <n v="3"/>
    <x v="7"/>
    <n v="4"/>
    <x v="1"/>
    <n v="7978"/>
    <n v="1"/>
    <s v="No"/>
    <n v="11"/>
    <n v="3"/>
    <n v="1"/>
    <n v="10"/>
    <n v="2"/>
    <n v="10"/>
    <n v="0"/>
    <n v="5"/>
    <x v="2"/>
    <s v="17-04-2011"/>
    <m/>
    <s v="Work Environment"/>
    <s v="OFFICE"/>
    <n v="5"/>
    <n v="1"/>
    <s v="No"/>
    <s v="Job Event"/>
    <s v="Contract"/>
    <n v="1954"/>
    <n v="89"/>
    <n v="80"/>
    <n v="3"/>
    <n v="0"/>
    <m/>
    <n v="0"/>
    <n v="1"/>
    <s v="Current Employees"/>
    <s v="No"/>
  </r>
  <r>
    <x v="21"/>
    <s v="Travel_Rarely"/>
    <x v="1"/>
    <n v="8"/>
    <x v="0"/>
    <n v="4"/>
    <n v="2"/>
    <x v="4"/>
    <n v="4"/>
    <x v="1"/>
    <n v="6209"/>
    <n v="1"/>
    <s v="No"/>
    <n v="15"/>
    <n v="3"/>
    <n v="2"/>
    <n v="10"/>
    <n v="4"/>
    <n v="10"/>
    <n v="0"/>
    <n v="8"/>
    <x v="1"/>
    <s v="21-01-2011"/>
    <m/>
    <s v="Dept.Head"/>
    <s v="WFH"/>
    <n v="0"/>
    <n v="3"/>
    <s v="No"/>
    <s v="Job Event"/>
    <s v="Part Time"/>
    <n v="1473"/>
    <n v="96"/>
    <n v="80"/>
    <n v="2"/>
    <n v="0"/>
    <m/>
    <n v="0"/>
    <n v="1"/>
    <s v="Current Employees"/>
    <s v="No"/>
  </r>
  <r>
    <x v="21"/>
    <s v="Travel_Rarely"/>
    <x v="0"/>
    <n v="7"/>
    <x v="0"/>
    <n v="3"/>
    <n v="2"/>
    <x v="0"/>
    <n v="3"/>
    <x v="1"/>
    <n v="4883"/>
    <n v="1"/>
    <s v="No"/>
    <n v="18"/>
    <n v="3"/>
    <n v="1"/>
    <n v="10"/>
    <n v="3"/>
    <n v="10"/>
    <n v="1"/>
    <n v="1"/>
    <x v="0"/>
    <s v="25-05-2011"/>
    <m/>
    <s v="Work Accident"/>
    <s v="WFH"/>
    <n v="0"/>
    <n v="2"/>
    <s v="Yes"/>
    <s v="Recruiter"/>
    <s v="FullTime"/>
    <n v="1971"/>
    <n v="30"/>
    <n v="80"/>
    <n v="9"/>
    <n v="0"/>
    <m/>
    <n v="0"/>
    <n v="1"/>
    <s v="Current Employees"/>
    <s v="No"/>
  </r>
  <r>
    <x v="28"/>
    <s v="Non-Travel"/>
    <x v="1"/>
    <n v="2"/>
    <x v="1"/>
    <n v="3"/>
    <n v="3"/>
    <x v="4"/>
    <n v="3"/>
    <x v="2"/>
    <n v="9852"/>
    <n v="1"/>
    <s v="Yes"/>
    <n v="19"/>
    <n v="3"/>
    <n v="1"/>
    <n v="10"/>
    <n v="5"/>
    <n v="10"/>
    <n v="9"/>
    <n v="6"/>
    <x v="2"/>
    <s v="16-05-2011"/>
    <m/>
    <s v="Work Accident"/>
    <s v="OFFICE"/>
    <n v="5"/>
    <n v="0"/>
    <s v="Yes"/>
    <s v="Walk-in"/>
    <s v="FullTime"/>
    <n v="1415"/>
    <n v="81"/>
    <n v="80"/>
    <n v="2"/>
    <n v="0"/>
    <m/>
    <n v="0"/>
    <n v="1"/>
    <s v="Current Employees"/>
    <s v="No"/>
  </r>
  <r>
    <x v="13"/>
    <s v="Travel_Rarely"/>
    <x v="1"/>
    <n v="15"/>
    <x v="1"/>
    <n v="3"/>
    <n v="2"/>
    <x v="4"/>
    <n v="1"/>
    <x v="0"/>
    <n v="6125"/>
    <n v="1"/>
    <s v="No"/>
    <n v="12"/>
    <n v="3"/>
    <n v="0"/>
    <n v="10"/>
    <n v="6"/>
    <n v="10"/>
    <n v="9"/>
    <n v="6"/>
    <x v="2"/>
    <s v="20-04-2011"/>
    <m/>
    <s v="Salary"/>
    <s v="WFH"/>
    <n v="4"/>
    <n v="1"/>
    <s v="Yes"/>
    <s v="Walk-in"/>
    <s v="FullTime"/>
    <n v="1438"/>
    <n v="74"/>
    <n v="80"/>
    <n v="5"/>
    <n v="0"/>
    <m/>
    <n v="0"/>
    <n v="1"/>
    <s v="Current Employees"/>
    <s v="No"/>
  </r>
  <r>
    <x v="32"/>
    <s v="Travel_Rarely"/>
    <x v="0"/>
    <n v="7"/>
    <x v="1"/>
    <n v="2"/>
    <n v="3"/>
    <x v="6"/>
    <n v="1"/>
    <x v="1"/>
    <n v="10008"/>
    <n v="7"/>
    <s v="Yes"/>
    <n v="14"/>
    <n v="3"/>
    <n v="0"/>
    <n v="31"/>
    <n v="0"/>
    <n v="10"/>
    <n v="5"/>
    <n v="9"/>
    <x v="0"/>
    <d v="2011-07-04T00:00:00"/>
    <m/>
    <s v="Work Accident"/>
    <s v="WFH"/>
    <n v="3"/>
    <n v="2"/>
    <s v="No"/>
    <s v="Job Portal"/>
    <s v="Part Time"/>
    <n v="1826"/>
    <n v="91"/>
    <n v="80"/>
    <n v="4"/>
    <n v="0"/>
    <m/>
    <n v="0"/>
    <n v="1"/>
    <s v="Current Employees"/>
    <s v="No"/>
  </r>
  <r>
    <x v="10"/>
    <s v="Travel_Rarely"/>
    <x v="0"/>
    <n v="4"/>
    <x v="0"/>
    <n v="3"/>
    <n v="3"/>
    <x v="6"/>
    <n v="4"/>
    <x v="0"/>
    <n v="7898"/>
    <n v="1"/>
    <s v="No"/>
    <n v="11"/>
    <n v="3"/>
    <n v="0"/>
    <n v="11"/>
    <n v="2"/>
    <n v="10"/>
    <n v="0"/>
    <n v="8"/>
    <x v="2"/>
    <s v="28-06-2011"/>
    <m/>
    <s v="Work Accident"/>
    <s v="OFFICE"/>
    <n v="0"/>
    <n v="2"/>
    <s v="Yes"/>
    <s v="Walk-in"/>
    <s v="Contract"/>
    <n v="1609"/>
    <n v="48"/>
    <n v="80"/>
    <n v="4"/>
    <n v="0"/>
    <m/>
    <n v="0"/>
    <n v="1"/>
    <s v="Current Employees"/>
    <s v="No"/>
  </r>
  <r>
    <x v="28"/>
    <s v="Travel_Rarely"/>
    <x v="0"/>
    <n v="22"/>
    <x v="0"/>
    <n v="3"/>
    <n v="2"/>
    <x v="6"/>
    <n v="3"/>
    <x v="1"/>
    <n v="6179"/>
    <n v="1"/>
    <s v="Yes"/>
    <n v="15"/>
    <n v="3"/>
    <n v="2"/>
    <n v="10"/>
    <n v="3"/>
    <n v="10"/>
    <n v="6"/>
    <n v="7"/>
    <x v="3"/>
    <d v="2011-03-05T00:00:00"/>
    <m/>
    <s v="Better Opportunity"/>
    <s v="WFH"/>
    <n v="5"/>
    <n v="1"/>
    <s v="No"/>
    <s v="Job Event"/>
    <s v="Contract"/>
    <n v="1696"/>
    <n v="57"/>
    <n v="80"/>
    <n v="10"/>
    <n v="0"/>
    <m/>
    <n v="0"/>
    <n v="1"/>
    <s v="Current Employees"/>
    <s v="No"/>
  </r>
  <r>
    <x v="7"/>
    <s v="Travel_Rarely"/>
    <x v="2"/>
    <n v="17"/>
    <x v="0"/>
    <n v="2"/>
    <n v="3"/>
    <x v="8"/>
    <n v="1"/>
    <x v="0"/>
    <n v="7988"/>
    <n v="1"/>
    <s v="No"/>
    <n v="13"/>
    <n v="3"/>
    <n v="0"/>
    <n v="10"/>
    <n v="3"/>
    <n v="10"/>
    <n v="0"/>
    <n v="9"/>
    <x v="2"/>
    <s v="27-03-2011"/>
    <m/>
    <s v="Dept.Head"/>
    <s v="OFFICE"/>
    <n v="2"/>
    <n v="2"/>
    <s v="Yes"/>
    <s v="Recruiter"/>
    <s v="Contract"/>
    <n v="1931"/>
    <n v="41"/>
    <n v="80"/>
    <n v="3"/>
    <n v="0"/>
    <m/>
    <n v="0"/>
    <n v="1"/>
    <s v="Current Employees"/>
    <s v="No"/>
  </r>
  <r>
    <x v="26"/>
    <s v="Travel_Rarely"/>
    <x v="0"/>
    <n v="4"/>
    <x v="0"/>
    <n v="2"/>
    <n v="2"/>
    <x v="0"/>
    <n v="4"/>
    <x v="0"/>
    <n v="5810"/>
    <n v="1"/>
    <s v="No"/>
    <n v="16"/>
    <n v="3"/>
    <n v="0"/>
    <n v="10"/>
    <n v="2"/>
    <n v="10"/>
    <n v="1"/>
    <n v="8"/>
    <x v="3"/>
    <s v="22-05-2011"/>
    <m/>
    <s v="Better Opportunity"/>
    <s v="WFH"/>
    <n v="4"/>
    <n v="2"/>
    <s v="No"/>
    <s v="Job Event"/>
    <s v="Part Time"/>
    <n v="1721"/>
    <n v="69"/>
    <n v="80"/>
    <n v="2"/>
    <n v="0"/>
    <m/>
    <n v="0"/>
    <n v="1"/>
    <s v="Current Employees"/>
    <s v="No"/>
  </r>
  <r>
    <x v="28"/>
    <s v="Travel_Frequently"/>
    <x v="0"/>
    <n v="1"/>
    <x v="1"/>
    <n v="4"/>
    <n v="3"/>
    <x v="6"/>
    <n v="2"/>
    <x v="0"/>
    <n v="7446"/>
    <n v="1"/>
    <s v="No"/>
    <n v="11"/>
    <n v="3"/>
    <n v="0"/>
    <n v="10"/>
    <n v="2"/>
    <n v="10"/>
    <n v="4"/>
    <n v="7"/>
    <x v="1"/>
    <d v="2011-05-04T00:00:00"/>
    <m/>
    <s v="Salary"/>
    <s v="WFH"/>
    <n v="2"/>
    <n v="2"/>
    <s v="Yes"/>
    <s v="Job Portal"/>
    <s v="Contract"/>
    <n v="1729"/>
    <n v="33"/>
    <n v="80"/>
    <n v="0"/>
    <n v="0"/>
    <m/>
    <n v="0"/>
    <n v="1"/>
    <s v="Current Employees"/>
    <s v="No"/>
  </r>
  <r>
    <x v="7"/>
    <s v="Travel_Rarely"/>
    <x v="1"/>
    <n v="19"/>
    <x v="0"/>
    <n v="2"/>
    <n v="2"/>
    <x v="4"/>
    <n v="3"/>
    <x v="2"/>
    <n v="8620"/>
    <n v="1"/>
    <s v="No"/>
    <n v="14"/>
    <n v="3"/>
    <n v="2"/>
    <n v="10"/>
    <n v="3"/>
    <n v="10"/>
    <n v="0"/>
    <n v="4"/>
    <x v="3"/>
    <s v="19-03-2011"/>
    <m/>
    <s v="Salary"/>
    <s v="WFH"/>
    <n v="0"/>
    <n v="0"/>
    <s v="No"/>
    <s v="Walk-in"/>
    <s v="FullTime"/>
    <n v="1580"/>
    <n v="45"/>
    <n v="80"/>
    <n v="2"/>
    <n v="0"/>
    <m/>
    <n v="0"/>
    <n v="1"/>
    <s v="Current Employees"/>
    <s v="No"/>
  </r>
  <r>
    <x v="13"/>
    <s v="Travel_Rarely"/>
    <x v="1"/>
    <n v="1"/>
    <x v="0"/>
    <n v="2"/>
    <n v="3"/>
    <x v="4"/>
    <n v="3"/>
    <x v="1"/>
    <n v="7083"/>
    <n v="1"/>
    <s v="Yes"/>
    <n v="14"/>
    <n v="3"/>
    <n v="0"/>
    <n v="10"/>
    <n v="3"/>
    <n v="10"/>
    <n v="8"/>
    <n v="6"/>
    <x v="0"/>
    <d v="2011-01-03T00:00:00"/>
    <m/>
    <s v="Better Opportunity"/>
    <s v="WFH"/>
    <n v="3"/>
    <n v="2"/>
    <s v="Yes"/>
    <s v="Job Portal"/>
    <s v="Contract"/>
    <n v="1903"/>
    <n v="78"/>
    <n v="80"/>
    <n v="0"/>
    <n v="0"/>
    <m/>
    <n v="0"/>
    <n v="1"/>
    <s v="Current Employees"/>
    <s v="No"/>
  </r>
  <r>
    <x v="0"/>
    <s v="Travel_Rarely"/>
    <x v="0"/>
    <n v="13"/>
    <x v="0"/>
    <n v="3"/>
    <n v="2"/>
    <x v="1"/>
    <n v="4"/>
    <x v="1"/>
    <n v="4285"/>
    <n v="1"/>
    <s v="No"/>
    <n v="17"/>
    <n v="3"/>
    <n v="0"/>
    <n v="10"/>
    <n v="2"/>
    <n v="10"/>
    <n v="3"/>
    <n v="7"/>
    <x v="2"/>
    <d v="2011-11-03T00:00:00"/>
    <m/>
    <s v="Work Environment"/>
    <s v="OFFICE"/>
    <n v="1"/>
    <n v="3"/>
    <s v="No"/>
    <s v="Job Portal"/>
    <s v="FullTime"/>
    <n v="1542"/>
    <n v="68"/>
    <n v="80"/>
    <n v="0"/>
    <n v="0"/>
    <m/>
    <n v="0"/>
    <n v="1"/>
    <s v="Current Employees"/>
    <s v="No"/>
  </r>
  <r>
    <x v="2"/>
    <s v="Travel_Rarely"/>
    <x v="0"/>
    <n v="1"/>
    <x v="0"/>
    <n v="3"/>
    <n v="3"/>
    <x v="7"/>
    <n v="2"/>
    <x v="2"/>
    <n v="7441"/>
    <n v="1"/>
    <s v="No"/>
    <n v="12"/>
    <n v="3"/>
    <n v="3"/>
    <n v="10"/>
    <n v="4"/>
    <n v="10"/>
    <n v="7"/>
    <n v="7"/>
    <x v="2"/>
    <d v="2011-06-05T00:00:00"/>
    <m/>
    <s v="Better Opportunity"/>
    <s v="OFFICE"/>
    <n v="4"/>
    <n v="0"/>
    <s v="No"/>
    <s v="Job Event"/>
    <s v="Part Time"/>
    <n v="1601"/>
    <n v="63"/>
    <n v="80"/>
    <n v="0"/>
    <n v="0"/>
    <m/>
    <n v="0"/>
    <n v="1"/>
    <s v="Current Employees"/>
    <s v="No"/>
  </r>
  <r>
    <x v="14"/>
    <s v="Travel_Rarely"/>
    <x v="1"/>
    <n v="1"/>
    <x v="0"/>
    <n v="2"/>
    <n v="2"/>
    <x v="4"/>
    <n v="1"/>
    <x v="1"/>
    <n v="9714"/>
    <n v="1"/>
    <s v="No"/>
    <n v="11"/>
    <n v="3"/>
    <n v="1"/>
    <n v="10"/>
    <n v="4"/>
    <n v="10"/>
    <n v="6"/>
    <n v="7"/>
    <x v="1"/>
    <d v="2011-02-01T00:00:00"/>
    <m/>
    <s v="Dept.Head"/>
    <s v="WFH"/>
    <n v="5"/>
    <n v="1"/>
    <s v="No"/>
    <s v="Job Event"/>
    <s v="Part Time"/>
    <n v="1911"/>
    <n v="83"/>
    <n v="80"/>
    <n v="7"/>
    <n v="0"/>
    <m/>
    <n v="0"/>
    <n v="1"/>
    <s v="Current Employees"/>
    <s v="No"/>
  </r>
  <r>
    <x v="7"/>
    <s v="Travel_Rarely"/>
    <x v="0"/>
    <n v="3"/>
    <x v="0"/>
    <n v="3"/>
    <n v="1"/>
    <x v="0"/>
    <n v="1"/>
    <x v="0"/>
    <n v="4723"/>
    <n v="1"/>
    <s v="Yes"/>
    <n v="18"/>
    <n v="3"/>
    <n v="0"/>
    <n v="10"/>
    <n v="3"/>
    <n v="10"/>
    <n v="1"/>
    <n v="5"/>
    <x v="2"/>
    <d v="2011-06-02T00:00:00"/>
    <m/>
    <s v="Salary"/>
    <s v="WFH"/>
    <n v="3"/>
    <n v="1"/>
    <s v="Yes"/>
    <s v="Walk-in"/>
    <s v="FullTime"/>
    <n v="1799"/>
    <n v="82"/>
    <n v="80"/>
    <n v="3"/>
    <n v="0"/>
    <m/>
    <n v="0"/>
    <n v="1"/>
    <s v="Current Employees"/>
    <s v="No"/>
  </r>
  <r>
    <x v="27"/>
    <s v="Travel_Rarely"/>
    <x v="0"/>
    <n v="28"/>
    <x v="0"/>
    <n v="4"/>
    <n v="2"/>
    <x v="0"/>
    <n v="3"/>
    <x v="1"/>
    <n v="3407"/>
    <n v="1"/>
    <s v="No"/>
    <n v="17"/>
    <n v="3"/>
    <n v="2"/>
    <n v="10"/>
    <n v="3"/>
    <n v="10"/>
    <n v="6"/>
    <n v="8"/>
    <x v="2"/>
    <s v="22-04-2011"/>
    <m/>
    <s v="Work Accident"/>
    <s v="OFFICE"/>
    <n v="3"/>
    <n v="3"/>
    <s v="Yes"/>
    <s v="Recruiter"/>
    <s v="Contract"/>
    <n v="1763"/>
    <n v="58"/>
    <n v="80"/>
    <n v="0"/>
    <n v="0"/>
    <m/>
    <n v="0"/>
    <n v="1"/>
    <s v="Current Employees"/>
    <s v="No"/>
  </r>
  <r>
    <x v="2"/>
    <s v="Travel_Rarely"/>
    <x v="0"/>
    <n v="5"/>
    <x v="1"/>
    <n v="1"/>
    <n v="2"/>
    <x v="0"/>
    <n v="1"/>
    <x v="0"/>
    <n v="5769"/>
    <n v="1"/>
    <s v="Yes"/>
    <n v="14"/>
    <n v="3"/>
    <n v="0"/>
    <n v="10"/>
    <n v="3"/>
    <n v="10"/>
    <n v="1"/>
    <n v="4"/>
    <x v="2"/>
    <s v="30-03-2011"/>
    <m/>
    <s v="Work Environment"/>
    <s v="WFH"/>
    <n v="4"/>
    <n v="3"/>
    <s v="Yes"/>
    <s v="Walk-in"/>
    <s v="Part Time"/>
    <n v="1707"/>
    <n v="62"/>
    <n v="80"/>
    <n v="3"/>
    <n v="0"/>
    <m/>
    <n v="0"/>
    <n v="1"/>
    <s v="Current Employees"/>
    <s v="No"/>
  </r>
  <r>
    <x v="2"/>
    <s v="Non-Travel"/>
    <x v="1"/>
    <n v="26"/>
    <x v="0"/>
    <n v="2"/>
    <n v="2"/>
    <x v="4"/>
    <n v="1"/>
    <x v="1"/>
    <n v="4385"/>
    <n v="1"/>
    <s v="No"/>
    <n v="15"/>
    <n v="3"/>
    <n v="1"/>
    <n v="10"/>
    <n v="2"/>
    <n v="10"/>
    <n v="4"/>
    <n v="5"/>
    <x v="0"/>
    <d v="2011-01-04T00:00:00"/>
    <m/>
    <s v="Dept.Head"/>
    <s v="OFFICE"/>
    <n v="3"/>
    <n v="3"/>
    <s v="Yes"/>
    <s v="Job Portal"/>
    <s v="FullTime"/>
    <n v="2062"/>
    <n v="42"/>
    <n v="80"/>
    <n v="7"/>
    <n v="0"/>
    <m/>
    <n v="0"/>
    <n v="1"/>
    <s v="Current Employees"/>
    <s v="No"/>
  </r>
  <r>
    <x v="25"/>
    <s v="Travel_Rarely"/>
    <x v="0"/>
    <n v="3"/>
    <x v="0"/>
    <n v="2"/>
    <n v="2"/>
    <x v="0"/>
    <n v="3"/>
    <x v="2"/>
    <n v="3069"/>
    <n v="0"/>
    <s v="No"/>
    <n v="15"/>
    <n v="3"/>
    <n v="1"/>
    <n v="11"/>
    <n v="3"/>
    <n v="10"/>
    <n v="0"/>
    <n v="7"/>
    <x v="0"/>
    <d v="2011-03-04T00:00:00"/>
    <m/>
    <s v="Dept.Head"/>
    <s v="WFH"/>
    <n v="5"/>
    <n v="0"/>
    <s v="Yes"/>
    <s v="Job Event"/>
    <s v="Contract"/>
    <n v="1523"/>
    <n v="32"/>
    <n v="80"/>
    <n v="6"/>
    <n v="0"/>
    <m/>
    <n v="0"/>
    <n v="1"/>
    <s v="Current Employees"/>
    <s v="No"/>
  </r>
  <r>
    <x v="2"/>
    <s v="Travel_Rarely"/>
    <x v="0"/>
    <n v="2"/>
    <x v="1"/>
    <n v="2"/>
    <n v="2"/>
    <x v="6"/>
    <n v="4"/>
    <x v="2"/>
    <n v="5770"/>
    <n v="1"/>
    <s v="No"/>
    <n v="19"/>
    <n v="3"/>
    <n v="2"/>
    <n v="10"/>
    <n v="3"/>
    <n v="10"/>
    <n v="3"/>
    <n v="9"/>
    <x v="3"/>
    <s v="26-02-2011"/>
    <m/>
    <s v="Work Environment"/>
    <s v="WFH"/>
    <n v="1"/>
    <n v="3"/>
    <s v="Yes"/>
    <s v="Recruiter"/>
    <s v="Part Time"/>
    <n v="1728"/>
    <n v="49"/>
    <n v="80"/>
    <n v="7"/>
    <n v="0"/>
    <m/>
    <n v="0"/>
    <n v="1"/>
    <s v="Current Employees"/>
    <s v="No"/>
  </r>
  <r>
    <x v="17"/>
    <s v="Travel_Frequently"/>
    <x v="2"/>
    <n v="1"/>
    <x v="0"/>
    <n v="3"/>
    <n v="2"/>
    <x v="8"/>
    <n v="4"/>
    <x v="1"/>
    <n v="5743"/>
    <n v="4"/>
    <s v="Yes"/>
    <n v="11"/>
    <n v="3"/>
    <n v="0"/>
    <n v="14"/>
    <n v="3"/>
    <n v="10"/>
    <n v="0"/>
    <n v="2"/>
    <x v="1"/>
    <s v="28-06-2011"/>
    <m/>
    <s v="Better Opportunity"/>
    <s v="OFFICE"/>
    <n v="3"/>
    <n v="2"/>
    <s v="Yes"/>
    <s v="Recruiter"/>
    <s v="Part Time"/>
    <n v="1798"/>
    <n v="90"/>
    <n v="80"/>
    <n v="8"/>
    <n v="0"/>
    <m/>
    <n v="0"/>
    <n v="1"/>
    <s v="Current Employees"/>
    <s v="No"/>
  </r>
  <r>
    <x v="37"/>
    <s v="Travel_Rarely"/>
    <x v="0"/>
    <n v="22"/>
    <x v="1"/>
    <n v="3"/>
    <n v="4"/>
    <x v="5"/>
    <n v="3"/>
    <x v="1"/>
    <n v="17426"/>
    <n v="3"/>
    <s v="No"/>
    <n v="25"/>
    <n v="4"/>
    <n v="1"/>
    <n v="36"/>
    <n v="6"/>
    <n v="10"/>
    <n v="4"/>
    <n v="7"/>
    <x v="3"/>
    <s v="28-02-2011"/>
    <m/>
    <s v="Work Accident"/>
    <s v="WFH"/>
    <n v="1"/>
    <n v="0"/>
    <s v="No"/>
    <s v="Recruiter"/>
    <s v="Contract"/>
    <n v="1592"/>
    <n v="45"/>
    <n v="80"/>
    <n v="2"/>
    <n v="0"/>
    <m/>
    <n v="0"/>
    <n v="1"/>
    <s v="Current Employees"/>
    <s v="No"/>
  </r>
  <r>
    <x v="7"/>
    <s v="Travel_Rarely"/>
    <x v="1"/>
    <n v="5"/>
    <x v="0"/>
    <n v="2"/>
    <n v="2"/>
    <x v="4"/>
    <n v="2"/>
    <x v="2"/>
    <n v="4187"/>
    <n v="1"/>
    <s v="Yes"/>
    <n v="13"/>
    <n v="3"/>
    <n v="1"/>
    <n v="10"/>
    <n v="3"/>
    <n v="10"/>
    <n v="0"/>
    <n v="9"/>
    <x v="1"/>
    <d v="2011-06-05T00:00:00"/>
    <m/>
    <s v="Work Accident"/>
    <s v="WFH"/>
    <n v="4"/>
    <n v="3"/>
    <s v="No"/>
    <s v="Job Portal"/>
    <s v="Contract"/>
    <n v="1682"/>
    <n v="80"/>
    <n v="80"/>
    <n v="2"/>
    <n v="0"/>
    <m/>
    <n v="0"/>
    <n v="1"/>
    <s v="Current Employees"/>
    <s v="No"/>
  </r>
  <r>
    <x v="28"/>
    <s v="Travel_Rarely"/>
    <x v="1"/>
    <n v="5"/>
    <x v="1"/>
    <n v="3"/>
    <n v="2"/>
    <x v="4"/>
    <n v="4"/>
    <x v="1"/>
    <n v="5476"/>
    <n v="1"/>
    <s v="No"/>
    <n v="11"/>
    <n v="3"/>
    <n v="2"/>
    <n v="10"/>
    <n v="2"/>
    <n v="10"/>
    <n v="0"/>
    <n v="2"/>
    <x v="1"/>
    <s v="24-02-2011"/>
    <m/>
    <s v="Salary"/>
    <s v="WFH"/>
    <n v="5"/>
    <n v="2"/>
    <s v="No"/>
    <s v="Recruiter"/>
    <s v="Contract"/>
    <n v="2012"/>
    <n v="83"/>
    <n v="80"/>
    <n v="0"/>
    <n v="0"/>
    <m/>
    <n v="0"/>
    <n v="1"/>
    <s v="Current Employees"/>
    <s v="No"/>
  </r>
  <r>
    <x v="13"/>
    <s v="Travel_Rarely"/>
    <x v="0"/>
    <n v="19"/>
    <x v="1"/>
    <n v="2"/>
    <n v="1"/>
    <x v="1"/>
    <n v="4"/>
    <x v="1"/>
    <n v="2929"/>
    <n v="1"/>
    <s v="No"/>
    <n v="12"/>
    <n v="3"/>
    <n v="0"/>
    <n v="10"/>
    <n v="3"/>
    <n v="10"/>
    <n v="8"/>
    <n v="7"/>
    <x v="3"/>
    <s v="26-03-2011"/>
    <m/>
    <s v="Better Opportunity"/>
    <s v="WFH"/>
    <n v="0"/>
    <n v="2"/>
    <s v="No"/>
    <s v="Job Event"/>
    <s v="FullTime"/>
    <n v="1803"/>
    <n v="95"/>
    <n v="80"/>
    <n v="0"/>
    <n v="0"/>
    <m/>
    <n v="0"/>
    <n v="1"/>
    <s v="Current Employees"/>
    <s v="No"/>
  </r>
  <r>
    <x v="34"/>
    <s v="Travel_Rarely"/>
    <x v="1"/>
    <n v="2"/>
    <x v="0"/>
    <n v="3"/>
    <n v="2"/>
    <x v="4"/>
    <n v="4"/>
    <x v="1"/>
    <n v="7847"/>
    <n v="1"/>
    <s v="Yes"/>
    <n v="17"/>
    <n v="3"/>
    <n v="1"/>
    <n v="10"/>
    <n v="3"/>
    <n v="10"/>
    <n v="8"/>
    <n v="8"/>
    <x v="0"/>
    <d v="2011-01-06T00:00:00"/>
    <m/>
    <s v="Better Opportunity"/>
    <s v="OFFICE"/>
    <n v="5"/>
    <n v="0"/>
    <s v="Yes"/>
    <s v="Job Event"/>
    <s v="Contract"/>
    <n v="1596"/>
    <n v="46"/>
    <n v="80"/>
    <n v="9"/>
    <n v="0"/>
    <m/>
    <n v="0"/>
    <n v="1"/>
    <s v="Current Employees"/>
    <s v="No"/>
  </r>
  <r>
    <x v="33"/>
    <s v="Travel_Rarely"/>
    <x v="1"/>
    <n v="6"/>
    <x v="0"/>
    <n v="3"/>
    <n v="3"/>
    <x v="4"/>
    <n v="3"/>
    <x v="0"/>
    <n v="9241"/>
    <n v="1"/>
    <s v="No"/>
    <n v="12"/>
    <n v="3"/>
    <n v="0"/>
    <n v="10"/>
    <n v="3"/>
    <n v="10"/>
    <n v="8"/>
    <n v="7"/>
    <x v="1"/>
    <d v="2011-09-06T00:00:00"/>
    <m/>
    <s v="Work Accident"/>
    <s v="WFH"/>
    <n v="5"/>
    <n v="3"/>
    <s v="Yes"/>
    <s v="Walk-in"/>
    <s v="Part Time"/>
    <n v="1514"/>
    <n v="96"/>
    <n v="80"/>
    <n v="6"/>
    <n v="0"/>
    <m/>
    <n v="0"/>
    <n v="1"/>
    <s v="Current Employees"/>
    <s v="No"/>
  </r>
  <r>
    <x v="35"/>
    <s v="Travel_Rarely"/>
    <x v="0"/>
    <n v="13"/>
    <x v="0"/>
    <n v="3"/>
    <n v="2"/>
    <x v="7"/>
    <n v="2"/>
    <x v="0"/>
    <n v="5562"/>
    <n v="6"/>
    <s v="No"/>
    <n v="14"/>
    <n v="3"/>
    <n v="0"/>
    <n v="19"/>
    <n v="3"/>
    <n v="10"/>
    <n v="0"/>
    <n v="9"/>
    <x v="3"/>
    <s v="16-03-2011"/>
    <m/>
    <s v="Salary"/>
    <s v="WFH"/>
    <n v="4"/>
    <n v="2"/>
    <s v="No"/>
    <s v="Job Event"/>
    <s v="Contract"/>
    <n v="1558"/>
    <n v="91"/>
    <n v="80"/>
    <n v="0"/>
    <n v="0"/>
    <m/>
    <n v="0"/>
    <n v="1"/>
    <s v="Current Employees"/>
    <s v="No"/>
  </r>
  <r>
    <x v="14"/>
    <s v="Travel_Rarely"/>
    <x v="0"/>
    <n v="16"/>
    <x v="0"/>
    <n v="3"/>
    <n v="1"/>
    <x v="1"/>
    <n v="4"/>
    <x v="1"/>
    <n v="2862"/>
    <n v="1"/>
    <s v="No"/>
    <n v="12"/>
    <n v="3"/>
    <n v="1"/>
    <n v="10"/>
    <n v="2"/>
    <n v="10"/>
    <n v="0"/>
    <n v="8"/>
    <x v="0"/>
    <d v="2011-04-03T00:00:00"/>
    <m/>
    <s v="Work Accident"/>
    <s v="WFH"/>
    <n v="3"/>
    <n v="3"/>
    <s v="Yes"/>
    <s v="Job Event"/>
    <s v="Part Time"/>
    <n v="1618"/>
    <n v="76"/>
    <n v="80"/>
    <n v="7"/>
    <n v="0"/>
    <m/>
    <n v="0"/>
    <n v="1"/>
    <s v="Current Employees"/>
    <s v="No"/>
  </r>
  <r>
    <x v="35"/>
    <s v="Travel_Rarely"/>
    <x v="1"/>
    <n v="2"/>
    <x v="0"/>
    <n v="3"/>
    <n v="3"/>
    <x v="4"/>
    <n v="4"/>
    <x v="2"/>
    <n v="10368"/>
    <n v="4"/>
    <s v="Yes"/>
    <n v="12"/>
    <n v="3"/>
    <n v="1"/>
    <n v="13"/>
    <n v="5"/>
    <n v="10"/>
    <n v="0"/>
    <n v="3"/>
    <x v="2"/>
    <s v="20-04-2011"/>
    <m/>
    <s v="Work Accident"/>
    <s v="WFH"/>
    <n v="0"/>
    <n v="1"/>
    <s v="Yes"/>
    <s v="Job Portal"/>
    <s v="Contract"/>
    <n v="1698"/>
    <n v="79"/>
    <n v="80"/>
    <n v="11"/>
    <n v="0"/>
    <m/>
    <n v="0"/>
    <n v="1"/>
    <s v="Current Employees"/>
    <s v="No"/>
  </r>
  <r>
    <x v="0"/>
    <s v="Travel_Rarely"/>
    <x v="2"/>
    <n v="8"/>
    <x v="0"/>
    <n v="3"/>
    <n v="2"/>
    <x v="8"/>
    <n v="2"/>
    <x v="2"/>
    <n v="4071"/>
    <n v="2"/>
    <s v="No"/>
    <n v="13"/>
    <n v="3"/>
    <n v="0"/>
    <n v="19"/>
    <n v="4"/>
    <n v="10"/>
    <n v="4"/>
    <n v="7"/>
    <x v="1"/>
    <s v="13-04-2011"/>
    <m/>
    <s v="Dept.Head"/>
    <s v="OFFICE"/>
    <n v="2"/>
    <n v="1"/>
    <s v="No"/>
    <s v="Recruiter"/>
    <s v="Contract"/>
    <n v="1770"/>
    <n v="60"/>
    <n v="80"/>
    <n v="0"/>
    <n v="0"/>
    <m/>
    <n v="0"/>
    <n v="1"/>
    <s v="Current Employees"/>
    <s v="No"/>
  </r>
  <r>
    <x v="27"/>
    <s v="Travel_Rarely"/>
    <x v="1"/>
    <n v="27"/>
    <x v="0"/>
    <n v="3"/>
    <n v="2"/>
    <x v="4"/>
    <n v="4"/>
    <x v="0"/>
    <n v="5813"/>
    <n v="1"/>
    <s v="Yes"/>
    <n v="18"/>
    <n v="3"/>
    <n v="0"/>
    <n v="10"/>
    <n v="2"/>
    <n v="10"/>
    <n v="7"/>
    <n v="7"/>
    <x v="0"/>
    <s v="20-03-2011"/>
    <m/>
    <s v="Work Environment"/>
    <s v="OFFICE"/>
    <n v="4"/>
    <n v="1"/>
    <s v="Yes"/>
    <s v="Job Event"/>
    <s v="Contract"/>
    <n v="1631"/>
    <n v="85"/>
    <n v="80"/>
    <n v="3"/>
    <n v="0"/>
    <m/>
    <n v="0"/>
    <n v="1"/>
    <s v="Current Employees"/>
    <s v="No"/>
  </r>
  <r>
    <x v="20"/>
    <s v="Travel_Rarely"/>
    <x v="0"/>
    <n v="8"/>
    <x v="0"/>
    <n v="4"/>
    <n v="1"/>
    <x v="1"/>
    <n v="1"/>
    <x v="1"/>
    <n v="3143"/>
    <n v="6"/>
    <s v="No"/>
    <n v="19"/>
    <n v="3"/>
    <n v="1"/>
    <n v="14"/>
    <n v="1"/>
    <n v="10"/>
    <n v="7"/>
    <n v="6"/>
    <x v="2"/>
    <d v="2011-03-05T00:00:00"/>
    <m/>
    <s v="Work Accident"/>
    <s v="OFFICE"/>
    <n v="0"/>
    <n v="0"/>
    <s v="No"/>
    <s v="Walk-in"/>
    <s v="Part Time"/>
    <n v="1718"/>
    <n v="62"/>
    <n v="80"/>
    <n v="2"/>
    <n v="0"/>
    <m/>
    <n v="0"/>
    <n v="1"/>
    <s v="Current Employees"/>
    <s v="No"/>
  </r>
  <r>
    <x v="0"/>
    <s v="Travel_Rarely"/>
    <x v="0"/>
    <n v="10"/>
    <x v="0"/>
    <n v="3"/>
    <n v="2"/>
    <x v="6"/>
    <n v="1"/>
    <x v="0"/>
    <n v="4213"/>
    <n v="1"/>
    <s v="No"/>
    <n v="15"/>
    <n v="3"/>
    <n v="0"/>
    <n v="10"/>
    <n v="4"/>
    <n v="10"/>
    <n v="0"/>
    <n v="8"/>
    <x v="2"/>
    <d v="2011-01-02T00:00:00"/>
    <m/>
    <s v="Salary"/>
    <s v="OFFICE"/>
    <n v="4"/>
    <n v="2"/>
    <s v="Yes"/>
    <s v="Job Portal"/>
    <s v="FullTime"/>
    <n v="1435"/>
    <n v="37"/>
    <n v="80"/>
    <n v="4"/>
    <n v="0"/>
    <m/>
    <n v="0"/>
    <n v="1"/>
    <s v="Current Employees"/>
    <s v="No"/>
  </r>
  <r>
    <x v="13"/>
    <s v="Travel_Rarely"/>
    <x v="1"/>
    <n v="8"/>
    <x v="0"/>
    <n v="4"/>
    <n v="2"/>
    <x v="4"/>
    <n v="3"/>
    <x v="1"/>
    <n v="6799"/>
    <n v="1"/>
    <s v="No"/>
    <n v="21"/>
    <n v="4"/>
    <n v="2"/>
    <n v="10"/>
    <n v="5"/>
    <n v="10"/>
    <n v="4"/>
    <n v="8"/>
    <x v="0"/>
    <d v="2011-12-06T00:00:00"/>
    <m/>
    <s v="Better Opportunity"/>
    <s v="OFFICE"/>
    <n v="0"/>
    <n v="3"/>
    <s v="Yes"/>
    <s v="Recruiter"/>
    <s v="FullTime"/>
    <n v="1659"/>
    <n v="77"/>
    <n v="80"/>
    <n v="3"/>
    <n v="0"/>
    <m/>
    <n v="0"/>
    <n v="1"/>
    <s v="Current Employees"/>
    <s v="No"/>
  </r>
  <r>
    <x v="26"/>
    <s v="Travel_Rarely"/>
    <x v="1"/>
    <n v="10"/>
    <x v="1"/>
    <n v="2"/>
    <n v="2"/>
    <x v="4"/>
    <n v="3"/>
    <x v="1"/>
    <n v="5673"/>
    <n v="1"/>
    <s v="Yes"/>
    <n v="13"/>
    <n v="3"/>
    <n v="1"/>
    <n v="10"/>
    <n v="4"/>
    <n v="10"/>
    <n v="1"/>
    <n v="7"/>
    <x v="1"/>
    <s v="22-04-2011"/>
    <m/>
    <s v="Work Environment"/>
    <s v="WFH"/>
    <n v="4"/>
    <n v="1"/>
    <s v="Yes"/>
    <s v="Walk-in"/>
    <s v="Part Time"/>
    <n v="1533"/>
    <n v="97"/>
    <n v="80"/>
    <n v="3"/>
    <n v="0"/>
    <m/>
    <n v="0"/>
    <n v="1"/>
    <s v="Current Employees"/>
    <s v="No"/>
  </r>
  <r>
    <x v="28"/>
    <s v="Travel_Rarely"/>
    <x v="0"/>
    <n v="20"/>
    <x v="0"/>
    <n v="3"/>
    <n v="2"/>
    <x v="0"/>
    <n v="3"/>
    <x v="2"/>
    <n v="4197"/>
    <n v="1"/>
    <s v="No"/>
    <n v="11"/>
    <n v="3"/>
    <n v="1"/>
    <n v="10"/>
    <n v="2"/>
    <n v="10"/>
    <n v="0"/>
    <n v="2"/>
    <x v="2"/>
    <s v="27-06-2011"/>
    <m/>
    <s v="Work Environment"/>
    <s v="WFH"/>
    <n v="4"/>
    <n v="1"/>
    <s v="No"/>
    <s v="Walk-in"/>
    <s v="Contract"/>
    <n v="1577"/>
    <n v="35"/>
    <n v="80"/>
    <n v="0"/>
    <n v="0"/>
    <m/>
    <n v="0"/>
    <n v="1"/>
    <s v="Current Employees"/>
    <s v="No"/>
  </r>
  <r>
    <x v="26"/>
    <s v="Travel_Frequently"/>
    <x v="2"/>
    <n v="2"/>
    <x v="0"/>
    <n v="2"/>
    <n v="2"/>
    <x v="8"/>
    <n v="4"/>
    <x v="0"/>
    <n v="3886"/>
    <n v="1"/>
    <s v="No"/>
    <n v="21"/>
    <n v="4"/>
    <n v="0"/>
    <n v="10"/>
    <n v="2"/>
    <n v="10"/>
    <n v="0"/>
    <n v="8"/>
    <x v="2"/>
    <s v="21-03-2011"/>
    <m/>
    <s v="Work Environment"/>
    <s v="WFH"/>
    <n v="1"/>
    <n v="3"/>
    <s v="No"/>
    <s v="Recruiter"/>
    <s v="Part Time"/>
    <n v="2014"/>
    <n v="52"/>
    <n v="80"/>
    <n v="7"/>
    <n v="0"/>
    <m/>
    <n v="0"/>
    <n v="1"/>
    <s v="Current Employees"/>
    <s v="No"/>
  </r>
  <r>
    <x v="20"/>
    <s v="Travel_Rarely"/>
    <x v="1"/>
    <n v="10"/>
    <x v="0"/>
    <n v="3"/>
    <n v="2"/>
    <x v="4"/>
    <n v="3"/>
    <x v="0"/>
    <n v="5487"/>
    <n v="1"/>
    <s v="No"/>
    <n v="14"/>
    <n v="3"/>
    <n v="0"/>
    <n v="10"/>
    <n v="2"/>
    <n v="10"/>
    <n v="0"/>
    <n v="9"/>
    <x v="2"/>
    <d v="2011-01-03T00:00:00"/>
    <m/>
    <s v="Better Opportunity"/>
    <s v="OFFICE"/>
    <n v="0"/>
    <n v="1"/>
    <s v="Yes"/>
    <s v="Walk-in"/>
    <s v="FullTime"/>
    <n v="1981"/>
    <n v="45"/>
    <n v="80"/>
    <n v="3"/>
    <n v="0"/>
    <m/>
    <n v="0"/>
    <n v="1"/>
    <s v="Current Employees"/>
    <s v="No"/>
  </r>
  <r>
    <x v="25"/>
    <s v="Travel_Rarely"/>
    <x v="0"/>
    <n v="9"/>
    <x v="0"/>
    <n v="3"/>
    <n v="2"/>
    <x v="6"/>
    <n v="1"/>
    <x v="1"/>
    <n v="5151"/>
    <n v="1"/>
    <s v="No"/>
    <n v="25"/>
    <n v="4"/>
    <n v="1"/>
    <n v="10"/>
    <n v="3"/>
    <n v="10"/>
    <n v="7"/>
    <n v="9"/>
    <x v="1"/>
    <d v="2011-02-02T00:00:00"/>
    <m/>
    <s v="Work Accident"/>
    <s v="WFH"/>
    <n v="5"/>
    <n v="2"/>
    <s v="Yes"/>
    <s v="Job Event"/>
    <s v="Contract"/>
    <n v="2008"/>
    <n v="48"/>
    <n v="80"/>
    <n v="7"/>
    <n v="0"/>
    <m/>
    <n v="0"/>
    <n v="1"/>
    <s v="Current Employees"/>
    <s v="No"/>
  </r>
  <r>
    <x v="28"/>
    <s v="Travel_Frequently"/>
    <x v="0"/>
    <n v="1"/>
    <x v="0"/>
    <n v="1"/>
    <n v="2"/>
    <x v="1"/>
    <n v="1"/>
    <x v="1"/>
    <n v="5003"/>
    <n v="1"/>
    <s v="No"/>
    <n v="21"/>
    <n v="4"/>
    <n v="0"/>
    <n v="10"/>
    <n v="6"/>
    <n v="10"/>
    <n v="8"/>
    <n v="7"/>
    <x v="0"/>
    <s v="25-04-2011"/>
    <m/>
    <s v="Work Environment"/>
    <s v="OFFICE"/>
    <n v="3"/>
    <n v="3"/>
    <s v="Yes"/>
    <s v="Walk-in"/>
    <s v="FullTime"/>
    <n v="1814"/>
    <n v="85"/>
    <n v="80"/>
    <n v="2"/>
    <n v="0"/>
    <m/>
    <n v="0"/>
    <n v="1"/>
    <s v="Current Employees"/>
    <s v="No"/>
  </r>
  <r>
    <x v="27"/>
    <s v="Travel_Rarely"/>
    <x v="1"/>
    <n v="7"/>
    <x v="1"/>
    <n v="3"/>
    <n v="2"/>
    <x v="4"/>
    <n v="4"/>
    <x v="1"/>
    <n v="5204"/>
    <n v="1"/>
    <s v="Yes"/>
    <n v="11"/>
    <n v="3"/>
    <n v="0"/>
    <n v="10"/>
    <n v="2"/>
    <n v="10"/>
    <n v="0"/>
    <n v="9"/>
    <x v="3"/>
    <d v="2011-02-05T00:00:00"/>
    <m/>
    <s v="Work Environment"/>
    <s v="OFFICE"/>
    <n v="0"/>
    <n v="2"/>
    <s v="No"/>
    <s v="Walk-in"/>
    <s v="Part Time"/>
    <n v="2048"/>
    <n v="52"/>
    <n v="80"/>
    <n v="2"/>
    <n v="0"/>
    <m/>
    <n v="0"/>
    <n v="1"/>
    <s v="Current Employees"/>
    <s v="No"/>
  </r>
  <r>
    <x v="28"/>
    <s v="Travel_Frequently"/>
    <x v="1"/>
    <n v="26"/>
    <x v="0"/>
    <n v="3"/>
    <n v="2"/>
    <x v="4"/>
    <n v="4"/>
    <x v="1"/>
    <n v="5617"/>
    <n v="1"/>
    <s v="Yes"/>
    <n v="11"/>
    <n v="3"/>
    <n v="0"/>
    <n v="10"/>
    <n v="4"/>
    <n v="10"/>
    <n v="0"/>
    <n v="8"/>
    <x v="3"/>
    <s v="18-01-2011"/>
    <m/>
    <s v="Better Opportunity"/>
    <s v="OFFICE"/>
    <n v="1"/>
    <n v="0"/>
    <s v="No"/>
    <s v="Job Event"/>
    <s v="Contract"/>
    <n v="1952"/>
    <n v="95"/>
    <n v="80"/>
    <n v="7"/>
    <n v="0"/>
    <m/>
    <n v="0"/>
    <n v="1"/>
    <s v="Current Employees"/>
    <s v="No"/>
  </r>
  <r>
    <x v="34"/>
    <s v="Travel_Rarely"/>
    <x v="0"/>
    <n v="11"/>
    <x v="0"/>
    <n v="3"/>
    <n v="3"/>
    <x v="7"/>
    <n v="3"/>
    <x v="1"/>
    <n v="7510"/>
    <n v="1"/>
    <s v="No"/>
    <n v="17"/>
    <n v="3"/>
    <n v="1"/>
    <n v="10"/>
    <n v="1"/>
    <n v="10"/>
    <n v="0"/>
    <n v="9"/>
    <x v="3"/>
    <s v="18-04-2011"/>
    <m/>
    <s v="Dept.Head"/>
    <s v="WFH"/>
    <n v="1"/>
    <n v="1"/>
    <s v="No"/>
    <s v="Job Event"/>
    <s v="Contract"/>
    <n v="1727"/>
    <n v="34"/>
    <n v="80"/>
    <n v="7"/>
    <n v="0"/>
    <m/>
    <n v="0"/>
    <n v="1"/>
    <s v="Current Employees"/>
    <s v="No"/>
  </r>
  <r>
    <x v="29"/>
    <s v="Travel_Rarely"/>
    <x v="2"/>
    <n v="26"/>
    <x v="0"/>
    <n v="4"/>
    <n v="5"/>
    <x v="5"/>
    <n v="2"/>
    <x v="1"/>
    <n v="19636"/>
    <n v="4"/>
    <s v="Yes"/>
    <n v="18"/>
    <n v="3"/>
    <n v="1"/>
    <n v="35"/>
    <n v="0"/>
    <n v="10"/>
    <n v="1"/>
    <n v="4"/>
    <x v="3"/>
    <d v="2011-11-04T00:00:00"/>
    <m/>
    <s v="Dept.Head"/>
    <s v="OFFICE"/>
    <n v="1"/>
    <n v="3"/>
    <s v="No"/>
    <s v="Walk-in"/>
    <s v="FullTime"/>
    <n v="1677"/>
    <n v="36"/>
    <n v="80"/>
    <n v="7"/>
    <n v="0"/>
    <m/>
    <n v="0"/>
    <n v="1"/>
    <s v="Current Employees"/>
    <s v="No"/>
  </r>
  <r>
    <x v="18"/>
    <s v="Travel_Frequently"/>
    <x v="0"/>
    <n v="11"/>
    <x v="1"/>
    <n v="3"/>
    <n v="2"/>
    <x v="0"/>
    <n v="3"/>
    <x v="1"/>
    <n v="6323"/>
    <n v="1"/>
    <s v="No"/>
    <n v="11"/>
    <n v="3"/>
    <n v="1"/>
    <n v="10"/>
    <n v="2"/>
    <n v="10"/>
    <n v="9"/>
    <n v="4"/>
    <x v="0"/>
    <s v="21-06-2011"/>
    <m/>
    <s v="Better Opportunity"/>
    <s v="OFFICE"/>
    <n v="5"/>
    <n v="3"/>
    <s v="Yes"/>
    <s v="Recruiter"/>
    <s v="Contract"/>
    <n v="1623"/>
    <n v="97"/>
    <n v="80"/>
    <n v="2"/>
    <n v="0"/>
    <m/>
    <n v="0"/>
    <n v="1"/>
    <s v="Current Employees"/>
    <s v="No"/>
  </r>
  <r>
    <x v="27"/>
    <s v="Travel_Rarely"/>
    <x v="0"/>
    <n v="9"/>
    <x v="0"/>
    <n v="3"/>
    <n v="2"/>
    <x v="1"/>
    <n v="3"/>
    <x v="0"/>
    <n v="5098"/>
    <n v="1"/>
    <s v="No"/>
    <n v="19"/>
    <n v="3"/>
    <n v="0"/>
    <n v="10"/>
    <n v="5"/>
    <n v="10"/>
    <n v="0"/>
    <n v="8"/>
    <x v="0"/>
    <s v="23-02-2011"/>
    <m/>
    <s v="Dept.Head"/>
    <s v="OFFICE"/>
    <n v="2"/>
    <n v="0"/>
    <s v="Yes"/>
    <s v="Recruiter"/>
    <s v="FullTime"/>
    <n v="1417"/>
    <n v="100"/>
    <n v="80"/>
    <n v="7"/>
    <n v="0"/>
    <m/>
    <n v="0"/>
    <n v="1"/>
    <s v="Current Employees"/>
    <s v="No"/>
  </r>
  <r>
    <x v="23"/>
    <s v="Travel_Rarely"/>
    <x v="0"/>
    <n v="7"/>
    <x v="0"/>
    <n v="3"/>
    <n v="1"/>
    <x v="0"/>
    <n v="3"/>
    <x v="1"/>
    <n v="2339"/>
    <n v="8"/>
    <s v="No"/>
    <n v="11"/>
    <n v="3"/>
    <n v="1"/>
    <n v="14"/>
    <n v="4"/>
    <n v="10"/>
    <n v="9"/>
    <n v="8"/>
    <x v="1"/>
    <s v="19-04-2011"/>
    <m/>
    <s v="Work Accident"/>
    <s v="WFH"/>
    <n v="5"/>
    <n v="3"/>
    <s v="No"/>
    <s v="Job Portal"/>
    <s v="Contract"/>
    <n v="1564"/>
    <n v="68"/>
    <n v="80"/>
    <n v="0"/>
    <n v="0"/>
    <m/>
    <n v="0"/>
    <n v="1"/>
    <s v="Current Employees"/>
    <s v="No"/>
  </r>
  <r>
    <x v="12"/>
    <s v="Travel_Rarely"/>
    <x v="1"/>
    <n v="10"/>
    <x v="1"/>
    <n v="3"/>
    <n v="2"/>
    <x v="4"/>
    <n v="4"/>
    <x v="1"/>
    <n v="5343"/>
    <n v="1"/>
    <s v="No"/>
    <n v="11"/>
    <n v="3"/>
    <n v="1"/>
    <n v="10"/>
    <n v="1"/>
    <n v="10"/>
    <n v="1"/>
    <n v="9"/>
    <x v="0"/>
    <s v="26-03-2011"/>
    <m/>
    <s v="Dept.Head"/>
    <s v="WFH"/>
    <n v="2"/>
    <n v="1"/>
    <s v="No"/>
    <s v="Job Event"/>
    <s v="Part Time"/>
    <n v="1545"/>
    <n v="44"/>
    <n v="80"/>
    <n v="3"/>
    <n v="0"/>
    <m/>
    <n v="0"/>
    <n v="1"/>
    <s v="Current Employees"/>
    <s v="No"/>
  </r>
  <r>
    <x v="27"/>
    <s v="Travel_Frequently"/>
    <x v="0"/>
    <n v="18"/>
    <x v="0"/>
    <n v="3"/>
    <n v="2"/>
    <x v="7"/>
    <n v="3"/>
    <x v="1"/>
    <n v="5689"/>
    <n v="1"/>
    <s v="Yes"/>
    <n v="14"/>
    <n v="3"/>
    <n v="2"/>
    <n v="10"/>
    <n v="2"/>
    <n v="10"/>
    <n v="0"/>
    <n v="2"/>
    <x v="1"/>
    <s v="23-02-2011"/>
    <m/>
    <s v="Salary"/>
    <s v="WFH"/>
    <n v="5"/>
    <n v="1"/>
    <s v="Yes"/>
    <s v="Walk-in"/>
    <s v="Contract"/>
    <n v="1883"/>
    <n v="59"/>
    <n v="80"/>
    <n v="2"/>
    <n v="0"/>
    <m/>
    <n v="0"/>
    <n v="1"/>
    <s v="Current Employees"/>
    <s v="No"/>
  </r>
  <r>
    <x v="28"/>
    <s v="Travel_Rarely"/>
    <x v="0"/>
    <n v="8"/>
    <x v="1"/>
    <n v="3"/>
    <n v="2"/>
    <x v="6"/>
    <n v="4"/>
    <x v="0"/>
    <n v="4424"/>
    <n v="1"/>
    <s v="No"/>
    <n v="23"/>
    <n v="4"/>
    <n v="0"/>
    <n v="11"/>
    <n v="2"/>
    <n v="11"/>
    <n v="1"/>
    <n v="8"/>
    <x v="3"/>
    <s v="23-03-2010"/>
    <m/>
    <s v="Work Environment"/>
    <s v="WFH"/>
    <n v="2"/>
    <n v="0"/>
    <s v="No"/>
    <s v="Walk-in"/>
    <s v="FullTime"/>
    <n v="2038"/>
    <n v="78"/>
    <n v="80"/>
    <n v="2"/>
    <n v="0"/>
    <m/>
    <n v="0"/>
    <n v="1"/>
    <s v="Current Employees"/>
    <s v="No"/>
  </r>
  <r>
    <x v="14"/>
    <s v="Travel_Rarely"/>
    <x v="0"/>
    <n v="2"/>
    <x v="0"/>
    <n v="2"/>
    <n v="2"/>
    <x v="7"/>
    <n v="4"/>
    <x v="1"/>
    <n v="4152"/>
    <n v="1"/>
    <s v="No"/>
    <n v="19"/>
    <n v="3"/>
    <n v="3"/>
    <n v="11"/>
    <n v="3"/>
    <n v="11"/>
    <n v="10"/>
    <n v="8"/>
    <x v="2"/>
    <d v="2010-06-06T00:00:00"/>
    <m/>
    <s v="Dept.Head"/>
    <s v="OFFICE"/>
    <n v="4"/>
    <n v="1"/>
    <s v="Yes"/>
    <s v="Job Portal"/>
    <s v="FullTime"/>
    <n v="1475"/>
    <n v="49"/>
    <n v="80"/>
    <n v="2"/>
    <n v="0"/>
    <m/>
    <n v="0"/>
    <n v="1"/>
    <s v="Current Employees"/>
    <s v="No"/>
  </r>
  <r>
    <x v="14"/>
    <s v="Travel_Rarely"/>
    <x v="1"/>
    <n v="4"/>
    <x v="1"/>
    <n v="2"/>
    <n v="2"/>
    <x v="4"/>
    <n v="2"/>
    <x v="2"/>
    <n v="5209"/>
    <n v="1"/>
    <s v="Yes"/>
    <n v="12"/>
    <n v="3"/>
    <n v="3"/>
    <n v="11"/>
    <n v="4"/>
    <n v="11"/>
    <n v="2"/>
    <n v="7"/>
    <x v="0"/>
    <s v="28-05-2010"/>
    <m/>
    <s v="Salary"/>
    <s v="WFH"/>
    <n v="1"/>
    <n v="1"/>
    <s v="Yes"/>
    <s v="Job Event"/>
    <s v="FullTime"/>
    <n v="1860"/>
    <n v="81"/>
    <n v="80"/>
    <n v="0"/>
    <n v="0"/>
    <m/>
    <n v="0"/>
    <n v="1"/>
    <s v="Current Employees"/>
    <s v="No"/>
  </r>
  <r>
    <x v="21"/>
    <s v="Travel_Rarely"/>
    <x v="1"/>
    <n v="6"/>
    <x v="0"/>
    <n v="3"/>
    <n v="2"/>
    <x v="4"/>
    <n v="3"/>
    <x v="0"/>
    <n v="5010"/>
    <n v="1"/>
    <s v="No"/>
    <n v="16"/>
    <n v="3"/>
    <n v="0"/>
    <n v="12"/>
    <n v="0"/>
    <n v="11"/>
    <n v="5"/>
    <n v="7"/>
    <x v="3"/>
    <s v="21-06-2010"/>
    <m/>
    <s v="Work Environment"/>
    <s v="WFH"/>
    <n v="2"/>
    <n v="1"/>
    <s v="No"/>
    <s v="Job Event"/>
    <s v="Contract"/>
    <n v="2007"/>
    <n v="63"/>
    <n v="80"/>
    <n v="2"/>
    <n v="0"/>
    <m/>
    <n v="0"/>
    <n v="1"/>
    <s v="Current Employees"/>
    <s v="No"/>
  </r>
  <r>
    <x v="13"/>
    <s v="Travel_Rarely"/>
    <x v="0"/>
    <n v="5"/>
    <x v="1"/>
    <n v="2"/>
    <n v="3"/>
    <x v="5"/>
    <n v="1"/>
    <x v="0"/>
    <n v="11631"/>
    <n v="2"/>
    <s v="No"/>
    <n v="12"/>
    <n v="3"/>
    <n v="0"/>
    <n v="14"/>
    <n v="6"/>
    <n v="11"/>
    <n v="5"/>
    <n v="8"/>
    <x v="3"/>
    <d v="2010-05-01T00:00:00"/>
    <m/>
    <s v="Work Accident"/>
    <s v="OFFICE"/>
    <n v="0"/>
    <n v="1"/>
    <s v="No"/>
    <s v="Job Event"/>
    <s v="Contract"/>
    <n v="1982"/>
    <n v="78"/>
    <n v="80"/>
    <n v="2"/>
    <n v="0"/>
    <m/>
    <n v="0"/>
    <n v="1"/>
    <s v="Current Employees"/>
    <s v="No"/>
  </r>
  <r>
    <x v="14"/>
    <s v="Travel_Rarely"/>
    <x v="2"/>
    <n v="9"/>
    <x v="0"/>
    <n v="3"/>
    <n v="2"/>
    <x v="8"/>
    <n v="4"/>
    <x v="1"/>
    <n v="6347"/>
    <n v="0"/>
    <s v="Yes"/>
    <n v="19"/>
    <n v="3"/>
    <n v="0"/>
    <n v="12"/>
    <n v="2"/>
    <n v="11"/>
    <n v="4"/>
    <n v="7"/>
    <x v="1"/>
    <d v="2010-03-02T00:00:00"/>
    <m/>
    <s v="Work Accident"/>
    <s v="WFH"/>
    <n v="5"/>
    <n v="2"/>
    <s v="No"/>
    <s v="Job Event"/>
    <s v="FullTime"/>
    <n v="1472"/>
    <n v="39"/>
    <n v="80"/>
    <n v="8"/>
    <n v="0"/>
    <m/>
    <n v="0"/>
    <n v="1"/>
    <s v="Current Employees"/>
    <s v="No"/>
  </r>
  <r>
    <x v="14"/>
    <s v="Non-Travel"/>
    <x v="0"/>
    <n v="1"/>
    <x v="0"/>
    <n v="2"/>
    <n v="3"/>
    <x v="6"/>
    <n v="3"/>
    <x v="0"/>
    <n v="8474"/>
    <n v="1"/>
    <s v="No"/>
    <n v="22"/>
    <n v="4"/>
    <n v="0"/>
    <n v="12"/>
    <n v="2"/>
    <n v="11"/>
    <n v="5"/>
    <n v="8"/>
    <x v="0"/>
    <s v="17-01-2010"/>
    <m/>
    <s v="Work Accident"/>
    <s v="OFFICE"/>
    <n v="4"/>
    <n v="2"/>
    <s v="No"/>
    <s v="Recruiter"/>
    <s v="FullTime"/>
    <n v="1453"/>
    <n v="31"/>
    <n v="80"/>
    <n v="7"/>
    <n v="0"/>
    <m/>
    <n v="0"/>
    <n v="1"/>
    <s v="Current Employees"/>
    <s v="No"/>
  </r>
  <r>
    <x v="7"/>
    <s v="Travel_Frequently"/>
    <x v="1"/>
    <n v="1"/>
    <x v="1"/>
    <n v="3"/>
    <n v="3"/>
    <x v="4"/>
    <n v="4"/>
    <x v="1"/>
    <n v="7918"/>
    <n v="1"/>
    <s v="No"/>
    <n v="14"/>
    <n v="3"/>
    <n v="1"/>
    <n v="11"/>
    <n v="5"/>
    <n v="11"/>
    <n v="4"/>
    <n v="1"/>
    <x v="1"/>
    <s v="29-06-2010"/>
    <m/>
    <s v="Dept.Head"/>
    <s v="OFFICE"/>
    <n v="3"/>
    <n v="3"/>
    <s v="Yes"/>
    <s v="Recruiter"/>
    <s v="Part Time"/>
    <n v="1754"/>
    <n v="94"/>
    <n v="80"/>
    <n v="7"/>
    <n v="0"/>
    <m/>
    <n v="0"/>
    <n v="1"/>
    <s v="Current Employees"/>
    <s v="No"/>
  </r>
  <r>
    <x v="13"/>
    <s v="Travel_Rarely"/>
    <x v="0"/>
    <n v="2"/>
    <x v="0"/>
    <n v="2"/>
    <n v="2"/>
    <x v="6"/>
    <n v="1"/>
    <x v="1"/>
    <n v="5957"/>
    <n v="6"/>
    <s v="No"/>
    <n v="13"/>
    <n v="3"/>
    <n v="1"/>
    <n v="13"/>
    <n v="3"/>
    <n v="11"/>
    <n v="5"/>
    <n v="9"/>
    <x v="3"/>
    <s v="14-01-2010"/>
    <m/>
    <s v="Work Accident"/>
    <s v="OFFICE"/>
    <n v="3"/>
    <n v="2"/>
    <s v="Yes"/>
    <s v="Recruiter"/>
    <s v="FullTime"/>
    <n v="2037"/>
    <n v="57"/>
    <n v="80"/>
    <n v="4"/>
    <n v="0"/>
    <m/>
    <n v="0"/>
    <n v="1"/>
    <s v="Current Employees"/>
    <s v="No"/>
  </r>
  <r>
    <x v="27"/>
    <s v="Travel_Rarely"/>
    <x v="1"/>
    <n v="16"/>
    <x v="0"/>
    <n v="3"/>
    <n v="3"/>
    <x v="4"/>
    <n v="2"/>
    <x v="1"/>
    <n v="8020"/>
    <n v="0"/>
    <s v="No"/>
    <n v="15"/>
    <n v="3"/>
    <n v="2"/>
    <n v="12"/>
    <n v="3"/>
    <n v="11"/>
    <n v="6"/>
    <n v="9"/>
    <x v="1"/>
    <s v="29-03-2010"/>
    <m/>
    <s v="Better Opportunity"/>
    <s v="WFH"/>
    <n v="1"/>
    <n v="3"/>
    <s v="Yes"/>
    <s v="Walk-in"/>
    <s v="Part Time"/>
    <n v="1951"/>
    <n v="39"/>
    <n v="80"/>
    <n v="7"/>
    <n v="0"/>
    <m/>
    <n v="0"/>
    <n v="1"/>
    <s v="Current Employees"/>
    <s v="No"/>
  </r>
  <r>
    <x v="12"/>
    <s v="Travel_Rarely"/>
    <x v="0"/>
    <n v="15"/>
    <x v="0"/>
    <n v="2"/>
    <n v="3"/>
    <x v="2"/>
    <n v="4"/>
    <x v="2"/>
    <n v="11510"/>
    <n v="0"/>
    <s v="Yes"/>
    <n v="14"/>
    <n v="3"/>
    <n v="1"/>
    <n v="12"/>
    <n v="3"/>
    <n v="11"/>
    <n v="2"/>
    <n v="9"/>
    <x v="0"/>
    <s v="30-03-2010"/>
    <m/>
    <s v="Better Opportunity"/>
    <s v="WFH"/>
    <n v="1"/>
    <n v="3"/>
    <s v="No"/>
    <s v="Job Event"/>
    <s v="FullTime"/>
    <n v="1497"/>
    <n v="77"/>
    <n v="80"/>
    <n v="7"/>
    <n v="0"/>
    <m/>
    <n v="0"/>
    <n v="1"/>
    <s v="Current Employees"/>
    <s v="No"/>
  </r>
  <r>
    <x v="28"/>
    <s v="Travel_Rarely"/>
    <x v="0"/>
    <n v="7"/>
    <x v="1"/>
    <n v="3"/>
    <n v="3"/>
    <x v="6"/>
    <n v="4"/>
    <x v="0"/>
    <n v="7143"/>
    <n v="1"/>
    <s v="Yes"/>
    <n v="14"/>
    <n v="3"/>
    <n v="0"/>
    <n v="11"/>
    <n v="2"/>
    <n v="11"/>
    <n v="4"/>
    <n v="10"/>
    <x v="3"/>
    <s v="18-03-2010"/>
    <m/>
    <s v="Work Accident"/>
    <s v="WFH"/>
    <n v="4"/>
    <n v="3"/>
    <s v="Yes"/>
    <s v="Job Portal"/>
    <s v="Part Time"/>
    <n v="1670"/>
    <n v="93"/>
    <n v="80"/>
    <n v="2"/>
    <n v="0"/>
    <m/>
    <n v="0"/>
    <n v="1"/>
    <s v="Current Employees"/>
    <s v="No"/>
  </r>
  <r>
    <x v="14"/>
    <s v="Non-Travel"/>
    <x v="0"/>
    <n v="2"/>
    <x v="1"/>
    <n v="3"/>
    <n v="1"/>
    <x v="0"/>
    <n v="4"/>
    <x v="0"/>
    <n v="2564"/>
    <n v="0"/>
    <s v="No"/>
    <n v="14"/>
    <n v="3"/>
    <n v="0"/>
    <n v="12"/>
    <n v="2"/>
    <n v="11"/>
    <n v="6"/>
    <n v="7"/>
    <x v="0"/>
    <s v="22-06-2010"/>
    <m/>
    <s v="Dept.Head"/>
    <s v="WFH"/>
    <n v="0"/>
    <n v="0"/>
    <s v="No"/>
    <s v="Walk-in"/>
    <s v="Contract"/>
    <n v="1466"/>
    <n v="96"/>
    <n v="80"/>
    <n v="2"/>
    <n v="0"/>
    <m/>
    <n v="0"/>
    <n v="1"/>
    <s v="Current Employees"/>
    <s v="No"/>
  </r>
  <r>
    <x v="27"/>
    <s v="Travel_Rarely"/>
    <x v="1"/>
    <n v="1"/>
    <x v="0"/>
    <n v="3"/>
    <n v="2"/>
    <x v="4"/>
    <n v="3"/>
    <x v="1"/>
    <n v="4717"/>
    <n v="9"/>
    <s v="No"/>
    <n v="11"/>
    <n v="3"/>
    <n v="0"/>
    <n v="15"/>
    <n v="2"/>
    <n v="11"/>
    <n v="6"/>
    <n v="9"/>
    <x v="3"/>
    <s v="19-03-2010"/>
    <m/>
    <s v="Work Environment"/>
    <s v="OFFICE"/>
    <n v="5"/>
    <n v="1"/>
    <s v="No"/>
    <s v="Job Event"/>
    <s v="Contract"/>
    <n v="1548"/>
    <n v="47"/>
    <n v="80"/>
    <n v="4"/>
    <n v="0"/>
    <m/>
    <n v="0"/>
    <n v="1"/>
    <s v="Current Employees"/>
    <s v="No"/>
  </r>
  <r>
    <x v="26"/>
    <s v="Travel_Rarely"/>
    <x v="0"/>
    <n v="2"/>
    <x v="0"/>
    <n v="3"/>
    <n v="1"/>
    <x v="0"/>
    <n v="3"/>
    <x v="0"/>
    <n v="2519"/>
    <n v="4"/>
    <s v="No"/>
    <n v="21"/>
    <n v="4"/>
    <n v="0"/>
    <n v="16"/>
    <n v="6"/>
    <n v="11"/>
    <n v="3"/>
    <n v="9"/>
    <x v="0"/>
    <s v="19-06-2010"/>
    <m/>
    <s v="Work Environment"/>
    <s v="OFFICE"/>
    <n v="0"/>
    <n v="3"/>
    <s v="No"/>
    <s v="Job Portal"/>
    <s v="Part Time"/>
    <n v="1560"/>
    <n v="46"/>
    <n v="80"/>
    <n v="2"/>
    <n v="0"/>
    <m/>
    <n v="0"/>
    <n v="1"/>
    <s v="Current Employees"/>
    <s v="No"/>
  </r>
  <r>
    <x v="18"/>
    <s v="Travel_Rarely"/>
    <x v="0"/>
    <n v="20"/>
    <x v="0"/>
    <n v="3"/>
    <n v="3"/>
    <x v="7"/>
    <n v="4"/>
    <x v="1"/>
    <n v="10322"/>
    <n v="4"/>
    <s v="No"/>
    <n v="20"/>
    <n v="4"/>
    <n v="1"/>
    <n v="14"/>
    <n v="6"/>
    <n v="11"/>
    <n v="11"/>
    <n v="1"/>
    <x v="3"/>
    <d v="2010-07-06T00:00:00"/>
    <m/>
    <s v="Salary"/>
    <s v="WFH"/>
    <n v="3"/>
    <n v="3"/>
    <s v="Yes"/>
    <s v="Walk-in"/>
    <s v="Contract"/>
    <n v="1996"/>
    <n v="54"/>
    <n v="80"/>
    <n v="2"/>
    <n v="0"/>
    <m/>
    <n v="0"/>
    <n v="1"/>
    <s v="Current Employees"/>
    <s v="No"/>
  </r>
  <r>
    <x v="26"/>
    <s v="Non-Travel"/>
    <x v="0"/>
    <n v="18"/>
    <x v="0"/>
    <n v="3"/>
    <n v="2"/>
    <x v="6"/>
    <n v="4"/>
    <x v="0"/>
    <n v="7779"/>
    <n v="2"/>
    <s v="No"/>
    <n v="20"/>
    <n v="4"/>
    <n v="0"/>
    <n v="18"/>
    <n v="0"/>
    <n v="11"/>
    <n v="0"/>
    <n v="9"/>
    <x v="1"/>
    <s v="15-04-2010"/>
    <m/>
    <s v="Better Opportunity"/>
    <s v="WFH"/>
    <n v="4"/>
    <n v="3"/>
    <s v="No"/>
    <s v="Recruiter"/>
    <s v="FullTime"/>
    <n v="1749"/>
    <n v="51"/>
    <n v="80"/>
    <n v="2"/>
    <n v="0"/>
    <m/>
    <n v="0"/>
    <n v="1"/>
    <s v="Current Employees"/>
    <s v="No"/>
  </r>
  <r>
    <x v="7"/>
    <s v="Travel_Rarely"/>
    <x v="1"/>
    <n v="23"/>
    <x v="1"/>
    <n v="2"/>
    <n v="3"/>
    <x v="4"/>
    <n v="1"/>
    <x v="1"/>
    <n v="7336"/>
    <n v="1"/>
    <s v="No"/>
    <n v="13"/>
    <n v="3"/>
    <n v="1"/>
    <n v="11"/>
    <n v="3"/>
    <n v="11"/>
    <n v="3"/>
    <n v="10"/>
    <x v="3"/>
    <s v="24-06-2010"/>
    <m/>
    <s v="Work Accident"/>
    <s v="WFH"/>
    <n v="3"/>
    <n v="2"/>
    <s v="Yes"/>
    <s v="Walk-in"/>
    <s v="Part Time"/>
    <n v="2013"/>
    <n v="68"/>
    <n v="80"/>
    <n v="2"/>
    <n v="0"/>
    <m/>
    <n v="0"/>
    <n v="1"/>
    <s v="Current Employees"/>
    <s v="No"/>
  </r>
  <r>
    <x v="40"/>
    <s v="Travel_Rarely"/>
    <x v="1"/>
    <n v="7"/>
    <x v="0"/>
    <n v="4"/>
    <n v="2"/>
    <x v="4"/>
    <n v="4"/>
    <x v="2"/>
    <n v="5220"/>
    <n v="0"/>
    <s v="Yes"/>
    <n v="18"/>
    <n v="3"/>
    <n v="1"/>
    <n v="12"/>
    <n v="3"/>
    <n v="11"/>
    <n v="1"/>
    <n v="9"/>
    <x v="1"/>
    <s v="24-02-2010"/>
    <m/>
    <s v="Better Opportunity"/>
    <s v="WFH"/>
    <n v="3"/>
    <n v="1"/>
    <s v="No"/>
    <s v="Walk-in"/>
    <s v="FullTime"/>
    <n v="1945"/>
    <n v="71"/>
    <n v="80"/>
    <n v="3"/>
    <n v="0"/>
    <m/>
    <n v="0"/>
    <n v="1"/>
    <s v="Current Employees"/>
    <s v="No"/>
  </r>
  <r>
    <x v="14"/>
    <s v="Travel_Rarely"/>
    <x v="0"/>
    <n v="1"/>
    <x v="0"/>
    <n v="3"/>
    <n v="1"/>
    <x v="1"/>
    <n v="2"/>
    <x v="1"/>
    <n v="3579"/>
    <n v="0"/>
    <s v="Yes"/>
    <n v="21"/>
    <n v="4"/>
    <n v="1"/>
    <n v="12"/>
    <n v="2"/>
    <n v="11"/>
    <n v="5"/>
    <n v="7"/>
    <x v="3"/>
    <d v="2010-12-01T00:00:00"/>
    <m/>
    <s v="Dept.Head"/>
    <s v="OFFICE"/>
    <n v="0"/>
    <n v="1"/>
    <s v="No"/>
    <s v="Job Event"/>
    <s v="Part Time"/>
    <n v="1568"/>
    <n v="33"/>
    <n v="80"/>
    <n v="2"/>
    <n v="0"/>
    <m/>
    <n v="0"/>
    <n v="1"/>
    <s v="Current Employees"/>
    <s v="No"/>
  </r>
  <r>
    <x v="26"/>
    <s v="Travel_Frequently"/>
    <x v="0"/>
    <n v="3"/>
    <x v="0"/>
    <n v="3"/>
    <n v="1"/>
    <x v="1"/>
    <n v="2"/>
    <x v="1"/>
    <n v="3692"/>
    <n v="1"/>
    <s v="No"/>
    <n v="12"/>
    <n v="3"/>
    <n v="0"/>
    <n v="12"/>
    <n v="2"/>
    <n v="11"/>
    <n v="0"/>
    <n v="7"/>
    <x v="1"/>
    <s v="15-06-2010"/>
    <m/>
    <s v="Salary"/>
    <s v="WFH"/>
    <n v="4"/>
    <n v="3"/>
    <s v="Yes"/>
    <s v="Walk-in"/>
    <s v="Part Time"/>
    <n v="1582"/>
    <n v="80"/>
    <n v="80"/>
    <n v="8"/>
    <n v="0"/>
    <m/>
    <n v="0"/>
    <n v="1"/>
    <s v="Current Employees"/>
    <s v="No"/>
  </r>
  <r>
    <x v="35"/>
    <s v="Travel_Rarely"/>
    <x v="1"/>
    <n v="4"/>
    <x v="1"/>
    <n v="2"/>
    <n v="5"/>
    <x v="5"/>
    <n v="2"/>
    <x v="1"/>
    <n v="18789"/>
    <n v="2"/>
    <s v="No"/>
    <n v="14"/>
    <n v="3"/>
    <n v="1"/>
    <n v="26"/>
    <n v="2"/>
    <n v="11"/>
    <n v="0"/>
    <n v="8"/>
    <x v="1"/>
    <s v="28-06-2010"/>
    <m/>
    <s v="Dept.Head"/>
    <s v="OFFICE"/>
    <n v="0"/>
    <n v="2"/>
    <s v="No"/>
    <s v="Job Portal"/>
    <s v="Part Time"/>
    <n v="1739"/>
    <n v="80"/>
    <n v="80"/>
    <n v="3"/>
    <n v="0"/>
    <m/>
    <n v="0"/>
    <n v="1"/>
    <s v="Current Employees"/>
    <s v="No"/>
  </r>
  <r>
    <x v="13"/>
    <s v="Travel_Frequently"/>
    <x v="0"/>
    <n v="19"/>
    <x v="1"/>
    <n v="3"/>
    <n v="2"/>
    <x v="0"/>
    <n v="2"/>
    <x v="2"/>
    <n v="4444"/>
    <n v="4"/>
    <s v="No"/>
    <n v="13"/>
    <n v="3"/>
    <n v="2"/>
    <n v="15"/>
    <n v="2"/>
    <n v="11"/>
    <n v="5"/>
    <n v="10"/>
    <x v="1"/>
    <s v="24-05-2010"/>
    <m/>
    <s v="Salary"/>
    <s v="WFH"/>
    <n v="1"/>
    <n v="2"/>
    <s v="Yes"/>
    <s v="Job Event"/>
    <s v="FullTime"/>
    <n v="1492"/>
    <n v="76"/>
    <n v="80"/>
    <n v="0"/>
    <n v="0"/>
    <m/>
    <n v="0"/>
    <n v="1"/>
    <s v="Current Employees"/>
    <s v="No"/>
  </r>
  <r>
    <x v="27"/>
    <s v="Travel_Rarely"/>
    <x v="0"/>
    <n v="16"/>
    <x v="1"/>
    <n v="2"/>
    <n v="3"/>
    <x v="7"/>
    <n v="2"/>
    <x v="0"/>
    <n v="8606"/>
    <n v="1"/>
    <s v="No"/>
    <n v="19"/>
    <n v="3"/>
    <n v="0"/>
    <n v="11"/>
    <n v="3"/>
    <n v="11"/>
    <n v="3"/>
    <n v="3"/>
    <x v="0"/>
    <s v="15-03-2010"/>
    <m/>
    <s v="Work Accident"/>
    <s v="OFFICE"/>
    <n v="5"/>
    <n v="3"/>
    <s v="Yes"/>
    <s v="Walk-in"/>
    <s v="Contract"/>
    <n v="1446"/>
    <n v="97"/>
    <n v="80"/>
    <n v="3"/>
    <n v="0"/>
    <m/>
    <n v="0"/>
    <n v="1"/>
    <s v="Current Employees"/>
    <s v="No"/>
  </r>
  <r>
    <x v="13"/>
    <s v="Travel_Rarely"/>
    <x v="1"/>
    <n v="7"/>
    <x v="0"/>
    <n v="3"/>
    <n v="1"/>
    <x v="3"/>
    <n v="3"/>
    <x v="1"/>
    <n v="2308"/>
    <n v="0"/>
    <s v="Yes"/>
    <n v="25"/>
    <n v="4"/>
    <n v="1"/>
    <n v="12"/>
    <n v="4"/>
    <n v="11"/>
    <n v="5"/>
    <n v="7"/>
    <x v="1"/>
    <s v="26-06-2010"/>
    <m/>
    <s v="Work Accident"/>
    <s v="WFH"/>
    <n v="1"/>
    <n v="2"/>
    <s v="Yes"/>
    <s v="Recruiter"/>
    <s v="FullTime"/>
    <n v="1588"/>
    <n v="38"/>
    <n v="80"/>
    <n v="6"/>
    <n v="0"/>
    <m/>
    <n v="0"/>
    <n v="1"/>
    <s v="Current Employees"/>
    <s v="No"/>
  </r>
  <r>
    <x v="13"/>
    <s v="Travel_Rarely"/>
    <x v="0"/>
    <n v="3"/>
    <x v="1"/>
    <n v="3"/>
    <n v="2"/>
    <x v="1"/>
    <n v="2"/>
    <x v="2"/>
    <n v="5433"/>
    <n v="1"/>
    <s v="No"/>
    <n v="12"/>
    <n v="3"/>
    <n v="1"/>
    <n v="11"/>
    <n v="2"/>
    <n v="11"/>
    <n v="7"/>
    <n v="9"/>
    <x v="3"/>
    <s v="21-06-2010"/>
    <m/>
    <s v="Salary"/>
    <s v="WFH"/>
    <n v="0"/>
    <n v="3"/>
    <s v="No"/>
    <s v="Job Event"/>
    <s v="Part Time"/>
    <n v="1787"/>
    <n v="46"/>
    <n v="80"/>
    <n v="2"/>
    <n v="0"/>
    <m/>
    <n v="0"/>
    <n v="1"/>
    <s v="Current Employees"/>
    <s v="No"/>
  </r>
  <r>
    <x v="27"/>
    <s v="Travel_Frequently"/>
    <x v="1"/>
    <n v="12"/>
    <x v="0"/>
    <n v="3"/>
    <n v="2"/>
    <x v="4"/>
    <n v="4"/>
    <x v="0"/>
    <n v="4581"/>
    <n v="3"/>
    <s v="Yes"/>
    <n v="24"/>
    <n v="4"/>
    <n v="0"/>
    <n v="13"/>
    <n v="2"/>
    <n v="11"/>
    <n v="6"/>
    <n v="7"/>
    <x v="1"/>
    <s v="16-04-2010"/>
    <m/>
    <s v="Salary"/>
    <s v="OFFICE"/>
    <n v="4"/>
    <n v="0"/>
    <s v="Yes"/>
    <s v="Recruiter"/>
    <s v="FullTime"/>
    <n v="1908"/>
    <n v="33"/>
    <n v="80"/>
    <n v="2"/>
    <n v="0"/>
    <m/>
    <n v="0"/>
    <n v="1"/>
    <s v="Current Employees"/>
    <s v="No"/>
  </r>
  <r>
    <x v="20"/>
    <s v="Non-Travel"/>
    <x v="1"/>
    <n v="2"/>
    <x v="1"/>
    <n v="3"/>
    <n v="2"/>
    <x v="4"/>
    <n v="2"/>
    <x v="0"/>
    <n v="5147"/>
    <n v="8"/>
    <s v="No"/>
    <n v="15"/>
    <n v="3"/>
    <n v="0"/>
    <n v="13"/>
    <n v="2"/>
    <n v="11"/>
    <n v="1"/>
    <n v="7"/>
    <x v="2"/>
    <d v="2010-12-03T00:00:00"/>
    <m/>
    <s v="Work Environment"/>
    <s v="OFFICE"/>
    <n v="5"/>
    <n v="2"/>
    <s v="No"/>
    <s v="Walk-in"/>
    <s v="Contract"/>
    <n v="1995"/>
    <n v="86"/>
    <n v="80"/>
    <n v="13"/>
    <n v="0"/>
    <m/>
    <n v="0"/>
    <n v="1"/>
    <s v="Current Employees"/>
    <s v="No"/>
  </r>
  <r>
    <x v="12"/>
    <s v="Non-Travel"/>
    <x v="2"/>
    <n v="2"/>
    <x v="0"/>
    <n v="3"/>
    <n v="1"/>
    <x v="8"/>
    <n v="2"/>
    <x v="2"/>
    <n v="2592"/>
    <n v="5"/>
    <s v="No"/>
    <n v="13"/>
    <n v="3"/>
    <n v="3"/>
    <n v="13"/>
    <n v="3"/>
    <n v="11"/>
    <n v="3"/>
    <n v="8"/>
    <x v="3"/>
    <s v="18-04-2010"/>
    <m/>
    <s v="Work Accident"/>
    <s v="OFFICE"/>
    <n v="5"/>
    <n v="3"/>
    <s v="Yes"/>
    <s v="Job Portal"/>
    <s v="Part Time"/>
    <n v="1479"/>
    <n v="96"/>
    <n v="80"/>
    <n v="1"/>
    <n v="0"/>
    <m/>
    <n v="0"/>
    <n v="1"/>
    <s v="Current Employees"/>
    <s v="No"/>
  </r>
  <r>
    <x v="7"/>
    <s v="Travel_Frequently"/>
    <x v="0"/>
    <n v="20"/>
    <x v="0"/>
    <n v="3"/>
    <n v="1"/>
    <x v="0"/>
    <n v="4"/>
    <x v="1"/>
    <n v="3812"/>
    <n v="1"/>
    <s v="No"/>
    <n v="13"/>
    <n v="3"/>
    <n v="0"/>
    <n v="11"/>
    <n v="3"/>
    <n v="11"/>
    <n v="3"/>
    <n v="10"/>
    <x v="3"/>
    <s v="13-04-2010"/>
    <m/>
    <s v="Work Environment"/>
    <s v="OFFICE"/>
    <n v="1"/>
    <n v="2"/>
    <s v="No"/>
    <s v="Job Portal"/>
    <s v="Part Time"/>
    <n v="1961"/>
    <n v="59"/>
    <n v="80"/>
    <n v="0"/>
    <n v="0"/>
    <m/>
    <n v="0"/>
    <n v="1"/>
    <s v="Current Employees"/>
    <s v="No"/>
  </r>
  <r>
    <x v="28"/>
    <s v="Non-Travel"/>
    <x v="0"/>
    <n v="10"/>
    <x v="1"/>
    <n v="3"/>
    <n v="3"/>
    <x v="2"/>
    <n v="3"/>
    <x v="1"/>
    <n v="11031"/>
    <n v="4"/>
    <s v="No"/>
    <n v="20"/>
    <n v="4"/>
    <n v="1"/>
    <n v="13"/>
    <n v="2"/>
    <n v="11"/>
    <n v="4"/>
    <n v="8"/>
    <x v="3"/>
    <s v="28-04-2010"/>
    <m/>
    <s v="Work Environment"/>
    <s v="WFH"/>
    <n v="1"/>
    <n v="2"/>
    <s v="Yes"/>
    <s v="Job Event"/>
    <s v="Part Time"/>
    <n v="1975"/>
    <n v="77"/>
    <n v="80"/>
    <n v="8"/>
    <n v="0"/>
    <m/>
    <n v="0"/>
    <n v="1"/>
    <s v="Current Employees"/>
    <s v="No"/>
  </r>
  <r>
    <x v="18"/>
    <s v="Travel_Rarely"/>
    <x v="1"/>
    <n v="2"/>
    <x v="1"/>
    <n v="3"/>
    <n v="2"/>
    <x v="4"/>
    <n v="2"/>
    <x v="1"/>
    <n v="5677"/>
    <n v="3"/>
    <s v="No"/>
    <n v="14"/>
    <n v="3"/>
    <n v="1"/>
    <n v="15"/>
    <n v="4"/>
    <n v="11"/>
    <n v="5"/>
    <n v="10"/>
    <x v="2"/>
    <s v="13-06-2010"/>
    <m/>
    <s v="Work Environment"/>
    <s v="WFH"/>
    <n v="3"/>
    <n v="2"/>
    <s v="Yes"/>
    <s v="Walk-in"/>
    <s v="Part Time"/>
    <n v="1740"/>
    <n v="88"/>
    <n v="80"/>
    <n v="8"/>
    <n v="0"/>
    <m/>
    <n v="0"/>
    <n v="1"/>
    <s v="Current Employees"/>
    <s v="No"/>
  </r>
  <r>
    <x v="13"/>
    <s v="Travel_Rarely"/>
    <x v="0"/>
    <n v="7"/>
    <x v="1"/>
    <n v="3"/>
    <n v="3"/>
    <x v="2"/>
    <n v="2"/>
    <x v="0"/>
    <n v="11994"/>
    <n v="0"/>
    <s v="No"/>
    <n v="11"/>
    <n v="3"/>
    <n v="0"/>
    <n v="13"/>
    <n v="4"/>
    <n v="12"/>
    <n v="2"/>
    <n v="11"/>
    <x v="2"/>
    <s v="25-02-2009"/>
    <m/>
    <s v="Dept.Head"/>
    <s v="WFH"/>
    <n v="3"/>
    <n v="2"/>
    <s v="Yes"/>
    <s v="Job Event"/>
    <s v="Contract"/>
    <n v="1924"/>
    <n v="43"/>
    <n v="80"/>
    <n v="4"/>
    <n v="0"/>
    <m/>
    <n v="0"/>
    <n v="1"/>
    <s v="Current Employees"/>
    <s v="No"/>
  </r>
  <r>
    <x v="14"/>
    <s v="Travel_Frequently"/>
    <x v="0"/>
    <n v="1"/>
    <x v="1"/>
    <n v="3"/>
    <n v="2"/>
    <x v="0"/>
    <n v="4"/>
    <x v="0"/>
    <n v="4011"/>
    <n v="1"/>
    <s v="No"/>
    <n v="23"/>
    <n v="4"/>
    <n v="0"/>
    <n v="12"/>
    <n v="2"/>
    <n v="12"/>
    <n v="3"/>
    <n v="7"/>
    <x v="0"/>
    <s v="25-05-2009"/>
    <m/>
    <s v="Better Opportunity"/>
    <s v="WFH"/>
    <n v="1"/>
    <n v="1"/>
    <s v="Yes"/>
    <s v="Recruiter"/>
    <s v="FullTime"/>
    <n v="1650"/>
    <n v="42"/>
    <n v="80"/>
    <n v="2"/>
    <n v="0"/>
    <m/>
    <n v="0"/>
    <n v="1"/>
    <s v="Current Employees"/>
    <s v="No"/>
  </r>
  <r>
    <x v="18"/>
    <s v="Travel_Rarely"/>
    <x v="1"/>
    <n v="4"/>
    <x v="0"/>
    <n v="2"/>
    <n v="3"/>
    <x v="4"/>
    <n v="4"/>
    <x v="1"/>
    <n v="10855"/>
    <n v="7"/>
    <s v="No"/>
    <n v="11"/>
    <n v="3"/>
    <n v="1"/>
    <n v="15"/>
    <n v="2"/>
    <n v="12"/>
    <n v="2"/>
    <n v="11"/>
    <x v="0"/>
    <s v="31-03-2009"/>
    <m/>
    <s v="Salary"/>
    <s v="OFFICE"/>
    <n v="1"/>
    <n v="1"/>
    <s v="No"/>
    <s v="Walk-in"/>
    <s v="Part Time"/>
    <n v="1836"/>
    <n v="46"/>
    <n v="80"/>
    <n v="3"/>
    <n v="0"/>
    <m/>
    <n v="0"/>
    <n v="1"/>
    <s v="Current Employees"/>
    <s v="No"/>
  </r>
  <r>
    <x v="14"/>
    <s v="Non-Travel"/>
    <x v="0"/>
    <n v="9"/>
    <x v="0"/>
    <n v="3"/>
    <n v="2"/>
    <x v="0"/>
    <n v="1"/>
    <x v="2"/>
    <n v="3072"/>
    <n v="1"/>
    <s v="No"/>
    <n v="11"/>
    <n v="3"/>
    <n v="2"/>
    <n v="12"/>
    <n v="4"/>
    <n v="12"/>
    <n v="6"/>
    <n v="10"/>
    <x v="0"/>
    <d v="2009-12-01T00:00:00"/>
    <m/>
    <s v="Salary"/>
    <s v="OFFICE"/>
    <n v="3"/>
    <n v="1"/>
    <s v="No"/>
    <s v="Job Portal"/>
    <s v="Part Time"/>
    <n v="1478"/>
    <n v="81"/>
    <n v="80"/>
    <n v="9"/>
    <n v="0"/>
    <m/>
    <n v="0"/>
    <n v="1"/>
    <s v="Current Employees"/>
    <s v="No"/>
  </r>
  <r>
    <x v="42"/>
    <s v="Travel_Rarely"/>
    <x v="0"/>
    <n v="23"/>
    <x v="1"/>
    <n v="3"/>
    <n v="4"/>
    <x v="2"/>
    <n v="4"/>
    <x v="0"/>
    <n v="14275"/>
    <n v="6"/>
    <s v="No"/>
    <n v="18"/>
    <n v="3"/>
    <n v="0"/>
    <n v="33"/>
    <n v="0"/>
    <n v="12"/>
    <n v="3"/>
    <n v="8"/>
    <x v="3"/>
    <s v="19-01-2009"/>
    <m/>
    <s v="Dept.Head"/>
    <s v="OFFICE"/>
    <n v="4"/>
    <n v="1"/>
    <s v="Yes"/>
    <s v="Walk-in"/>
    <s v="Contract"/>
    <n v="1680"/>
    <n v="54"/>
    <n v="80"/>
    <n v="2"/>
    <n v="0"/>
    <m/>
    <n v="0"/>
    <n v="1"/>
    <s v="Current Employees"/>
    <s v="No"/>
  </r>
  <r>
    <x v="16"/>
    <s v="Travel_Rarely"/>
    <x v="0"/>
    <n v="24"/>
    <x v="0"/>
    <n v="3"/>
    <n v="4"/>
    <x v="6"/>
    <n v="3"/>
    <x v="1"/>
    <n v="13973"/>
    <n v="3"/>
    <s v="Yes"/>
    <n v="18"/>
    <n v="3"/>
    <n v="1"/>
    <n v="22"/>
    <n v="2"/>
    <n v="12"/>
    <n v="1"/>
    <n v="5"/>
    <x v="3"/>
    <d v="2009-12-03T00:00:00"/>
    <m/>
    <s v="Work Environment"/>
    <s v="OFFICE"/>
    <n v="3"/>
    <n v="2"/>
    <s v="Yes"/>
    <s v="Job Portal"/>
    <s v="Contract"/>
    <n v="1469"/>
    <n v="84"/>
    <n v="80"/>
    <n v="4"/>
    <n v="0"/>
    <m/>
    <n v="0"/>
    <n v="1"/>
    <s v="Current Employees"/>
    <s v="No"/>
  </r>
  <r>
    <x v="17"/>
    <s v="Travel_Rarely"/>
    <x v="1"/>
    <n v="28"/>
    <x v="1"/>
    <n v="4"/>
    <n v="4"/>
    <x v="4"/>
    <n v="4"/>
    <x v="1"/>
    <n v="13320"/>
    <n v="3"/>
    <s v="Yes"/>
    <n v="18"/>
    <n v="3"/>
    <n v="1"/>
    <n v="23"/>
    <n v="2"/>
    <n v="12"/>
    <n v="11"/>
    <n v="11"/>
    <x v="0"/>
    <d v="2009-12-03T00:00:00"/>
    <m/>
    <s v="Dept.Head"/>
    <s v="OFFICE"/>
    <n v="4"/>
    <n v="2"/>
    <s v="No"/>
    <s v="Job Event"/>
    <s v="Contract"/>
    <n v="1708"/>
    <n v="35"/>
    <n v="80"/>
    <n v="8"/>
    <n v="0"/>
    <m/>
    <n v="0"/>
    <n v="1"/>
    <s v="Current Employees"/>
    <s v="No"/>
  </r>
  <r>
    <x v="35"/>
    <s v="Travel_Rarely"/>
    <x v="1"/>
    <n v="3"/>
    <x v="0"/>
    <n v="3"/>
    <n v="4"/>
    <x v="5"/>
    <n v="3"/>
    <x v="1"/>
    <n v="17465"/>
    <n v="3"/>
    <s v="No"/>
    <n v="12"/>
    <n v="3"/>
    <n v="1"/>
    <n v="23"/>
    <n v="3"/>
    <n v="12"/>
    <n v="4"/>
    <n v="9"/>
    <x v="0"/>
    <s v="25-03-2009"/>
    <m/>
    <s v="Work Environment"/>
    <s v="OFFICE"/>
    <n v="5"/>
    <n v="0"/>
    <s v="Yes"/>
    <s v="Recruiter"/>
    <s v="Contract"/>
    <n v="1965"/>
    <n v="44"/>
    <n v="80"/>
    <n v="7"/>
    <n v="0"/>
    <m/>
    <n v="0"/>
    <n v="1"/>
    <s v="Current Employees"/>
    <s v="No"/>
  </r>
  <r>
    <x v="18"/>
    <s v="Travel_Rarely"/>
    <x v="0"/>
    <n v="2"/>
    <x v="1"/>
    <n v="4"/>
    <n v="2"/>
    <x v="7"/>
    <n v="3"/>
    <x v="2"/>
    <n v="6377"/>
    <n v="5"/>
    <s v="No"/>
    <n v="20"/>
    <n v="4"/>
    <n v="3"/>
    <n v="15"/>
    <n v="0"/>
    <n v="12"/>
    <n v="11"/>
    <n v="8"/>
    <x v="3"/>
    <d v="2009-03-02T00:00:00"/>
    <m/>
    <s v="Work Environment"/>
    <s v="WFH"/>
    <n v="5"/>
    <n v="3"/>
    <s v="No"/>
    <s v="Job Event"/>
    <s v="Contract"/>
    <n v="1602"/>
    <n v="56"/>
    <n v="80"/>
    <n v="0"/>
    <n v="0"/>
    <m/>
    <n v="0"/>
    <n v="1"/>
    <s v="Current Employees"/>
    <s v="No"/>
  </r>
  <r>
    <x v="22"/>
    <s v="Travel_Frequently"/>
    <x v="0"/>
    <n v="9"/>
    <x v="1"/>
    <n v="3"/>
    <n v="1"/>
    <x v="0"/>
    <n v="4"/>
    <x v="0"/>
    <n v="3673"/>
    <n v="1"/>
    <s v="No"/>
    <n v="13"/>
    <n v="3"/>
    <n v="0"/>
    <n v="12"/>
    <n v="3"/>
    <n v="12"/>
    <n v="5"/>
    <n v="8"/>
    <x v="2"/>
    <s v="25-03-2009"/>
    <m/>
    <s v="Dept.Head"/>
    <s v="WFH"/>
    <n v="3"/>
    <n v="2"/>
    <s v="No"/>
    <s v="Job Portal"/>
    <s v="Part Time"/>
    <n v="1605"/>
    <n v="85"/>
    <n v="80"/>
    <n v="2"/>
    <n v="0"/>
    <m/>
    <n v="0"/>
    <n v="1"/>
    <s v="Current Employees"/>
    <s v="No"/>
  </r>
  <r>
    <x v="36"/>
    <s v="Travel_Rarely"/>
    <x v="0"/>
    <n v="1"/>
    <x v="0"/>
    <n v="4"/>
    <n v="2"/>
    <x v="1"/>
    <n v="3"/>
    <x v="1"/>
    <n v="4900"/>
    <n v="0"/>
    <s v="No"/>
    <n v="24"/>
    <n v="4"/>
    <n v="1"/>
    <n v="13"/>
    <n v="2"/>
    <n v="12"/>
    <n v="2"/>
    <n v="8"/>
    <x v="0"/>
    <d v="2009-02-03T00:00:00"/>
    <m/>
    <s v="Work Accident"/>
    <s v="OFFICE"/>
    <n v="0"/>
    <n v="1"/>
    <s v="No"/>
    <s v="Walk-in"/>
    <s v="Part Time"/>
    <n v="1937"/>
    <n v="58"/>
    <n v="80"/>
    <n v="11"/>
    <n v="0"/>
    <m/>
    <n v="0"/>
    <n v="1"/>
    <s v="Current Employees"/>
    <s v="No"/>
  </r>
  <r>
    <x v="28"/>
    <s v="Travel_Rarely"/>
    <x v="1"/>
    <n v="29"/>
    <x v="1"/>
    <n v="2"/>
    <n v="2"/>
    <x v="4"/>
    <n v="4"/>
    <x v="1"/>
    <n v="5468"/>
    <n v="1"/>
    <s v="No"/>
    <n v="14"/>
    <n v="3"/>
    <n v="2"/>
    <n v="13"/>
    <n v="3"/>
    <n v="12"/>
    <n v="5"/>
    <n v="7"/>
    <x v="3"/>
    <s v="16-03-2009"/>
    <m/>
    <s v="Work Accident"/>
    <s v="OFFICE"/>
    <n v="2"/>
    <n v="0"/>
    <s v="No"/>
    <s v="Walk-in"/>
    <s v="FullTime"/>
    <n v="1646"/>
    <n v="32"/>
    <n v="80"/>
    <n v="3"/>
    <n v="0"/>
    <m/>
    <n v="0"/>
    <n v="1"/>
    <s v="Current Employees"/>
    <s v="No"/>
  </r>
  <r>
    <x v="26"/>
    <s v="Travel_Rarely"/>
    <x v="0"/>
    <n v="10"/>
    <x v="0"/>
    <n v="3"/>
    <n v="3"/>
    <x v="7"/>
    <n v="1"/>
    <x v="1"/>
    <n v="8321"/>
    <n v="7"/>
    <s v="Yes"/>
    <n v="13"/>
    <n v="3"/>
    <n v="1"/>
    <n v="15"/>
    <n v="1"/>
    <n v="12"/>
    <n v="5"/>
    <n v="7"/>
    <x v="1"/>
    <s v="30-04-2009"/>
    <m/>
    <s v="Salary"/>
    <s v="WFH"/>
    <n v="1"/>
    <n v="0"/>
    <s v="No"/>
    <s v="Job Event"/>
    <s v="Part Time"/>
    <n v="1850"/>
    <n v="53"/>
    <n v="80"/>
    <n v="4"/>
    <n v="0"/>
    <m/>
    <n v="0"/>
    <n v="1"/>
    <s v="Current Employees"/>
    <s v="No"/>
  </r>
  <r>
    <x v="14"/>
    <s v="Travel_Rarely"/>
    <x v="0"/>
    <n v="1"/>
    <x v="0"/>
    <n v="3"/>
    <n v="1"/>
    <x v="0"/>
    <n v="2"/>
    <x v="1"/>
    <n v="3748"/>
    <n v="1"/>
    <s v="No"/>
    <n v="13"/>
    <n v="3"/>
    <n v="0"/>
    <n v="12"/>
    <n v="6"/>
    <n v="12"/>
    <n v="1"/>
    <n v="7"/>
    <x v="0"/>
    <d v="2009-01-06T00:00:00"/>
    <m/>
    <s v="Dept.Head"/>
    <s v="WFH"/>
    <n v="2"/>
    <n v="1"/>
    <s v="No"/>
    <s v="Recruiter"/>
    <s v="FullTime"/>
    <n v="1683"/>
    <n v="44"/>
    <n v="80"/>
    <n v="2"/>
    <n v="0"/>
    <m/>
    <n v="0"/>
    <n v="1"/>
    <s v="Current Employees"/>
    <s v="No"/>
  </r>
  <r>
    <x v="12"/>
    <s v="Non-Travel"/>
    <x v="0"/>
    <n v="6"/>
    <x v="1"/>
    <n v="1"/>
    <n v="2"/>
    <x v="1"/>
    <n v="4"/>
    <x v="2"/>
    <n v="5329"/>
    <n v="7"/>
    <s v="Yes"/>
    <n v="12"/>
    <n v="3"/>
    <n v="3"/>
    <n v="17"/>
    <n v="3"/>
    <n v="13"/>
    <n v="1"/>
    <n v="9"/>
    <x v="2"/>
    <d v="2008-10-02T00:00:00"/>
    <m/>
    <s v="Salary"/>
    <s v="OFFICE"/>
    <n v="2"/>
    <n v="2"/>
    <s v="Yes"/>
    <s v="Job Portal"/>
    <s v="FullTime"/>
    <n v="2040"/>
    <n v="31"/>
    <n v="80"/>
    <n v="0"/>
    <n v="0"/>
    <m/>
    <n v="0"/>
    <n v="1"/>
    <s v="Current Employees"/>
    <s v="No"/>
  </r>
  <r>
    <x v="31"/>
    <s v="Travel_Frequently"/>
    <x v="0"/>
    <n v="1"/>
    <x v="1"/>
    <n v="2"/>
    <n v="3"/>
    <x v="7"/>
    <n v="1"/>
    <x v="0"/>
    <n v="7484"/>
    <n v="3"/>
    <s v="No"/>
    <n v="20"/>
    <n v="4"/>
    <n v="0"/>
    <n v="23"/>
    <n v="1"/>
    <n v="13"/>
    <n v="12"/>
    <n v="8"/>
    <x v="3"/>
    <d v="2008-10-03T00:00:00"/>
    <m/>
    <s v="Work Environment"/>
    <s v="OFFICE"/>
    <n v="2"/>
    <n v="3"/>
    <s v="No"/>
    <s v="Job Portal"/>
    <s v="Contract"/>
    <n v="1608"/>
    <n v="31"/>
    <n v="80"/>
    <n v="7"/>
    <n v="0"/>
    <m/>
    <n v="0"/>
    <n v="1"/>
    <s v="Current Employees"/>
    <s v="No"/>
  </r>
  <r>
    <x v="26"/>
    <s v="Travel_Rarely"/>
    <x v="0"/>
    <n v="5"/>
    <x v="0"/>
    <n v="3"/>
    <n v="2"/>
    <x v="0"/>
    <n v="2"/>
    <x v="0"/>
    <n v="5914"/>
    <n v="8"/>
    <s v="No"/>
    <n v="16"/>
    <n v="3"/>
    <n v="0"/>
    <n v="16"/>
    <n v="3"/>
    <n v="13"/>
    <n v="3"/>
    <n v="7"/>
    <x v="0"/>
    <d v="2008-07-03T00:00:00"/>
    <m/>
    <s v="Work Environment"/>
    <s v="WFH"/>
    <n v="0"/>
    <n v="2"/>
    <s v="Yes"/>
    <s v="Job Portal"/>
    <s v="Part Time"/>
    <n v="1827"/>
    <n v="92"/>
    <n v="80"/>
    <n v="11"/>
    <n v="0"/>
    <m/>
    <n v="0"/>
    <n v="1"/>
    <s v="Current Employees"/>
    <s v="No"/>
  </r>
  <r>
    <x v="21"/>
    <s v="Travel_Rarely"/>
    <x v="1"/>
    <n v="7"/>
    <x v="0"/>
    <n v="2"/>
    <n v="2"/>
    <x v="4"/>
    <n v="3"/>
    <x v="1"/>
    <n v="5484"/>
    <n v="1"/>
    <s v="No"/>
    <n v="14"/>
    <n v="3"/>
    <n v="1"/>
    <n v="13"/>
    <n v="3"/>
    <n v="13"/>
    <n v="4"/>
    <n v="8"/>
    <x v="1"/>
    <d v="2008-09-06T00:00:00"/>
    <m/>
    <s v="Dept.Head"/>
    <s v="WFH"/>
    <n v="1"/>
    <n v="1"/>
    <s v="No"/>
    <s v="Job Event"/>
    <s v="FullTime"/>
    <n v="1674"/>
    <n v="74"/>
    <n v="80"/>
    <n v="2"/>
    <n v="0"/>
    <m/>
    <n v="0"/>
    <n v="1"/>
    <s v="Current Employees"/>
    <s v="No"/>
  </r>
  <r>
    <x v="21"/>
    <s v="Travel_Rarely"/>
    <x v="1"/>
    <n v="8"/>
    <x v="1"/>
    <n v="2"/>
    <n v="2"/>
    <x v="4"/>
    <n v="2"/>
    <x v="1"/>
    <n v="5228"/>
    <n v="1"/>
    <s v="Yes"/>
    <n v="11"/>
    <n v="3"/>
    <n v="0"/>
    <n v="13"/>
    <n v="2"/>
    <n v="13"/>
    <n v="11"/>
    <n v="9"/>
    <x v="2"/>
    <d v="2008-09-04T00:00:00"/>
    <m/>
    <s v="Salary"/>
    <s v="WFH"/>
    <n v="2"/>
    <n v="0"/>
    <s v="No"/>
    <s v="Job Portal"/>
    <s v="Contract"/>
    <n v="1974"/>
    <n v="59"/>
    <n v="80"/>
    <n v="0"/>
    <n v="0"/>
    <m/>
    <n v="0"/>
    <n v="1"/>
    <s v="Current Employees"/>
    <s v="No"/>
  </r>
  <r>
    <x v="26"/>
    <s v="Travel_Frequently"/>
    <x v="1"/>
    <n v="3"/>
    <x v="0"/>
    <n v="2"/>
    <n v="3"/>
    <x v="4"/>
    <n v="4"/>
    <x v="1"/>
    <n v="9699"/>
    <n v="4"/>
    <s v="No"/>
    <n v="11"/>
    <n v="3"/>
    <n v="1"/>
    <n v="16"/>
    <n v="2"/>
    <n v="13"/>
    <n v="1"/>
    <n v="12"/>
    <x v="3"/>
    <d v="2008-05-05T00:00:00"/>
    <m/>
    <s v="Better Opportunity"/>
    <s v="WFH"/>
    <n v="2"/>
    <n v="0"/>
    <s v="Yes"/>
    <s v="Walk-in"/>
    <s v="Part Time"/>
    <n v="1886"/>
    <n v="44"/>
    <n v="80"/>
    <n v="2"/>
    <n v="0"/>
    <m/>
    <n v="0"/>
    <n v="1"/>
    <s v="Current Employees"/>
    <s v="No"/>
  </r>
  <r>
    <x v="28"/>
    <s v="Travel_Rarely"/>
    <x v="0"/>
    <n v="7"/>
    <x v="1"/>
    <n v="3"/>
    <n v="2"/>
    <x v="6"/>
    <n v="1"/>
    <x v="1"/>
    <n v="4306"/>
    <n v="1"/>
    <s v="No"/>
    <n v="12"/>
    <n v="3"/>
    <n v="1"/>
    <n v="13"/>
    <n v="5"/>
    <n v="13"/>
    <n v="3"/>
    <n v="12"/>
    <x v="2"/>
    <s v="23-02-2008"/>
    <m/>
    <s v="Salary"/>
    <s v="WFH"/>
    <n v="4"/>
    <n v="0"/>
    <s v="Yes"/>
    <s v="Walk-in"/>
    <s v="Contract"/>
    <n v="1893"/>
    <n v="90"/>
    <n v="80"/>
    <n v="0"/>
    <n v="0"/>
    <m/>
    <n v="0"/>
    <n v="1"/>
    <s v="Current Employees"/>
    <s v="No"/>
  </r>
  <r>
    <x v="0"/>
    <s v="Non-Travel"/>
    <x v="0"/>
    <n v="25"/>
    <x v="1"/>
    <n v="3"/>
    <n v="2"/>
    <x v="1"/>
    <n v="3"/>
    <x v="1"/>
    <n v="4449"/>
    <n v="3"/>
    <s v="Yes"/>
    <n v="15"/>
    <n v="3"/>
    <n v="2"/>
    <n v="15"/>
    <n v="2"/>
    <n v="13"/>
    <n v="10"/>
    <n v="7"/>
    <x v="0"/>
    <s v="22-02-2008"/>
    <m/>
    <s v="Work Environment"/>
    <s v="OFFICE"/>
    <n v="3"/>
    <n v="1"/>
    <s v="No"/>
    <s v="Job Portal"/>
    <s v="Part Time"/>
    <n v="1724"/>
    <n v="92"/>
    <n v="80"/>
    <n v="0"/>
    <n v="0"/>
    <m/>
    <n v="0"/>
    <n v="1"/>
    <s v="Current Employees"/>
    <s v="No"/>
  </r>
  <r>
    <x v="28"/>
    <s v="Travel_Rarely"/>
    <x v="0"/>
    <n v="9"/>
    <x v="0"/>
    <n v="3"/>
    <n v="3"/>
    <x v="6"/>
    <n v="2"/>
    <x v="2"/>
    <n v="10648"/>
    <n v="1"/>
    <s v="No"/>
    <n v="25"/>
    <n v="4"/>
    <n v="1"/>
    <n v="13"/>
    <n v="6"/>
    <n v="13"/>
    <n v="0"/>
    <n v="8"/>
    <x v="2"/>
    <s v="18-05-2008"/>
    <m/>
    <s v="Dept.Head"/>
    <s v="WFH"/>
    <n v="3"/>
    <n v="3"/>
    <s v="Yes"/>
    <s v="Job Portal"/>
    <s v="Contract"/>
    <n v="2009"/>
    <n v="95"/>
    <n v="80"/>
    <n v="7"/>
    <n v="0"/>
    <m/>
    <n v="0"/>
    <n v="1"/>
    <s v="Current Employees"/>
    <s v="No"/>
  </r>
  <r>
    <x v="20"/>
    <s v="Travel_Frequently"/>
    <x v="0"/>
    <n v="6"/>
    <x v="0"/>
    <n v="3"/>
    <n v="2"/>
    <x v="7"/>
    <n v="4"/>
    <x v="2"/>
    <n v="7725"/>
    <n v="3"/>
    <s v="No"/>
    <n v="23"/>
    <n v="4"/>
    <n v="1"/>
    <n v="15"/>
    <n v="2"/>
    <n v="13"/>
    <n v="4"/>
    <n v="7"/>
    <x v="0"/>
    <s v="20-02-2008"/>
    <m/>
    <s v="Work Environment"/>
    <s v="WFH"/>
    <n v="2"/>
    <n v="0"/>
    <s v="Yes"/>
    <s v="Job Event"/>
    <s v="Contract"/>
    <n v="1661"/>
    <n v="41"/>
    <n v="80"/>
    <n v="11"/>
    <n v="0"/>
    <m/>
    <n v="0"/>
    <n v="1"/>
    <s v="Current Employees"/>
    <s v="No"/>
  </r>
  <r>
    <x v="20"/>
    <s v="Travel_Rarely"/>
    <x v="0"/>
    <n v="7"/>
    <x v="0"/>
    <n v="3"/>
    <n v="3"/>
    <x v="2"/>
    <n v="3"/>
    <x v="1"/>
    <n v="11691"/>
    <n v="0"/>
    <s v="No"/>
    <n v="11"/>
    <n v="3"/>
    <n v="0"/>
    <n v="14"/>
    <n v="3"/>
    <n v="13"/>
    <n v="3"/>
    <n v="7"/>
    <x v="0"/>
    <s v="29-05-2008"/>
    <m/>
    <s v="Work Accident"/>
    <s v="WFH"/>
    <n v="2"/>
    <n v="3"/>
    <s v="Yes"/>
    <s v="Recruiter"/>
    <s v="FullTime"/>
    <n v="1703"/>
    <n v="96"/>
    <n v="80"/>
    <n v="7"/>
    <n v="0"/>
    <m/>
    <n v="0"/>
    <n v="1"/>
    <s v="Current Employees"/>
    <s v="No"/>
  </r>
  <r>
    <x v="27"/>
    <s v="Travel_Rarely"/>
    <x v="0"/>
    <n v="25"/>
    <x v="0"/>
    <n v="2"/>
    <n v="3"/>
    <x v="6"/>
    <n v="2"/>
    <x v="1"/>
    <n v="10903"/>
    <n v="3"/>
    <s v="No"/>
    <n v="16"/>
    <n v="3"/>
    <n v="0"/>
    <n v="16"/>
    <n v="2"/>
    <n v="13"/>
    <n v="4"/>
    <n v="8"/>
    <x v="1"/>
    <s v="22-01-2008"/>
    <m/>
    <s v="Better Opportunity"/>
    <s v="OFFICE"/>
    <n v="4"/>
    <n v="1"/>
    <s v="Yes"/>
    <s v="Walk-in"/>
    <s v="Contract"/>
    <n v="1638"/>
    <n v="54"/>
    <n v="80"/>
    <n v="4"/>
    <n v="0"/>
    <m/>
    <n v="0"/>
    <n v="1"/>
    <s v="Current Employees"/>
    <s v="No"/>
  </r>
  <r>
    <x v="20"/>
    <s v="Travel_Frequently"/>
    <x v="0"/>
    <n v="29"/>
    <x v="1"/>
    <n v="2"/>
    <n v="2"/>
    <x v="1"/>
    <n v="3"/>
    <x v="0"/>
    <n v="4508"/>
    <n v="1"/>
    <s v="No"/>
    <n v="22"/>
    <n v="4"/>
    <n v="0"/>
    <n v="14"/>
    <n v="4"/>
    <n v="13"/>
    <n v="3"/>
    <n v="8"/>
    <x v="0"/>
    <s v="21-01-2008"/>
    <m/>
    <s v="Salary"/>
    <s v="OFFICE"/>
    <n v="1"/>
    <n v="3"/>
    <s v="Yes"/>
    <s v="Recruiter"/>
    <s v="FullTime"/>
    <n v="1614"/>
    <n v="76"/>
    <n v="80"/>
    <n v="2"/>
    <n v="0"/>
    <m/>
    <n v="0"/>
    <n v="1"/>
    <s v="Current Employees"/>
    <s v="No"/>
  </r>
  <r>
    <x v="13"/>
    <s v="Travel_Frequently"/>
    <x v="0"/>
    <n v="1"/>
    <x v="0"/>
    <n v="2"/>
    <n v="2"/>
    <x v="7"/>
    <n v="1"/>
    <x v="0"/>
    <n v="5343"/>
    <n v="0"/>
    <s v="No"/>
    <n v="20"/>
    <n v="4"/>
    <n v="0"/>
    <n v="14"/>
    <n v="3"/>
    <n v="13"/>
    <n v="4"/>
    <n v="9"/>
    <x v="2"/>
    <s v="22-01-2008"/>
    <m/>
    <s v="Salary"/>
    <s v="OFFICE"/>
    <n v="5"/>
    <n v="1"/>
    <s v="No"/>
    <s v="Job Portal"/>
    <s v="Contract"/>
    <n v="1587"/>
    <n v="51"/>
    <n v="80"/>
    <n v="2"/>
    <n v="0"/>
    <m/>
    <n v="0"/>
    <n v="1"/>
    <s v="Current Employees"/>
    <s v="No"/>
  </r>
  <r>
    <x v="27"/>
    <s v="Non-Travel"/>
    <x v="1"/>
    <n v="8"/>
    <x v="1"/>
    <n v="2"/>
    <n v="3"/>
    <x v="4"/>
    <n v="4"/>
    <x v="1"/>
    <n v="10377"/>
    <n v="4"/>
    <s v="Yes"/>
    <n v="11"/>
    <n v="3"/>
    <n v="1"/>
    <n v="16"/>
    <n v="6"/>
    <n v="13"/>
    <n v="4"/>
    <n v="12"/>
    <x v="2"/>
    <s v="25-05-2008"/>
    <m/>
    <s v="Work Environment"/>
    <s v="OFFICE"/>
    <n v="1"/>
    <n v="0"/>
    <s v="Yes"/>
    <s v="Job Event"/>
    <s v="Contract"/>
    <n v="1611"/>
    <n v="50"/>
    <n v="80"/>
    <n v="7"/>
    <n v="0"/>
    <m/>
    <n v="0"/>
    <n v="1"/>
    <s v="Current Employees"/>
    <s v="No"/>
  </r>
  <r>
    <x v="28"/>
    <s v="Travel_Rarely"/>
    <x v="1"/>
    <n v="8"/>
    <x v="0"/>
    <n v="3"/>
    <n v="3"/>
    <x v="4"/>
    <n v="4"/>
    <x v="2"/>
    <n v="10793"/>
    <n v="1"/>
    <s v="No"/>
    <n v="18"/>
    <n v="3"/>
    <n v="1"/>
    <n v="13"/>
    <n v="5"/>
    <n v="13"/>
    <n v="9"/>
    <n v="9"/>
    <x v="2"/>
    <s v="15-03-2008"/>
    <m/>
    <s v="Better Opportunity"/>
    <s v="OFFICE"/>
    <n v="1"/>
    <n v="1"/>
    <s v="No"/>
    <s v="Job Portal"/>
    <s v="Part Time"/>
    <n v="1980"/>
    <n v="77"/>
    <n v="80"/>
    <n v="2"/>
    <n v="0"/>
    <m/>
    <n v="0"/>
    <n v="1"/>
    <s v="Current Employees"/>
    <s v="No"/>
  </r>
  <r>
    <x v="13"/>
    <s v="Travel_Rarely"/>
    <x v="1"/>
    <n v="3"/>
    <x v="0"/>
    <n v="1"/>
    <n v="2"/>
    <x v="4"/>
    <n v="1"/>
    <x v="0"/>
    <n v="4759"/>
    <n v="3"/>
    <s v="No"/>
    <n v="18"/>
    <n v="3"/>
    <n v="0"/>
    <n v="15"/>
    <n v="2"/>
    <n v="13"/>
    <n v="3"/>
    <n v="12"/>
    <x v="3"/>
    <s v="24-03-2008"/>
    <m/>
    <s v="Better Opportunity"/>
    <s v="OFFICE"/>
    <n v="3"/>
    <n v="3"/>
    <s v="No"/>
    <s v="Walk-in"/>
    <s v="Part Time"/>
    <n v="1641"/>
    <n v="84"/>
    <n v="80"/>
    <n v="2"/>
    <n v="0"/>
    <m/>
    <n v="0"/>
    <n v="1"/>
    <s v="Current Employees"/>
    <s v="No"/>
  </r>
  <r>
    <x v="35"/>
    <s v="Travel_Rarely"/>
    <x v="1"/>
    <n v="3"/>
    <x v="1"/>
    <n v="3"/>
    <n v="4"/>
    <x v="5"/>
    <n v="2"/>
    <x v="1"/>
    <n v="16606"/>
    <n v="8"/>
    <s v="No"/>
    <n v="12"/>
    <n v="3"/>
    <n v="1"/>
    <n v="23"/>
    <n v="2"/>
    <n v="13"/>
    <n v="5"/>
    <n v="1"/>
    <x v="2"/>
    <d v="2008-07-04T00:00:00"/>
    <m/>
    <s v="Work Accident"/>
    <s v="WFH"/>
    <n v="5"/>
    <n v="3"/>
    <s v="Yes"/>
    <s v="Walk-in"/>
    <s v="FullTime"/>
    <n v="1815"/>
    <n v="81"/>
    <n v="80"/>
    <n v="14"/>
    <n v="0"/>
    <m/>
    <n v="0"/>
    <n v="1"/>
    <s v="Current Employees"/>
    <s v="No"/>
  </r>
  <r>
    <x v="27"/>
    <s v="Travel_Rarely"/>
    <x v="1"/>
    <n v="10"/>
    <x v="0"/>
    <n v="2"/>
    <n v="3"/>
    <x v="4"/>
    <n v="1"/>
    <x v="1"/>
    <n v="10306"/>
    <n v="9"/>
    <s v="No"/>
    <n v="17"/>
    <n v="3"/>
    <n v="0"/>
    <n v="15"/>
    <n v="3"/>
    <n v="13"/>
    <n v="6"/>
    <n v="0"/>
    <x v="0"/>
    <s v="20-04-2008"/>
    <m/>
    <s v="Work Accident"/>
    <s v="WFH"/>
    <n v="4"/>
    <n v="2"/>
    <s v="Yes"/>
    <s v="Walk-in"/>
    <s v="Part Time"/>
    <n v="1912"/>
    <n v="86"/>
    <n v="80"/>
    <n v="2"/>
    <n v="0"/>
    <m/>
    <n v="0"/>
    <n v="1"/>
    <s v="Current Employees"/>
    <s v="No"/>
  </r>
  <r>
    <x v="12"/>
    <s v="Travel_Frequently"/>
    <x v="0"/>
    <n v="1"/>
    <x v="0"/>
    <n v="3"/>
    <n v="2"/>
    <x v="1"/>
    <n v="4"/>
    <x v="1"/>
    <n v="4735"/>
    <n v="7"/>
    <s v="No"/>
    <n v="15"/>
    <n v="3"/>
    <n v="2"/>
    <n v="19"/>
    <n v="4"/>
    <n v="13"/>
    <n v="2"/>
    <n v="9"/>
    <x v="1"/>
    <d v="2008-03-02T00:00:00"/>
    <m/>
    <s v="Salary"/>
    <s v="WFH"/>
    <n v="5"/>
    <n v="3"/>
    <s v="No"/>
    <s v="Job Portal"/>
    <s v="FullTime"/>
    <n v="1962"/>
    <n v="55"/>
    <n v="80"/>
    <n v="8"/>
    <n v="0"/>
    <m/>
    <n v="0"/>
    <n v="1"/>
    <s v="Current Employees"/>
    <s v="No"/>
  </r>
  <r>
    <x v="26"/>
    <s v="Travel_Rarely"/>
    <x v="1"/>
    <n v="2"/>
    <x v="1"/>
    <n v="3"/>
    <n v="2"/>
    <x v="3"/>
    <n v="4"/>
    <x v="0"/>
    <n v="4502"/>
    <n v="3"/>
    <s v="No"/>
    <n v="15"/>
    <n v="3"/>
    <n v="0"/>
    <n v="17"/>
    <n v="2"/>
    <n v="13"/>
    <n v="6"/>
    <n v="7"/>
    <x v="2"/>
    <d v="2008-09-03T00:00:00"/>
    <m/>
    <s v="Work Accident"/>
    <s v="WFH"/>
    <n v="0"/>
    <n v="0"/>
    <s v="Yes"/>
    <s v="Job Portal"/>
    <s v="Contract"/>
    <n v="1915"/>
    <n v="75"/>
    <n v="80"/>
    <n v="2"/>
    <n v="0"/>
    <m/>
    <n v="0"/>
    <n v="1"/>
    <s v="Current Employees"/>
    <s v="No"/>
  </r>
  <r>
    <x v="22"/>
    <s v="Travel_Rarely"/>
    <x v="0"/>
    <n v="6"/>
    <x v="0"/>
    <n v="3"/>
    <n v="3"/>
    <x v="2"/>
    <n v="1"/>
    <x v="1"/>
    <n v="13348"/>
    <n v="9"/>
    <s v="No"/>
    <n v="13"/>
    <n v="3"/>
    <n v="1"/>
    <n v="18"/>
    <n v="3"/>
    <n v="13"/>
    <n v="5"/>
    <n v="7"/>
    <x v="0"/>
    <s v="22-06-2008"/>
    <m/>
    <s v="Better Opportunity"/>
    <s v="WFH"/>
    <n v="2"/>
    <n v="3"/>
    <s v="Yes"/>
    <s v="Job Portal"/>
    <s v="FullTime"/>
    <n v="1880"/>
    <n v="63"/>
    <n v="80"/>
    <n v="9"/>
    <n v="0"/>
    <m/>
    <n v="0"/>
    <n v="1"/>
    <s v="Current Employees"/>
    <s v="No"/>
  </r>
  <r>
    <x v="9"/>
    <s v="Non-Travel"/>
    <x v="0"/>
    <n v="1"/>
    <x v="1"/>
    <n v="3"/>
    <n v="3"/>
    <x v="2"/>
    <n v="2"/>
    <x v="1"/>
    <n v="11957"/>
    <n v="0"/>
    <s v="No"/>
    <n v="18"/>
    <n v="3"/>
    <n v="2"/>
    <n v="14"/>
    <n v="3"/>
    <n v="13"/>
    <n v="5"/>
    <n v="12"/>
    <x v="2"/>
    <s v="19-04-2008"/>
    <m/>
    <s v="Dept.Head"/>
    <s v="OFFICE"/>
    <n v="3"/>
    <n v="1"/>
    <s v="Yes"/>
    <s v="Job Event"/>
    <s v="Part Time"/>
    <n v="1503"/>
    <n v="78"/>
    <n v="80"/>
    <n v="4"/>
    <n v="0"/>
    <m/>
    <n v="0"/>
    <n v="1"/>
    <s v="Current Employees"/>
    <s v="No"/>
  </r>
  <r>
    <x v="23"/>
    <s v="Non-Travel"/>
    <x v="0"/>
    <n v="1"/>
    <x v="0"/>
    <n v="3"/>
    <n v="2"/>
    <x v="7"/>
    <n v="3"/>
    <x v="2"/>
    <n v="6306"/>
    <n v="1"/>
    <s v="No"/>
    <n v="21"/>
    <n v="4"/>
    <n v="1"/>
    <n v="13"/>
    <n v="2"/>
    <n v="13"/>
    <n v="1"/>
    <n v="9"/>
    <x v="2"/>
    <s v="24-06-2008"/>
    <m/>
    <s v="Better Opportunity"/>
    <s v="OFFICE"/>
    <n v="5"/>
    <n v="0"/>
    <s v="Yes"/>
    <s v="Job Portal"/>
    <s v="Part Time"/>
    <n v="1938"/>
    <n v="72"/>
    <n v="80"/>
    <n v="0"/>
    <n v="0"/>
    <m/>
    <n v="0"/>
    <n v="1"/>
    <s v="Current Employees"/>
    <s v="No"/>
  </r>
  <r>
    <x v="42"/>
    <s v="Travel_Rarely"/>
    <x v="0"/>
    <n v="5"/>
    <x v="1"/>
    <n v="3"/>
    <n v="5"/>
    <x v="5"/>
    <n v="3"/>
    <x v="2"/>
    <n v="19094"/>
    <n v="4"/>
    <s v="No"/>
    <n v="11"/>
    <n v="3"/>
    <n v="1"/>
    <n v="26"/>
    <n v="3"/>
    <n v="14"/>
    <n v="4"/>
    <n v="8"/>
    <x v="1"/>
    <s v="13-03-2007"/>
    <m/>
    <s v="Work Environment"/>
    <s v="WFH"/>
    <n v="5"/>
    <n v="2"/>
    <s v="Yes"/>
    <s v="Walk-in"/>
    <s v="FullTime"/>
    <n v="1445"/>
    <n v="42"/>
    <n v="80"/>
    <n v="4"/>
    <n v="0"/>
    <m/>
    <n v="0"/>
    <n v="1"/>
    <s v="Current Employees"/>
    <s v="No"/>
  </r>
  <r>
    <x v="21"/>
    <s v="Travel_Rarely"/>
    <x v="1"/>
    <n v="4"/>
    <x v="0"/>
    <n v="1"/>
    <n v="3"/>
    <x v="4"/>
    <n v="4"/>
    <x v="1"/>
    <n v="10400"/>
    <n v="1"/>
    <s v="No"/>
    <n v="11"/>
    <n v="3"/>
    <n v="0"/>
    <n v="14"/>
    <n v="2"/>
    <n v="14"/>
    <n v="9"/>
    <n v="8"/>
    <x v="2"/>
    <d v="2007-12-01T00:00:00"/>
    <m/>
    <s v="Salary"/>
    <s v="WFH"/>
    <n v="2"/>
    <n v="3"/>
    <s v="Yes"/>
    <s v="Job Event"/>
    <s v="Part Time"/>
    <n v="1425"/>
    <n v="99"/>
    <n v="80"/>
    <n v="4"/>
    <n v="0"/>
    <m/>
    <n v="0"/>
    <n v="1"/>
    <s v="Current Employees"/>
    <s v="No"/>
  </r>
  <r>
    <x v="33"/>
    <s v="Non-Travel"/>
    <x v="1"/>
    <n v="10"/>
    <x v="0"/>
    <n v="3"/>
    <n v="2"/>
    <x v="4"/>
    <n v="4"/>
    <x v="0"/>
    <n v="6230"/>
    <n v="7"/>
    <s v="No"/>
    <n v="14"/>
    <n v="3"/>
    <n v="0"/>
    <n v="16"/>
    <n v="3"/>
    <n v="14"/>
    <n v="1"/>
    <n v="10"/>
    <x v="1"/>
    <s v="25-03-2007"/>
    <m/>
    <s v="Salary"/>
    <s v="OFFICE"/>
    <n v="5"/>
    <n v="1"/>
    <s v="No"/>
    <s v="Job Portal"/>
    <s v="FullTime"/>
    <n v="1552"/>
    <n v="72"/>
    <n v="80"/>
    <n v="2"/>
    <n v="0"/>
    <m/>
    <n v="0"/>
    <n v="1"/>
    <s v="Current Employees"/>
    <s v="No"/>
  </r>
  <r>
    <x v="42"/>
    <s v="Travel_Rarely"/>
    <x v="1"/>
    <n v="1"/>
    <x v="1"/>
    <n v="3"/>
    <n v="2"/>
    <x v="4"/>
    <n v="1"/>
    <x v="0"/>
    <n v="8381"/>
    <n v="7"/>
    <s v="No"/>
    <n v="20"/>
    <n v="4"/>
    <n v="0"/>
    <n v="18"/>
    <n v="2"/>
    <n v="14"/>
    <n v="8"/>
    <n v="10"/>
    <x v="2"/>
    <s v="27-05-2007"/>
    <m/>
    <s v="Work Accident"/>
    <s v="WFH"/>
    <n v="4"/>
    <n v="1"/>
    <s v="No"/>
    <s v="Walk-in"/>
    <s v="Part Time"/>
    <n v="1948"/>
    <n v="48"/>
    <n v="80"/>
    <n v="2"/>
    <n v="0"/>
    <m/>
    <n v="0"/>
    <n v="1"/>
    <s v="Current Employees"/>
    <s v="No"/>
  </r>
  <r>
    <x v="21"/>
    <s v="Travel_Rarely"/>
    <x v="0"/>
    <n v="4"/>
    <x v="1"/>
    <n v="2"/>
    <n v="2"/>
    <x v="6"/>
    <n v="3"/>
    <x v="1"/>
    <n v="6162"/>
    <n v="1"/>
    <s v="No"/>
    <n v="12"/>
    <n v="3"/>
    <n v="1"/>
    <n v="14"/>
    <n v="3"/>
    <n v="14"/>
    <n v="6"/>
    <n v="8"/>
    <x v="2"/>
    <d v="2007-03-02T00:00:00"/>
    <m/>
    <s v="Salary"/>
    <s v="OFFICE"/>
    <n v="3"/>
    <n v="0"/>
    <s v="No"/>
    <s v="Recruiter"/>
    <s v="Part Time"/>
    <n v="1737"/>
    <n v="77"/>
    <n v="80"/>
    <n v="8"/>
    <n v="0"/>
    <m/>
    <n v="0"/>
    <n v="1"/>
    <s v="Current Employees"/>
    <s v="No"/>
  </r>
  <r>
    <x v="0"/>
    <s v="Travel_Rarely"/>
    <x v="1"/>
    <n v="1"/>
    <x v="0"/>
    <n v="2"/>
    <n v="3"/>
    <x v="4"/>
    <n v="3"/>
    <x v="1"/>
    <n v="10609"/>
    <n v="5"/>
    <s v="No"/>
    <n v="11"/>
    <n v="3"/>
    <n v="0"/>
    <n v="17"/>
    <n v="2"/>
    <n v="14"/>
    <n v="11"/>
    <n v="7"/>
    <x v="1"/>
    <s v="16-02-2007"/>
    <m/>
    <s v="Dept.Head"/>
    <s v="OFFICE"/>
    <n v="4"/>
    <n v="2"/>
    <s v="Yes"/>
    <s v="Job Event"/>
    <s v="Contract"/>
    <n v="1774"/>
    <n v="87"/>
    <n v="80"/>
    <n v="14"/>
    <n v="0"/>
    <m/>
    <n v="0"/>
    <n v="1"/>
    <s v="Current Employees"/>
    <s v="No"/>
  </r>
  <r>
    <x v="26"/>
    <s v="Travel_Rarely"/>
    <x v="0"/>
    <n v="12"/>
    <x v="1"/>
    <n v="2"/>
    <n v="3"/>
    <x v="6"/>
    <n v="4"/>
    <x v="0"/>
    <n v="8858"/>
    <n v="0"/>
    <s v="No"/>
    <n v="11"/>
    <n v="3"/>
    <n v="0"/>
    <n v="15"/>
    <n v="2"/>
    <n v="14"/>
    <n v="7"/>
    <n v="8"/>
    <x v="2"/>
    <d v="2007-12-03T00:00:00"/>
    <m/>
    <s v="Work Accident"/>
    <s v="OFFICE"/>
    <n v="0"/>
    <n v="3"/>
    <s v="No"/>
    <s v="Recruiter"/>
    <s v="Part Time"/>
    <n v="1642"/>
    <n v="37"/>
    <n v="80"/>
    <n v="7"/>
    <n v="0"/>
    <m/>
    <n v="0"/>
    <n v="1"/>
    <s v="Current Employees"/>
    <s v="No"/>
  </r>
  <r>
    <x v="0"/>
    <s v="Travel_Rarely"/>
    <x v="0"/>
    <n v="1"/>
    <x v="1"/>
    <n v="2"/>
    <n v="2"/>
    <x v="6"/>
    <n v="4"/>
    <x v="1"/>
    <n v="6474"/>
    <n v="1"/>
    <s v="No"/>
    <n v="13"/>
    <n v="3"/>
    <n v="1"/>
    <n v="14"/>
    <n v="2"/>
    <n v="14"/>
    <n v="3"/>
    <n v="11"/>
    <x v="2"/>
    <d v="2007-06-06T00:00:00"/>
    <m/>
    <s v="Dept.Head"/>
    <s v="WFH"/>
    <n v="1"/>
    <n v="3"/>
    <s v="Yes"/>
    <s v="Job Portal"/>
    <s v="Part Time"/>
    <n v="1972"/>
    <n v="88"/>
    <n v="80"/>
    <n v="2"/>
    <n v="0"/>
    <m/>
    <n v="0"/>
    <n v="1"/>
    <s v="Current Employees"/>
    <s v="No"/>
  </r>
  <r>
    <x v="20"/>
    <s v="Travel_Rarely"/>
    <x v="0"/>
    <n v="9"/>
    <x v="0"/>
    <n v="3"/>
    <n v="1"/>
    <x v="1"/>
    <n v="4"/>
    <x v="1"/>
    <n v="2781"/>
    <n v="0"/>
    <s v="No"/>
    <n v="13"/>
    <n v="3"/>
    <n v="1"/>
    <n v="15"/>
    <n v="5"/>
    <n v="14"/>
    <n v="4"/>
    <n v="10"/>
    <x v="2"/>
    <d v="2007-02-04T00:00:00"/>
    <m/>
    <s v="Work Accident"/>
    <s v="OFFICE"/>
    <n v="3"/>
    <n v="3"/>
    <s v="Yes"/>
    <s v="Walk-in"/>
    <s v="Part Time"/>
    <n v="1837"/>
    <n v="87"/>
    <n v="80"/>
    <n v="2"/>
    <n v="0"/>
    <m/>
    <n v="0"/>
    <n v="1"/>
    <s v="Current Employees"/>
    <s v="No"/>
  </r>
  <r>
    <x v="13"/>
    <s v="Travel_Rarely"/>
    <x v="0"/>
    <n v="2"/>
    <x v="1"/>
    <n v="3"/>
    <n v="2"/>
    <x v="7"/>
    <n v="4"/>
    <x v="0"/>
    <n v="6687"/>
    <n v="1"/>
    <s v="No"/>
    <n v="11"/>
    <n v="3"/>
    <n v="0"/>
    <n v="14"/>
    <n v="2"/>
    <n v="14"/>
    <n v="4"/>
    <n v="11"/>
    <x v="3"/>
    <s v="15-03-2007"/>
    <m/>
    <s v="Work Environment"/>
    <s v="OFFICE"/>
    <n v="3"/>
    <n v="3"/>
    <s v="No"/>
    <s v="Job Portal"/>
    <s v="Contract"/>
    <n v="1932"/>
    <n v="86"/>
    <n v="80"/>
    <n v="10"/>
    <n v="0"/>
    <m/>
    <n v="0"/>
    <n v="1"/>
    <s v="Current Employees"/>
    <s v="No"/>
  </r>
  <r>
    <x v="13"/>
    <s v="Travel_Frequently"/>
    <x v="0"/>
    <n v="15"/>
    <x v="0"/>
    <n v="3"/>
    <n v="4"/>
    <x v="2"/>
    <n v="1"/>
    <x v="2"/>
    <n v="17007"/>
    <n v="7"/>
    <s v="No"/>
    <n v="14"/>
    <n v="3"/>
    <n v="2"/>
    <n v="16"/>
    <n v="3"/>
    <n v="14"/>
    <n v="6"/>
    <n v="9"/>
    <x v="1"/>
    <s v="27-06-2007"/>
    <m/>
    <s v="Better Opportunity"/>
    <s v="OFFICE"/>
    <n v="4"/>
    <n v="3"/>
    <s v="Yes"/>
    <s v="Job Event"/>
    <s v="Part Time"/>
    <n v="1594"/>
    <n v="80"/>
    <n v="80"/>
    <n v="2"/>
    <n v="0"/>
    <m/>
    <n v="0"/>
    <n v="1"/>
    <s v="Current Employees"/>
    <s v="No"/>
  </r>
  <r>
    <x v="37"/>
    <s v="Travel_Frequently"/>
    <x v="0"/>
    <n v="11"/>
    <x v="1"/>
    <n v="3"/>
    <n v="4"/>
    <x v="5"/>
    <n v="4"/>
    <x v="2"/>
    <n v="16032"/>
    <n v="3"/>
    <s v="No"/>
    <n v="20"/>
    <n v="4"/>
    <n v="1"/>
    <n v="26"/>
    <n v="2"/>
    <n v="14"/>
    <n v="1"/>
    <n v="12"/>
    <x v="3"/>
    <d v="2007-02-01T00:00:00"/>
    <m/>
    <s v="Better Opportunity"/>
    <s v="OFFICE"/>
    <n v="3"/>
    <n v="1"/>
    <s v="No"/>
    <s v="Job Event"/>
    <s v="Contract"/>
    <n v="1606"/>
    <n v="41"/>
    <n v="80"/>
    <n v="8"/>
    <n v="0"/>
    <m/>
    <n v="0"/>
    <n v="1"/>
    <s v="Current Employees"/>
    <s v="No"/>
  </r>
  <r>
    <x v="27"/>
    <s v="Non-Travel"/>
    <x v="0"/>
    <n v="8"/>
    <x v="1"/>
    <n v="3"/>
    <n v="2"/>
    <x v="7"/>
    <n v="3"/>
    <x v="1"/>
    <n v="4148"/>
    <n v="1"/>
    <s v="No"/>
    <n v="12"/>
    <n v="3"/>
    <n v="1"/>
    <n v="15"/>
    <n v="5"/>
    <n v="14"/>
    <n v="2"/>
    <n v="9"/>
    <x v="3"/>
    <s v="19-04-2007"/>
    <m/>
    <s v="Salary"/>
    <s v="WFH"/>
    <n v="3"/>
    <n v="2"/>
    <s v="Yes"/>
    <s v="Job Event"/>
    <s v="Part Time"/>
    <n v="1547"/>
    <n v="40"/>
    <n v="80"/>
    <n v="8"/>
    <n v="0"/>
    <m/>
    <n v="0"/>
    <n v="1"/>
    <s v="Current Employees"/>
    <s v="No"/>
  </r>
  <r>
    <x v="16"/>
    <s v="Travel_Rarely"/>
    <x v="0"/>
    <n v="17"/>
    <x v="1"/>
    <n v="2"/>
    <n v="3"/>
    <x v="2"/>
    <n v="1"/>
    <x v="2"/>
    <n v="13269"/>
    <n v="5"/>
    <s v="No"/>
    <n v="15"/>
    <n v="3"/>
    <n v="3"/>
    <n v="19"/>
    <n v="3"/>
    <n v="14"/>
    <n v="1"/>
    <n v="11"/>
    <x v="0"/>
    <s v="19-03-2007"/>
    <m/>
    <s v="Better Opportunity"/>
    <s v="OFFICE"/>
    <n v="0"/>
    <n v="3"/>
    <s v="No"/>
    <s v="Job Event"/>
    <s v="Part Time"/>
    <n v="2049"/>
    <n v="80"/>
    <n v="80"/>
    <n v="2"/>
    <n v="0"/>
    <m/>
    <n v="0"/>
    <n v="1"/>
    <s v="Current Employees"/>
    <s v="No"/>
  </r>
  <r>
    <x v="34"/>
    <s v="Travel_Rarely"/>
    <x v="0"/>
    <n v="15"/>
    <x v="0"/>
    <n v="2"/>
    <n v="4"/>
    <x v="2"/>
    <n v="3"/>
    <x v="1"/>
    <n v="17603"/>
    <n v="1"/>
    <s v="No"/>
    <n v="24"/>
    <n v="4"/>
    <n v="1"/>
    <n v="14"/>
    <n v="3"/>
    <n v="14"/>
    <n v="6"/>
    <n v="11"/>
    <x v="3"/>
    <d v="2007-11-03T00:00:00"/>
    <m/>
    <s v="Dept.Head"/>
    <s v="WFH"/>
    <n v="5"/>
    <n v="3"/>
    <s v="No"/>
    <s v="Walk-in"/>
    <s v="FullTime"/>
    <n v="1704"/>
    <n v="79"/>
    <n v="80"/>
    <n v="4"/>
    <n v="0"/>
    <m/>
    <n v="0"/>
    <n v="1"/>
    <s v="Current Employees"/>
    <s v="No"/>
  </r>
  <r>
    <x v="20"/>
    <s v="Travel_Rarely"/>
    <x v="0"/>
    <n v="21"/>
    <x v="0"/>
    <n v="4"/>
    <n v="1"/>
    <x v="0"/>
    <n v="2"/>
    <x v="1"/>
    <n v="2028"/>
    <n v="1"/>
    <s v="No"/>
    <n v="18"/>
    <n v="3"/>
    <n v="3"/>
    <n v="14"/>
    <n v="6"/>
    <n v="14"/>
    <n v="2"/>
    <n v="13"/>
    <x v="2"/>
    <d v="2007-05-02T00:00:00"/>
    <m/>
    <s v="Work Environment"/>
    <s v="OFFICE"/>
    <n v="3"/>
    <n v="0"/>
    <s v="No"/>
    <s v="Recruiter"/>
    <s v="FullTime"/>
    <n v="1496"/>
    <n v="86"/>
    <n v="80"/>
    <n v="2"/>
    <n v="0"/>
    <m/>
    <n v="0"/>
    <n v="1"/>
    <s v="Current Employees"/>
    <s v="No"/>
  </r>
  <r>
    <x v="13"/>
    <s v="Travel_Rarely"/>
    <x v="1"/>
    <n v="1"/>
    <x v="0"/>
    <n v="3"/>
    <n v="3"/>
    <x v="4"/>
    <n v="4"/>
    <x v="0"/>
    <n v="9888"/>
    <n v="1"/>
    <s v="No"/>
    <n v="21"/>
    <n v="4"/>
    <n v="0"/>
    <n v="14"/>
    <n v="3"/>
    <n v="14"/>
    <n v="2"/>
    <n v="1"/>
    <x v="3"/>
    <s v="18-04-2007"/>
    <m/>
    <s v="Work Environment"/>
    <s v="OFFICE"/>
    <n v="1"/>
    <n v="3"/>
    <s v="No"/>
    <s v="Job Event"/>
    <s v="FullTime"/>
    <n v="1539"/>
    <n v="88"/>
    <n v="80"/>
    <n v="6"/>
    <n v="0"/>
    <m/>
    <n v="0"/>
    <n v="1"/>
    <s v="Current Employees"/>
    <s v="No"/>
  </r>
  <r>
    <x v="21"/>
    <s v="Travel_Rarely"/>
    <x v="1"/>
    <n v="1"/>
    <x v="1"/>
    <n v="3"/>
    <n v="3"/>
    <x v="4"/>
    <n v="4"/>
    <x v="1"/>
    <n v="10422"/>
    <n v="1"/>
    <s v="No"/>
    <n v="19"/>
    <n v="3"/>
    <n v="2"/>
    <n v="14"/>
    <n v="3"/>
    <n v="14"/>
    <n v="5"/>
    <n v="7"/>
    <x v="1"/>
    <s v="19-04-2007"/>
    <m/>
    <s v="Dept.Head"/>
    <s v="WFH"/>
    <n v="0"/>
    <n v="2"/>
    <s v="No"/>
    <s v="Walk-in"/>
    <s v="Contract"/>
    <n v="1753"/>
    <n v="70"/>
    <n v="80"/>
    <n v="2"/>
    <n v="0"/>
    <m/>
    <n v="0"/>
    <n v="1"/>
    <s v="Current Employees"/>
    <s v="No"/>
  </r>
  <r>
    <x v="20"/>
    <s v="Travel_Frequently"/>
    <x v="0"/>
    <n v="1"/>
    <x v="1"/>
    <n v="3"/>
    <n v="3"/>
    <x v="2"/>
    <n v="4"/>
    <x v="0"/>
    <n v="13458"/>
    <n v="1"/>
    <s v="Yes"/>
    <n v="12"/>
    <n v="3"/>
    <n v="0"/>
    <n v="15"/>
    <n v="1"/>
    <n v="15"/>
    <n v="8"/>
    <n v="12"/>
    <x v="0"/>
    <s v="31-05-2006"/>
    <m/>
    <s v="Better Opportunity"/>
    <s v="OFFICE"/>
    <n v="0"/>
    <n v="3"/>
    <s v="Yes"/>
    <s v="Recruiter"/>
    <s v="Part Time"/>
    <n v="1927"/>
    <n v="42"/>
    <n v="80"/>
    <n v="7"/>
    <n v="0"/>
    <m/>
    <n v="0"/>
    <n v="1"/>
    <s v="Current Employees"/>
    <s v="No"/>
  </r>
  <r>
    <x v="27"/>
    <s v="Travel_Rarely"/>
    <x v="1"/>
    <n v="1"/>
    <x v="0"/>
    <n v="2"/>
    <n v="2"/>
    <x v="4"/>
    <n v="1"/>
    <x v="0"/>
    <n v="4312"/>
    <n v="0"/>
    <s v="No"/>
    <n v="14"/>
    <n v="3"/>
    <n v="0"/>
    <n v="16"/>
    <n v="2"/>
    <n v="15"/>
    <n v="2"/>
    <n v="8"/>
    <x v="3"/>
    <s v="25-06-2006"/>
    <m/>
    <s v="Better Opportunity"/>
    <s v="OFFICE"/>
    <n v="5"/>
    <n v="2"/>
    <s v="No"/>
    <s v="Recruiter"/>
    <s v="FullTime"/>
    <n v="1973"/>
    <n v="71"/>
    <n v="80"/>
    <n v="9"/>
    <n v="0"/>
    <m/>
    <n v="0"/>
    <n v="1"/>
    <s v="Current Employees"/>
    <s v="No"/>
  </r>
  <r>
    <x v="39"/>
    <s v="Travel_Rarely"/>
    <x v="0"/>
    <n v="20"/>
    <x v="1"/>
    <n v="3"/>
    <n v="2"/>
    <x v="6"/>
    <n v="1"/>
    <x v="1"/>
    <n v="6567"/>
    <n v="1"/>
    <s v="No"/>
    <n v="14"/>
    <n v="3"/>
    <n v="0"/>
    <n v="16"/>
    <n v="2"/>
    <n v="15"/>
    <n v="5"/>
    <n v="11"/>
    <x v="3"/>
    <d v="2006-11-03T00:00:00"/>
    <m/>
    <s v="Better Opportunity"/>
    <s v="WFH"/>
    <n v="2"/>
    <n v="1"/>
    <s v="Yes"/>
    <s v="Job Portal"/>
    <s v="FullTime"/>
    <n v="1460"/>
    <n v="95"/>
    <n v="80"/>
    <n v="7"/>
    <n v="0"/>
    <m/>
    <n v="0"/>
    <n v="1"/>
    <s v="Current Employees"/>
    <s v="No"/>
  </r>
  <r>
    <x v="25"/>
    <s v="Travel_Rarely"/>
    <x v="1"/>
    <n v="4"/>
    <x v="1"/>
    <n v="2"/>
    <n v="2"/>
    <x v="4"/>
    <n v="3"/>
    <x v="1"/>
    <n v="5902"/>
    <n v="4"/>
    <s v="No"/>
    <n v="14"/>
    <n v="3"/>
    <n v="1"/>
    <n v="17"/>
    <n v="1"/>
    <n v="15"/>
    <n v="5"/>
    <n v="9"/>
    <x v="1"/>
    <s v="17-05-2006"/>
    <m/>
    <s v="Work Environment"/>
    <s v="OFFICE"/>
    <n v="4"/>
    <n v="2"/>
    <s v="Yes"/>
    <s v="Job Event"/>
    <s v="Contract"/>
    <n v="1789"/>
    <n v="46"/>
    <n v="80"/>
    <n v="1"/>
    <n v="0"/>
    <m/>
    <n v="0"/>
    <n v="1"/>
    <s v="Current Employees"/>
    <s v="No"/>
  </r>
  <r>
    <x v="26"/>
    <s v="Travel_Rarely"/>
    <x v="0"/>
    <n v="6"/>
    <x v="0"/>
    <n v="3"/>
    <n v="1"/>
    <x v="0"/>
    <n v="4"/>
    <x v="1"/>
    <n v="3210"/>
    <n v="0"/>
    <s v="No"/>
    <n v="11"/>
    <n v="3"/>
    <n v="1"/>
    <n v="16"/>
    <n v="4"/>
    <n v="15"/>
    <n v="10"/>
    <n v="11"/>
    <x v="0"/>
    <d v="2006-04-02T00:00:00"/>
    <m/>
    <s v="Dept.Head"/>
    <s v="OFFICE"/>
    <n v="4"/>
    <n v="3"/>
    <s v="No"/>
    <s v="Job Event"/>
    <s v="Part Time"/>
    <n v="1998"/>
    <n v="35"/>
    <n v="80"/>
    <n v="3"/>
    <n v="0"/>
    <m/>
    <n v="0"/>
    <n v="1"/>
    <s v="Current Employees"/>
    <s v="No"/>
  </r>
  <r>
    <x v="12"/>
    <s v="Travel_Frequently"/>
    <x v="0"/>
    <n v="2"/>
    <x v="1"/>
    <n v="4"/>
    <n v="2"/>
    <x v="6"/>
    <n v="1"/>
    <x v="0"/>
    <n v="5980"/>
    <n v="6"/>
    <s v="Yes"/>
    <n v="12"/>
    <n v="3"/>
    <n v="0"/>
    <n v="17"/>
    <n v="2"/>
    <n v="15"/>
    <n v="4"/>
    <n v="12"/>
    <x v="3"/>
    <d v="2006-02-05T00:00:00"/>
    <m/>
    <s v="Dept.Head"/>
    <s v="WFH"/>
    <n v="4"/>
    <n v="1"/>
    <s v="Yes"/>
    <s v="Recruiter"/>
    <s v="FullTime"/>
    <n v="1992"/>
    <n v="57"/>
    <n v="80"/>
    <n v="2"/>
    <n v="0"/>
    <m/>
    <n v="0"/>
    <n v="1"/>
    <s v="Current Employees"/>
    <s v="No"/>
  </r>
  <r>
    <x v="12"/>
    <s v="Travel_Rarely"/>
    <x v="0"/>
    <n v="1"/>
    <x v="1"/>
    <n v="3"/>
    <n v="3"/>
    <x v="2"/>
    <n v="1"/>
    <x v="1"/>
    <n v="13582"/>
    <n v="1"/>
    <s v="No"/>
    <n v="13"/>
    <n v="3"/>
    <n v="1"/>
    <n v="15"/>
    <n v="3"/>
    <n v="15"/>
    <n v="5"/>
    <n v="11"/>
    <x v="0"/>
    <s v="23-05-2006"/>
    <m/>
    <s v="Better Opportunity"/>
    <s v="OFFICE"/>
    <n v="2"/>
    <n v="3"/>
    <s v="Yes"/>
    <s v="Walk-in"/>
    <s v="FullTime"/>
    <n v="1448"/>
    <n v="90"/>
    <n v="80"/>
    <n v="2"/>
    <n v="0"/>
    <m/>
    <n v="0"/>
    <n v="1"/>
    <s v="Current Employees"/>
    <s v="No"/>
  </r>
  <r>
    <x v="10"/>
    <s v="Travel_Rarely"/>
    <x v="0"/>
    <n v="4"/>
    <x v="0"/>
    <n v="2"/>
    <n v="3"/>
    <x v="7"/>
    <n v="3"/>
    <x v="0"/>
    <n v="10999"/>
    <n v="7"/>
    <s v="No"/>
    <n v="14"/>
    <n v="3"/>
    <n v="0"/>
    <n v="27"/>
    <n v="3"/>
    <n v="15"/>
    <n v="4"/>
    <n v="8"/>
    <x v="2"/>
    <s v="30-04-2006"/>
    <m/>
    <s v="Better Opportunity"/>
    <s v="WFH"/>
    <n v="3"/>
    <n v="1"/>
    <s v="Yes"/>
    <s v="Job Portal"/>
    <s v="Contract"/>
    <n v="1501"/>
    <n v="30"/>
    <n v="80"/>
    <n v="2"/>
    <n v="0"/>
    <m/>
    <n v="0"/>
    <n v="1"/>
    <s v="Current Employees"/>
    <s v="No"/>
  </r>
  <r>
    <x v="13"/>
    <s v="Travel_Rarely"/>
    <x v="1"/>
    <n v="1"/>
    <x v="0"/>
    <n v="4"/>
    <n v="2"/>
    <x v="4"/>
    <n v="4"/>
    <x v="2"/>
    <n v="9725"/>
    <n v="0"/>
    <s v="No"/>
    <n v="11"/>
    <n v="3"/>
    <n v="1"/>
    <n v="16"/>
    <n v="2"/>
    <n v="15"/>
    <n v="0"/>
    <n v="9"/>
    <x v="1"/>
    <s v="13-06-2006"/>
    <m/>
    <s v="Dept.Head"/>
    <s v="WFH"/>
    <n v="0"/>
    <n v="1"/>
    <s v="Yes"/>
    <s v="Job Event"/>
    <s v="Part Time"/>
    <n v="1766"/>
    <n v="60"/>
    <n v="80"/>
    <n v="0"/>
    <n v="0"/>
    <m/>
    <n v="0"/>
    <n v="1"/>
    <s v="Current Employees"/>
    <s v="No"/>
  </r>
  <r>
    <x v="42"/>
    <s v="Travel_Frequently"/>
    <x v="1"/>
    <n v="2"/>
    <x v="1"/>
    <n v="2"/>
    <n v="3"/>
    <x v="4"/>
    <n v="2"/>
    <x v="1"/>
    <n v="7525"/>
    <n v="2"/>
    <s v="No"/>
    <n v="12"/>
    <n v="3"/>
    <n v="1"/>
    <n v="30"/>
    <n v="2"/>
    <n v="15"/>
    <n v="6"/>
    <n v="12"/>
    <x v="2"/>
    <s v="28-03-2006"/>
    <m/>
    <s v="Work Environment"/>
    <s v="WFH"/>
    <n v="5"/>
    <n v="2"/>
    <s v="Yes"/>
    <s v="Walk-in"/>
    <s v="Contract"/>
    <n v="1549"/>
    <n v="79"/>
    <n v="80"/>
    <n v="14"/>
    <n v="0"/>
    <m/>
    <n v="0"/>
    <n v="1"/>
    <s v="Current Employees"/>
    <s v="No"/>
  </r>
  <r>
    <x v="2"/>
    <s v="Non-Travel"/>
    <x v="1"/>
    <n v="9"/>
    <x v="1"/>
    <n v="2"/>
    <n v="2"/>
    <x v="4"/>
    <n v="3"/>
    <x v="1"/>
    <n v="5593"/>
    <n v="1"/>
    <s v="No"/>
    <n v="13"/>
    <n v="3"/>
    <n v="1"/>
    <n v="15"/>
    <n v="2"/>
    <n v="15"/>
    <n v="4"/>
    <n v="12"/>
    <x v="2"/>
    <d v="2006-02-05T00:00:00"/>
    <m/>
    <s v="Salary"/>
    <s v="WFH"/>
    <n v="3"/>
    <n v="1"/>
    <s v="No"/>
    <s v="Job Portal"/>
    <s v="Contract"/>
    <n v="2053"/>
    <n v="46"/>
    <n v="80"/>
    <n v="3"/>
    <n v="0"/>
    <m/>
    <n v="0"/>
    <n v="1"/>
    <s v="Current Employees"/>
    <s v="No"/>
  </r>
  <r>
    <x v="26"/>
    <s v="Travel_Frequently"/>
    <x v="1"/>
    <n v="7"/>
    <x v="1"/>
    <n v="4"/>
    <n v="2"/>
    <x v="4"/>
    <n v="1"/>
    <x v="1"/>
    <n v="4639"/>
    <n v="2"/>
    <s v="No"/>
    <n v="16"/>
    <n v="3"/>
    <n v="1"/>
    <n v="17"/>
    <n v="2"/>
    <n v="15"/>
    <n v="6"/>
    <n v="13"/>
    <x v="2"/>
    <s v="14-06-2006"/>
    <m/>
    <s v="Work Environment"/>
    <s v="OFFICE"/>
    <n v="4"/>
    <n v="2"/>
    <s v="Yes"/>
    <s v="Job Event"/>
    <s v="FullTime"/>
    <n v="1790"/>
    <n v="90"/>
    <n v="80"/>
    <n v="8"/>
    <n v="0"/>
    <m/>
    <n v="0"/>
    <n v="1"/>
    <s v="Current Employees"/>
    <s v="No"/>
  </r>
  <r>
    <x v="13"/>
    <s v="Travel_Rarely"/>
    <x v="1"/>
    <n v="24"/>
    <x v="1"/>
    <n v="2"/>
    <n v="2"/>
    <x v="4"/>
    <n v="2"/>
    <x v="0"/>
    <n v="4599"/>
    <n v="0"/>
    <s v="Yes"/>
    <n v="23"/>
    <n v="4"/>
    <n v="0"/>
    <n v="16"/>
    <n v="2"/>
    <n v="15"/>
    <n v="10"/>
    <n v="10"/>
    <x v="1"/>
    <s v="24-03-2006"/>
    <m/>
    <s v="Better Opportunity"/>
    <s v="WFH"/>
    <n v="0"/>
    <n v="0"/>
    <s v="No"/>
    <s v="Recruiter"/>
    <s v="FullTime"/>
    <n v="2003"/>
    <n v="43"/>
    <n v="80"/>
    <n v="2"/>
    <n v="0"/>
    <m/>
    <n v="0"/>
    <n v="1"/>
    <s v="Current Employees"/>
    <s v="No"/>
  </r>
  <r>
    <x v="20"/>
    <s v="Travel_Rarely"/>
    <x v="0"/>
    <n v="28"/>
    <x v="0"/>
    <n v="3"/>
    <n v="2"/>
    <x v="0"/>
    <n v="3"/>
    <x v="1"/>
    <n v="5207"/>
    <n v="1"/>
    <s v="Yes"/>
    <n v="12"/>
    <n v="3"/>
    <n v="1"/>
    <n v="15"/>
    <n v="3"/>
    <n v="15"/>
    <n v="5"/>
    <n v="7"/>
    <x v="1"/>
    <s v="30-05-2006"/>
    <m/>
    <s v="Better Opportunity"/>
    <s v="WFH"/>
    <n v="0"/>
    <n v="2"/>
    <s v="No"/>
    <s v="Job Portal"/>
    <s v="Part Time"/>
    <n v="1465"/>
    <n v="55"/>
    <n v="80"/>
    <n v="1"/>
    <n v="0"/>
    <m/>
    <n v="0"/>
    <n v="1"/>
    <s v="Current Employees"/>
    <s v="No"/>
  </r>
  <r>
    <x v="39"/>
    <s v="Travel_Rarely"/>
    <x v="0"/>
    <n v="6"/>
    <x v="1"/>
    <n v="2"/>
    <n v="4"/>
    <x v="7"/>
    <n v="3"/>
    <x v="1"/>
    <n v="13966"/>
    <n v="2"/>
    <s v="Yes"/>
    <n v="19"/>
    <n v="3"/>
    <n v="1"/>
    <n v="30"/>
    <n v="3"/>
    <n v="15"/>
    <n v="2"/>
    <n v="12"/>
    <x v="2"/>
    <d v="2006-03-04T00:00:00"/>
    <m/>
    <s v="Work Accident"/>
    <s v="WFH"/>
    <n v="5"/>
    <n v="3"/>
    <s v="Yes"/>
    <s v="Job Event"/>
    <s v="Contract"/>
    <n v="1755"/>
    <n v="97"/>
    <n v="80"/>
    <n v="0"/>
    <n v="0"/>
    <m/>
    <n v="0"/>
    <n v="1"/>
    <s v="Current Employees"/>
    <s v="No"/>
  </r>
  <r>
    <x v="13"/>
    <s v="Travel_Rarely"/>
    <x v="0"/>
    <n v="5"/>
    <x v="0"/>
    <n v="2"/>
    <n v="2"/>
    <x v="0"/>
    <n v="4"/>
    <x v="1"/>
    <n v="3986"/>
    <n v="1"/>
    <s v="No"/>
    <n v="14"/>
    <n v="3"/>
    <n v="1"/>
    <n v="15"/>
    <n v="3"/>
    <n v="15"/>
    <n v="4"/>
    <n v="13"/>
    <x v="3"/>
    <d v="2006-05-03T00:00:00"/>
    <m/>
    <s v="Work Accident"/>
    <s v="OFFICE"/>
    <n v="3"/>
    <n v="1"/>
    <s v="No"/>
    <s v="Job Event"/>
    <s v="FullTime"/>
    <n v="1586"/>
    <n v="87"/>
    <n v="80"/>
    <n v="9"/>
    <n v="0"/>
    <m/>
    <n v="0"/>
    <n v="1"/>
    <s v="Current Employees"/>
    <s v="No"/>
  </r>
  <r>
    <x v="13"/>
    <s v="Non-Travel"/>
    <x v="1"/>
    <n v="10"/>
    <x v="0"/>
    <n v="3"/>
    <n v="2"/>
    <x v="4"/>
    <n v="3"/>
    <x v="2"/>
    <n v="4001"/>
    <n v="1"/>
    <s v="Yes"/>
    <n v="14"/>
    <n v="3"/>
    <n v="1"/>
    <n v="15"/>
    <n v="3"/>
    <n v="15"/>
    <n v="0"/>
    <n v="7"/>
    <x v="2"/>
    <d v="2006-11-06T00:00:00"/>
    <m/>
    <s v="Work Environment"/>
    <s v="WFH"/>
    <n v="0"/>
    <n v="2"/>
    <s v="No"/>
    <s v="Job Portal"/>
    <s v="Part Time"/>
    <n v="2020"/>
    <n v="42"/>
    <n v="80"/>
    <n v="3"/>
    <n v="0"/>
    <m/>
    <n v="0"/>
    <n v="1"/>
    <s v="Current Employees"/>
    <s v="No"/>
  </r>
  <r>
    <x v="13"/>
    <s v="Travel_Frequently"/>
    <x v="0"/>
    <n v="22"/>
    <x v="0"/>
    <n v="2"/>
    <n v="2"/>
    <x v="1"/>
    <n v="4"/>
    <x v="1"/>
    <n v="5747"/>
    <n v="1"/>
    <s v="Yes"/>
    <n v="15"/>
    <n v="3"/>
    <n v="0"/>
    <n v="16"/>
    <n v="3"/>
    <n v="15"/>
    <n v="6"/>
    <n v="11"/>
    <x v="0"/>
    <s v="25-02-2006"/>
    <m/>
    <s v="Salary"/>
    <s v="OFFICE"/>
    <n v="3"/>
    <n v="3"/>
    <s v="No"/>
    <s v="Job Event"/>
    <s v="Part Time"/>
    <n v="1515"/>
    <n v="69"/>
    <n v="80"/>
    <n v="0"/>
    <n v="0"/>
    <m/>
    <n v="0"/>
    <n v="1"/>
    <s v="Current Employees"/>
    <s v="No"/>
  </r>
  <r>
    <x v="12"/>
    <s v="Travel_Rarely"/>
    <x v="1"/>
    <n v="1"/>
    <x v="0"/>
    <n v="3"/>
    <n v="2"/>
    <x v="4"/>
    <n v="2"/>
    <x v="1"/>
    <n v="4440"/>
    <n v="0"/>
    <s v="No"/>
    <n v="15"/>
    <n v="3"/>
    <n v="2"/>
    <n v="16"/>
    <n v="3"/>
    <n v="15"/>
    <n v="5"/>
    <n v="8"/>
    <x v="2"/>
    <d v="2006-12-05T00:00:00"/>
    <m/>
    <s v="Dept.Head"/>
    <s v="OFFICE"/>
    <n v="1"/>
    <n v="0"/>
    <s v="Yes"/>
    <s v="Walk-in"/>
    <s v="Contract"/>
    <n v="1669"/>
    <n v="43"/>
    <n v="80"/>
    <n v="0"/>
    <n v="0"/>
    <m/>
    <n v="0"/>
    <n v="1"/>
    <s v="Current Employees"/>
    <s v="No"/>
  </r>
  <r>
    <x v="26"/>
    <s v="Non-Travel"/>
    <x v="1"/>
    <n v="15"/>
    <x v="0"/>
    <n v="1"/>
    <n v="2"/>
    <x v="4"/>
    <n v="4"/>
    <x v="2"/>
    <n v="5406"/>
    <n v="1"/>
    <s v="No"/>
    <n v="24"/>
    <n v="4"/>
    <n v="1"/>
    <n v="15"/>
    <n v="4"/>
    <n v="15"/>
    <n v="11"/>
    <n v="11"/>
    <x v="0"/>
    <s v="24-04-2006"/>
    <m/>
    <s v="Dept.Head"/>
    <s v="WFH"/>
    <n v="0"/>
    <n v="2"/>
    <s v="Yes"/>
    <s v="Walk-in"/>
    <s v="Part Time"/>
    <n v="1732"/>
    <n v="74"/>
    <n v="80"/>
    <n v="6"/>
    <n v="0"/>
    <m/>
    <n v="0"/>
    <n v="1"/>
    <s v="Current Employees"/>
    <s v="No"/>
  </r>
  <r>
    <x v="13"/>
    <s v="Travel_Rarely"/>
    <x v="0"/>
    <n v="6"/>
    <x v="1"/>
    <n v="3"/>
    <n v="2"/>
    <x v="1"/>
    <n v="3"/>
    <x v="0"/>
    <n v="4809"/>
    <n v="1"/>
    <s v="No"/>
    <n v="14"/>
    <n v="3"/>
    <n v="0"/>
    <n v="16"/>
    <n v="3"/>
    <n v="16"/>
    <n v="2"/>
    <n v="10"/>
    <x v="3"/>
    <s v="26-03-2005"/>
    <m/>
    <s v="Work Accident"/>
    <s v="OFFICE"/>
    <n v="5"/>
    <n v="3"/>
    <s v="No"/>
    <s v="Job Event"/>
    <s v="FullTime"/>
    <n v="1943"/>
    <n v="77"/>
    <n v="80"/>
    <n v="0"/>
    <n v="0"/>
    <m/>
    <n v="0"/>
    <n v="1"/>
    <s v="Current Employees"/>
    <s v="No"/>
  </r>
  <r>
    <x v="12"/>
    <s v="Travel_Rarely"/>
    <x v="1"/>
    <n v="3"/>
    <x v="0"/>
    <n v="3"/>
    <n v="3"/>
    <x v="4"/>
    <n v="3"/>
    <x v="2"/>
    <n v="10609"/>
    <n v="0"/>
    <s v="No"/>
    <n v="12"/>
    <n v="3"/>
    <n v="2"/>
    <n v="17"/>
    <n v="6"/>
    <n v="16"/>
    <n v="5"/>
    <n v="13"/>
    <x v="1"/>
    <s v="17-04-2005"/>
    <m/>
    <s v="Salary"/>
    <s v="OFFICE"/>
    <n v="0"/>
    <n v="0"/>
    <s v="Yes"/>
    <s v="Recruiter"/>
    <s v="Contract"/>
    <n v="1535"/>
    <n v="64"/>
    <n v="80"/>
    <n v="9"/>
    <n v="0"/>
    <m/>
    <n v="0"/>
    <n v="1"/>
    <s v="Current Employees"/>
    <s v="No"/>
  </r>
  <r>
    <x v="27"/>
    <s v="Travel_Rarely"/>
    <x v="0"/>
    <n v="5"/>
    <x v="0"/>
    <n v="3"/>
    <n v="3"/>
    <x v="6"/>
    <n v="2"/>
    <x v="0"/>
    <n v="8095"/>
    <n v="0"/>
    <s v="No"/>
    <n v="13"/>
    <n v="3"/>
    <n v="0"/>
    <n v="17"/>
    <n v="5"/>
    <n v="16"/>
    <n v="0"/>
    <n v="13"/>
    <x v="2"/>
    <s v="28-02-2005"/>
    <m/>
    <s v="Dept.Head"/>
    <s v="WFH"/>
    <n v="5"/>
    <n v="1"/>
    <s v="No"/>
    <s v="Job Event"/>
    <s v="Contract"/>
    <n v="1591"/>
    <n v="59"/>
    <n v="80"/>
    <n v="0"/>
    <n v="0"/>
    <m/>
    <n v="0"/>
    <n v="1"/>
    <s v="Current Employees"/>
    <s v="No"/>
  </r>
  <r>
    <x v="26"/>
    <s v="Travel_Rarely"/>
    <x v="0"/>
    <n v="14"/>
    <x v="0"/>
    <n v="3"/>
    <n v="2"/>
    <x v="7"/>
    <n v="4"/>
    <x v="1"/>
    <n v="6586"/>
    <n v="0"/>
    <s v="Yes"/>
    <n v="17"/>
    <n v="3"/>
    <n v="1"/>
    <n v="17"/>
    <n v="2"/>
    <n v="16"/>
    <n v="4"/>
    <n v="11"/>
    <x v="1"/>
    <d v="2005-11-05T00:00:00"/>
    <m/>
    <s v="Better Opportunity"/>
    <s v="OFFICE"/>
    <n v="5"/>
    <n v="2"/>
    <s v="Yes"/>
    <s v="Job Event"/>
    <s v="Contract"/>
    <n v="1706"/>
    <n v="73"/>
    <n v="80"/>
    <n v="9"/>
    <n v="0"/>
    <m/>
    <n v="0"/>
    <n v="1"/>
    <s v="Current Employees"/>
    <s v="No"/>
  </r>
  <r>
    <x v="26"/>
    <s v="Travel_Rarely"/>
    <x v="1"/>
    <n v="3"/>
    <x v="0"/>
    <n v="2"/>
    <n v="3"/>
    <x v="4"/>
    <n v="4"/>
    <x v="1"/>
    <n v="10325"/>
    <n v="1"/>
    <s v="Yes"/>
    <n v="11"/>
    <n v="3"/>
    <n v="1"/>
    <n v="16"/>
    <n v="6"/>
    <n v="16"/>
    <n v="3"/>
    <n v="7"/>
    <x v="1"/>
    <s v="23-03-2005"/>
    <m/>
    <s v="Better Opportunity"/>
    <s v="WFH"/>
    <n v="0"/>
    <n v="0"/>
    <s v="No"/>
    <s v="Job Portal"/>
    <s v="Contract"/>
    <n v="1882"/>
    <n v="64"/>
    <n v="80"/>
    <n v="3"/>
    <n v="0"/>
    <m/>
    <n v="0"/>
    <n v="1"/>
    <s v="Current Employees"/>
    <s v="No"/>
  </r>
  <r>
    <x v="27"/>
    <s v="Travel_Rarely"/>
    <x v="0"/>
    <n v="25"/>
    <x v="1"/>
    <n v="3"/>
    <n v="3"/>
    <x v="7"/>
    <n v="3"/>
    <x v="2"/>
    <n v="10388"/>
    <n v="1"/>
    <s v="Yes"/>
    <n v="11"/>
    <n v="3"/>
    <n v="1"/>
    <n v="16"/>
    <n v="3"/>
    <n v="16"/>
    <n v="10"/>
    <n v="1"/>
    <x v="1"/>
    <s v="18-05-2005"/>
    <m/>
    <s v="Salary"/>
    <s v="WFH"/>
    <n v="0"/>
    <n v="3"/>
    <s v="Yes"/>
    <s v="Walk-in"/>
    <s v="Part Time"/>
    <n v="2021"/>
    <n v="58"/>
    <n v="80"/>
    <n v="2"/>
    <n v="0"/>
    <m/>
    <n v="0"/>
    <n v="1"/>
    <s v="Current Employees"/>
    <s v="No"/>
  </r>
  <r>
    <x v="35"/>
    <s v="Travel_Rarely"/>
    <x v="0"/>
    <n v="8"/>
    <x v="1"/>
    <n v="2"/>
    <n v="2"/>
    <x v="1"/>
    <n v="1"/>
    <x v="2"/>
    <n v="4615"/>
    <n v="8"/>
    <s v="Yes"/>
    <n v="23"/>
    <n v="4"/>
    <n v="3"/>
    <n v="19"/>
    <n v="2"/>
    <n v="16"/>
    <n v="1"/>
    <n v="7"/>
    <x v="3"/>
    <s v="25-05-2005"/>
    <m/>
    <s v="Work Environment"/>
    <s v="WFH"/>
    <n v="5"/>
    <n v="0"/>
    <s v="Yes"/>
    <s v="Walk-in"/>
    <s v="Contract"/>
    <n v="1678"/>
    <n v="80"/>
    <n v="80"/>
    <n v="0"/>
    <n v="0"/>
    <m/>
    <n v="0"/>
    <n v="1"/>
    <s v="Current Employees"/>
    <s v="No"/>
  </r>
  <r>
    <x v="26"/>
    <s v="Travel_Rarely"/>
    <x v="0"/>
    <n v="2"/>
    <x v="1"/>
    <n v="3"/>
    <n v="2"/>
    <x v="6"/>
    <n v="2"/>
    <x v="0"/>
    <n v="5410"/>
    <n v="9"/>
    <s v="Yes"/>
    <n v="11"/>
    <n v="3"/>
    <n v="0"/>
    <n v="18"/>
    <n v="2"/>
    <n v="16"/>
    <n v="5"/>
    <n v="12"/>
    <x v="3"/>
    <s v="20-01-2005"/>
    <m/>
    <s v="Salary"/>
    <s v="OFFICE"/>
    <n v="4"/>
    <n v="2"/>
    <s v="Yes"/>
    <s v="Walk-in"/>
    <s v="FullTime"/>
    <n v="1979"/>
    <n v="40"/>
    <n v="80"/>
    <n v="7"/>
    <n v="0"/>
    <m/>
    <n v="0"/>
    <n v="1"/>
    <s v="Current Employees"/>
    <s v="No"/>
  </r>
  <r>
    <x v="27"/>
    <s v="Travel_Rarely"/>
    <x v="0"/>
    <n v="18"/>
    <x v="0"/>
    <n v="4"/>
    <n v="2"/>
    <x v="1"/>
    <n v="1"/>
    <x v="1"/>
    <n v="5208"/>
    <n v="1"/>
    <s v="No"/>
    <n v="11"/>
    <n v="3"/>
    <n v="0"/>
    <n v="16"/>
    <n v="2"/>
    <n v="16"/>
    <n v="1"/>
    <n v="10"/>
    <x v="1"/>
    <s v="15-03-2005"/>
    <m/>
    <s v="Work Environment"/>
    <s v="OFFICE"/>
    <n v="5"/>
    <n v="1"/>
    <s v="No"/>
    <s v="Job Event"/>
    <s v="Part Time"/>
    <n v="1845"/>
    <n v="67"/>
    <n v="80"/>
    <n v="7"/>
    <n v="0"/>
    <m/>
    <n v="0"/>
    <n v="1"/>
    <s v="Current Employees"/>
    <s v="No"/>
  </r>
  <r>
    <x v="32"/>
    <s v="Non-Travel"/>
    <x v="1"/>
    <n v="2"/>
    <x v="0"/>
    <n v="3"/>
    <n v="4"/>
    <x v="5"/>
    <n v="2"/>
    <x v="2"/>
    <n v="16291"/>
    <n v="4"/>
    <s v="No"/>
    <n v="22"/>
    <n v="4"/>
    <n v="1"/>
    <n v="37"/>
    <n v="0"/>
    <n v="16"/>
    <n v="14"/>
    <n v="14"/>
    <x v="3"/>
    <d v="2005-09-06T00:00:00"/>
    <m/>
    <s v="Work Accident"/>
    <s v="WFH"/>
    <n v="4"/>
    <n v="0"/>
    <s v="No"/>
    <s v="Walk-in"/>
    <s v="Contract"/>
    <n v="1520"/>
    <n v="87"/>
    <n v="80"/>
    <n v="9"/>
    <n v="0"/>
    <m/>
    <n v="0"/>
    <n v="1"/>
    <s v="Current Employees"/>
    <s v="No"/>
  </r>
  <r>
    <x v="34"/>
    <s v="Travel_Rarely"/>
    <x v="0"/>
    <n v="6"/>
    <x v="1"/>
    <n v="2"/>
    <n v="5"/>
    <x v="5"/>
    <n v="3"/>
    <x v="1"/>
    <n v="19392"/>
    <n v="7"/>
    <s v="No"/>
    <n v="13"/>
    <n v="3"/>
    <n v="0"/>
    <n v="21"/>
    <n v="2"/>
    <n v="16"/>
    <n v="6"/>
    <n v="14"/>
    <x v="0"/>
    <s v="23-06-2005"/>
    <m/>
    <s v="Dept.Head"/>
    <s v="WFH"/>
    <n v="2"/>
    <n v="1"/>
    <s v="Yes"/>
    <s v="Walk-in"/>
    <s v="Part Time"/>
    <n v="1675"/>
    <n v="42"/>
    <n v="80"/>
    <n v="3"/>
    <n v="0"/>
    <m/>
    <n v="0"/>
    <n v="1"/>
    <s v="Current Employees"/>
    <s v="No"/>
  </r>
  <r>
    <x v="0"/>
    <s v="Travel_Rarely"/>
    <x v="0"/>
    <n v="10"/>
    <x v="1"/>
    <n v="4"/>
    <n v="3"/>
    <x v="2"/>
    <n v="4"/>
    <x v="1"/>
    <n v="13744"/>
    <n v="1"/>
    <s v="Yes"/>
    <n v="25"/>
    <n v="4"/>
    <n v="1"/>
    <n v="16"/>
    <n v="2"/>
    <n v="16"/>
    <n v="6"/>
    <n v="8"/>
    <x v="1"/>
    <s v="14-06-2005"/>
    <m/>
    <s v="Dept.Head"/>
    <s v="WFH"/>
    <n v="5"/>
    <n v="2"/>
    <s v="No"/>
    <s v="Walk-in"/>
    <s v="FullTime"/>
    <n v="1736"/>
    <n v="30"/>
    <n v="80"/>
    <n v="4"/>
    <n v="0"/>
    <m/>
    <n v="0"/>
    <n v="1"/>
    <s v="Current Employees"/>
    <s v="No"/>
  </r>
  <r>
    <x v="26"/>
    <s v="Travel_Rarely"/>
    <x v="0"/>
    <n v="8"/>
    <x v="1"/>
    <n v="3"/>
    <n v="3"/>
    <x v="7"/>
    <n v="3"/>
    <x v="2"/>
    <n v="10096"/>
    <n v="1"/>
    <s v="No"/>
    <n v="13"/>
    <n v="3"/>
    <n v="3"/>
    <n v="17"/>
    <n v="2"/>
    <n v="17"/>
    <n v="12"/>
    <n v="8"/>
    <x v="2"/>
    <d v="2004-08-02T00:00:00"/>
    <m/>
    <s v="Salary"/>
    <s v="WFH"/>
    <n v="4"/>
    <n v="1"/>
    <s v="Yes"/>
    <s v="Job Portal"/>
    <s v="Contract"/>
    <n v="1744"/>
    <n v="56"/>
    <n v="80"/>
    <n v="0"/>
    <n v="0"/>
    <m/>
    <n v="0"/>
    <n v="1"/>
    <s v="Current Employees"/>
    <s v="No"/>
  </r>
  <r>
    <x v="2"/>
    <s v="Travel_Rarely"/>
    <x v="0"/>
    <n v="9"/>
    <x v="0"/>
    <n v="3"/>
    <n v="2"/>
    <x v="0"/>
    <n v="2"/>
    <x v="2"/>
    <n v="2348"/>
    <n v="8"/>
    <s v="No"/>
    <n v="18"/>
    <n v="3"/>
    <n v="1"/>
    <n v="20"/>
    <n v="2"/>
    <n v="17"/>
    <n v="0"/>
    <n v="15"/>
    <x v="1"/>
    <s v="23-05-2004"/>
    <m/>
    <s v="Better Opportunity"/>
    <s v="WFH"/>
    <n v="4"/>
    <n v="3"/>
    <s v="No"/>
    <s v="Job Event"/>
    <s v="Part Time"/>
    <n v="1622"/>
    <n v="39"/>
    <n v="80"/>
    <n v="3"/>
    <n v="0"/>
    <m/>
    <n v="0"/>
    <n v="1"/>
    <s v="Current Employees"/>
    <s v="No"/>
  </r>
  <r>
    <x v="34"/>
    <s v="Travel_Rarely"/>
    <x v="1"/>
    <n v="16"/>
    <x v="1"/>
    <n v="3"/>
    <n v="4"/>
    <x v="5"/>
    <n v="4"/>
    <x v="1"/>
    <n v="16064"/>
    <n v="5"/>
    <s v="Yes"/>
    <n v="22"/>
    <n v="4"/>
    <n v="1"/>
    <n v="22"/>
    <n v="3"/>
    <n v="17"/>
    <n v="1"/>
    <n v="9"/>
    <x v="1"/>
    <d v="2004-11-04T00:00:00"/>
    <m/>
    <s v="Dept.Head"/>
    <s v="OFFICE"/>
    <n v="1"/>
    <n v="0"/>
    <s v="No"/>
    <s v="Job Event"/>
    <s v="Contract"/>
    <n v="1581"/>
    <n v="89"/>
    <n v="80"/>
    <n v="0"/>
    <n v="0"/>
    <m/>
    <n v="0"/>
    <n v="1"/>
    <s v="Current Employees"/>
    <s v="No"/>
  </r>
  <r>
    <x v="0"/>
    <s v="Travel_Rarely"/>
    <x v="0"/>
    <n v="1"/>
    <x v="1"/>
    <n v="3"/>
    <n v="1"/>
    <x v="1"/>
    <n v="4"/>
    <x v="0"/>
    <n v="2115"/>
    <n v="1"/>
    <s v="No"/>
    <n v="12"/>
    <n v="3"/>
    <n v="0"/>
    <n v="17"/>
    <n v="3"/>
    <n v="17"/>
    <n v="5"/>
    <n v="7"/>
    <x v="1"/>
    <s v="27-05-2004"/>
    <m/>
    <s v="Salary"/>
    <s v="OFFICE"/>
    <n v="3"/>
    <n v="0"/>
    <s v="No"/>
    <s v="Walk-in"/>
    <s v="FullTime"/>
    <n v="2034"/>
    <n v="60"/>
    <n v="80"/>
    <n v="7"/>
    <n v="0"/>
    <m/>
    <n v="0"/>
    <n v="1"/>
    <s v="Current Employees"/>
    <s v="No"/>
  </r>
  <r>
    <x v="27"/>
    <s v="Travel_Rarely"/>
    <x v="0"/>
    <n v="6"/>
    <x v="0"/>
    <n v="1"/>
    <n v="2"/>
    <x v="1"/>
    <n v="4"/>
    <x v="0"/>
    <n v="6646"/>
    <n v="1"/>
    <s v="No"/>
    <n v="13"/>
    <n v="3"/>
    <n v="0"/>
    <n v="17"/>
    <n v="3"/>
    <n v="17"/>
    <n v="11"/>
    <n v="8"/>
    <x v="1"/>
    <s v="22-01-2004"/>
    <m/>
    <s v="Work Environment"/>
    <s v="WFH"/>
    <n v="0"/>
    <n v="1"/>
    <s v="Yes"/>
    <s v="Job Portal"/>
    <s v="Contract"/>
    <n v="1441"/>
    <n v="90"/>
    <n v="80"/>
    <n v="2"/>
    <n v="0"/>
    <m/>
    <n v="0"/>
    <n v="1"/>
    <s v="Current Employees"/>
    <s v="No"/>
  </r>
  <r>
    <x v="27"/>
    <s v="Travel_Rarely"/>
    <x v="0"/>
    <n v="9"/>
    <x v="1"/>
    <n v="2"/>
    <n v="3"/>
    <x v="6"/>
    <n v="3"/>
    <x v="1"/>
    <n v="10685"/>
    <n v="1"/>
    <s v="Yes"/>
    <n v="20"/>
    <n v="4"/>
    <n v="1"/>
    <n v="17"/>
    <n v="2"/>
    <n v="17"/>
    <n v="5"/>
    <n v="15"/>
    <x v="2"/>
    <d v="2004-12-05T00:00:00"/>
    <m/>
    <s v="Work Environment"/>
    <s v="OFFICE"/>
    <n v="5"/>
    <n v="1"/>
    <s v="No"/>
    <s v="Job Event"/>
    <s v="Part Time"/>
    <n v="1665"/>
    <n v="91"/>
    <n v="80"/>
    <n v="8"/>
    <n v="0"/>
    <m/>
    <n v="0"/>
    <n v="1"/>
    <s v="Current Employees"/>
    <s v="No"/>
  </r>
  <r>
    <x v="42"/>
    <s v="Travel_Rarely"/>
    <x v="1"/>
    <n v="2"/>
    <x v="0"/>
    <n v="3"/>
    <n v="4"/>
    <x v="5"/>
    <n v="3"/>
    <x v="2"/>
    <n v="14852"/>
    <n v="6"/>
    <s v="No"/>
    <n v="13"/>
    <n v="3"/>
    <n v="1"/>
    <n v="22"/>
    <n v="3"/>
    <n v="17"/>
    <n v="15"/>
    <n v="2"/>
    <x v="3"/>
    <s v="19-03-2004"/>
    <m/>
    <s v="Work Environment"/>
    <s v="WFH"/>
    <n v="3"/>
    <n v="3"/>
    <s v="No"/>
    <s v="Job Event"/>
    <s v="Contract"/>
    <n v="1509"/>
    <n v="43"/>
    <n v="80"/>
    <n v="2"/>
    <n v="0"/>
    <m/>
    <n v="0"/>
    <n v="1"/>
    <s v="Current Employees"/>
    <s v="No"/>
  </r>
  <r>
    <x v="26"/>
    <s v="Travel_Rarely"/>
    <x v="0"/>
    <n v="16"/>
    <x v="1"/>
    <n v="4"/>
    <n v="1"/>
    <x v="0"/>
    <n v="1"/>
    <x v="0"/>
    <n v="2743"/>
    <n v="1"/>
    <s v="No"/>
    <n v="16"/>
    <n v="3"/>
    <n v="0"/>
    <n v="18"/>
    <n v="1"/>
    <n v="17"/>
    <n v="15"/>
    <n v="14"/>
    <x v="1"/>
    <s v="21-06-2004"/>
    <m/>
    <s v="Work Environment"/>
    <s v="WFH"/>
    <n v="2"/>
    <n v="1"/>
    <s v="Yes"/>
    <s v="Recruiter"/>
    <s v="FullTime"/>
    <n v="1834"/>
    <n v="67"/>
    <n v="80"/>
    <n v="2"/>
    <n v="0"/>
    <m/>
    <n v="0"/>
    <n v="1"/>
    <s v="Current Employees"/>
    <s v="No"/>
  </r>
  <r>
    <x v="9"/>
    <s v="Travel_Rarely"/>
    <x v="0"/>
    <n v="25"/>
    <x v="0"/>
    <n v="3"/>
    <n v="3"/>
    <x v="7"/>
    <n v="3"/>
    <x v="0"/>
    <n v="8633"/>
    <n v="2"/>
    <s v="No"/>
    <n v="23"/>
    <n v="4"/>
    <n v="0"/>
    <n v="25"/>
    <n v="3"/>
    <n v="17"/>
    <n v="12"/>
    <n v="11"/>
    <x v="3"/>
    <s v="16-06-2004"/>
    <m/>
    <s v="Salary"/>
    <s v="OFFICE"/>
    <n v="0"/>
    <n v="2"/>
    <s v="Yes"/>
    <s v="Walk-in"/>
    <s v="Part Time"/>
    <n v="1864"/>
    <n v="36"/>
    <n v="80"/>
    <n v="8"/>
    <n v="0"/>
    <m/>
    <n v="0"/>
    <n v="1"/>
    <s v="Current Employees"/>
    <s v="No"/>
  </r>
  <r>
    <x v="25"/>
    <s v="Travel_Rarely"/>
    <x v="0"/>
    <n v="1"/>
    <x v="0"/>
    <n v="4"/>
    <n v="3"/>
    <x v="7"/>
    <n v="4"/>
    <x v="2"/>
    <n v="9613"/>
    <n v="0"/>
    <s v="No"/>
    <n v="17"/>
    <n v="3"/>
    <n v="3"/>
    <n v="19"/>
    <n v="5"/>
    <n v="18"/>
    <n v="3"/>
    <n v="7"/>
    <x v="3"/>
    <d v="2003-02-06T00:00:00"/>
    <m/>
    <s v="Salary"/>
    <s v="WFH"/>
    <n v="4"/>
    <n v="3"/>
    <s v="Yes"/>
    <s v="Walk-in"/>
    <s v="Contract"/>
    <n v="1909"/>
    <n v="54"/>
    <n v="80"/>
    <n v="4"/>
    <n v="0"/>
    <m/>
    <n v="0"/>
    <n v="1"/>
    <s v="Current Employees"/>
    <s v="No"/>
  </r>
  <r>
    <x v="0"/>
    <s v="Travel_Rarely"/>
    <x v="0"/>
    <n v="14"/>
    <x v="1"/>
    <n v="3"/>
    <n v="1"/>
    <x v="0"/>
    <n v="1"/>
    <x v="2"/>
    <n v="3034"/>
    <n v="1"/>
    <s v="No"/>
    <n v="12"/>
    <n v="3"/>
    <n v="1"/>
    <n v="18"/>
    <n v="2"/>
    <n v="18"/>
    <n v="12"/>
    <n v="17"/>
    <x v="0"/>
    <d v="2003-05-03T00:00:00"/>
    <m/>
    <s v="Work Accident"/>
    <s v="OFFICE"/>
    <n v="1"/>
    <n v="3"/>
    <s v="No"/>
    <s v="Job Event"/>
    <s v="FullTime"/>
    <n v="1554"/>
    <n v="98"/>
    <n v="80"/>
    <n v="3"/>
    <n v="0"/>
    <m/>
    <n v="0"/>
    <n v="1"/>
    <s v="Current Employees"/>
    <s v="No"/>
  </r>
  <r>
    <x v="40"/>
    <s v="Travel_Frequently"/>
    <x v="1"/>
    <n v="28"/>
    <x v="1"/>
    <n v="2"/>
    <n v="3"/>
    <x v="4"/>
    <n v="1"/>
    <x v="1"/>
    <n v="10266"/>
    <n v="4"/>
    <s v="No"/>
    <n v="19"/>
    <n v="3"/>
    <n v="0"/>
    <n v="22"/>
    <n v="5"/>
    <n v="18"/>
    <n v="13"/>
    <n v="11"/>
    <x v="3"/>
    <d v="2003-10-01T00:00:00"/>
    <m/>
    <s v="Better Opportunity"/>
    <s v="OFFICE"/>
    <n v="3"/>
    <n v="1"/>
    <s v="No"/>
    <s v="Job Portal"/>
    <s v="FullTime"/>
    <n v="2035"/>
    <n v="95"/>
    <n v="80"/>
    <n v="7"/>
    <n v="0"/>
    <m/>
    <n v="0"/>
    <n v="1"/>
    <s v="Current Employees"/>
    <s v="No"/>
  </r>
  <r>
    <x v="33"/>
    <s v="Travel_Rarely"/>
    <x v="1"/>
    <n v="2"/>
    <x v="1"/>
    <n v="3"/>
    <n v="4"/>
    <x v="5"/>
    <n v="1"/>
    <x v="1"/>
    <n v="16595"/>
    <n v="7"/>
    <s v="No"/>
    <n v="16"/>
    <n v="3"/>
    <n v="1"/>
    <n v="22"/>
    <n v="2"/>
    <n v="18"/>
    <n v="11"/>
    <n v="8"/>
    <x v="1"/>
    <d v="2003-12-02T00:00:00"/>
    <m/>
    <s v="Work Environment"/>
    <s v="WFH"/>
    <n v="1"/>
    <n v="3"/>
    <s v="No"/>
    <s v="Job Event"/>
    <s v="Contract"/>
    <n v="2026"/>
    <n v="57"/>
    <n v="80"/>
    <n v="12"/>
    <n v="0"/>
    <m/>
    <n v="0"/>
    <n v="1"/>
    <s v="Current Employees"/>
    <s v="No"/>
  </r>
  <r>
    <x v="18"/>
    <s v="Travel_Frequently"/>
    <x v="1"/>
    <n v="5"/>
    <x v="0"/>
    <n v="2"/>
    <n v="3"/>
    <x v="4"/>
    <n v="1"/>
    <x v="1"/>
    <n v="10475"/>
    <n v="5"/>
    <s v="Yes"/>
    <n v="21"/>
    <n v="4"/>
    <n v="1"/>
    <n v="20"/>
    <n v="2"/>
    <n v="18"/>
    <n v="1"/>
    <n v="12"/>
    <x v="0"/>
    <s v="31-05-2003"/>
    <m/>
    <s v="Dept.Head"/>
    <s v="OFFICE"/>
    <n v="0"/>
    <n v="2"/>
    <s v="Yes"/>
    <s v="Walk-in"/>
    <s v="Part Time"/>
    <n v="1949"/>
    <n v="66"/>
    <n v="80"/>
    <n v="4"/>
    <n v="0"/>
    <m/>
    <n v="0"/>
    <n v="1"/>
    <s v="Current Employees"/>
    <s v="No"/>
  </r>
  <r>
    <x v="26"/>
    <s v="Travel_Rarely"/>
    <x v="1"/>
    <n v="1"/>
    <x v="0"/>
    <n v="3"/>
    <n v="2"/>
    <x v="4"/>
    <n v="4"/>
    <x v="1"/>
    <n v="6201"/>
    <n v="1"/>
    <s v="Yes"/>
    <n v="14"/>
    <n v="3"/>
    <n v="1"/>
    <n v="18"/>
    <n v="1"/>
    <n v="18"/>
    <n v="4"/>
    <n v="11"/>
    <x v="3"/>
    <s v="22-04-2003"/>
    <m/>
    <s v="Dept.Head"/>
    <s v="WFH"/>
    <n v="2"/>
    <n v="0"/>
    <s v="No"/>
    <s v="Job Event"/>
    <s v="Contract"/>
    <n v="1712"/>
    <n v="74"/>
    <n v="80"/>
    <n v="15"/>
    <n v="0"/>
    <m/>
    <n v="0"/>
    <n v="1"/>
    <s v="Current Employees"/>
    <s v="No"/>
  </r>
  <r>
    <x v="33"/>
    <s v="Travel_Rarely"/>
    <x v="0"/>
    <n v="6"/>
    <x v="0"/>
    <n v="3"/>
    <n v="1"/>
    <x v="0"/>
    <n v="1"/>
    <x v="0"/>
    <n v="4721"/>
    <n v="2"/>
    <s v="Yes"/>
    <n v="13"/>
    <n v="3"/>
    <n v="0"/>
    <n v="20"/>
    <n v="3"/>
    <n v="18"/>
    <n v="2"/>
    <n v="17"/>
    <x v="3"/>
    <s v="19-02-2003"/>
    <m/>
    <s v="Work Environment"/>
    <s v="WFH"/>
    <n v="0"/>
    <n v="0"/>
    <s v="Yes"/>
    <s v="Walk-in"/>
    <s v="Contract"/>
    <n v="1854"/>
    <n v="38"/>
    <n v="80"/>
    <n v="3"/>
    <n v="0"/>
    <m/>
    <n v="0"/>
    <n v="1"/>
    <s v="Current Employees"/>
    <s v="No"/>
  </r>
  <r>
    <x v="33"/>
    <s v="Travel_Frequently"/>
    <x v="0"/>
    <n v="9"/>
    <x v="0"/>
    <n v="3"/>
    <n v="5"/>
    <x v="2"/>
    <n v="3"/>
    <x v="2"/>
    <n v="19419"/>
    <n v="2"/>
    <s v="No"/>
    <n v="17"/>
    <n v="3"/>
    <n v="1"/>
    <n v="21"/>
    <n v="2"/>
    <n v="18"/>
    <n v="0"/>
    <n v="11"/>
    <x v="2"/>
    <s v="28-06-2003"/>
    <m/>
    <s v="Better Opportunity"/>
    <s v="WFH"/>
    <n v="2"/>
    <n v="2"/>
    <s v="Yes"/>
    <s v="Walk-in"/>
    <s v="Contract"/>
    <n v="1693"/>
    <n v="76"/>
    <n v="80"/>
    <n v="7"/>
    <n v="0"/>
    <m/>
    <n v="0"/>
    <n v="1"/>
    <s v="Current Employees"/>
    <s v="No"/>
  </r>
  <r>
    <x v="16"/>
    <s v="Non-Travel"/>
    <x v="1"/>
    <n v="1"/>
    <x v="1"/>
    <n v="3"/>
    <n v="2"/>
    <x v="4"/>
    <n v="3"/>
    <x v="1"/>
    <n v="6347"/>
    <n v="0"/>
    <s v="No"/>
    <n v="12"/>
    <n v="3"/>
    <n v="1"/>
    <n v="19"/>
    <n v="3"/>
    <n v="18"/>
    <n v="0"/>
    <n v="13"/>
    <x v="3"/>
    <s v="17-03-2003"/>
    <m/>
    <s v="Better Opportunity"/>
    <s v="WFH"/>
    <n v="2"/>
    <n v="2"/>
    <s v="No"/>
    <s v="Job Event"/>
    <s v="Part Time"/>
    <n v="1824"/>
    <n v="52"/>
    <n v="80"/>
    <n v="9"/>
    <n v="0"/>
    <m/>
    <n v="0"/>
    <n v="1"/>
    <s v="Current Employees"/>
    <s v="No"/>
  </r>
  <r>
    <x v="25"/>
    <s v="Travel_Frequently"/>
    <x v="0"/>
    <n v="2"/>
    <x v="0"/>
    <n v="3"/>
    <n v="4"/>
    <x v="7"/>
    <n v="4"/>
    <x v="2"/>
    <n v="12169"/>
    <n v="7"/>
    <s v="No"/>
    <n v="11"/>
    <n v="3"/>
    <n v="3"/>
    <n v="21"/>
    <n v="4"/>
    <n v="18"/>
    <n v="11"/>
    <n v="5"/>
    <x v="1"/>
    <d v="2003-11-05T00:00:00"/>
    <m/>
    <s v="Work Environment"/>
    <s v="OFFICE"/>
    <n v="4"/>
    <n v="1"/>
    <s v="Yes"/>
    <s v="Walk-in"/>
    <s v="Contract"/>
    <n v="2036"/>
    <n v="88"/>
    <n v="80"/>
    <n v="12"/>
    <n v="0"/>
    <m/>
    <n v="0"/>
    <n v="1"/>
    <s v="Current Employees"/>
    <s v="No"/>
  </r>
  <r>
    <x v="18"/>
    <s v="Travel_Frequently"/>
    <x v="0"/>
    <n v="9"/>
    <x v="1"/>
    <n v="3"/>
    <n v="3"/>
    <x v="2"/>
    <n v="3"/>
    <x v="0"/>
    <n v="13499"/>
    <n v="9"/>
    <s v="No"/>
    <n v="17"/>
    <n v="3"/>
    <n v="0"/>
    <n v="20"/>
    <n v="3"/>
    <n v="18"/>
    <n v="2"/>
    <n v="13"/>
    <x v="0"/>
    <s v="23-06-2003"/>
    <m/>
    <s v="Better Opportunity"/>
    <s v="WFH"/>
    <n v="0"/>
    <n v="0"/>
    <s v="No"/>
    <s v="Job Portal"/>
    <s v="Contract"/>
    <n v="1890"/>
    <n v="94"/>
    <n v="80"/>
    <n v="1"/>
    <n v="0"/>
    <m/>
    <n v="0"/>
    <n v="1"/>
    <s v="Current Employees"/>
    <s v="No"/>
  </r>
  <r>
    <x v="18"/>
    <s v="Travel_Rarely"/>
    <x v="0"/>
    <n v="15"/>
    <x v="1"/>
    <n v="2"/>
    <n v="3"/>
    <x v="6"/>
    <n v="3"/>
    <x v="1"/>
    <n v="10435"/>
    <n v="1"/>
    <s v="No"/>
    <n v="13"/>
    <n v="3"/>
    <n v="2"/>
    <n v="18"/>
    <n v="2"/>
    <n v="18"/>
    <n v="14"/>
    <n v="12"/>
    <x v="1"/>
    <s v="27-01-2003"/>
    <m/>
    <s v="Dept.Head"/>
    <s v="WFH"/>
    <n v="4"/>
    <n v="0"/>
    <s v="No"/>
    <s v="Walk-in"/>
    <s v="FullTime"/>
    <n v="1970"/>
    <n v="36"/>
    <n v="80"/>
    <n v="7"/>
    <n v="0"/>
    <m/>
    <n v="0"/>
    <n v="1"/>
    <s v="Current Employees"/>
    <s v="No"/>
  </r>
  <r>
    <x v="12"/>
    <s v="Travel_Rarely"/>
    <x v="0"/>
    <n v="10"/>
    <x v="1"/>
    <n v="1"/>
    <n v="3"/>
    <x v="2"/>
    <n v="3"/>
    <x v="1"/>
    <n v="13206"/>
    <n v="3"/>
    <s v="No"/>
    <n v="12"/>
    <n v="3"/>
    <n v="1"/>
    <n v="20"/>
    <n v="3"/>
    <n v="18"/>
    <n v="1"/>
    <n v="11"/>
    <x v="0"/>
    <d v="2003-07-05T00:00:00"/>
    <m/>
    <s v="Better Opportunity"/>
    <s v="WFH"/>
    <n v="3"/>
    <n v="1"/>
    <s v="Yes"/>
    <s v="Recruiter"/>
    <s v="FullTime"/>
    <n v="1956"/>
    <n v="48"/>
    <n v="80"/>
    <n v="8"/>
    <n v="0"/>
    <m/>
    <n v="0"/>
    <n v="1"/>
    <s v="Current Employees"/>
    <s v="No"/>
  </r>
  <r>
    <x v="2"/>
    <s v="Non-Travel"/>
    <x v="1"/>
    <n v="6"/>
    <x v="1"/>
    <n v="2"/>
    <n v="3"/>
    <x v="4"/>
    <n v="4"/>
    <x v="0"/>
    <n v="8865"/>
    <n v="6"/>
    <s v="No"/>
    <n v="12"/>
    <n v="3"/>
    <n v="0"/>
    <n v="23"/>
    <n v="2"/>
    <n v="19"/>
    <n v="12"/>
    <n v="8"/>
    <x v="0"/>
    <d v="2002-06-03T00:00:00"/>
    <m/>
    <s v="Work Environment"/>
    <s v="WFH"/>
    <n v="3"/>
    <n v="3"/>
    <s v="Yes"/>
    <s v="Job Event"/>
    <s v="Contract"/>
    <n v="1644"/>
    <n v="89"/>
    <n v="80"/>
    <n v="2"/>
    <n v="0"/>
    <m/>
    <n v="0"/>
    <n v="1"/>
    <s v="Current Employees"/>
    <s v="No"/>
  </r>
  <r>
    <x v="25"/>
    <s v="Travel_Frequently"/>
    <x v="0"/>
    <n v="2"/>
    <x v="1"/>
    <n v="3"/>
    <n v="3"/>
    <x v="7"/>
    <n v="3"/>
    <x v="0"/>
    <n v="10938"/>
    <n v="0"/>
    <s v="No"/>
    <n v="25"/>
    <n v="4"/>
    <n v="0"/>
    <n v="20"/>
    <n v="1"/>
    <n v="19"/>
    <n v="11"/>
    <n v="8"/>
    <x v="3"/>
    <s v="27-01-2002"/>
    <m/>
    <s v="Dept.Head"/>
    <s v="WFH"/>
    <n v="2"/>
    <n v="3"/>
    <s v="Yes"/>
    <s v="Walk-in"/>
    <s v="Contract"/>
    <n v="1849"/>
    <n v="92"/>
    <n v="80"/>
    <n v="7"/>
    <n v="0"/>
    <m/>
    <n v="0"/>
    <n v="1"/>
    <s v="Current Employees"/>
    <s v="No"/>
  </r>
  <r>
    <x v="9"/>
    <s v="Travel_Frequently"/>
    <x v="0"/>
    <n v="16"/>
    <x v="0"/>
    <n v="4"/>
    <n v="2"/>
    <x v="6"/>
    <n v="3"/>
    <x v="2"/>
    <n v="5067"/>
    <n v="1"/>
    <s v="Yes"/>
    <n v="19"/>
    <n v="3"/>
    <n v="0"/>
    <n v="20"/>
    <n v="3"/>
    <n v="19"/>
    <n v="2"/>
    <n v="7"/>
    <x v="1"/>
    <d v="2002-04-04T00:00:00"/>
    <m/>
    <s v="Salary"/>
    <s v="OFFICE"/>
    <n v="5"/>
    <n v="3"/>
    <s v="Yes"/>
    <s v="Walk-in"/>
    <s v="FullTime"/>
    <n v="1499"/>
    <n v="46"/>
    <n v="80"/>
    <n v="3"/>
    <n v="0"/>
    <m/>
    <n v="0"/>
    <n v="1"/>
    <s v="Current Employees"/>
    <s v="No"/>
  </r>
  <r>
    <x v="12"/>
    <s v="Travel_Rarely"/>
    <x v="0"/>
    <n v="17"/>
    <x v="1"/>
    <n v="2"/>
    <n v="3"/>
    <x v="7"/>
    <n v="3"/>
    <x v="1"/>
    <n v="8823"/>
    <n v="0"/>
    <s v="No"/>
    <n v="18"/>
    <n v="3"/>
    <n v="1"/>
    <n v="20"/>
    <n v="4"/>
    <n v="19"/>
    <n v="1"/>
    <n v="9"/>
    <x v="2"/>
    <d v="2002-10-03T00:00:00"/>
    <m/>
    <s v="Better Opportunity"/>
    <s v="OFFICE"/>
    <n v="4"/>
    <n v="1"/>
    <s v="Yes"/>
    <s v="Job Portal"/>
    <s v="FullTime"/>
    <n v="1697"/>
    <n v="92"/>
    <n v="80"/>
    <n v="0"/>
    <n v="0"/>
    <m/>
    <n v="0"/>
    <n v="1"/>
    <s v="Current Employees"/>
    <s v="No"/>
  </r>
  <r>
    <x v="25"/>
    <s v="Travel_Rarely"/>
    <x v="0"/>
    <n v="13"/>
    <x v="1"/>
    <n v="2"/>
    <n v="4"/>
    <x v="5"/>
    <n v="2"/>
    <x v="2"/>
    <n v="17123"/>
    <n v="6"/>
    <s v="Yes"/>
    <n v="13"/>
    <n v="3"/>
    <n v="2"/>
    <n v="21"/>
    <n v="4"/>
    <n v="19"/>
    <n v="15"/>
    <n v="2"/>
    <x v="3"/>
    <s v="14-06-2002"/>
    <m/>
    <s v="Dept.Head"/>
    <s v="WFH"/>
    <n v="0"/>
    <n v="1"/>
    <s v="Yes"/>
    <s v="Walk-in"/>
    <s v="FullTime"/>
    <n v="1664"/>
    <n v="79"/>
    <n v="80"/>
    <n v="4"/>
    <n v="0"/>
    <m/>
    <n v="0"/>
    <n v="1"/>
    <s v="Current Employees"/>
    <s v="No"/>
  </r>
  <r>
    <x v="33"/>
    <s v="Non-Travel"/>
    <x v="1"/>
    <n v="10"/>
    <x v="0"/>
    <n v="1"/>
    <n v="2"/>
    <x v="4"/>
    <n v="2"/>
    <x v="0"/>
    <n v="6151"/>
    <n v="1"/>
    <s v="No"/>
    <n v="13"/>
    <n v="3"/>
    <n v="0"/>
    <n v="19"/>
    <n v="4"/>
    <n v="19"/>
    <n v="11"/>
    <n v="9"/>
    <x v="3"/>
    <s v="30-03-2002"/>
    <m/>
    <s v="Salary"/>
    <s v="WFH"/>
    <n v="3"/>
    <n v="0"/>
    <s v="No"/>
    <s v="Job Event"/>
    <s v="Contract"/>
    <n v="1772"/>
    <n v="94"/>
    <n v="80"/>
    <n v="3"/>
    <n v="0"/>
    <m/>
    <n v="0"/>
    <n v="1"/>
    <s v="Current Employees"/>
    <s v="No"/>
  </r>
  <r>
    <x v="29"/>
    <s v="Travel_Rarely"/>
    <x v="0"/>
    <n v="2"/>
    <x v="1"/>
    <n v="1"/>
    <n v="5"/>
    <x v="5"/>
    <n v="3"/>
    <x v="1"/>
    <n v="19187"/>
    <n v="4"/>
    <s v="No"/>
    <n v="14"/>
    <n v="3"/>
    <n v="1"/>
    <n v="23"/>
    <n v="5"/>
    <n v="19"/>
    <n v="9"/>
    <n v="11"/>
    <x v="2"/>
    <d v="2002-12-04T00:00:00"/>
    <m/>
    <s v="Dept.Head"/>
    <s v="OFFICE"/>
    <n v="3"/>
    <n v="0"/>
    <s v="Yes"/>
    <s v="Walk-in"/>
    <s v="Contract"/>
    <n v="1768"/>
    <n v="57"/>
    <n v="80"/>
    <n v="3"/>
    <n v="0"/>
    <m/>
    <n v="0"/>
    <n v="1"/>
    <s v="Current Employees"/>
    <s v="No"/>
  </r>
  <r>
    <x v="29"/>
    <s v="Travel_Rarely"/>
    <x v="1"/>
    <n v="13"/>
    <x v="0"/>
    <n v="4"/>
    <n v="4"/>
    <x v="4"/>
    <n v="3"/>
    <x v="0"/>
    <n v="13695"/>
    <n v="6"/>
    <s v="Yes"/>
    <n v="17"/>
    <n v="3"/>
    <n v="0"/>
    <n v="24"/>
    <n v="2"/>
    <n v="19"/>
    <n v="3"/>
    <n v="8"/>
    <x v="3"/>
    <s v="30-01-2002"/>
    <m/>
    <s v="Work Accident"/>
    <s v="OFFICE"/>
    <n v="2"/>
    <n v="0"/>
    <s v="No"/>
    <s v="Job Portal"/>
    <s v="Part Time"/>
    <n v="1654"/>
    <n v="66"/>
    <n v="80"/>
    <n v="4"/>
    <n v="0"/>
    <m/>
    <n v="0"/>
    <n v="1"/>
    <s v="Current Employees"/>
    <s v="No"/>
  </r>
  <r>
    <x v="23"/>
    <s v="Travel_Rarely"/>
    <x v="0"/>
    <n v="23"/>
    <x v="0"/>
    <n v="3"/>
    <n v="4"/>
    <x v="6"/>
    <n v="2"/>
    <x v="1"/>
    <n v="13402"/>
    <n v="4"/>
    <s v="Yes"/>
    <n v="12"/>
    <n v="3"/>
    <n v="1"/>
    <n v="33"/>
    <n v="0"/>
    <n v="19"/>
    <n v="15"/>
    <n v="9"/>
    <x v="0"/>
    <s v="24-03-2002"/>
    <m/>
    <s v="Work Environment"/>
    <s v="WFH"/>
    <n v="0"/>
    <n v="3"/>
    <s v="Yes"/>
    <s v="Job Portal"/>
    <s v="Contract"/>
    <n v="1936"/>
    <n v="87"/>
    <n v="80"/>
    <n v="0"/>
    <n v="0"/>
    <m/>
    <n v="0"/>
    <n v="1"/>
    <s v="Current Employees"/>
    <s v="No"/>
  </r>
  <r>
    <x v="35"/>
    <s v="Travel_Rarely"/>
    <x v="1"/>
    <n v="3"/>
    <x v="1"/>
    <n v="4"/>
    <n v="4"/>
    <x v="4"/>
    <n v="1"/>
    <x v="2"/>
    <n v="13225"/>
    <n v="2"/>
    <s v="No"/>
    <n v="12"/>
    <n v="3"/>
    <n v="1"/>
    <n v="25"/>
    <n v="5"/>
    <n v="19"/>
    <n v="2"/>
    <n v="8"/>
    <x v="1"/>
    <s v="23-02-2002"/>
    <m/>
    <s v="Dept.Head"/>
    <s v="WFH"/>
    <n v="5"/>
    <n v="0"/>
    <s v="No"/>
    <s v="Walk-in"/>
    <s v="FullTime"/>
    <n v="1873"/>
    <n v="98"/>
    <n v="80"/>
    <n v="2"/>
    <n v="0"/>
    <m/>
    <n v="0"/>
    <n v="1"/>
    <s v="Current Employees"/>
    <s v="No"/>
  </r>
  <r>
    <x v="18"/>
    <s v="Travel_Rarely"/>
    <x v="0"/>
    <n v="1"/>
    <x v="0"/>
    <n v="3"/>
    <n v="4"/>
    <x v="5"/>
    <n v="1"/>
    <x v="2"/>
    <n v="16823"/>
    <n v="2"/>
    <s v="No"/>
    <n v="11"/>
    <n v="3"/>
    <n v="1"/>
    <n v="22"/>
    <n v="3"/>
    <n v="19"/>
    <n v="11"/>
    <n v="16"/>
    <x v="0"/>
    <s v="27-06-2002"/>
    <m/>
    <s v="Work Environment"/>
    <s v="WFH"/>
    <n v="4"/>
    <n v="2"/>
    <s v="No"/>
    <s v="Job Event"/>
    <s v="Contract"/>
    <n v="1483"/>
    <n v="93"/>
    <n v="80"/>
    <n v="9"/>
    <n v="0"/>
    <m/>
    <n v="0"/>
    <n v="1"/>
    <s v="Current Employees"/>
    <s v="No"/>
  </r>
  <r>
    <x v="31"/>
    <s v="Travel_Rarely"/>
    <x v="0"/>
    <n v="6"/>
    <x v="0"/>
    <n v="3"/>
    <n v="5"/>
    <x v="2"/>
    <n v="3"/>
    <x v="0"/>
    <n v="19537"/>
    <n v="7"/>
    <s v="No"/>
    <n v="13"/>
    <n v="3"/>
    <n v="0"/>
    <n v="23"/>
    <n v="5"/>
    <n v="20"/>
    <n v="15"/>
    <n v="15"/>
    <x v="2"/>
    <s v="27-06-2001"/>
    <m/>
    <s v="Salary"/>
    <s v="OFFICE"/>
    <n v="1"/>
    <n v="1"/>
    <s v="No"/>
    <s v="Recruiter"/>
    <s v="Part Time"/>
    <n v="1666"/>
    <n v="65"/>
    <n v="80"/>
    <n v="10"/>
    <n v="0"/>
    <m/>
    <n v="0"/>
    <n v="1"/>
    <s v="Current Employees"/>
    <s v="No"/>
  </r>
  <r>
    <x v="18"/>
    <s v="Travel_Frequently"/>
    <x v="0"/>
    <n v="26"/>
    <x v="1"/>
    <n v="3"/>
    <n v="2"/>
    <x v="1"/>
    <n v="2"/>
    <x v="2"/>
    <n v="5605"/>
    <n v="1"/>
    <s v="No"/>
    <n v="11"/>
    <n v="3"/>
    <n v="1"/>
    <n v="20"/>
    <n v="2"/>
    <n v="20"/>
    <n v="2"/>
    <n v="13"/>
    <x v="1"/>
    <s v="15-02-2001"/>
    <m/>
    <s v="Better Opportunity"/>
    <s v="OFFICE"/>
    <n v="4"/>
    <n v="3"/>
    <s v="No"/>
    <s v="Job Event"/>
    <s v="FullTime"/>
    <n v="1999"/>
    <n v="76"/>
    <n v="80"/>
    <n v="3"/>
    <n v="0"/>
    <m/>
    <n v="0"/>
    <n v="1"/>
    <s v="Current Employees"/>
    <s v="No"/>
  </r>
  <r>
    <x v="18"/>
    <s v="Travel_Rarely"/>
    <x v="0"/>
    <n v="4"/>
    <x v="1"/>
    <n v="3"/>
    <n v="5"/>
    <x v="5"/>
    <n v="3"/>
    <x v="1"/>
    <n v="19033"/>
    <n v="1"/>
    <s v="No"/>
    <n v="14"/>
    <n v="3"/>
    <n v="1"/>
    <n v="21"/>
    <n v="2"/>
    <n v="20"/>
    <n v="9"/>
    <n v="9"/>
    <x v="2"/>
    <s v="20-05-2001"/>
    <m/>
    <s v="Salary"/>
    <s v="WFH"/>
    <n v="2"/>
    <n v="1"/>
    <s v="No"/>
    <s v="Job Portal"/>
    <s v="Part Time"/>
    <n v="1546"/>
    <n v="97"/>
    <n v="80"/>
    <n v="4"/>
    <n v="0"/>
    <m/>
    <n v="0"/>
    <n v="1"/>
    <s v="Current Employees"/>
    <s v="No"/>
  </r>
  <r>
    <x v="2"/>
    <s v="Non-Travel"/>
    <x v="0"/>
    <n v="2"/>
    <x v="0"/>
    <n v="2"/>
    <n v="4"/>
    <x v="5"/>
    <n v="4"/>
    <x v="1"/>
    <n v="16792"/>
    <n v="9"/>
    <s v="No"/>
    <n v="23"/>
    <n v="4"/>
    <n v="1"/>
    <n v="22"/>
    <n v="1"/>
    <n v="20"/>
    <n v="11"/>
    <n v="8"/>
    <x v="2"/>
    <s v="15-02-2001"/>
    <m/>
    <s v="Salary"/>
    <s v="OFFICE"/>
    <n v="5"/>
    <n v="2"/>
    <s v="Yes"/>
    <s v="Recruiter"/>
    <s v="FullTime"/>
    <n v="1993"/>
    <n v="84"/>
    <n v="80"/>
    <n v="14"/>
    <n v="0"/>
    <m/>
    <n v="0"/>
    <n v="1"/>
    <s v="Current Employees"/>
    <s v="No"/>
  </r>
  <r>
    <x v="2"/>
    <s v="Travel_Rarely"/>
    <x v="0"/>
    <n v="20"/>
    <x v="0"/>
    <n v="3"/>
    <n v="4"/>
    <x v="7"/>
    <n v="4"/>
    <x v="1"/>
    <n v="13496"/>
    <n v="0"/>
    <s v="Yes"/>
    <n v="14"/>
    <n v="3"/>
    <n v="0"/>
    <n v="21"/>
    <n v="2"/>
    <n v="20"/>
    <n v="4"/>
    <n v="10"/>
    <x v="2"/>
    <s v="23-04-2001"/>
    <m/>
    <s v="Dept.Head"/>
    <s v="WFH"/>
    <n v="3"/>
    <n v="2"/>
    <s v="Yes"/>
    <s v="Job Event"/>
    <s v="FullTime"/>
    <n v="1800"/>
    <n v="65"/>
    <n v="80"/>
    <n v="3"/>
    <n v="0"/>
    <m/>
    <n v="0"/>
    <n v="1"/>
    <s v="Current Employees"/>
    <s v="No"/>
  </r>
  <r>
    <x v="22"/>
    <s v="Travel_Rarely"/>
    <x v="1"/>
    <n v="1"/>
    <x v="0"/>
    <n v="3"/>
    <n v="2"/>
    <x v="4"/>
    <n v="3"/>
    <x v="1"/>
    <n v="4907"/>
    <n v="1"/>
    <s v="No"/>
    <n v="25"/>
    <n v="4"/>
    <n v="0"/>
    <n v="20"/>
    <n v="3"/>
    <n v="20"/>
    <n v="11"/>
    <n v="6"/>
    <x v="3"/>
    <s v="25-01-2001"/>
    <m/>
    <s v="Salary"/>
    <s v="WFH"/>
    <n v="5"/>
    <n v="2"/>
    <s v="No"/>
    <s v="Recruiter"/>
    <s v="Part Time"/>
    <n v="1516"/>
    <n v="64"/>
    <n v="80"/>
    <n v="2"/>
    <n v="0"/>
    <m/>
    <n v="0"/>
    <n v="1"/>
    <s v="Current Employees"/>
    <s v="No"/>
  </r>
  <r>
    <x v="22"/>
    <s v="Travel_Frequently"/>
    <x v="1"/>
    <n v="26"/>
    <x v="1"/>
    <n v="3"/>
    <n v="4"/>
    <x v="4"/>
    <n v="2"/>
    <x v="1"/>
    <n v="13525"/>
    <n v="5"/>
    <s v="No"/>
    <n v="14"/>
    <n v="3"/>
    <n v="1"/>
    <n v="23"/>
    <n v="2"/>
    <n v="20"/>
    <n v="4"/>
    <n v="8"/>
    <x v="0"/>
    <d v="2001-04-04T00:00:00"/>
    <m/>
    <s v="Salary"/>
    <s v="OFFICE"/>
    <n v="5"/>
    <n v="3"/>
    <s v="Yes"/>
    <s v="Walk-in"/>
    <s v="Contract"/>
    <n v="1966"/>
    <n v="56"/>
    <n v="80"/>
    <n v="0"/>
    <n v="0"/>
    <m/>
    <n v="0"/>
    <n v="1"/>
    <s v="Current Employees"/>
    <s v="No"/>
  </r>
  <r>
    <x v="18"/>
    <s v="Travel_Rarely"/>
    <x v="1"/>
    <n v="2"/>
    <x v="1"/>
    <n v="3"/>
    <n v="5"/>
    <x v="5"/>
    <n v="3"/>
    <x v="1"/>
    <n v="18041"/>
    <n v="0"/>
    <s v="No"/>
    <n v="14"/>
    <n v="3"/>
    <n v="0"/>
    <n v="21"/>
    <n v="2"/>
    <n v="20"/>
    <n v="1"/>
    <n v="12"/>
    <x v="1"/>
    <s v="17-03-2001"/>
    <m/>
    <s v="Better Opportunity"/>
    <s v="OFFICE"/>
    <n v="2"/>
    <n v="0"/>
    <s v="Yes"/>
    <s v="Job Event"/>
    <s v="FullTime"/>
    <n v="1595"/>
    <n v="93"/>
    <n v="80"/>
    <n v="0"/>
    <n v="0"/>
    <m/>
    <n v="0"/>
    <n v="1"/>
    <s v="Current Employees"/>
    <s v="No"/>
  </r>
  <r>
    <x v="18"/>
    <s v="Travel_Rarely"/>
    <x v="0"/>
    <n v="6"/>
    <x v="1"/>
    <n v="3"/>
    <n v="4"/>
    <x v="6"/>
    <n v="3"/>
    <x v="0"/>
    <n v="13237"/>
    <n v="7"/>
    <s v="No"/>
    <n v="15"/>
    <n v="3"/>
    <n v="0"/>
    <n v="22"/>
    <n v="3"/>
    <n v="20"/>
    <n v="5"/>
    <n v="13"/>
    <x v="0"/>
    <d v="2001-07-01T00:00:00"/>
    <m/>
    <s v="Work Environment"/>
    <s v="WFH"/>
    <n v="3"/>
    <n v="0"/>
    <s v="No"/>
    <s v="Job Event"/>
    <s v="Contract"/>
    <n v="1578"/>
    <n v="60"/>
    <n v="80"/>
    <n v="6"/>
    <n v="0"/>
    <m/>
    <n v="0"/>
    <n v="1"/>
    <s v="Current Employees"/>
    <s v="No"/>
  </r>
  <r>
    <x v="16"/>
    <s v="Travel_Rarely"/>
    <x v="0"/>
    <n v="28"/>
    <x v="0"/>
    <n v="4"/>
    <n v="1"/>
    <x v="0"/>
    <n v="3"/>
    <x v="1"/>
    <n v="3221"/>
    <n v="1"/>
    <s v="Yes"/>
    <n v="11"/>
    <n v="3"/>
    <n v="3"/>
    <n v="20"/>
    <n v="3"/>
    <n v="20"/>
    <n v="3"/>
    <n v="8"/>
    <x v="2"/>
    <s v="21-02-2001"/>
    <m/>
    <s v="Dept.Head"/>
    <s v="WFH"/>
    <n v="2"/>
    <n v="2"/>
    <s v="No"/>
    <s v="Recruiter"/>
    <s v="FullTime"/>
    <n v="1823"/>
    <n v="92"/>
    <n v="80"/>
    <n v="8"/>
    <n v="0"/>
    <m/>
    <n v="0"/>
    <n v="1"/>
    <s v="Current Employees"/>
    <s v="No"/>
  </r>
  <r>
    <x v="25"/>
    <s v="Travel_Rarely"/>
    <x v="0"/>
    <n v="2"/>
    <x v="1"/>
    <n v="2"/>
    <n v="2"/>
    <x v="7"/>
    <n v="3"/>
    <x v="0"/>
    <n v="4553"/>
    <n v="1"/>
    <s v="No"/>
    <n v="11"/>
    <n v="3"/>
    <n v="0"/>
    <n v="20"/>
    <n v="4"/>
    <n v="20"/>
    <n v="11"/>
    <n v="10"/>
    <x v="3"/>
    <d v="2001-08-03T00:00:00"/>
    <m/>
    <s v="Work Accident"/>
    <s v="OFFICE"/>
    <n v="5"/>
    <n v="3"/>
    <s v="No"/>
    <s v="Job Portal"/>
    <s v="FullTime"/>
    <n v="1950"/>
    <n v="32"/>
    <n v="80"/>
    <n v="8"/>
    <n v="0"/>
    <m/>
    <n v="0"/>
    <n v="1"/>
    <s v="Current Employees"/>
    <s v="No"/>
  </r>
  <r>
    <x v="31"/>
    <s v="Travel_Rarely"/>
    <x v="1"/>
    <n v="26"/>
    <x v="1"/>
    <n v="3"/>
    <n v="4"/>
    <x v="5"/>
    <n v="3"/>
    <x v="1"/>
    <n v="16307"/>
    <n v="2"/>
    <s v="No"/>
    <n v="14"/>
    <n v="3"/>
    <n v="1"/>
    <n v="29"/>
    <n v="2"/>
    <n v="20"/>
    <n v="4"/>
    <n v="17"/>
    <x v="1"/>
    <s v="19-01-2001"/>
    <m/>
    <s v="Better Opportunity"/>
    <s v="OFFICE"/>
    <n v="0"/>
    <n v="1"/>
    <s v="Yes"/>
    <s v="Walk-in"/>
    <s v="FullTime"/>
    <n v="1775"/>
    <n v="60"/>
    <n v="80"/>
    <n v="2"/>
    <n v="0"/>
    <m/>
    <n v="0"/>
    <n v="1"/>
    <s v="Current Employees"/>
    <s v="No"/>
  </r>
  <r>
    <x v="17"/>
    <s v="Travel_Rarely"/>
    <x v="2"/>
    <n v="1"/>
    <x v="0"/>
    <n v="2"/>
    <n v="3"/>
    <x v="8"/>
    <n v="1"/>
    <x v="1"/>
    <n v="10482"/>
    <n v="9"/>
    <s v="No"/>
    <n v="14"/>
    <n v="3"/>
    <n v="1"/>
    <n v="24"/>
    <n v="1"/>
    <n v="20"/>
    <n v="3"/>
    <n v="6"/>
    <x v="0"/>
    <d v="2001-05-02T00:00:00"/>
    <m/>
    <s v="Work Environment"/>
    <s v="WFH"/>
    <n v="1"/>
    <n v="2"/>
    <s v="No"/>
    <s v="Job Portal"/>
    <s v="Contract"/>
    <n v="1681"/>
    <n v="36"/>
    <n v="80"/>
    <n v="5"/>
    <n v="0"/>
    <m/>
    <n v="0"/>
    <n v="1"/>
    <s v="Current Employees"/>
    <s v="No"/>
  </r>
  <r>
    <x v="18"/>
    <s v="Travel_Rarely"/>
    <x v="0"/>
    <n v="14"/>
    <x v="0"/>
    <n v="2"/>
    <n v="5"/>
    <x v="2"/>
    <n v="3"/>
    <x v="0"/>
    <n v="19626"/>
    <n v="1"/>
    <s v="No"/>
    <n v="14"/>
    <n v="3"/>
    <n v="0"/>
    <n v="21"/>
    <n v="2"/>
    <n v="20"/>
    <n v="4"/>
    <n v="9"/>
    <x v="3"/>
    <s v="25-01-2001"/>
    <m/>
    <s v="Work Accident"/>
    <s v="WFH"/>
    <n v="3"/>
    <n v="2"/>
    <s v="Yes"/>
    <s v="Job Portal"/>
    <s v="Contract"/>
    <n v="2017"/>
    <n v="42"/>
    <n v="80"/>
    <n v="11"/>
    <n v="0"/>
    <m/>
    <n v="0"/>
    <n v="1"/>
    <s v="Current Employees"/>
    <s v="No"/>
  </r>
  <r>
    <x v="17"/>
    <s v="Travel_Rarely"/>
    <x v="0"/>
    <n v="29"/>
    <x v="0"/>
    <n v="3"/>
    <n v="2"/>
    <x v="1"/>
    <n v="4"/>
    <x v="0"/>
    <n v="4541"/>
    <n v="1"/>
    <s v="No"/>
    <n v="25"/>
    <n v="4"/>
    <n v="0"/>
    <n v="20"/>
    <n v="3"/>
    <n v="20"/>
    <n v="13"/>
    <n v="17"/>
    <x v="0"/>
    <d v="2001-03-02T00:00:00"/>
    <m/>
    <s v="Salary"/>
    <s v="OFFICE"/>
    <n v="3"/>
    <n v="0"/>
    <s v="Yes"/>
    <s v="Job Portal"/>
    <s v="FullTime"/>
    <n v="1423"/>
    <n v="76"/>
    <n v="80"/>
    <n v="8"/>
    <n v="0"/>
    <m/>
    <n v="0"/>
    <n v="1"/>
    <s v="Current Employees"/>
    <s v="No"/>
  </r>
  <r>
    <x v="22"/>
    <s v="Non-Travel"/>
    <x v="0"/>
    <n v="2"/>
    <x v="0"/>
    <n v="3"/>
    <n v="4"/>
    <x v="5"/>
    <n v="3"/>
    <x v="1"/>
    <n v="17861"/>
    <n v="0"/>
    <s v="Yes"/>
    <n v="13"/>
    <n v="3"/>
    <n v="0"/>
    <n v="21"/>
    <n v="3"/>
    <n v="20"/>
    <n v="2"/>
    <n v="10"/>
    <x v="0"/>
    <s v="15-06-2001"/>
    <m/>
    <s v="Salary"/>
    <s v="OFFICE"/>
    <n v="4"/>
    <n v="2"/>
    <s v="No"/>
    <s v="Walk-in"/>
    <s v="Contract"/>
    <n v="1847"/>
    <n v="73"/>
    <n v="80"/>
    <n v="0"/>
    <n v="0"/>
    <m/>
    <n v="0"/>
    <n v="1"/>
    <s v="Current Employees"/>
    <s v="No"/>
  </r>
  <r>
    <x v="34"/>
    <s v="Travel_Rarely"/>
    <x v="0"/>
    <n v="6"/>
    <x v="1"/>
    <n v="2"/>
    <n v="2"/>
    <x v="1"/>
    <n v="3"/>
    <x v="0"/>
    <n v="4081"/>
    <n v="1"/>
    <s v="Yes"/>
    <n v="14"/>
    <n v="3"/>
    <n v="0"/>
    <n v="20"/>
    <n v="3"/>
    <n v="20"/>
    <n v="1"/>
    <n v="8"/>
    <x v="0"/>
    <d v="2001-01-01T00:00:00"/>
    <m/>
    <s v="Salary"/>
    <s v="OFFICE"/>
    <n v="5"/>
    <n v="1"/>
    <s v="Yes"/>
    <s v="Job Event"/>
    <s v="Part Time"/>
    <n v="2018"/>
    <n v="85"/>
    <n v="80"/>
    <n v="3"/>
    <n v="0"/>
    <m/>
    <n v="0"/>
    <n v="1"/>
    <s v="Current Employees"/>
    <s v="No"/>
  </r>
  <r>
    <x v="22"/>
    <s v="Travel_Rarely"/>
    <x v="2"/>
    <n v="10"/>
    <x v="1"/>
    <n v="3"/>
    <n v="4"/>
    <x v="5"/>
    <n v="1"/>
    <x v="1"/>
    <n v="16799"/>
    <n v="0"/>
    <s v="No"/>
    <n v="14"/>
    <n v="3"/>
    <n v="1"/>
    <n v="21"/>
    <n v="5"/>
    <n v="20"/>
    <n v="0"/>
    <n v="9"/>
    <x v="0"/>
    <d v="2001-10-06T00:00:00"/>
    <m/>
    <s v="Work Accident"/>
    <s v="WFH"/>
    <n v="4"/>
    <n v="0"/>
    <s v="Yes"/>
    <s v="Job Event"/>
    <s v="Contract"/>
    <n v="1835"/>
    <n v="77"/>
    <n v="80"/>
    <n v="2"/>
    <n v="0"/>
    <m/>
    <n v="0"/>
    <n v="1"/>
    <s v="Current Employees"/>
    <s v="No"/>
  </r>
  <r>
    <x v="37"/>
    <s v="Travel_Rarely"/>
    <x v="0"/>
    <n v="1"/>
    <x v="1"/>
    <n v="3"/>
    <n v="4"/>
    <x v="2"/>
    <n v="4"/>
    <x v="0"/>
    <n v="17328"/>
    <n v="6"/>
    <s v="No"/>
    <n v="19"/>
    <n v="3"/>
    <n v="0"/>
    <n v="29"/>
    <n v="3"/>
    <n v="20"/>
    <n v="12"/>
    <n v="7"/>
    <x v="2"/>
    <d v="2001-10-06T00:00:00"/>
    <m/>
    <s v="Salary"/>
    <s v="OFFICE"/>
    <n v="0"/>
    <n v="2"/>
    <s v="Yes"/>
    <s v="Walk-in"/>
    <s v="FullTime"/>
    <n v="1550"/>
    <n v="38"/>
    <n v="80"/>
    <n v="7"/>
    <n v="0"/>
    <m/>
    <n v="0"/>
    <n v="1"/>
    <s v="Current Employees"/>
    <s v="No"/>
  </r>
  <r>
    <x v="9"/>
    <s v="Travel_Rarely"/>
    <x v="0"/>
    <n v="2"/>
    <x v="1"/>
    <n v="3"/>
    <n v="4"/>
    <x v="2"/>
    <n v="3"/>
    <x v="1"/>
    <n v="17169"/>
    <n v="3"/>
    <s v="No"/>
    <n v="19"/>
    <n v="3"/>
    <n v="2"/>
    <n v="26"/>
    <n v="2"/>
    <n v="20"/>
    <n v="5"/>
    <n v="6"/>
    <x v="2"/>
    <s v="21-03-2001"/>
    <m/>
    <s v="Better Opportunity"/>
    <s v="OFFICE"/>
    <n v="2"/>
    <n v="0"/>
    <s v="No"/>
    <s v="Walk-in"/>
    <s v="Part Time"/>
    <n v="2064"/>
    <n v="87"/>
    <n v="80"/>
    <n v="2"/>
    <n v="0"/>
    <m/>
    <n v="0"/>
    <n v="1"/>
    <s v="Current Employees"/>
    <s v="No"/>
  </r>
  <r>
    <x v="17"/>
    <s v="Travel_Rarely"/>
    <x v="0"/>
    <n v="28"/>
    <x v="0"/>
    <n v="3"/>
    <n v="4"/>
    <x v="2"/>
    <n v="1"/>
    <x v="1"/>
    <n v="16328"/>
    <n v="3"/>
    <s v="No"/>
    <n v="13"/>
    <n v="3"/>
    <n v="1"/>
    <n v="24"/>
    <n v="1"/>
    <n v="20"/>
    <n v="14"/>
    <n v="17"/>
    <x v="0"/>
    <s v="22-05-2001"/>
    <m/>
    <s v="Salary"/>
    <s v="OFFICE"/>
    <n v="1"/>
    <n v="2"/>
    <s v="Yes"/>
    <s v="Recruiter"/>
    <s v="Part Time"/>
    <n v="1885"/>
    <n v="78"/>
    <n v="80"/>
    <n v="3"/>
    <n v="0"/>
    <m/>
    <n v="0"/>
    <n v="1"/>
    <s v="Current Employees"/>
    <s v="No"/>
  </r>
  <r>
    <x v="22"/>
    <s v="Travel_Frequently"/>
    <x v="0"/>
    <n v="2"/>
    <x v="0"/>
    <n v="3"/>
    <n v="3"/>
    <x v="7"/>
    <n v="4"/>
    <x v="1"/>
    <n v="10124"/>
    <n v="2"/>
    <s v="Yes"/>
    <n v="14"/>
    <n v="3"/>
    <n v="1"/>
    <n v="24"/>
    <n v="3"/>
    <n v="20"/>
    <n v="13"/>
    <n v="9"/>
    <x v="0"/>
    <s v="17-01-2001"/>
    <m/>
    <s v="Work Environment"/>
    <s v="WFH"/>
    <n v="3"/>
    <n v="2"/>
    <s v="Yes"/>
    <s v="Walk-in"/>
    <s v="Contract"/>
    <n v="1541"/>
    <n v="55"/>
    <n v="80"/>
    <n v="10"/>
    <n v="0"/>
    <m/>
    <n v="0"/>
    <n v="1"/>
    <s v="Current Employees"/>
    <s v="No"/>
  </r>
  <r>
    <x v="12"/>
    <s v="Travel_Frequently"/>
    <x v="0"/>
    <n v="8"/>
    <x v="1"/>
    <n v="2"/>
    <n v="2"/>
    <x v="1"/>
    <n v="2"/>
    <x v="2"/>
    <n v="2133"/>
    <n v="1"/>
    <s v="Yes"/>
    <n v="16"/>
    <n v="3"/>
    <n v="1"/>
    <n v="20"/>
    <n v="3"/>
    <n v="20"/>
    <n v="0"/>
    <n v="7"/>
    <x v="1"/>
    <s v="23-01-2001"/>
    <m/>
    <s v="Dept.Head"/>
    <s v="OFFICE"/>
    <n v="5"/>
    <n v="1"/>
    <s v="Yes"/>
    <s v="Recruiter"/>
    <s v="FullTime"/>
    <n v="1556"/>
    <n v="70"/>
    <n v="80"/>
    <n v="2"/>
    <n v="0"/>
    <m/>
    <n v="0"/>
    <n v="1"/>
    <s v="Current Employees"/>
    <s v="No"/>
  </r>
  <r>
    <x v="25"/>
    <s v="Travel_Rarely"/>
    <x v="1"/>
    <n v="15"/>
    <x v="0"/>
    <n v="3"/>
    <n v="4"/>
    <x v="4"/>
    <n v="1"/>
    <x v="0"/>
    <n v="13341"/>
    <n v="0"/>
    <s v="No"/>
    <n v="12"/>
    <n v="3"/>
    <n v="0"/>
    <n v="21"/>
    <n v="3"/>
    <n v="20"/>
    <n v="11"/>
    <n v="10"/>
    <x v="0"/>
    <d v="2001-11-02T00:00:00"/>
    <m/>
    <s v="Work Accident"/>
    <s v="WFH"/>
    <n v="2"/>
    <n v="0"/>
    <s v="Yes"/>
    <s v="Recruiter"/>
    <s v="Contract"/>
    <n v="1747"/>
    <n v="66"/>
    <n v="80"/>
    <n v="2"/>
    <n v="1"/>
    <n v="1"/>
    <n v="1"/>
    <n v="0"/>
    <s v="Ex-Employees"/>
    <s v="Yes"/>
  </r>
  <r>
    <x v="22"/>
    <s v="Non-Travel"/>
    <x v="0"/>
    <n v="23"/>
    <x v="0"/>
    <n v="2"/>
    <n v="2"/>
    <x v="1"/>
    <n v="3"/>
    <x v="0"/>
    <n v="4332"/>
    <n v="1"/>
    <s v="No"/>
    <n v="12"/>
    <n v="3"/>
    <n v="0"/>
    <n v="20"/>
    <n v="2"/>
    <n v="20"/>
    <n v="3"/>
    <n v="7"/>
    <x v="2"/>
    <d v="2001-04-06T00:00:00"/>
    <m/>
    <s v="Better Opportunity"/>
    <s v="OFFICE"/>
    <n v="1"/>
    <n v="1"/>
    <s v="Yes"/>
    <s v="Recruiter"/>
    <s v="Contract"/>
    <n v="1944"/>
    <n v="58"/>
    <n v="80"/>
    <n v="0"/>
    <n v="1"/>
    <n v="1"/>
    <n v="1"/>
    <n v="0"/>
    <s v="Ex-Employees"/>
    <s v="Yes"/>
  </r>
  <r>
    <x v="33"/>
    <s v="Travel_Rarely"/>
    <x v="0"/>
    <n v="28"/>
    <x v="1"/>
    <n v="2"/>
    <n v="4"/>
    <x v="6"/>
    <n v="2"/>
    <x v="1"/>
    <n v="13570"/>
    <n v="0"/>
    <s v="No"/>
    <n v="23"/>
    <n v="4"/>
    <n v="1"/>
    <n v="21"/>
    <n v="3"/>
    <n v="20"/>
    <n v="0"/>
    <n v="10"/>
    <x v="1"/>
    <s v="29-06-2001"/>
    <m/>
    <s v="Salary"/>
    <s v="WFH"/>
    <n v="0"/>
    <n v="1"/>
    <s v="No"/>
    <s v="Job Event"/>
    <s v="Contract"/>
    <n v="1459"/>
    <n v="100"/>
    <n v="80"/>
    <n v="8"/>
    <n v="1"/>
    <n v="1"/>
    <n v="1"/>
    <n v="0"/>
    <s v="Ex-Employees"/>
    <s v="Yes"/>
  </r>
  <r>
    <x v="25"/>
    <s v="Travel_Rarely"/>
    <x v="1"/>
    <n v="24"/>
    <x v="1"/>
    <n v="2"/>
    <n v="4"/>
    <x v="4"/>
    <n v="4"/>
    <x v="1"/>
    <n v="12031"/>
    <n v="0"/>
    <s v="No"/>
    <n v="11"/>
    <n v="3"/>
    <n v="1"/>
    <n v="21"/>
    <n v="2"/>
    <n v="20"/>
    <n v="9"/>
    <n v="6"/>
    <x v="0"/>
    <d v="2001-01-04T00:00:00"/>
    <m/>
    <s v="Work Environment"/>
    <s v="OFFICE"/>
    <n v="0"/>
    <n v="0"/>
    <s v="Yes"/>
    <s v="Walk-in"/>
    <s v="Contract"/>
    <n v="1537"/>
    <n v="33"/>
    <n v="80"/>
    <n v="2"/>
    <n v="1"/>
    <n v="1"/>
    <n v="1"/>
    <n v="0"/>
    <s v="Ex-Employees"/>
    <s v="Yes"/>
  </r>
  <r>
    <x v="24"/>
    <s v="Travel_Rarely"/>
    <x v="1"/>
    <n v="25"/>
    <x v="1"/>
    <n v="3"/>
    <n v="3"/>
    <x v="4"/>
    <n v="1"/>
    <x v="0"/>
    <n v="7637"/>
    <n v="7"/>
    <s v="No"/>
    <n v="11"/>
    <n v="3"/>
    <n v="0"/>
    <n v="28"/>
    <n v="3"/>
    <n v="21"/>
    <n v="7"/>
    <n v="9"/>
    <x v="3"/>
    <s v="29-02-2000"/>
    <m/>
    <s v="Better Opportunity"/>
    <s v="OFFICE"/>
    <n v="2"/>
    <n v="3"/>
    <s v="Yes"/>
    <s v="Job Portal"/>
    <s v="Part Time"/>
    <n v="1487"/>
    <n v="51"/>
    <n v="80"/>
    <n v="3"/>
    <n v="1"/>
    <n v="1"/>
    <n v="1"/>
    <n v="0"/>
    <s v="Ex-Employees"/>
    <s v="Yes"/>
  </r>
  <r>
    <x v="18"/>
    <s v="Travel_Rarely"/>
    <x v="0"/>
    <n v="2"/>
    <x v="0"/>
    <n v="3"/>
    <n v="5"/>
    <x v="2"/>
    <n v="3"/>
    <x v="2"/>
    <n v="19436"/>
    <n v="0"/>
    <s v="No"/>
    <n v="19"/>
    <n v="3"/>
    <n v="1"/>
    <n v="22"/>
    <n v="5"/>
    <n v="21"/>
    <n v="3"/>
    <n v="9"/>
    <x v="2"/>
    <s v="13-02-2000"/>
    <m/>
    <s v="Dept.Head"/>
    <s v="OFFICE"/>
    <n v="3"/>
    <n v="2"/>
    <s v="No"/>
    <s v="Walk-in"/>
    <s v="Contract"/>
    <n v="1427"/>
    <n v="50"/>
    <n v="80"/>
    <n v="0"/>
    <n v="1"/>
    <n v="1"/>
    <n v="1"/>
    <n v="0"/>
    <s v="Ex-Employees"/>
    <s v="Yes"/>
  </r>
  <r>
    <x v="25"/>
    <s v="Travel_Rarely"/>
    <x v="0"/>
    <n v="10"/>
    <x v="0"/>
    <n v="3"/>
    <n v="4"/>
    <x v="5"/>
    <n v="1"/>
    <x v="1"/>
    <n v="17068"/>
    <n v="1"/>
    <s v="Yes"/>
    <n v="14"/>
    <n v="3"/>
    <n v="0"/>
    <n v="21"/>
    <n v="3"/>
    <n v="21"/>
    <n v="11"/>
    <n v="10"/>
    <x v="2"/>
    <d v="2000-11-01T00:00:00"/>
    <m/>
    <s v="Salary"/>
    <s v="WFH"/>
    <n v="4"/>
    <n v="0"/>
    <s v="Yes"/>
    <s v="Job Portal"/>
    <s v="Contract"/>
    <n v="1467"/>
    <n v="52"/>
    <n v="80"/>
    <n v="2"/>
    <n v="1"/>
    <n v="1"/>
    <n v="1"/>
    <n v="0"/>
    <s v="Ex-Employees"/>
    <s v="Yes"/>
  </r>
  <r>
    <x v="25"/>
    <s v="Travel_Frequently"/>
    <x v="0"/>
    <n v="7"/>
    <x v="0"/>
    <n v="2"/>
    <n v="5"/>
    <x v="5"/>
    <n v="4"/>
    <x v="1"/>
    <n v="19272"/>
    <n v="1"/>
    <s v="No"/>
    <n v="15"/>
    <n v="3"/>
    <n v="1"/>
    <n v="21"/>
    <n v="2"/>
    <n v="21"/>
    <n v="13"/>
    <n v="3"/>
    <x v="2"/>
    <s v="27-02-2000"/>
    <m/>
    <s v="Dept.Head"/>
    <s v="WFH"/>
    <n v="3"/>
    <n v="0"/>
    <s v="No"/>
    <s v="Job Event"/>
    <s v="Part Time"/>
    <n v="1572"/>
    <n v="78"/>
    <n v="80"/>
    <n v="7"/>
    <n v="1"/>
    <n v="1"/>
    <n v="1"/>
    <n v="0"/>
    <s v="Ex-Employees"/>
    <s v="Yes"/>
  </r>
  <r>
    <x v="25"/>
    <s v="Travel_Frequently"/>
    <x v="0"/>
    <n v="1"/>
    <x v="0"/>
    <n v="3"/>
    <n v="5"/>
    <x v="5"/>
    <n v="3"/>
    <x v="2"/>
    <n v="19197"/>
    <n v="1"/>
    <s v="Yes"/>
    <n v="14"/>
    <n v="3"/>
    <n v="1"/>
    <n v="21"/>
    <n v="3"/>
    <n v="21"/>
    <n v="1"/>
    <n v="6"/>
    <x v="0"/>
    <s v="26-05-2000"/>
    <m/>
    <s v="Better Opportunity"/>
    <s v="WFH"/>
    <n v="2"/>
    <n v="1"/>
    <s v="Yes"/>
    <s v="Job Portal"/>
    <s v="FullTime"/>
    <n v="1433"/>
    <n v="34"/>
    <n v="80"/>
    <n v="0"/>
    <n v="1"/>
    <n v="1"/>
    <n v="1"/>
    <n v="0"/>
    <s v="Ex-Employees"/>
    <s v="Yes"/>
  </r>
  <r>
    <x v="33"/>
    <s v="Travel_Rarely"/>
    <x v="2"/>
    <n v="10"/>
    <x v="0"/>
    <n v="2"/>
    <n v="5"/>
    <x v="5"/>
    <n v="4"/>
    <x v="2"/>
    <n v="19141"/>
    <n v="3"/>
    <s v="No"/>
    <n v="15"/>
    <n v="3"/>
    <n v="3"/>
    <n v="23"/>
    <n v="2"/>
    <n v="21"/>
    <n v="12"/>
    <n v="6"/>
    <x v="0"/>
    <d v="2000-08-01T00:00:00"/>
    <m/>
    <s v="Dept.Head"/>
    <s v="WFH"/>
    <n v="2"/>
    <n v="0"/>
    <s v="No"/>
    <s v="Recruiter"/>
    <s v="FullTime"/>
    <n v="1752"/>
    <n v="52"/>
    <n v="80"/>
    <n v="2"/>
    <n v="1"/>
    <n v="1"/>
    <n v="1"/>
    <n v="0"/>
    <s v="Ex-Employees"/>
    <s v="Yes"/>
  </r>
  <r>
    <x v="25"/>
    <s v="Travel_Rarely"/>
    <x v="0"/>
    <n v="1"/>
    <x v="1"/>
    <n v="2"/>
    <n v="4"/>
    <x v="6"/>
    <n v="4"/>
    <x v="1"/>
    <n v="12742"/>
    <n v="1"/>
    <s v="No"/>
    <n v="16"/>
    <n v="3"/>
    <n v="1"/>
    <n v="21"/>
    <n v="3"/>
    <n v="21"/>
    <n v="11"/>
    <n v="8"/>
    <x v="2"/>
    <d v="2000-06-01T00:00:00"/>
    <m/>
    <s v="Dept.Head"/>
    <s v="OFFICE"/>
    <n v="3"/>
    <n v="0"/>
    <s v="No"/>
    <s v="Job Event"/>
    <s v="Part Time"/>
    <n v="1807"/>
    <n v="93"/>
    <n v="80"/>
    <n v="1"/>
    <n v="1"/>
    <n v="1"/>
    <n v="1"/>
    <n v="0"/>
    <s v="Ex-Employees"/>
    <s v="Yes"/>
  </r>
  <r>
    <x v="33"/>
    <s v="Non-Travel"/>
    <x v="0"/>
    <n v="7"/>
    <x v="1"/>
    <n v="1"/>
    <n v="5"/>
    <x v="2"/>
    <n v="3"/>
    <x v="2"/>
    <n v="19973"/>
    <n v="1"/>
    <s v="No"/>
    <n v="22"/>
    <n v="4"/>
    <n v="2"/>
    <n v="21"/>
    <n v="3"/>
    <n v="21"/>
    <n v="5"/>
    <n v="10"/>
    <x v="1"/>
    <s v="16-03-2000"/>
    <m/>
    <s v="Work Environment"/>
    <s v="WFH"/>
    <n v="3"/>
    <n v="3"/>
    <s v="No"/>
    <s v="Walk-in"/>
    <s v="Contract"/>
    <n v="1504"/>
    <n v="38"/>
    <n v="80"/>
    <n v="0"/>
    <n v="1"/>
    <n v="1"/>
    <n v="1"/>
    <n v="0"/>
    <s v="Ex-Employees"/>
    <s v="Yes"/>
  </r>
  <r>
    <x v="25"/>
    <s v="Travel_Frequently"/>
    <x v="0"/>
    <n v="22"/>
    <x v="1"/>
    <n v="3"/>
    <n v="3"/>
    <x v="6"/>
    <n v="1"/>
    <x v="0"/>
    <n v="10880"/>
    <n v="1"/>
    <s v="Yes"/>
    <n v="13"/>
    <n v="3"/>
    <n v="0"/>
    <n v="21"/>
    <n v="2"/>
    <n v="21"/>
    <n v="2"/>
    <n v="8"/>
    <x v="1"/>
    <s v="25-04-2000"/>
    <m/>
    <s v="Work Environment"/>
    <s v="OFFICE"/>
    <n v="2"/>
    <n v="0"/>
    <s v="Yes"/>
    <s v="Recruiter"/>
    <s v="Contract"/>
    <n v="2044"/>
    <n v="94"/>
    <n v="80"/>
    <n v="3"/>
    <n v="1"/>
    <n v="1"/>
    <n v="1"/>
    <n v="0"/>
    <s v="Ex-Employees"/>
    <s v="Yes"/>
  </r>
  <r>
    <x v="22"/>
    <s v="Travel_Frequently"/>
    <x v="1"/>
    <n v="12"/>
    <x v="0"/>
    <n v="3"/>
    <n v="4"/>
    <x v="4"/>
    <n v="1"/>
    <x v="0"/>
    <n v="13758"/>
    <n v="0"/>
    <s v="Yes"/>
    <n v="12"/>
    <n v="3"/>
    <n v="0"/>
    <n v="22"/>
    <n v="2"/>
    <n v="21"/>
    <n v="13"/>
    <n v="14"/>
    <x v="0"/>
    <d v="2000-12-01T00:00:00"/>
    <m/>
    <s v="Work Environment"/>
    <s v="OFFICE"/>
    <n v="4"/>
    <n v="1"/>
    <s v="No"/>
    <s v="Job Event"/>
    <s v="Contract"/>
    <n v="1716"/>
    <n v="82"/>
    <n v="80"/>
    <n v="5"/>
    <n v="1"/>
    <n v="1"/>
    <n v="1"/>
    <n v="0"/>
    <s v="Ex-Employees"/>
    <s v="Yes"/>
  </r>
  <r>
    <x v="34"/>
    <s v="Travel_Rarely"/>
    <x v="1"/>
    <n v="4"/>
    <x v="1"/>
    <n v="2"/>
    <n v="3"/>
    <x v="4"/>
    <n v="4"/>
    <x v="0"/>
    <n v="10231"/>
    <n v="3"/>
    <s v="No"/>
    <n v="14"/>
    <n v="3"/>
    <n v="0"/>
    <n v="23"/>
    <n v="3"/>
    <n v="21"/>
    <n v="15"/>
    <n v="17"/>
    <x v="0"/>
    <s v="15-02-2000"/>
    <m/>
    <s v="Salary"/>
    <s v="OFFICE"/>
    <n v="3"/>
    <n v="0"/>
    <s v="No"/>
    <s v="Walk-in"/>
    <s v="FullTime"/>
    <n v="1486"/>
    <n v="92"/>
    <n v="80"/>
    <n v="2"/>
    <n v="1"/>
    <n v="1"/>
    <n v="1"/>
    <n v="0"/>
    <s v="Ex-Employees"/>
    <s v="Yes"/>
  </r>
  <r>
    <x v="18"/>
    <s v="Travel_Rarely"/>
    <x v="2"/>
    <n v="6"/>
    <x v="0"/>
    <n v="3"/>
    <n v="4"/>
    <x v="5"/>
    <n v="4"/>
    <x v="0"/>
    <n v="16437"/>
    <n v="1"/>
    <s v="Yes"/>
    <n v="21"/>
    <n v="4"/>
    <n v="0"/>
    <n v="21"/>
    <n v="2"/>
    <n v="21"/>
    <n v="7"/>
    <n v="7"/>
    <x v="1"/>
    <d v="2000-02-03T00:00:00"/>
    <m/>
    <s v="Work Environment"/>
    <s v="OFFICE"/>
    <n v="4"/>
    <n v="3"/>
    <s v="No"/>
    <s v="Job Event"/>
    <s v="FullTime"/>
    <n v="2023"/>
    <n v="33"/>
    <n v="80"/>
    <n v="0"/>
    <n v="1"/>
    <n v="1"/>
    <n v="1"/>
    <n v="0"/>
    <s v="Ex-Employees"/>
    <s v="Yes"/>
  </r>
  <r>
    <x v="2"/>
    <s v="Travel_Rarely"/>
    <x v="0"/>
    <n v="28"/>
    <x v="1"/>
    <n v="2"/>
    <n v="4"/>
    <x v="2"/>
    <n v="2"/>
    <x v="0"/>
    <n v="16704"/>
    <n v="1"/>
    <s v="No"/>
    <n v="11"/>
    <n v="3"/>
    <n v="0"/>
    <n v="21"/>
    <n v="2"/>
    <n v="21"/>
    <n v="8"/>
    <n v="6"/>
    <x v="3"/>
    <s v="18-01-2000"/>
    <m/>
    <s v="Work Environment"/>
    <s v="OFFICE"/>
    <n v="4"/>
    <n v="2"/>
    <s v="Yes"/>
    <s v="Recruiter"/>
    <s v="Contract"/>
    <n v="1928"/>
    <n v="45"/>
    <n v="80"/>
    <n v="0"/>
    <n v="1"/>
    <n v="1"/>
    <n v="1"/>
    <n v="0"/>
    <s v="Ex-Employees"/>
    <s v="Yes"/>
  </r>
  <r>
    <x v="18"/>
    <s v="Travel_Rarely"/>
    <x v="1"/>
    <n v="7"/>
    <x v="0"/>
    <n v="3"/>
    <n v="5"/>
    <x v="5"/>
    <n v="2"/>
    <x v="0"/>
    <n v="19833"/>
    <n v="1"/>
    <s v="No"/>
    <n v="14"/>
    <n v="3"/>
    <n v="0"/>
    <n v="21"/>
    <n v="3"/>
    <n v="21"/>
    <n v="12"/>
    <n v="8"/>
    <x v="0"/>
    <d v="2000-08-03T00:00:00"/>
    <m/>
    <s v="Work Environment"/>
    <s v="OFFICE"/>
    <n v="0"/>
    <n v="1"/>
    <s v="No"/>
    <s v="Job Portal"/>
    <s v="Part Time"/>
    <n v="1842"/>
    <n v="89"/>
    <n v="80"/>
    <n v="0"/>
    <n v="1"/>
    <n v="1"/>
    <n v="1"/>
    <n v="0"/>
    <s v="Ex-Employees"/>
    <s v="Yes"/>
  </r>
  <r>
    <x v="17"/>
    <s v="Travel_Rarely"/>
    <x v="0"/>
    <n v="7"/>
    <x v="1"/>
    <n v="2"/>
    <n v="3"/>
    <x v="7"/>
    <n v="4"/>
    <x v="1"/>
    <n v="10248"/>
    <n v="3"/>
    <s v="No"/>
    <n v="14"/>
    <n v="3"/>
    <n v="1"/>
    <n v="24"/>
    <n v="4"/>
    <n v="22"/>
    <n v="5"/>
    <n v="17"/>
    <x v="3"/>
    <s v="20-03-1999"/>
    <m/>
    <s v="Work Accident"/>
    <s v="OFFICE"/>
    <n v="4"/>
    <n v="1"/>
    <s v="No"/>
    <s v="Job Portal"/>
    <s v="Contract"/>
    <n v="1714"/>
    <n v="58"/>
    <n v="80"/>
    <n v="0"/>
    <n v="1"/>
    <n v="1"/>
    <n v="1"/>
    <n v="0"/>
    <s v="Ex-Employees"/>
    <s v="Yes"/>
  </r>
  <r>
    <x v="33"/>
    <s v="Travel_Rarely"/>
    <x v="0"/>
    <n v="12"/>
    <x v="1"/>
    <n v="3"/>
    <n v="5"/>
    <x v="2"/>
    <n v="3"/>
    <x v="1"/>
    <n v="19545"/>
    <n v="1"/>
    <s v="No"/>
    <n v="12"/>
    <n v="3"/>
    <n v="0"/>
    <n v="23"/>
    <n v="0"/>
    <n v="22"/>
    <n v="15"/>
    <n v="8"/>
    <x v="3"/>
    <s v="24-02-1999"/>
    <m/>
    <s v="Salary"/>
    <s v="OFFICE"/>
    <n v="4"/>
    <n v="2"/>
    <s v="Yes"/>
    <s v="Walk-in"/>
    <s v="FullTime"/>
    <n v="1960"/>
    <n v="32"/>
    <n v="80"/>
    <n v="1"/>
    <n v="1"/>
    <n v="1"/>
    <n v="1"/>
    <n v="0"/>
    <s v="Ex-Employees"/>
    <s v="Yes"/>
  </r>
  <r>
    <x v="18"/>
    <s v="Travel_Frequently"/>
    <x v="0"/>
    <n v="1"/>
    <x v="0"/>
    <n v="2"/>
    <n v="4"/>
    <x v="7"/>
    <n v="2"/>
    <x v="1"/>
    <n v="13503"/>
    <n v="1"/>
    <s v="No"/>
    <n v="22"/>
    <n v="4"/>
    <n v="1"/>
    <n v="22"/>
    <n v="3"/>
    <n v="22"/>
    <n v="11"/>
    <n v="11"/>
    <x v="1"/>
    <s v="29-01-1999"/>
    <m/>
    <s v="Salary"/>
    <s v="WFH"/>
    <n v="2"/>
    <n v="3"/>
    <s v="No"/>
    <s v="Job Event"/>
    <s v="Contract"/>
    <n v="2032"/>
    <n v="72"/>
    <n v="80"/>
    <n v="9"/>
    <n v="1"/>
    <n v="1"/>
    <n v="1"/>
    <n v="0"/>
    <s v="Ex-Employees"/>
    <s v="Yes"/>
  </r>
  <r>
    <x v="22"/>
    <s v="Travel_Rarely"/>
    <x v="0"/>
    <n v="4"/>
    <x v="0"/>
    <n v="3"/>
    <n v="5"/>
    <x v="5"/>
    <n v="4"/>
    <x v="1"/>
    <n v="19232"/>
    <n v="1"/>
    <s v="No"/>
    <n v="11"/>
    <n v="3"/>
    <n v="0"/>
    <n v="22"/>
    <n v="3"/>
    <n v="22"/>
    <n v="11"/>
    <n v="15"/>
    <x v="3"/>
    <s v="22-06-1999"/>
    <m/>
    <s v="Work Accident"/>
    <s v="WFH"/>
    <n v="3"/>
    <n v="2"/>
    <s v="No"/>
    <s v="Recruiter"/>
    <s v="Contract"/>
    <n v="1573"/>
    <n v="81"/>
    <n v="80"/>
    <n v="2"/>
    <n v="1"/>
    <n v="1"/>
    <n v="1"/>
    <n v="0"/>
    <s v="Ex-Employees"/>
    <s v="Yes"/>
  </r>
  <r>
    <x v="33"/>
    <s v="Travel_Rarely"/>
    <x v="1"/>
    <n v="2"/>
    <x v="0"/>
    <n v="3"/>
    <n v="4"/>
    <x v="5"/>
    <n v="2"/>
    <x v="0"/>
    <n v="16015"/>
    <n v="1"/>
    <s v="No"/>
    <n v="19"/>
    <n v="3"/>
    <n v="0"/>
    <n v="22"/>
    <n v="2"/>
    <n v="22"/>
    <n v="0"/>
    <n v="4"/>
    <x v="3"/>
    <s v="20-02-1999"/>
    <m/>
    <s v="Dept.Head"/>
    <s v="WFH"/>
    <n v="1"/>
    <n v="0"/>
    <s v="Yes"/>
    <s v="Job Portal"/>
    <s v="FullTime"/>
    <n v="1522"/>
    <n v="100"/>
    <n v="80"/>
    <n v="7"/>
    <n v="1"/>
    <n v="1"/>
    <n v="1"/>
    <n v="0"/>
    <s v="Ex-Employees"/>
    <s v="Yes"/>
  </r>
  <r>
    <x v="33"/>
    <s v="Travel_Rarely"/>
    <x v="2"/>
    <n v="1"/>
    <x v="0"/>
    <n v="2"/>
    <n v="5"/>
    <x v="5"/>
    <n v="3"/>
    <x v="1"/>
    <n v="19189"/>
    <n v="1"/>
    <s v="No"/>
    <n v="12"/>
    <n v="3"/>
    <n v="1"/>
    <n v="22"/>
    <n v="3"/>
    <n v="22"/>
    <n v="2"/>
    <n v="10"/>
    <x v="0"/>
    <s v="25-06-1999"/>
    <m/>
    <s v="Dept.Head"/>
    <s v="OFFICE"/>
    <n v="4"/>
    <n v="0"/>
    <s v="Yes"/>
    <s v="Walk-in"/>
    <s v="Part Time"/>
    <n v="1907"/>
    <n v="97"/>
    <n v="80"/>
    <n v="2"/>
    <n v="1"/>
    <n v="1"/>
    <n v="1"/>
    <n v="0"/>
    <s v="Ex-Employees"/>
    <s v="Yes"/>
  </r>
  <r>
    <x v="9"/>
    <s v="Travel_Frequently"/>
    <x v="1"/>
    <n v="3"/>
    <x v="1"/>
    <n v="3"/>
    <n v="4"/>
    <x v="4"/>
    <n v="3"/>
    <x v="2"/>
    <n v="13770"/>
    <n v="9"/>
    <s v="Yes"/>
    <n v="12"/>
    <n v="3"/>
    <n v="2"/>
    <n v="28"/>
    <n v="2"/>
    <n v="22"/>
    <n v="11"/>
    <n v="13"/>
    <x v="3"/>
    <d v="1999-12-02T00:00:00"/>
    <m/>
    <s v="Better Opportunity"/>
    <s v="OFFICE"/>
    <n v="4"/>
    <n v="3"/>
    <s v="No"/>
    <s v="Recruiter"/>
    <s v="Contract"/>
    <n v="1534"/>
    <n v="86"/>
    <n v="80"/>
    <n v="4"/>
    <n v="1"/>
    <n v="1"/>
    <n v="1"/>
    <n v="0"/>
    <s v="Ex-Employees"/>
    <s v="Yes"/>
  </r>
  <r>
    <x v="22"/>
    <s v="Travel_Rarely"/>
    <x v="0"/>
    <n v="2"/>
    <x v="0"/>
    <n v="3"/>
    <n v="4"/>
    <x v="5"/>
    <n v="1"/>
    <x v="1"/>
    <n v="17665"/>
    <n v="0"/>
    <s v="No"/>
    <n v="17"/>
    <n v="3"/>
    <n v="1"/>
    <n v="23"/>
    <n v="3"/>
    <n v="22"/>
    <n v="13"/>
    <n v="7"/>
    <x v="0"/>
    <d v="1999-11-02T00:00:00"/>
    <m/>
    <s v="Dept.Head"/>
    <s v="OFFICE"/>
    <n v="0"/>
    <n v="0"/>
    <s v="Yes"/>
    <s v="Walk-in"/>
    <s v="Contract"/>
    <n v="1809"/>
    <n v="58"/>
    <n v="80"/>
    <n v="3"/>
    <n v="1"/>
    <n v="1"/>
    <n v="1"/>
    <n v="0"/>
    <s v="Ex-Employees"/>
    <s v="Yes"/>
  </r>
  <r>
    <x v="17"/>
    <s v="Travel_Rarely"/>
    <x v="1"/>
    <n v="5"/>
    <x v="0"/>
    <n v="3"/>
    <n v="5"/>
    <x v="5"/>
    <n v="2"/>
    <x v="1"/>
    <n v="18213"/>
    <n v="7"/>
    <s v="No"/>
    <n v="11"/>
    <n v="3"/>
    <n v="1"/>
    <n v="26"/>
    <n v="5"/>
    <n v="22"/>
    <n v="3"/>
    <n v="10"/>
    <x v="3"/>
    <s v="19-05-1999"/>
    <m/>
    <s v="Work Accident"/>
    <s v="OFFICE"/>
    <n v="4"/>
    <n v="0"/>
    <s v="Yes"/>
    <s v="Job Portal"/>
    <s v="Part Time"/>
    <n v="1692"/>
    <n v="95"/>
    <n v="80"/>
    <n v="0"/>
    <n v="1"/>
    <n v="1"/>
    <n v="1"/>
    <n v="0"/>
    <s v="Ex-Employees"/>
    <s v="Yes"/>
  </r>
  <r>
    <x v="17"/>
    <s v="Travel_Rarely"/>
    <x v="0"/>
    <n v="7"/>
    <x v="1"/>
    <n v="3"/>
    <n v="5"/>
    <x v="2"/>
    <n v="4"/>
    <x v="2"/>
    <n v="19049"/>
    <n v="0"/>
    <s v="Yes"/>
    <n v="14"/>
    <n v="3"/>
    <n v="1"/>
    <n v="23"/>
    <n v="4"/>
    <n v="22"/>
    <n v="1"/>
    <n v="10"/>
    <x v="3"/>
    <d v="1999-06-05T00:00:00"/>
    <m/>
    <s v="Better Opportunity"/>
    <s v="OFFICE"/>
    <n v="5"/>
    <n v="2"/>
    <s v="No"/>
    <s v="Job Event"/>
    <s v="Part Time"/>
    <n v="1457"/>
    <n v="52"/>
    <n v="80"/>
    <n v="7"/>
    <n v="1"/>
    <n v="1"/>
    <n v="1"/>
    <n v="0"/>
    <s v="Ex-Employees"/>
    <s v="Yes"/>
  </r>
  <r>
    <x v="33"/>
    <s v="Travel_Rarely"/>
    <x v="1"/>
    <n v="4"/>
    <x v="1"/>
    <n v="3"/>
    <n v="3"/>
    <x v="4"/>
    <n v="3"/>
    <x v="2"/>
    <n v="10447"/>
    <n v="0"/>
    <s v="Yes"/>
    <n v="13"/>
    <n v="3"/>
    <n v="1"/>
    <n v="23"/>
    <n v="3"/>
    <n v="22"/>
    <n v="13"/>
    <n v="5"/>
    <x v="3"/>
    <d v="1999-03-04T00:00:00"/>
    <m/>
    <s v="Dept.Head"/>
    <s v="WFH"/>
    <n v="3"/>
    <n v="2"/>
    <s v="Yes"/>
    <s v="Job Event"/>
    <s v="Part Time"/>
    <n v="1439"/>
    <n v="68"/>
    <n v="80"/>
    <n v="2"/>
    <n v="1"/>
    <n v="1"/>
    <n v="1"/>
    <n v="0"/>
    <s v="Ex-Employees"/>
    <s v="Yes"/>
  </r>
  <r>
    <x v="9"/>
    <s v="Travel_Rarely"/>
    <x v="0"/>
    <n v="4"/>
    <x v="1"/>
    <n v="2"/>
    <n v="3"/>
    <x v="6"/>
    <n v="2"/>
    <x v="2"/>
    <n v="10333"/>
    <n v="8"/>
    <s v="Yes"/>
    <n v="12"/>
    <n v="3"/>
    <n v="1"/>
    <n v="28"/>
    <n v="4"/>
    <n v="22"/>
    <n v="14"/>
    <n v="10"/>
    <x v="0"/>
    <d v="1999-12-06T00:00:00"/>
    <m/>
    <s v="Better Opportunity"/>
    <s v="OFFICE"/>
    <n v="3"/>
    <n v="2"/>
    <s v="No"/>
    <s v="Recruiter"/>
    <s v="Contract"/>
    <n v="1639"/>
    <n v="55"/>
    <n v="80"/>
    <n v="12"/>
    <n v="1"/>
    <n v="1"/>
    <n v="1"/>
    <n v="0"/>
    <s v="Ex-Employees"/>
    <s v="Yes"/>
  </r>
  <r>
    <x v="10"/>
    <s v="Travel_Rarely"/>
    <x v="0"/>
    <n v="10"/>
    <x v="0"/>
    <n v="2"/>
    <n v="5"/>
    <x v="2"/>
    <n v="2"/>
    <x v="1"/>
    <n v="19665"/>
    <n v="4"/>
    <s v="No"/>
    <n v="12"/>
    <n v="3"/>
    <n v="0"/>
    <n v="29"/>
    <n v="3"/>
    <n v="22"/>
    <n v="12"/>
    <n v="9"/>
    <x v="2"/>
    <s v="20-01-1999"/>
    <m/>
    <s v="Better Opportunity"/>
    <s v="OFFICE"/>
    <n v="1"/>
    <n v="1"/>
    <s v="Yes"/>
    <s v="Job Event"/>
    <s v="Part Time"/>
    <n v="1562"/>
    <n v="64"/>
    <n v="80"/>
    <n v="8"/>
    <n v="1"/>
    <n v="1"/>
    <n v="1"/>
    <n v="0"/>
    <s v="Ex-Employees"/>
    <s v="Yes"/>
  </r>
  <r>
    <x v="10"/>
    <s v="Travel_Frequently"/>
    <x v="0"/>
    <n v="22"/>
    <x v="1"/>
    <n v="3"/>
    <n v="4"/>
    <x v="5"/>
    <n v="4"/>
    <x v="2"/>
    <n v="17174"/>
    <n v="3"/>
    <s v="No"/>
    <n v="11"/>
    <n v="3"/>
    <n v="1"/>
    <n v="24"/>
    <n v="3"/>
    <n v="22"/>
    <n v="4"/>
    <n v="7"/>
    <x v="1"/>
    <d v="1999-04-05T00:00:00"/>
    <m/>
    <s v="Salary"/>
    <s v="OFFICE"/>
    <n v="3"/>
    <n v="3"/>
    <s v="No"/>
    <s v="Job Event"/>
    <s v="Contract"/>
    <n v="1761"/>
    <n v="70"/>
    <n v="80"/>
    <n v="0"/>
    <n v="1"/>
    <n v="1"/>
    <n v="1"/>
    <n v="0"/>
    <s v="Ex-Employees"/>
    <s v="Yes"/>
  </r>
  <r>
    <x v="22"/>
    <s v="Travel_Rarely"/>
    <x v="0"/>
    <n v="2"/>
    <x v="0"/>
    <n v="3"/>
    <n v="5"/>
    <x v="5"/>
    <n v="3"/>
    <x v="1"/>
    <n v="18880"/>
    <n v="5"/>
    <s v="No"/>
    <n v="11"/>
    <n v="3"/>
    <n v="0"/>
    <n v="24"/>
    <n v="2"/>
    <n v="22"/>
    <n v="4"/>
    <n v="14"/>
    <x v="2"/>
    <s v="17-04-1999"/>
    <m/>
    <s v="Salary"/>
    <s v="WFH"/>
    <n v="4"/>
    <n v="3"/>
    <s v="Yes"/>
    <s v="Walk-in"/>
    <s v="Part Time"/>
    <n v="1734"/>
    <n v="34"/>
    <n v="80"/>
    <n v="0"/>
    <n v="1"/>
    <n v="1"/>
    <n v="1"/>
    <n v="0"/>
    <s v="Ex-Employees"/>
    <s v="Yes"/>
  </r>
  <r>
    <x v="2"/>
    <s v="Non-Travel"/>
    <x v="0"/>
    <n v="1"/>
    <x v="0"/>
    <n v="2"/>
    <n v="3"/>
    <x v="7"/>
    <n v="3"/>
    <x v="1"/>
    <n v="10748"/>
    <n v="3"/>
    <s v="No"/>
    <n v="23"/>
    <n v="4"/>
    <n v="1"/>
    <n v="25"/>
    <n v="3"/>
    <n v="23"/>
    <n v="14"/>
    <n v="4"/>
    <x v="3"/>
    <s v="23-03-1998"/>
    <m/>
    <s v="Better Opportunity"/>
    <s v="OFFICE"/>
    <n v="1"/>
    <n v="3"/>
    <s v="Yes"/>
    <s v="Walk-in"/>
    <s v="FullTime"/>
    <n v="1780"/>
    <n v="31"/>
    <n v="80"/>
    <n v="0"/>
    <n v="1"/>
    <n v="1"/>
    <n v="1"/>
    <n v="0"/>
    <s v="Ex-Employees"/>
    <s v="Yes"/>
  </r>
  <r>
    <x v="9"/>
    <s v="Travel_Frequently"/>
    <x v="1"/>
    <n v="9"/>
    <x v="0"/>
    <n v="1"/>
    <n v="4"/>
    <x v="4"/>
    <n v="3"/>
    <x v="1"/>
    <n v="12936"/>
    <n v="7"/>
    <s v="No"/>
    <n v="11"/>
    <n v="3"/>
    <n v="0"/>
    <n v="25"/>
    <n v="3"/>
    <n v="23"/>
    <n v="14"/>
    <n v="10"/>
    <x v="2"/>
    <s v="18-05-1998"/>
    <m/>
    <s v="Salary"/>
    <s v="WFH"/>
    <n v="1"/>
    <n v="1"/>
    <s v="No"/>
    <s v="Recruiter"/>
    <s v="Contract"/>
    <n v="1876"/>
    <n v="89"/>
    <n v="80"/>
    <n v="0"/>
    <n v="1"/>
    <n v="1"/>
    <n v="1"/>
    <n v="0"/>
    <s v="Ex-Employees"/>
    <s v="Yes"/>
  </r>
  <r>
    <x v="35"/>
    <s v="Travel_Rarely"/>
    <x v="1"/>
    <n v="1"/>
    <x v="1"/>
    <n v="3"/>
    <n v="3"/>
    <x v="4"/>
    <n v="1"/>
    <x v="2"/>
    <n v="10453"/>
    <n v="1"/>
    <s v="No"/>
    <n v="25"/>
    <n v="4"/>
    <n v="3"/>
    <n v="24"/>
    <n v="2"/>
    <n v="24"/>
    <n v="15"/>
    <n v="7"/>
    <x v="1"/>
    <s v="23-05-1997"/>
    <m/>
    <s v="Better Opportunity"/>
    <s v="WFH"/>
    <n v="0"/>
    <n v="2"/>
    <s v="Yes"/>
    <s v="Walk-in"/>
    <s v="Part Time"/>
    <n v="1939"/>
    <n v="47"/>
    <n v="80"/>
    <n v="1"/>
    <n v="1"/>
    <n v="1"/>
    <n v="1"/>
    <n v="0"/>
    <s v="Ex-Employees"/>
    <s v="Yes"/>
  </r>
  <r>
    <x v="29"/>
    <s v="Travel_Rarely"/>
    <x v="0"/>
    <n v="14"/>
    <x v="0"/>
    <n v="4"/>
    <n v="5"/>
    <x v="2"/>
    <n v="2"/>
    <x v="0"/>
    <n v="18722"/>
    <n v="8"/>
    <s v="No"/>
    <n v="11"/>
    <n v="3"/>
    <n v="0"/>
    <n v="36"/>
    <n v="3"/>
    <n v="24"/>
    <n v="2"/>
    <n v="15"/>
    <x v="2"/>
    <s v="30-05-1997"/>
    <m/>
    <s v="Work Environment"/>
    <s v="WFH"/>
    <n v="0"/>
    <n v="2"/>
    <s v="Yes"/>
    <s v="Job Portal"/>
    <s v="Contract"/>
    <n v="1421"/>
    <n v="84"/>
    <n v="80"/>
    <n v="7"/>
    <n v="1"/>
    <n v="1"/>
    <n v="1"/>
    <n v="0"/>
    <s v="Ex-Employees"/>
    <s v="Yes"/>
  </r>
  <r>
    <x v="2"/>
    <s v="Travel_Rarely"/>
    <x v="0"/>
    <n v="1"/>
    <x v="0"/>
    <n v="4"/>
    <n v="5"/>
    <x v="5"/>
    <n v="4"/>
    <x v="1"/>
    <n v="19202"/>
    <n v="0"/>
    <s v="No"/>
    <n v="11"/>
    <n v="3"/>
    <n v="1"/>
    <n v="25"/>
    <n v="2"/>
    <n v="24"/>
    <n v="1"/>
    <n v="7"/>
    <x v="1"/>
    <s v="16-04-1997"/>
    <m/>
    <s v="Better Opportunity"/>
    <s v="WFH"/>
    <n v="3"/>
    <n v="1"/>
    <s v="Yes"/>
    <s v="Recruiter"/>
    <s v="Contract"/>
    <n v="1691"/>
    <n v="95"/>
    <n v="80"/>
    <n v="7"/>
    <n v="1"/>
    <n v="1"/>
    <n v="1"/>
    <n v="0"/>
    <s v="Ex-Employees"/>
    <s v="Yes"/>
  </r>
  <r>
    <x v="2"/>
    <s v="Travel_Frequently"/>
    <x v="0"/>
    <n v="7"/>
    <x v="0"/>
    <n v="3"/>
    <n v="3"/>
    <x v="0"/>
    <n v="1"/>
    <x v="2"/>
    <n v="5210"/>
    <n v="1"/>
    <s v="No"/>
    <n v="18"/>
    <n v="3"/>
    <n v="1"/>
    <n v="24"/>
    <n v="2"/>
    <n v="24"/>
    <n v="9"/>
    <n v="11"/>
    <x v="3"/>
    <s v="20-02-1997"/>
    <m/>
    <s v="Dept.Head"/>
    <s v="OFFICE"/>
    <n v="5"/>
    <n v="2"/>
    <s v="No"/>
    <s v="Job Event"/>
    <s v="Part Time"/>
    <n v="1624"/>
    <n v="70"/>
    <n v="80"/>
    <n v="0"/>
    <n v="1"/>
    <n v="1"/>
    <n v="1"/>
    <n v="0"/>
    <s v="Ex-Employees"/>
    <s v="Yes"/>
  </r>
  <r>
    <x v="22"/>
    <s v="Travel_Frequently"/>
    <x v="0"/>
    <n v="8"/>
    <x v="0"/>
    <n v="3"/>
    <n v="5"/>
    <x v="5"/>
    <n v="4"/>
    <x v="2"/>
    <n v="18430"/>
    <n v="1"/>
    <s v="No"/>
    <n v="13"/>
    <n v="3"/>
    <n v="1"/>
    <n v="24"/>
    <n v="4"/>
    <n v="24"/>
    <n v="14"/>
    <n v="9"/>
    <x v="0"/>
    <s v="30-03-1997"/>
    <m/>
    <s v="Better Opportunity"/>
    <s v="OFFICE"/>
    <n v="1"/>
    <n v="3"/>
    <s v="Yes"/>
    <s v="Job Portal"/>
    <s v="Contract"/>
    <n v="1818"/>
    <n v="69"/>
    <n v="80"/>
    <n v="1"/>
    <n v="1"/>
    <n v="1"/>
    <n v="1"/>
    <n v="0"/>
    <s v="Ex-Employees"/>
    <s v="Yes"/>
  </r>
  <r>
    <x v="2"/>
    <s v="Travel_Rarely"/>
    <x v="1"/>
    <n v="2"/>
    <x v="1"/>
    <n v="1"/>
    <n v="5"/>
    <x v="5"/>
    <n v="2"/>
    <x v="0"/>
    <n v="18824"/>
    <n v="2"/>
    <s v="Yes"/>
    <n v="16"/>
    <n v="3"/>
    <n v="0"/>
    <n v="26"/>
    <n v="2"/>
    <n v="24"/>
    <n v="1"/>
    <n v="11"/>
    <x v="3"/>
    <s v="13-05-1997"/>
    <m/>
    <s v="Better Opportunity"/>
    <s v="OFFICE"/>
    <n v="2"/>
    <n v="3"/>
    <s v="Yes"/>
    <s v="Job Portal"/>
    <s v="Contract"/>
    <n v="1569"/>
    <n v="69"/>
    <n v="80"/>
    <n v="0"/>
    <n v="1"/>
    <n v="1"/>
    <n v="1"/>
    <n v="0"/>
    <s v="Ex-Employees"/>
    <s v="Yes"/>
  </r>
  <r>
    <x v="42"/>
    <s v="Travel_Rarely"/>
    <x v="1"/>
    <n v="2"/>
    <x v="1"/>
    <n v="2"/>
    <n v="4"/>
    <x v="5"/>
    <n v="4"/>
    <x v="1"/>
    <n v="15427"/>
    <n v="2"/>
    <s v="No"/>
    <n v="16"/>
    <n v="3"/>
    <n v="0"/>
    <n v="31"/>
    <n v="3"/>
    <n v="25"/>
    <n v="3"/>
    <n v="7"/>
    <x v="0"/>
    <d v="1996-12-02T00:00:00"/>
    <m/>
    <s v="Better Opportunity"/>
    <s v="WFH"/>
    <n v="5"/>
    <n v="3"/>
    <s v="Yes"/>
    <s v="Job Event"/>
    <s v="FullTime"/>
    <n v="1783"/>
    <n v="79"/>
    <n v="80"/>
    <n v="0"/>
    <n v="1"/>
    <n v="1"/>
    <n v="1"/>
    <n v="0"/>
    <s v="Ex-Employees"/>
    <s v="Yes"/>
  </r>
  <r>
    <x v="34"/>
    <s v="Travel_Frequently"/>
    <x v="1"/>
    <n v="26"/>
    <x v="0"/>
    <n v="3"/>
    <n v="4"/>
    <x v="5"/>
    <n v="4"/>
    <x v="1"/>
    <n v="16959"/>
    <n v="1"/>
    <s v="Yes"/>
    <n v="12"/>
    <n v="3"/>
    <n v="2"/>
    <n v="25"/>
    <n v="3"/>
    <n v="25"/>
    <n v="4"/>
    <n v="12"/>
    <x v="0"/>
    <d v="1996-03-05T00:00:00"/>
    <m/>
    <s v="Better Opportunity"/>
    <s v="OFFICE"/>
    <n v="2"/>
    <n v="1"/>
    <s v="Yes"/>
    <s v="Walk-in"/>
    <s v="Contract"/>
    <n v="1933"/>
    <n v="84"/>
    <n v="80"/>
    <n v="0"/>
    <n v="1"/>
    <n v="1"/>
    <n v="1"/>
    <n v="0"/>
    <s v="Ex-Employees"/>
    <s v="Yes"/>
  </r>
  <r>
    <x v="34"/>
    <s v="Travel_Rarely"/>
    <x v="0"/>
    <n v="12"/>
    <x v="0"/>
    <n v="2"/>
    <n v="4"/>
    <x v="2"/>
    <n v="2"/>
    <x v="2"/>
    <n v="14336"/>
    <n v="1"/>
    <s v="No"/>
    <n v="11"/>
    <n v="3"/>
    <n v="1"/>
    <n v="25"/>
    <n v="3"/>
    <n v="25"/>
    <n v="3"/>
    <n v="9"/>
    <x v="1"/>
    <s v="19-06-1969"/>
    <m/>
    <s v="Better Opportunity"/>
    <s v="OFFICE"/>
    <n v="2"/>
    <n v="1"/>
    <s v="Yes"/>
    <s v="Job Portal"/>
    <s v="Part Time"/>
    <n v="1792"/>
    <n v="99"/>
    <n v="80"/>
    <n v="3"/>
    <n v="1"/>
    <n v="1"/>
    <n v="1"/>
    <n v="0"/>
    <s v="Ex-Employees"/>
    <s v="Yes"/>
  </r>
  <r>
    <x v="17"/>
    <s v="Travel_Rarely"/>
    <x v="0"/>
    <n v="4"/>
    <x v="0"/>
    <n v="4"/>
    <n v="5"/>
    <x v="5"/>
    <n v="1"/>
    <x v="2"/>
    <n v="19190"/>
    <n v="1"/>
    <s v="No"/>
    <n v="14"/>
    <n v="3"/>
    <n v="2"/>
    <n v="26"/>
    <n v="4"/>
    <n v="25"/>
    <n v="14"/>
    <n v="13"/>
    <x v="1"/>
    <d v="1996-02-04T00:00:00"/>
    <m/>
    <s v="Salary"/>
    <s v="WFH"/>
    <n v="4"/>
    <n v="1"/>
    <s v="Yes"/>
    <s v="Job Portal"/>
    <s v="FullTime"/>
    <n v="1464"/>
    <n v="94"/>
    <n v="80"/>
    <n v="2"/>
    <n v="1"/>
    <n v="1"/>
    <n v="1"/>
    <n v="0"/>
    <s v="Ex-Employees"/>
    <s v="Yes"/>
  </r>
  <r>
    <x v="9"/>
    <s v="Travel_Rarely"/>
    <x v="0"/>
    <n v="2"/>
    <x v="1"/>
    <n v="3"/>
    <n v="4"/>
    <x v="5"/>
    <n v="4"/>
    <x v="1"/>
    <n v="16752"/>
    <n v="1"/>
    <s v="Yes"/>
    <n v="11"/>
    <n v="3"/>
    <n v="1"/>
    <n v="26"/>
    <n v="3"/>
    <n v="26"/>
    <n v="3"/>
    <n v="0"/>
    <x v="0"/>
    <s v="13-04-1995"/>
    <m/>
    <s v="Work Environment"/>
    <s v="WFH"/>
    <n v="3"/>
    <n v="0"/>
    <s v="No"/>
    <s v="Recruiter"/>
    <s v="Part Time"/>
    <n v="1767"/>
    <n v="38"/>
    <n v="80"/>
    <n v="0"/>
    <n v="1"/>
    <n v="1"/>
    <n v="1"/>
    <n v="0"/>
    <s v="Ex-Employees"/>
    <s v="Yes"/>
  </r>
  <r>
    <x v="39"/>
    <s v="Travel_Rarely"/>
    <x v="0"/>
    <n v="8"/>
    <x v="1"/>
    <n v="3"/>
    <n v="3"/>
    <x v="0"/>
    <n v="2"/>
    <x v="1"/>
    <n v="7403"/>
    <n v="4"/>
    <s v="No"/>
    <n v="11"/>
    <n v="3"/>
    <n v="1"/>
    <n v="29"/>
    <n v="3"/>
    <n v="26"/>
    <n v="1"/>
    <n v="7"/>
    <x v="2"/>
    <s v="27-02-1995"/>
    <m/>
    <s v="Better Opportunity"/>
    <s v="WFH"/>
    <n v="4"/>
    <n v="0"/>
    <s v="Yes"/>
    <s v="Job Event"/>
    <s v="Part Time"/>
    <n v="1494"/>
    <n v="89"/>
    <n v="80"/>
    <n v="0"/>
    <n v="1"/>
    <n v="1"/>
    <n v="1"/>
    <n v="0"/>
    <s v="Ex-Employees"/>
    <s v="Yes"/>
  </r>
  <r>
    <x v="35"/>
    <s v="Travel_Rarely"/>
    <x v="1"/>
    <n v="2"/>
    <x v="1"/>
    <n v="3"/>
    <n v="4"/>
    <x v="5"/>
    <n v="1"/>
    <x v="1"/>
    <n v="17048"/>
    <n v="8"/>
    <s v="No"/>
    <n v="23"/>
    <n v="4"/>
    <n v="0"/>
    <n v="28"/>
    <n v="2"/>
    <n v="26"/>
    <n v="15"/>
    <n v="9"/>
    <x v="2"/>
    <d v="1995-10-06T00:00:00"/>
    <m/>
    <s v="Work Accident"/>
    <s v="WFH"/>
    <n v="4"/>
    <n v="1"/>
    <s v="Yes"/>
    <s v="Recruiter"/>
    <s v="FullTime"/>
    <n v="1967"/>
    <n v="63"/>
    <n v="80"/>
    <n v="7"/>
    <n v="1"/>
    <n v="1"/>
    <n v="1"/>
    <n v="0"/>
    <s v="Ex-Employees"/>
    <s v="Yes"/>
  </r>
  <r>
    <x v="35"/>
    <s v="Travel_Rarely"/>
    <x v="1"/>
    <n v="1"/>
    <x v="0"/>
    <n v="4"/>
    <n v="4"/>
    <x v="5"/>
    <n v="1"/>
    <x v="0"/>
    <n v="17567"/>
    <n v="1"/>
    <s v="No"/>
    <n v="15"/>
    <n v="3"/>
    <n v="0"/>
    <n v="27"/>
    <n v="5"/>
    <n v="26"/>
    <n v="0"/>
    <n v="12"/>
    <x v="1"/>
    <s v="19-06-1995"/>
    <m/>
    <s v="Salary"/>
    <s v="OFFICE"/>
    <n v="3"/>
    <n v="3"/>
    <s v="Yes"/>
    <s v="Recruiter"/>
    <s v="FullTime"/>
    <n v="1844"/>
    <n v="56"/>
    <n v="80"/>
    <n v="2"/>
    <n v="1"/>
    <n v="1"/>
    <n v="1"/>
    <n v="0"/>
    <s v="Ex-Employees"/>
    <s v="Yes"/>
  </r>
  <r>
    <x v="16"/>
    <s v="Travel_Rarely"/>
    <x v="0"/>
    <n v="7"/>
    <x v="1"/>
    <n v="2"/>
    <n v="5"/>
    <x v="2"/>
    <n v="3"/>
    <x v="2"/>
    <n v="18740"/>
    <n v="5"/>
    <s v="Yes"/>
    <n v="12"/>
    <n v="3"/>
    <n v="1"/>
    <n v="29"/>
    <n v="2"/>
    <n v="27"/>
    <n v="13"/>
    <n v="8"/>
    <x v="3"/>
    <s v="29-06-1994"/>
    <m/>
    <s v="Salary"/>
    <s v="WFH"/>
    <n v="2"/>
    <n v="2"/>
    <s v="Yes"/>
    <s v="Job Portal"/>
    <s v="Part Time"/>
    <n v="2027"/>
    <n v="36"/>
    <n v="80"/>
    <n v="2"/>
    <n v="1"/>
    <n v="1"/>
    <n v="1"/>
    <n v="0"/>
    <s v="Ex-Employees"/>
    <s v="Yes"/>
  </r>
  <r>
    <x v="16"/>
    <s v="Travel_Rarely"/>
    <x v="0"/>
    <n v="29"/>
    <x v="0"/>
    <n v="2"/>
    <n v="4"/>
    <x v="5"/>
    <n v="3"/>
    <x v="1"/>
    <n v="17046"/>
    <n v="0"/>
    <s v="No"/>
    <n v="15"/>
    <n v="3"/>
    <n v="1"/>
    <n v="28"/>
    <n v="2"/>
    <n v="27"/>
    <n v="15"/>
    <n v="7"/>
    <x v="1"/>
    <s v="30-04-1994"/>
    <m/>
    <s v="Salary"/>
    <s v="WFH"/>
    <n v="4"/>
    <n v="1"/>
    <s v="Yes"/>
    <s v="Job Portal"/>
    <s v="Part Time"/>
    <n v="1604"/>
    <n v="51"/>
    <n v="80"/>
    <n v="1"/>
    <n v="1"/>
    <n v="1"/>
    <n v="1"/>
    <n v="0"/>
    <s v="Ex-Employees"/>
    <s v="Yes"/>
  </r>
  <r>
    <x v="40"/>
    <s v="Travel_Rarely"/>
    <x v="0"/>
    <n v="7"/>
    <x v="1"/>
    <n v="3"/>
    <n v="5"/>
    <x v="5"/>
    <n v="1"/>
    <x v="1"/>
    <n v="19566"/>
    <n v="5"/>
    <s v="No"/>
    <n v="11"/>
    <n v="3"/>
    <n v="0"/>
    <n v="33"/>
    <n v="5"/>
    <n v="29"/>
    <n v="11"/>
    <n v="10"/>
    <x v="0"/>
    <s v="29-02-1992"/>
    <m/>
    <s v="Work Environment"/>
    <s v="OFFICE"/>
    <n v="2"/>
    <n v="0"/>
    <s v="No"/>
    <s v="Recruiter"/>
    <s v="FullTime"/>
    <n v="1649"/>
    <n v="73"/>
    <n v="80"/>
    <n v="2"/>
    <n v="1"/>
    <n v="1"/>
    <n v="1"/>
    <n v="0"/>
    <s v="Ex-Employees"/>
    <s v="Yes"/>
  </r>
  <r>
    <x v="31"/>
    <s v="Travel_Frequently"/>
    <x v="1"/>
    <n v="9"/>
    <x v="0"/>
    <n v="3"/>
    <n v="5"/>
    <x v="5"/>
    <n v="2"/>
    <x v="2"/>
    <n v="19847"/>
    <n v="4"/>
    <s v="Yes"/>
    <n v="24"/>
    <n v="4"/>
    <n v="1"/>
    <n v="31"/>
    <n v="5"/>
    <n v="29"/>
    <n v="11"/>
    <n v="10"/>
    <x v="1"/>
    <s v="31-03-1992"/>
    <m/>
    <s v="Dept.Head"/>
    <s v="WFH"/>
    <n v="0"/>
    <n v="1"/>
    <s v="No"/>
    <s v="Recruiter"/>
    <s v="Contract"/>
    <n v="1684"/>
    <n v="93"/>
    <n v="80"/>
    <n v="4"/>
    <n v="1"/>
    <n v="1"/>
    <n v="1"/>
    <n v="0"/>
    <s v="Ex-Employees"/>
    <s v="Yes"/>
  </r>
  <r>
    <x v="16"/>
    <s v="Travel_Frequently"/>
    <x v="0"/>
    <n v="20"/>
    <x v="0"/>
    <n v="3"/>
    <n v="4"/>
    <x v="7"/>
    <n v="3"/>
    <x v="1"/>
    <n v="11245"/>
    <n v="2"/>
    <s v="Yes"/>
    <n v="15"/>
    <n v="3"/>
    <n v="1"/>
    <n v="32"/>
    <n v="3"/>
    <n v="30"/>
    <n v="12"/>
    <n v="13"/>
    <x v="1"/>
    <d v="1991-01-06T00:00:00"/>
    <m/>
    <s v="Better Opportunity"/>
    <s v="WFH"/>
    <n v="1"/>
    <n v="0"/>
    <s v="Yes"/>
    <s v="Job Portal"/>
    <s v="FullTime"/>
    <n v="2055"/>
    <n v="39"/>
    <n v="80"/>
    <n v="2"/>
    <n v="1"/>
    <n v="1"/>
    <n v="1"/>
    <n v="0"/>
    <s v="Ex-Employees"/>
    <s v="Yes"/>
  </r>
  <r>
    <x v="39"/>
    <s v="Travel_Rarely"/>
    <x v="0"/>
    <n v="18"/>
    <x v="0"/>
    <n v="2"/>
    <n v="5"/>
    <x v="2"/>
    <n v="3"/>
    <x v="2"/>
    <n v="19502"/>
    <n v="1"/>
    <s v="Yes"/>
    <n v="17"/>
    <n v="3"/>
    <n v="1"/>
    <n v="31"/>
    <n v="5"/>
    <n v="31"/>
    <n v="0"/>
    <n v="9"/>
    <x v="2"/>
    <s v="13-05-1990"/>
    <m/>
    <s v="Work Accident"/>
    <s v="OFFICE"/>
    <n v="3"/>
    <n v="3"/>
    <s v="Yes"/>
    <s v="Job Portal"/>
    <s v="FullTime"/>
    <n v="1645"/>
    <n v="59"/>
    <n v="80"/>
    <n v="2"/>
    <n v="1"/>
    <n v="1"/>
    <n v="1"/>
    <n v="0"/>
    <s v="Ex-Employees"/>
    <s v="Yes"/>
  </r>
  <r>
    <x v="32"/>
    <s v="Travel_Rarely"/>
    <x v="0"/>
    <n v="2"/>
    <x v="0"/>
    <n v="3"/>
    <n v="5"/>
    <x v="2"/>
    <n v="2"/>
    <x v="0"/>
    <n v="19246"/>
    <n v="7"/>
    <s v="Yes"/>
    <n v="12"/>
    <n v="3"/>
    <n v="0"/>
    <n v="40"/>
    <n v="2"/>
    <n v="31"/>
    <n v="13"/>
    <n v="8"/>
    <x v="1"/>
    <s v="13-04-1990"/>
    <m/>
    <s v="Work Environment"/>
    <s v="WFH"/>
    <n v="3"/>
    <n v="1"/>
    <s v="No"/>
    <s v="Recruiter"/>
    <s v="FullTime"/>
    <n v="1733"/>
    <n v="96"/>
    <n v="80"/>
    <n v="2"/>
    <n v="1"/>
    <n v="1"/>
    <n v="1"/>
    <n v="0"/>
    <s v="Ex-Employees"/>
    <s v="Yes"/>
  </r>
  <r>
    <x v="16"/>
    <s v="Non-Travel"/>
    <x v="0"/>
    <n v="2"/>
    <x v="0"/>
    <n v="3"/>
    <n v="4"/>
    <x v="5"/>
    <n v="1"/>
    <x v="2"/>
    <n v="17924"/>
    <n v="1"/>
    <s v="No"/>
    <n v="11"/>
    <n v="3"/>
    <n v="1"/>
    <n v="31"/>
    <n v="3"/>
    <n v="31"/>
    <n v="14"/>
    <n v="7"/>
    <x v="0"/>
    <d v="1990-06-01T00:00:00"/>
    <m/>
    <s v="Dept.Head"/>
    <s v="WFH"/>
    <n v="4"/>
    <n v="2"/>
    <s v="No"/>
    <s v="Job Event"/>
    <s v="FullTime"/>
    <n v="1968"/>
    <n v="66"/>
    <n v="80"/>
    <n v="2"/>
    <n v="1"/>
    <n v="1"/>
    <n v="1"/>
    <n v="0"/>
    <s v="Ex-Employees"/>
    <s v="Yes"/>
  </r>
  <r>
    <x v="16"/>
    <s v="Travel_Frequently"/>
    <x v="2"/>
    <n v="3"/>
    <x v="0"/>
    <n v="3"/>
    <n v="5"/>
    <x v="5"/>
    <n v="2"/>
    <x v="1"/>
    <n v="18200"/>
    <n v="1"/>
    <s v="No"/>
    <n v="11"/>
    <n v="3"/>
    <n v="1"/>
    <n v="32"/>
    <n v="2"/>
    <n v="32"/>
    <n v="10"/>
    <n v="7"/>
    <x v="1"/>
    <s v="19-06-1989"/>
    <m/>
    <s v="Salary"/>
    <s v="WFH"/>
    <n v="4"/>
    <n v="3"/>
    <s v="Yes"/>
    <s v="Walk-in"/>
    <s v="Contract"/>
    <n v="1862"/>
    <n v="82"/>
    <n v="80"/>
    <n v="2"/>
    <n v="1"/>
    <n v="1"/>
    <n v="1"/>
    <n v="0"/>
    <s v="Ex-Employees"/>
    <s v="Yes"/>
  </r>
  <r>
    <x v="41"/>
    <s v="Travel_Rarely"/>
    <x v="1"/>
    <n v="2"/>
    <x v="1"/>
    <n v="1"/>
    <n v="5"/>
    <x v="5"/>
    <n v="4"/>
    <x v="1"/>
    <n v="19845"/>
    <n v="1"/>
    <s v="No"/>
    <n v="15"/>
    <n v="3"/>
    <n v="1"/>
    <n v="33"/>
    <n v="3"/>
    <n v="32"/>
    <n v="6"/>
    <n v="9"/>
    <x v="3"/>
    <s v="17-05-1989"/>
    <m/>
    <s v="Better Opportunity"/>
    <s v="OFFICE"/>
    <n v="3"/>
    <n v="2"/>
    <s v="No"/>
    <s v="Job Event"/>
    <s v="FullTime"/>
    <n v="1797"/>
    <n v="84"/>
    <n v="80"/>
    <n v="7"/>
    <n v="1"/>
    <n v="1"/>
    <n v="1"/>
    <n v="0"/>
    <s v="Ex-Employees"/>
    <s v="Yes"/>
  </r>
  <r>
    <x v="16"/>
    <s v="Travel_Frequently"/>
    <x v="0"/>
    <n v="22"/>
    <x v="0"/>
    <n v="1"/>
    <n v="4"/>
    <x v="2"/>
    <n v="4"/>
    <x v="0"/>
    <n v="14411"/>
    <n v="1"/>
    <s v="Yes"/>
    <n v="13"/>
    <n v="3"/>
    <n v="0"/>
    <n v="32"/>
    <n v="2"/>
    <n v="32"/>
    <n v="13"/>
    <n v="9"/>
    <x v="2"/>
    <s v="30-03-1989"/>
    <m/>
    <s v="Dept.Head"/>
    <s v="WFH"/>
    <n v="2"/>
    <n v="1"/>
    <s v="Yes"/>
    <s v="Recruiter"/>
    <s v="Part Time"/>
    <n v="1821"/>
    <n v="66"/>
    <n v="80"/>
    <n v="7"/>
    <n v="1"/>
    <n v="1"/>
    <n v="1"/>
    <n v="0"/>
    <s v="Ex-Employees"/>
    <s v="Yes"/>
  </r>
  <r>
    <x v="41"/>
    <s v="Travel_Rarely"/>
    <x v="0"/>
    <n v="1"/>
    <x v="0"/>
    <n v="2"/>
    <n v="5"/>
    <x v="5"/>
    <n v="3"/>
    <x v="1"/>
    <n v="19999"/>
    <n v="0"/>
    <s v="No"/>
    <n v="14"/>
    <n v="3"/>
    <n v="1"/>
    <n v="34"/>
    <n v="5"/>
    <n v="33"/>
    <n v="11"/>
    <n v="9"/>
    <x v="2"/>
    <s v="14-03-1988"/>
    <m/>
    <s v="Better Opportunity"/>
    <s v="WFH"/>
    <n v="5"/>
    <n v="0"/>
    <s v="No"/>
    <s v="Recruiter"/>
    <s v="FullTime"/>
    <n v="1869"/>
    <n v="64"/>
    <n v="80"/>
    <n v="7"/>
    <n v="1"/>
    <n v="1"/>
    <n v="1"/>
    <n v="0"/>
    <s v="Ex-Employees"/>
    <s v="Yes"/>
  </r>
  <r>
    <x v="41"/>
    <s v="Non-Travel"/>
    <x v="1"/>
    <n v="2"/>
    <x v="0"/>
    <n v="2"/>
    <n v="5"/>
    <x v="5"/>
    <n v="3"/>
    <x v="0"/>
    <n v="19068"/>
    <n v="1"/>
    <s v="Yes"/>
    <n v="18"/>
    <n v="3"/>
    <n v="0"/>
    <n v="33"/>
    <n v="2"/>
    <n v="33"/>
    <n v="15"/>
    <n v="12"/>
    <x v="0"/>
    <d v="1988-12-05T00:00:00"/>
    <m/>
    <s v="Salary"/>
    <s v="WFH"/>
    <n v="4"/>
    <n v="3"/>
    <s v="Yes"/>
    <s v="Job Event"/>
    <s v="Part Time"/>
    <n v="1420"/>
    <n v="97"/>
    <n v="80"/>
    <n v="3"/>
    <n v="1"/>
    <n v="1"/>
    <n v="1"/>
    <n v="0"/>
    <s v="Ex-Employees"/>
    <s v="Yes"/>
  </r>
  <r>
    <x v="29"/>
    <s v="Non-Travel"/>
    <x v="0"/>
    <n v="8"/>
    <x v="0"/>
    <n v="2"/>
    <n v="4"/>
    <x v="7"/>
    <n v="2"/>
    <x v="2"/>
    <n v="13577"/>
    <n v="1"/>
    <s v="Yes"/>
    <n v="15"/>
    <n v="3"/>
    <n v="1"/>
    <n v="34"/>
    <n v="3"/>
    <n v="33"/>
    <n v="15"/>
    <n v="0"/>
    <x v="3"/>
    <d v="1988-09-04T00:00:00"/>
    <m/>
    <s v="Salary"/>
    <s v="WFH"/>
    <n v="3"/>
    <n v="1"/>
    <s v="No"/>
    <s v="Walk-in"/>
    <s v="Part Time"/>
    <n v="1458"/>
    <n v="54"/>
    <n v="80"/>
    <n v="0"/>
    <n v="1"/>
    <n v="1"/>
    <n v="1"/>
    <n v="0"/>
    <s v="Ex-Employees"/>
    <s v="Yes"/>
  </r>
  <r>
    <x v="31"/>
    <s v="Travel_Rarely"/>
    <x v="2"/>
    <n v="5"/>
    <x v="0"/>
    <n v="3"/>
    <n v="4"/>
    <x v="5"/>
    <n v="2"/>
    <x v="2"/>
    <n v="14026"/>
    <n v="1"/>
    <s v="Yes"/>
    <n v="11"/>
    <n v="3"/>
    <n v="1"/>
    <n v="33"/>
    <n v="2"/>
    <n v="33"/>
    <n v="0"/>
    <n v="10"/>
    <x v="1"/>
    <d v="1988-04-04T00:00:00"/>
    <m/>
    <s v="Better Opportunity"/>
    <s v="OFFICE"/>
    <n v="4"/>
    <n v="1"/>
    <s v="Yes"/>
    <s v="Job Portal"/>
    <s v="Contract"/>
    <n v="1489"/>
    <n v="40"/>
    <n v="80"/>
    <n v="9"/>
    <n v="1"/>
    <n v="1"/>
    <n v="1"/>
    <n v="0"/>
    <s v="Ex-Employees"/>
    <s v="Yes"/>
  </r>
  <r>
    <x v="42"/>
    <s v="Travel_Rarely"/>
    <x v="0"/>
    <n v="2"/>
    <x v="1"/>
    <n v="2"/>
    <n v="3"/>
    <x v="6"/>
    <n v="4"/>
    <x v="1"/>
    <n v="10169"/>
    <n v="0"/>
    <s v="No"/>
    <n v="16"/>
    <n v="3"/>
    <n v="1"/>
    <n v="34"/>
    <n v="4"/>
    <n v="33"/>
    <n v="1"/>
    <n v="9"/>
    <x v="1"/>
    <s v="20-06-1988"/>
    <m/>
    <s v="Work Accident"/>
    <s v="WFH"/>
    <n v="4"/>
    <n v="0"/>
    <s v="Yes"/>
    <s v="Recruiter"/>
    <s v="Contract"/>
    <n v="1758"/>
    <n v="74"/>
    <n v="80"/>
    <n v="0"/>
    <n v="1"/>
    <n v="1"/>
    <n v="1"/>
    <n v="0"/>
    <s v="Ex-Employees"/>
    <s v="Yes"/>
  </r>
  <r>
    <x v="41"/>
    <s v="Travel_Rarely"/>
    <x v="1"/>
    <n v="3"/>
    <x v="0"/>
    <n v="2"/>
    <n v="4"/>
    <x v="5"/>
    <n v="1"/>
    <x v="1"/>
    <n v="16856"/>
    <n v="1"/>
    <s v="No"/>
    <n v="11"/>
    <n v="3"/>
    <n v="0"/>
    <n v="34"/>
    <n v="3"/>
    <n v="34"/>
    <n v="1"/>
    <n v="16"/>
    <x v="1"/>
    <d v="1987-05-06T00:00:00"/>
    <m/>
    <s v="Salary"/>
    <s v="OFFICE"/>
    <n v="3"/>
    <n v="2"/>
    <s v="No"/>
    <s v="Job Portal"/>
    <s v="Part Time"/>
    <n v="1905"/>
    <n v="85"/>
    <n v="80"/>
    <n v="2"/>
    <n v="1"/>
    <n v="1"/>
    <n v="1"/>
    <n v="0"/>
    <s v="Ex-Employees"/>
    <s v="Yes"/>
  </r>
  <r>
    <x v="29"/>
    <s v="Travel_Rarely"/>
    <x v="0"/>
    <n v="1"/>
    <x v="0"/>
    <n v="3"/>
    <n v="5"/>
    <x v="5"/>
    <n v="1"/>
    <x v="0"/>
    <n v="19045"/>
    <n v="0"/>
    <s v="Yes"/>
    <n v="14"/>
    <n v="3"/>
    <n v="0"/>
    <n v="37"/>
    <n v="2"/>
    <n v="36"/>
    <n v="4"/>
    <n v="13"/>
    <x v="1"/>
    <s v="20-01-1985"/>
    <m/>
    <s v="Work Accident"/>
    <s v="WFH"/>
    <n v="1"/>
    <n v="1"/>
    <s v="No"/>
    <s v="Walk-in"/>
    <s v="FullTime"/>
    <n v="1868"/>
    <n v="73"/>
    <n v="80"/>
    <n v="0"/>
    <n v="1"/>
    <n v="1"/>
    <n v="1"/>
    <n v="0"/>
    <s v="Ex-Employees"/>
    <s v="Yes"/>
  </r>
  <r>
    <x v="29"/>
    <s v="Travel_Rarely"/>
    <x v="1"/>
    <n v="26"/>
    <x v="0"/>
    <n v="2"/>
    <n v="5"/>
    <x v="5"/>
    <n v="4"/>
    <x v="1"/>
    <n v="19586"/>
    <n v="1"/>
    <s v="No"/>
    <n v="21"/>
    <n v="4"/>
    <n v="1"/>
    <n v="36"/>
    <n v="3"/>
    <n v="36"/>
    <n v="2"/>
    <n v="13"/>
    <x v="1"/>
    <s v="17-02-1985"/>
    <m/>
    <s v="Work Accident"/>
    <s v="OFFICE"/>
    <n v="2"/>
    <n v="1"/>
    <s v="No"/>
    <s v="Recruiter"/>
    <s v="Part Time"/>
    <n v="1667"/>
    <n v="36"/>
    <n v="80"/>
    <n v="9"/>
    <n v="1"/>
    <n v="1"/>
    <n v="1"/>
    <n v="0"/>
    <s v="Ex-Employees"/>
    <s v="Yes"/>
  </r>
  <r>
    <x v="32"/>
    <s v="Travel_Rarely"/>
    <x v="1"/>
    <n v="10"/>
    <x v="0"/>
    <n v="3"/>
    <n v="4"/>
    <x v="4"/>
    <n v="3"/>
    <x v="0"/>
    <n v="13872"/>
    <n v="0"/>
    <s v="No"/>
    <n v="13"/>
    <n v="3"/>
    <n v="0"/>
    <n v="38"/>
    <n v="1"/>
    <n v="37"/>
    <n v="1"/>
    <n v="8"/>
    <x v="2"/>
    <s v="29-06-1984"/>
    <m/>
    <s v="Work Environment"/>
    <s v="WFH"/>
    <n v="2"/>
    <n v="2"/>
    <s v="Yes"/>
    <s v="Job Event"/>
    <s v="Part Time"/>
    <n v="1878"/>
    <n v="75"/>
    <n v="80"/>
    <n v="0"/>
    <n v="1"/>
    <n v="1"/>
    <n v="1"/>
    <n v="0"/>
    <s v="Ex-Employees"/>
    <s v="Yes"/>
  </r>
  <r>
    <x v="32"/>
    <s v="Travel_Rarely"/>
    <x v="0"/>
    <n v="23"/>
    <x v="1"/>
    <n v="3"/>
    <n v="3"/>
    <x v="7"/>
    <n v="4"/>
    <x v="1"/>
    <n v="10312"/>
    <n v="1"/>
    <s v="No"/>
    <n v="12"/>
    <n v="3"/>
    <n v="1"/>
    <n v="40"/>
    <n v="3"/>
    <n v="40"/>
    <n v="15"/>
    <n v="6"/>
    <x v="3"/>
    <d v="1981-08-02T00:00:00"/>
    <m/>
    <s v="Work Environment"/>
    <s v="WFH"/>
    <n v="4"/>
    <n v="3"/>
    <s v="Yes"/>
    <s v="Job Portal"/>
    <s v="FullTime"/>
    <n v="1702"/>
    <n v="99"/>
    <n v="80"/>
    <n v="2"/>
    <n v="1"/>
    <n v="1"/>
    <n v="1"/>
    <n v="0"/>
    <s v="Ex-Employees"/>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73C147-61EF-49EB-851B-87559C449C5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1">
    <pivotField dataField="1" showAll="0">
      <items count="8">
        <item x="0"/>
        <item x="1"/>
        <item x="2"/>
        <item x="3"/>
        <item x="4"/>
        <item x="5"/>
        <item x="6"/>
        <item t="default"/>
      </items>
    </pivotField>
    <pivotField showAll="0"/>
    <pivotField showAll="0">
      <items count="4">
        <item h="1" x="2"/>
        <item x="0"/>
        <item h="1"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3"/>
        <item x="0"/>
        <item h="1" x="2"/>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Count of Emp No." fld="31" subtotal="count" baseField="0" baseItem="0"/>
    <dataField name="Sum of CF_attrition counts" fld="36" baseField="0" baseItem="0"/>
    <dataField name="Average of Age" fld="0"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82BFA7-6E51-4634-8A2A-810D0C3FB1B5}" name="Rating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1">
    <pivotField showAll="0">
      <items count="8">
        <item x="0"/>
        <item x="1"/>
        <item x="2"/>
        <item x="3"/>
        <item x="4"/>
        <item x="5"/>
        <item x="6"/>
        <item t="default"/>
      </items>
    </pivotField>
    <pivotField showAll="0"/>
    <pivotField showAll="0">
      <items count="4">
        <item h="1" x="2"/>
        <item x="0"/>
        <item h="1" x="1"/>
        <item t="default"/>
      </items>
    </pivotField>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3"/>
        <item x="0"/>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8" subtotal="average"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B3CDB9-3AD8-42F9-90E6-9033A81C9778}" name="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1">
    <pivotField showAll="0">
      <items count="8">
        <item x="0"/>
        <item x="1"/>
        <item x="2"/>
        <item x="3"/>
        <item x="4"/>
        <item x="5"/>
        <item x="6"/>
        <item t="default"/>
      </items>
    </pivotField>
    <pivotField showAll="0"/>
    <pivotField showAll="0">
      <items count="4">
        <item h="1" x="2"/>
        <item x="0"/>
        <item h="1" x="1"/>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3"/>
        <item x="0"/>
        <item h="1" x="2"/>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Emp No." fld="3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12B38C-3766-45E0-8114-E35EFAEA1C37}" name="Education by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41">
    <pivotField showAll="0">
      <items count="8">
        <item x="0"/>
        <item x="1"/>
        <item x="2"/>
        <item x="3"/>
        <item x="4"/>
        <item x="5"/>
        <item x="6"/>
        <item t="default"/>
      </items>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
        <item h="1" x="3"/>
        <item x="0"/>
        <item h="1" x="2"/>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1"/>
  </rowFields>
  <rowItems count="2">
    <i>
      <x v="1"/>
    </i>
    <i t="grand">
      <x/>
    </i>
  </rowItems>
  <colItems count="1">
    <i/>
  </colItems>
  <dataFields count="1">
    <dataField name="Sum of CF_attrition count" fld="3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BE2B34-84AA-45AE-8FA9-0BB7AF441189}" name="Attrition by Job"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41">
    <pivotField showAll="0">
      <items count="8">
        <item x="0"/>
        <item x="1"/>
        <item x="2"/>
        <item x="3"/>
        <item x="4"/>
        <item x="5"/>
        <item x="6"/>
        <item t="default"/>
      </items>
    </pivotField>
    <pivotField showAll="0"/>
    <pivotField showAll="0">
      <items count="4">
        <item h="1" x="2"/>
        <item x="0"/>
        <item h="1" x="1"/>
        <item t="default"/>
      </items>
    </pivotField>
    <pivotField showAll="0"/>
    <pivotField showAll="0"/>
    <pivotField showAll="0"/>
    <pivotField showAll="0"/>
    <pivotField axis="axisRow" showAll="0">
      <items count="10">
        <item x="7"/>
        <item x="8"/>
        <item x="0"/>
        <item x="5"/>
        <item x="6"/>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3"/>
        <item x="0"/>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7"/>
  </rowFields>
  <rowItems count="7">
    <i>
      <x/>
    </i>
    <i>
      <x v="2"/>
    </i>
    <i>
      <x v="3"/>
    </i>
    <i>
      <x v="4"/>
    </i>
    <i>
      <x v="5"/>
    </i>
    <i>
      <x v="6"/>
    </i>
    <i t="grand">
      <x/>
    </i>
  </rowItems>
  <colItems count="1">
    <i/>
  </colItems>
  <dataFields count="1">
    <dataField name="Sum of CF_attrition count" fld="3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279029-F508-4FA7-8799-AFE4C8ABFB88}" name="Dept wise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41">
    <pivotField showAll="0">
      <items count="8">
        <item x="0"/>
        <item x="1"/>
        <item x="2"/>
        <item x="3"/>
        <item x="4"/>
        <item x="5"/>
        <item x="6"/>
        <item t="default"/>
      </items>
    </pivotField>
    <pivotField showAll="0"/>
    <pivotField axis="axisRow"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3"/>
        <item x="0"/>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2">
    <i>
      <x v="1"/>
    </i>
    <i t="grand">
      <x/>
    </i>
  </rowItems>
  <colItems count="1">
    <i/>
  </colItems>
  <dataFields count="1">
    <dataField name="Sum of CF_attrition count" fld="35"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89223C-13D1-4398-A989-B8404E5F8028}" name="Age by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1">
    <pivotField axis="axisRow"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h="1" x="3"/>
        <item x="0"/>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6">
    <i>
      <x v="2"/>
    </i>
    <i>
      <x v="3"/>
    </i>
    <i>
      <x v="4"/>
    </i>
    <i>
      <x v="1"/>
    </i>
    <i>
      <x v="5"/>
    </i>
    <i t="grand">
      <x/>
    </i>
  </rowItems>
  <colItems count="1">
    <i/>
  </colItems>
  <dataFields count="1">
    <dataField name="Sum of CF_attrition count" fld="3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A48F23-3AE7-43E1-B9C7-CF90CC940909}" name="Marital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1">
    <pivotField showAll="0"/>
    <pivotField showAll="0"/>
    <pivotField showAll="0">
      <items count="4">
        <item h="1" x="2"/>
        <item x="0"/>
        <item h="1" x="1"/>
        <item t="default"/>
      </items>
    </pivotField>
    <pivotField showAll="0"/>
    <pivotField showAll="0"/>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5">
        <item h="1" x="3"/>
        <item x="0"/>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4">
    <i>
      <x/>
    </i>
    <i>
      <x v="2"/>
    </i>
    <i>
      <x v="1"/>
    </i>
    <i t="grand">
      <x/>
    </i>
  </rowItems>
  <colItems count="1">
    <i/>
  </colItems>
  <dataFields count="1">
    <dataField name="Count of Attrition2" fld="4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59E0898-F690-428B-9687-AED6448935A5}" sourceName="Gender">
  <pivotTables>
    <pivotTable tabId="3" name="PivotTable2"/>
  </pivotTables>
  <data>
    <tabular pivotCacheId="4320169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A3FA1A6-7782-40D7-A7C4-03F8878C7E9C}" sourceName="Gender">
  <pivotTables>
    <pivotTable tabId="5" name="Ratings"/>
  </pivotTables>
  <data>
    <tabular pivotCacheId="4320169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FF750C54-7053-4626-A902-6FAB10CF6976}" sourceName="Gender">
  <pivotTables>
    <pivotTable tabId="6" name="Gender"/>
  </pivotTables>
  <data>
    <tabular pivotCacheId="4320169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B4EFEAE-A3E9-4C34-B7D9-C5DED6B84506}" sourceName="Department">
  <pivotTables>
    <pivotTable tabId="7" name="Education by Attrition"/>
    <pivotTable tabId="11" name="Age by attrition"/>
    <pivotTable tabId="9" name="Attrition by Job"/>
    <pivotTable tabId="10" name="Dept wise Attrition"/>
    <pivotTable tabId="6" name="Gender"/>
    <pivotTable tabId="12" name="Marital status"/>
    <pivotTable tabId="5" name="Ratings"/>
    <pivotTable tabId="3" name="PivotTable2"/>
  </pivotTables>
  <data>
    <tabular pivotCacheId="43201699">
      <items count="3">
        <i x="2"/>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er_Education2" xr10:uid="{57616400-CC7D-4030-90CD-CCA7380C1DB0}" sourceName="Higher_Education">
  <pivotTables>
    <pivotTable tabId="7" name="Education by Attrition"/>
    <pivotTable tabId="11" name="Age by attrition"/>
    <pivotTable tabId="9" name="Attrition by Job"/>
    <pivotTable tabId="10" name="Dept wise Attrition"/>
    <pivotTable tabId="6" name="Gender"/>
    <pivotTable tabId="12" name="Marital status"/>
    <pivotTable tabId="5" name="Ratings"/>
    <pivotTable tabId="3" name="PivotTable2"/>
  </pivotTables>
  <data>
    <tabular pivotCacheId="43201699">
      <items count="4">
        <i x="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DB347D8-74B7-443E-A193-433FAD1316C8}" cache="Slicer_Gender" caption="Gender" rowHeight="24072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1C7B2697-BD0C-483D-88F3-CFD7ADA12A1E}" cache="Slicer_Gender2" caption="Gender" columnCount="2" style="Slicer " rowHeight="240723"/>
  <slicer name="Department 1" xr10:uid="{5023E599-221A-40A5-ABC0-671B71C9D767}" cache="Slicer_Department" style="Slicer " rowHeight="240723"/>
  <slicer name="Higher_Education 3" xr10:uid="{98365134-3D0E-440B-B065-9AE5ABB378AC}" cache="Slicer_Higher_Education2" style="Slicer " rowHeight="24072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FC959C6-74D1-4C6A-8892-1F595A4AF326}" cache="Slicer_Gender1" caption="Gender" rowHeight="240723"/>
  <slicer name="Higher_Education" xr10:uid="{1579DEF3-B76E-4E3A-B7CD-E933EE9E7B38}" cache="Slicer_Higher_Education2" caption="Higher_Education" rowHeight="24072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8A4095A-0856-425E-9CFE-F2530FDAAE0F}" cache="Slicer_Gender2" caption="Gender" rowHeight="240723"/>
  <slicer name="Higher_Education 1" xr10:uid="{C4031596-DBDE-4819-88BB-56AD85DAC1AB}" cache="Slicer_Higher_Education2" caption="Higher_Education" rowHeight="24072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487EBA9-F4DD-47D2-8DF3-ADD9BC5073A7}" cache="Slicer_Department" caption="Department" rowHeight="240723"/>
  <slicer name="Higher_Education 2" xr10:uid="{90F94F9B-B98A-45AE-BBC0-FC71593969E8}" cache="Slicer_Higher_Education2" caption="Higher_Education" rowHeight="24072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AF7655-B375-46D5-B6AE-BDDBF1F69422}" name="Table1" displayName="Table1" ref="A1:AO1471" totalsRowShown="0">
  <autoFilter ref="A1:AO1471" xr:uid="{E9AF7655-B375-46D5-B6AE-BDDBF1F69422}"/>
  <tableColumns count="41">
    <tableColumn id="1" xr3:uid="{2A35965F-BBFF-447D-B07D-352D39626495}" name="Age"/>
    <tableColumn id="3" xr3:uid="{534AB0A4-2926-4264-8C5F-7AECE848D384}" name="BusinessTravel"/>
    <tableColumn id="4" xr3:uid="{D88170C7-4707-472C-B000-1371E5D57BF2}" name="Department"/>
    <tableColumn id="5" xr3:uid="{30ABE708-1CD6-4FD5-965F-5DF063E7E4FB}" name="DistanceFromHome"/>
    <tableColumn id="6" xr3:uid="{5B0ED942-C339-4C7F-812C-F5575102D6AB}" name="Gender"/>
    <tableColumn id="7" xr3:uid="{1523F954-AB81-42C7-827F-54F31A3786B5}" name="JobInvolvement"/>
    <tableColumn id="8" xr3:uid="{B0594DFC-EE82-4BB6-A4B5-9CAC8F8B0286}" name="JobLevel"/>
    <tableColumn id="9" xr3:uid="{F635895C-0E1C-40CB-B7DF-B49A782AF597}" name="JobRole"/>
    <tableColumn id="10" xr3:uid="{9322507E-EDE7-46CF-AFBB-81F370B5E0D3}" name="JobSatisfaction"/>
    <tableColumn id="11" xr3:uid="{D88C10FC-A6D7-40C4-BD30-05E7B7B842FB}" name="MaritalStatus"/>
    <tableColumn id="12" xr3:uid="{7F10BDCC-84BD-4CB3-9D88-BE2A0548E7D3}" name="MonthlyIncome"/>
    <tableColumn id="13" xr3:uid="{3BE8EA66-7052-4C1E-9010-B9B98D2FDBB8}" name="NumCompaniesWorked"/>
    <tableColumn id="14" xr3:uid="{86A94422-E182-4F75-ABEA-C22C61DE05F1}" name="OverTime"/>
    <tableColumn id="15" xr3:uid="{F80E33D8-9D4D-4C42-AE9B-386ED3432B3E}" name="PercentSalaryHike"/>
    <tableColumn id="16" xr3:uid="{A47319A5-B20D-47C4-BF02-3BD3B7FF10D7}" name="PerformanceRating"/>
    <tableColumn id="17" xr3:uid="{A47F6040-2223-4BD0-8D1C-E3D0A26854E5}" name="StockOptionLevel"/>
    <tableColumn id="18" xr3:uid="{FACB901D-12F3-49C3-AF6D-98BD9E1D6418}" name="TotalWorkingYears"/>
    <tableColumn id="19" xr3:uid="{570C2B72-EC1E-441C-AB2C-3EBF9282132E}" name="TrainingTimesLastYear"/>
    <tableColumn id="20" xr3:uid="{C03113E7-574F-4F6E-9ADC-87887CB164B6}" name="YearsAtCompany"/>
    <tableColumn id="21" xr3:uid="{F49C9021-9AF1-402B-AF65-D40FE33E8326}" name="YearsSinceLastPromotion"/>
    <tableColumn id="22" xr3:uid="{63B19BB9-A21A-4EF4-AFD8-AE6BCBD24DF1}" name="YearsWithCurrManager"/>
    <tableColumn id="23" xr3:uid="{7B697807-8BDB-487A-8971-70573A8BC09E}" name="Higher_Education"/>
    <tableColumn id="24" xr3:uid="{F1700E50-8243-4AF7-AEB4-5CBBD797E75B}" name="Date_of_Hire" dataDxfId="5"/>
    <tableColumn id="25" xr3:uid="{06C2EAF6-B4BF-4CAC-AF2F-516A24332170}" name="Date_of_termination"/>
    <tableColumn id="26" xr3:uid="{0417B83D-69F7-461E-8A49-45F32DCB1CDE}" name="Status_of_leaving"/>
    <tableColumn id="27" xr3:uid="{23504699-2E66-4261-9714-53508EFAF8A9}" name="Mode_of_work"/>
    <tableColumn id="28" xr3:uid="{661B983B-6386-4C91-80A2-34EC660FC820}" name="Leaves"/>
    <tableColumn id="29" xr3:uid="{45E7EF50-CE56-4084-9051-A1A692CC3802}" name="Absenteeism"/>
    <tableColumn id="30" xr3:uid="{260CF735-80E2-4ECD-B863-CEB91102FE4F}" name="Work_accident"/>
    <tableColumn id="31" xr3:uid="{55DF773A-D6F7-44D8-B41E-423AA15705AD}" name="Source_of_Hire"/>
    <tableColumn id="32" xr3:uid="{99E3B137-7F53-4CD6-BFC8-6D1EE358003D}" name="Job_mode"/>
    <tableColumn id="33" xr3:uid="{44A0268F-8131-42A9-9F92-5E5FC26BA0F9}" name="Emp No." dataDxfId="4"/>
    <tableColumn id="34" xr3:uid="{B57A4367-A23C-4221-AAB3-B8473958AF79}" name="Hourly Rate" dataDxfId="3"/>
    <tableColumn id="35" xr3:uid="{E1ED4813-00B8-4E35-A09C-D8F00B04D4AC}" name="Standard Hours"/>
    <tableColumn id="36" xr3:uid="{0EEC531F-C1AE-4502-8D81-DBF0959C8155}" name="Years In Current Role"/>
    <tableColumn id="37" xr3:uid="{F89B0887-8068-49C2-9F89-4B676FBB1DB1}" name="CF_attrition count"/>
    <tableColumn id="38" xr3:uid="{746E31AA-D0BD-4374-9F15-089734053875}" name="CF_attrition counts"/>
    <tableColumn id="39" xr3:uid="{37E526F7-7B08-4367-B8B8-2283F4CF72EC}" name="CF_attrition rate"/>
    <tableColumn id="40" xr3:uid="{9B2F1F11-DD35-435D-A3A8-8412CC4DB42B}" name="CF_current Employee"/>
    <tableColumn id="41" xr3:uid="{597BA012-98D7-4894-BE30-40F1B2867864}" name="CF_attrition label"/>
    <tableColumn id="42" xr3:uid="{E92C160A-8A8C-4EE0-A00A-E83AF8D5B441}" name="Attrition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BE01C4-00B5-4CA2-81E9-C172035F8D7E}" name="Table13" displayName="Table13" ref="A1:AO1471" totalsRowShown="0">
  <autoFilter ref="A1:AO1471" xr:uid="{61BE01C4-00B5-4CA2-81E9-C172035F8D7E}"/>
  <tableColumns count="41">
    <tableColumn id="1" xr3:uid="{59CCE9A5-4847-486F-AFDF-B22733F0D346}" name="Age"/>
    <tableColumn id="3" xr3:uid="{EADFB86B-E42B-4C6E-B15D-DC1489C4BABD}" name="BusinessTravel"/>
    <tableColumn id="4" xr3:uid="{FFC23489-74B2-4BFE-8D21-565861D818CE}" name="Department"/>
    <tableColumn id="5" xr3:uid="{014ECCF7-2065-4968-9BC3-7B4F54762EB4}" name="DistanceFromHome"/>
    <tableColumn id="6" xr3:uid="{A958644D-CC76-412A-8EB3-8F8F0C7B71F9}" name="Gender"/>
    <tableColumn id="7" xr3:uid="{25F045E7-44B3-41C8-9D5D-3E19116A7AA4}" name="JobInvolvement"/>
    <tableColumn id="8" xr3:uid="{DC52BAD3-0C9C-4AA1-9578-4F723DAB6E18}" name="JobLevel"/>
    <tableColumn id="9" xr3:uid="{137B2540-C3DE-4FFF-92FA-64BDF97E7044}" name="JobRole"/>
    <tableColumn id="10" xr3:uid="{BF91EFAF-4D78-4DD5-9E4F-4F31F9BE910E}" name="JobSatisfaction"/>
    <tableColumn id="11" xr3:uid="{DBB07661-06C3-431F-87CE-25D732D81560}" name="MaritalStatus"/>
    <tableColumn id="12" xr3:uid="{4ED6878D-99A3-4025-97E4-1FAA215F631A}" name="MonthlyIncome"/>
    <tableColumn id="13" xr3:uid="{BBBE82C3-58BF-4E3B-9245-D9F972F7BAC0}" name="NumCompaniesWorked"/>
    <tableColumn id="14" xr3:uid="{78DD616A-E145-4032-8528-431138682C32}" name="OverTime"/>
    <tableColumn id="15" xr3:uid="{66D29A7E-3417-427B-AB92-2386B6DE298A}" name="PercentSalaryHike"/>
    <tableColumn id="16" xr3:uid="{AF904E78-2BD5-4DF1-98EF-35E60BA67399}" name="PerformanceRating"/>
    <tableColumn id="17" xr3:uid="{CF1EED99-0F7A-4A32-9AF6-7FAD68B7202D}" name="StockOptionLevel"/>
    <tableColumn id="18" xr3:uid="{E6976302-1263-4E06-9108-9468EB3B2E1B}" name="TotalWorkingYears"/>
    <tableColumn id="19" xr3:uid="{75AF35A8-FE4C-44BD-807B-8F204BBE1C1F}" name="TrainingTimesLastYear"/>
    <tableColumn id="20" xr3:uid="{387DCF05-54F1-4865-96A8-6999EAD1661E}" name="YearsAtCompany"/>
    <tableColumn id="21" xr3:uid="{2B8C2B24-FCE6-463B-BE2D-05F19F26FFEB}" name="YearsSinceLastPromotion"/>
    <tableColumn id="22" xr3:uid="{7D404BA2-5EB3-4EE4-9EDE-8826674FF059}" name="YearsWithCurrManager"/>
    <tableColumn id="23" xr3:uid="{16FCA5A5-AECD-4347-8930-F9A1F60A8391}" name="Higher_Education"/>
    <tableColumn id="24" xr3:uid="{4CD3CA99-1C13-4C13-82DC-53D4EFE4F80C}" name="Date_of_Hire" dataDxfId="2"/>
    <tableColumn id="25" xr3:uid="{79404641-E0A3-4BCD-BB41-BD7B2F8FA2C4}" name="Date_of_termination"/>
    <tableColumn id="26" xr3:uid="{CEF00894-C87F-4322-B170-51B8C31B0EEB}" name="Status_of_leaving"/>
    <tableColumn id="27" xr3:uid="{91F13B44-5467-4F48-8CCF-5FEBA8351336}" name="Mode_of_work"/>
    <tableColumn id="28" xr3:uid="{FFC3E7DC-2DD8-4B36-A70E-DD8128312BD9}" name="Leaves"/>
    <tableColumn id="29" xr3:uid="{BB594304-4ED3-4176-AB65-FD56E0D2129D}" name="Absenteeism"/>
    <tableColumn id="30" xr3:uid="{C735612C-F957-4CF2-8BF4-BD0769676C2D}" name="Work_accident"/>
    <tableColumn id="31" xr3:uid="{EC335A1B-902C-4DD5-8F3F-44EBC8CBC1EF}" name="Source_of_Hire"/>
    <tableColumn id="32" xr3:uid="{44440875-EDD6-413F-B9DA-C4388DCC686D}" name="Job_mode"/>
    <tableColumn id="33" xr3:uid="{1444A3E9-5285-4EBE-BD6C-8F9F202E1B71}" name="Emp No." dataDxfId="1"/>
    <tableColumn id="34" xr3:uid="{65F4A478-0471-4D99-AE05-F656F1AB5DD2}" name="Hourly Rate" dataDxfId="0"/>
    <tableColumn id="35" xr3:uid="{12FAFFD2-AE28-49E2-B78F-A1991F03AFDB}" name="Standard Hours"/>
    <tableColumn id="36" xr3:uid="{9C51A328-EA46-446E-B3FB-58B5A5BF7BEB}" name="Years In Current Role"/>
    <tableColumn id="37" xr3:uid="{F3BCE16C-8A24-4347-A690-FCDB6928982C}" name="CF_attrition count"/>
    <tableColumn id="38" xr3:uid="{C16160D3-5CAD-4D17-B715-3C457EFC15EC}" name="CF_attrition counts"/>
    <tableColumn id="39" xr3:uid="{C081B4F4-DE96-45C3-975B-9741C8A1639A}" name="CF_attrition rate"/>
    <tableColumn id="40" xr3:uid="{215AA47E-4CC6-4BDB-9212-62E26468A697}" name="CF_current Employee"/>
    <tableColumn id="41" xr3:uid="{274BCB54-248F-46F8-919B-9701E39CF25D}" name="CF_attrition label"/>
    <tableColumn id="42" xr3:uid="{3F407030-420D-4FDC-82EF-7AF83D53CBC6}" name="Attritio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97C2C-D709-4BC3-8FA5-B71F4EEF37FD}">
  <dimension ref="A3:E7"/>
  <sheetViews>
    <sheetView workbookViewId="0">
      <selection activeCell="C10" sqref="C10"/>
    </sheetView>
  </sheetViews>
  <sheetFormatPr defaultRowHeight="15" x14ac:dyDescent="0.25"/>
  <cols>
    <col min="1" max="1" width="16.5703125" bestFit="1" customWidth="1"/>
    <col min="2" max="2" width="24.7109375" bestFit="1" customWidth="1"/>
    <col min="3" max="3" width="14.5703125" bestFit="1" customWidth="1"/>
    <col min="4" max="4" width="16.85546875" bestFit="1" customWidth="1"/>
    <col min="5" max="5" width="13.140625" bestFit="1" customWidth="1"/>
  </cols>
  <sheetData>
    <row r="3" spans="1:5" x14ac:dyDescent="0.25">
      <c r="A3" t="s">
        <v>761</v>
      </c>
      <c r="B3" t="s">
        <v>770</v>
      </c>
      <c r="C3" t="s">
        <v>771</v>
      </c>
    </row>
    <row r="4" spans="1:5" x14ac:dyDescent="0.25">
      <c r="A4">
        <v>259</v>
      </c>
      <c r="B4">
        <v>35</v>
      </c>
      <c r="C4">
        <v>36.498069498069498</v>
      </c>
    </row>
    <row r="6" spans="1:5" x14ac:dyDescent="0.25">
      <c r="A6" t="s">
        <v>772</v>
      </c>
      <c r="B6" t="s">
        <v>773</v>
      </c>
      <c r="C6" t="s">
        <v>774</v>
      </c>
      <c r="D6" t="s">
        <v>775</v>
      </c>
      <c r="E6" t="s">
        <v>776</v>
      </c>
    </row>
    <row r="7" spans="1:5" x14ac:dyDescent="0.25">
      <c r="A7">
        <f>GETPIVOTDATA("Count of Emp No.",$A$3)</f>
        <v>259</v>
      </c>
      <c r="B7">
        <f>GETPIVOTDATA("Sum of CF_attrition counts",$A$3)</f>
        <v>35</v>
      </c>
      <c r="C7" s="6">
        <f>GETPIVOTDATA("Average of Age",$A$3)</f>
        <v>36.498069498069498</v>
      </c>
      <c r="D7">
        <f>A7-B7</f>
        <v>224</v>
      </c>
      <c r="E7" s="7">
        <f>B7/A7</f>
        <v>0.13513513513513514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CFD9E-2497-438E-BA9C-5439D4D66447}">
  <dimension ref="A1"/>
  <sheetViews>
    <sheetView showGridLines="0" topLeftCell="A7" zoomScale="55" zoomScaleNormal="55" workbookViewId="0">
      <selection activeCell="AF11" sqref="AF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30637-EAAD-4BE5-BCB3-BAC9E2BD242D}">
  <dimension ref="A3:C7"/>
  <sheetViews>
    <sheetView workbookViewId="0">
      <selection activeCell="M11" sqref="M11"/>
    </sheetView>
  </sheetViews>
  <sheetFormatPr defaultRowHeight="15" x14ac:dyDescent="0.25"/>
  <cols>
    <col min="1" max="1" width="24.7109375" bestFit="1" customWidth="1"/>
    <col min="2" max="2" width="9.42578125" bestFit="1" customWidth="1"/>
  </cols>
  <sheetData>
    <row r="3" spans="1:3" x14ac:dyDescent="0.25">
      <c r="A3" t="s">
        <v>777</v>
      </c>
    </row>
    <row r="4" spans="1:3" x14ac:dyDescent="0.25">
      <c r="A4" s="5">
        <v>2.6872586872586872</v>
      </c>
    </row>
    <row r="6" spans="1:3" x14ac:dyDescent="0.25">
      <c r="A6" t="s">
        <v>778</v>
      </c>
      <c r="B6" s="5">
        <f>GETPIVOTDATA("JobSatisfaction",$A$3)</f>
        <v>2.6872586872586872</v>
      </c>
      <c r="C6">
        <f>B6/4</f>
        <v>0.6718146718146718</v>
      </c>
    </row>
    <row r="7" spans="1:3" x14ac:dyDescent="0.25">
      <c r="A7" t="s">
        <v>779</v>
      </c>
      <c r="B7" s="5">
        <f>4-B6</f>
        <v>1.3127413127413128</v>
      </c>
      <c r="C7">
        <f>B7/4</f>
        <v>0.3281853281853282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22170-3FEF-47C1-97C7-B7B484C2CC2A}">
  <dimension ref="A3:C10"/>
  <sheetViews>
    <sheetView topLeftCell="Y1" workbookViewId="0">
      <selection activeCell="M17" sqref="M17"/>
    </sheetView>
  </sheetViews>
  <sheetFormatPr defaultRowHeight="15" x14ac:dyDescent="0.25"/>
  <cols>
    <col min="1" max="1" width="13.140625" bestFit="1" customWidth="1"/>
    <col min="2" max="2" width="16.5703125" bestFit="1" customWidth="1"/>
  </cols>
  <sheetData>
    <row r="3" spans="1:3" x14ac:dyDescent="0.25">
      <c r="A3" s="8" t="s">
        <v>780</v>
      </c>
      <c r="B3" t="s">
        <v>761</v>
      </c>
    </row>
    <row r="4" spans="1:3" x14ac:dyDescent="0.25">
      <c r="A4" s="9" t="s">
        <v>61</v>
      </c>
      <c r="B4">
        <v>102</v>
      </c>
    </row>
    <row r="5" spans="1:3" x14ac:dyDescent="0.25">
      <c r="A5" s="9" t="s">
        <v>34</v>
      </c>
      <c r="B5">
        <v>157</v>
      </c>
    </row>
    <row r="6" spans="1:3" x14ac:dyDescent="0.25">
      <c r="A6" s="9" t="s">
        <v>781</v>
      </c>
      <c r="B6">
        <v>259</v>
      </c>
    </row>
    <row r="9" spans="1:3" x14ac:dyDescent="0.25">
      <c r="A9" s="9" t="s">
        <v>61</v>
      </c>
      <c r="B9">
        <f>IFERROR(GETPIVOTDATA("Emp No.",$A$3,"Gender","Female"),0)</f>
        <v>102</v>
      </c>
      <c r="C9" s="4">
        <f>IFERROR(B9/($B$9+$B$10),0)</f>
        <v>0.39382239382239381</v>
      </c>
    </row>
    <row r="10" spans="1:3" x14ac:dyDescent="0.25">
      <c r="A10" s="9" t="s">
        <v>34</v>
      </c>
      <c r="B10">
        <f>IFERROR(GETPIVOTDATA("Emp No.",$A$3,"Gender","Male"),0)</f>
        <v>157</v>
      </c>
      <c r="C10" s="4">
        <f>IFERROR(B10/($B$9+$B$10),0)</f>
        <v>0.60617760617760619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695E2-BBFF-4022-8D04-577A9C19663A}">
  <dimension ref="A3:B5"/>
  <sheetViews>
    <sheetView workbookViewId="0">
      <selection activeCell="B6" sqref="B6"/>
    </sheetView>
  </sheetViews>
  <sheetFormatPr defaultRowHeight="15" x14ac:dyDescent="0.25"/>
  <cols>
    <col min="1" max="1" width="13.140625" bestFit="1" customWidth="1"/>
    <col min="2" max="2" width="23.85546875" bestFit="1" customWidth="1"/>
    <col min="3" max="4" width="14.28515625" bestFit="1" customWidth="1"/>
    <col min="5" max="5" width="10.140625" bestFit="1" customWidth="1"/>
  </cols>
  <sheetData>
    <row r="3" spans="1:2" x14ac:dyDescent="0.25">
      <c r="A3" s="8" t="s">
        <v>780</v>
      </c>
      <c r="B3" t="s">
        <v>782</v>
      </c>
    </row>
    <row r="4" spans="1:2" x14ac:dyDescent="0.25">
      <c r="A4" s="9" t="s">
        <v>37</v>
      </c>
      <c r="B4">
        <v>35</v>
      </c>
    </row>
    <row r="5" spans="1:2" x14ac:dyDescent="0.25">
      <c r="A5" s="9" t="s">
        <v>781</v>
      </c>
      <c r="B5">
        <v>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46128-837B-4856-B017-659EEFC97C90}">
  <dimension ref="A3:E12"/>
  <sheetViews>
    <sheetView workbookViewId="0">
      <selection activeCell="D12" sqref="D12"/>
    </sheetView>
  </sheetViews>
  <sheetFormatPr defaultRowHeight="15" x14ac:dyDescent="0.25"/>
  <cols>
    <col min="1" max="1" width="25" bestFit="1" customWidth="1"/>
    <col min="2" max="2" width="23.85546875" bestFit="1" customWidth="1"/>
    <col min="4" max="4" width="21.7109375" bestFit="1" customWidth="1"/>
  </cols>
  <sheetData>
    <row r="3" spans="1:5" x14ac:dyDescent="0.25">
      <c r="A3" s="8" t="s">
        <v>780</v>
      </c>
      <c r="B3" t="s">
        <v>782</v>
      </c>
      <c r="D3" t="s">
        <v>783</v>
      </c>
      <c r="E3" t="s">
        <v>784</v>
      </c>
    </row>
    <row r="4" spans="1:5" x14ac:dyDescent="0.25">
      <c r="A4" s="9" t="s">
        <v>89</v>
      </c>
      <c r="B4">
        <v>3</v>
      </c>
      <c r="D4" t="str">
        <f>A4</f>
        <v>Healthcare Representative</v>
      </c>
      <c r="E4">
        <f>GETPIVOTDATA("CF_attrition count",$A$3,"JobRole",A4)</f>
        <v>3</v>
      </c>
    </row>
    <row r="5" spans="1:5" x14ac:dyDescent="0.25">
      <c r="A5" s="9" t="s">
        <v>35</v>
      </c>
      <c r="B5">
        <v>9</v>
      </c>
      <c r="D5" t="str">
        <f t="shared" ref="D5:D12" si="0">A5</f>
        <v>Laboratory Technician</v>
      </c>
      <c r="E5">
        <f t="shared" ref="E5:E12" si="1">GETPIVOTDATA("CF_attrition count",$A$3,"JobRole",A5)</f>
        <v>9</v>
      </c>
    </row>
    <row r="6" spans="1:5" x14ac:dyDescent="0.25">
      <c r="A6" s="9" t="s">
        <v>75</v>
      </c>
      <c r="B6">
        <v>6</v>
      </c>
      <c r="D6" t="str">
        <f t="shared" si="0"/>
        <v>Manager</v>
      </c>
      <c r="E6">
        <f t="shared" si="1"/>
        <v>6</v>
      </c>
    </row>
    <row r="7" spans="1:5" x14ac:dyDescent="0.25">
      <c r="A7" s="9" t="s">
        <v>78</v>
      </c>
      <c r="B7">
        <v>5</v>
      </c>
      <c r="D7" t="str">
        <f t="shared" si="0"/>
        <v>Manufacturing Director</v>
      </c>
      <c r="E7">
        <f t="shared" si="1"/>
        <v>5</v>
      </c>
    </row>
    <row r="8" spans="1:5" x14ac:dyDescent="0.25">
      <c r="A8" s="9" t="s">
        <v>50</v>
      </c>
      <c r="B8">
        <v>1</v>
      </c>
      <c r="D8" t="str">
        <f t="shared" si="0"/>
        <v>Research Director</v>
      </c>
      <c r="E8">
        <f t="shared" si="1"/>
        <v>1</v>
      </c>
    </row>
    <row r="9" spans="1:5" x14ac:dyDescent="0.25">
      <c r="A9" s="9" t="s">
        <v>44</v>
      </c>
      <c r="B9">
        <v>11</v>
      </c>
      <c r="D9" t="str">
        <f t="shared" si="0"/>
        <v>Research Scientist</v>
      </c>
      <c r="E9">
        <f t="shared" si="1"/>
        <v>11</v>
      </c>
    </row>
    <row r="10" spans="1:5" x14ac:dyDescent="0.25">
      <c r="A10" s="9" t="s">
        <v>781</v>
      </c>
      <c r="B10">
        <v>35</v>
      </c>
      <c r="D10" t="str">
        <f t="shared" si="0"/>
        <v>Grand Total</v>
      </c>
      <c r="E10" t="e">
        <f t="shared" si="1"/>
        <v>#REF!</v>
      </c>
    </row>
    <row r="11" spans="1:5" x14ac:dyDescent="0.25">
      <c r="D11">
        <f>A11</f>
        <v>0</v>
      </c>
      <c r="E11" t="e">
        <f t="shared" si="1"/>
        <v>#REF!</v>
      </c>
    </row>
    <row r="12" spans="1:5" x14ac:dyDescent="0.25">
      <c r="D12">
        <f t="shared" si="0"/>
        <v>0</v>
      </c>
      <c r="E12" t="e">
        <f t="shared" si="1"/>
        <v>#REF!</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08F8-E9F1-40F1-90B7-40933AA41E0D}">
  <dimension ref="A3:B5"/>
  <sheetViews>
    <sheetView workbookViewId="0">
      <selection activeCell="G4" sqref="G4"/>
    </sheetView>
  </sheetViews>
  <sheetFormatPr defaultRowHeight="15" x14ac:dyDescent="0.25"/>
  <cols>
    <col min="1" max="2" width="23.85546875" bestFit="1" customWidth="1"/>
  </cols>
  <sheetData>
    <row r="3" spans="1:2" x14ac:dyDescent="0.25">
      <c r="A3" s="8" t="s">
        <v>780</v>
      </c>
      <c r="B3" t="s">
        <v>782</v>
      </c>
    </row>
    <row r="4" spans="1:2" x14ac:dyDescent="0.25">
      <c r="A4" s="9" t="s">
        <v>33</v>
      </c>
      <c r="B4" s="10">
        <v>1</v>
      </c>
    </row>
    <row r="5" spans="1:2" x14ac:dyDescent="0.25">
      <c r="A5" s="9" t="s">
        <v>781</v>
      </c>
      <c r="B5" s="10">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18EF7-2895-4378-899A-B18789CF2B15}">
  <dimension ref="A3:B9"/>
  <sheetViews>
    <sheetView workbookViewId="0">
      <selection activeCell="G4" sqref="G4"/>
    </sheetView>
  </sheetViews>
  <sheetFormatPr defaultRowHeight="15" x14ac:dyDescent="0.25"/>
  <cols>
    <col min="1" max="1" width="13.140625" bestFit="1" customWidth="1"/>
    <col min="2" max="2" width="23.85546875" bestFit="1" customWidth="1"/>
    <col min="3" max="3" width="21.28515625" bestFit="1" customWidth="1"/>
  </cols>
  <sheetData>
    <row r="3" spans="1:2" x14ac:dyDescent="0.25">
      <c r="A3" s="8" t="s">
        <v>780</v>
      </c>
      <c r="B3" t="s">
        <v>782</v>
      </c>
    </row>
    <row r="4" spans="1:2" x14ac:dyDescent="0.25">
      <c r="A4" s="9" t="s">
        <v>786</v>
      </c>
      <c r="B4">
        <v>15</v>
      </c>
    </row>
    <row r="5" spans="1:2" x14ac:dyDescent="0.25">
      <c r="A5" s="9" t="s">
        <v>787</v>
      </c>
      <c r="B5">
        <v>8</v>
      </c>
    </row>
    <row r="6" spans="1:2" x14ac:dyDescent="0.25">
      <c r="A6" s="9" t="s">
        <v>788</v>
      </c>
      <c r="B6">
        <v>7</v>
      </c>
    </row>
    <row r="7" spans="1:2" x14ac:dyDescent="0.25">
      <c r="A7" s="9" t="s">
        <v>785</v>
      </c>
      <c r="B7">
        <v>4</v>
      </c>
    </row>
    <row r="8" spans="1:2" x14ac:dyDescent="0.25">
      <c r="A8" s="9" t="s">
        <v>789</v>
      </c>
      <c r="B8">
        <v>1</v>
      </c>
    </row>
    <row r="9" spans="1:2" x14ac:dyDescent="0.25">
      <c r="A9" s="9" t="s">
        <v>781</v>
      </c>
      <c r="B9">
        <v>35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6C9C3-5883-45D3-A76B-9B7E7B395FA3}">
  <dimension ref="A3:F7"/>
  <sheetViews>
    <sheetView workbookViewId="0">
      <selection activeCell="E5" sqref="E5"/>
    </sheetView>
  </sheetViews>
  <sheetFormatPr defaultRowHeight="15" x14ac:dyDescent="0.25"/>
  <cols>
    <col min="1" max="1" width="13.140625" bestFit="1" customWidth="1"/>
    <col min="2" max="2" width="17.85546875" bestFit="1" customWidth="1"/>
  </cols>
  <sheetData>
    <row r="3" spans="1:6" x14ac:dyDescent="0.25">
      <c r="A3" s="8" t="s">
        <v>780</v>
      </c>
      <c r="B3" t="s">
        <v>790</v>
      </c>
      <c r="E3" t="s">
        <v>791</v>
      </c>
      <c r="F3" t="s">
        <v>784</v>
      </c>
    </row>
    <row r="4" spans="1:6" x14ac:dyDescent="0.25">
      <c r="A4" s="9" t="s">
        <v>57</v>
      </c>
      <c r="B4">
        <v>55</v>
      </c>
      <c r="E4" t="str">
        <f>A4</f>
        <v>Divorced</v>
      </c>
      <c r="F4">
        <f>GETPIVOTDATA("Attrition2",$A$3,"MaritalStatus",A4)</f>
        <v>55</v>
      </c>
    </row>
    <row r="5" spans="1:6" x14ac:dyDescent="0.25">
      <c r="A5" s="9" t="s">
        <v>36</v>
      </c>
      <c r="B5">
        <v>84</v>
      </c>
      <c r="E5" t="str">
        <f t="shared" ref="E5:E6" si="0">A5</f>
        <v>Single</v>
      </c>
      <c r="F5">
        <f t="shared" ref="F5:F6" si="1">GETPIVOTDATA("Attrition2",$A$3,"MaritalStatus",A5)</f>
        <v>84</v>
      </c>
    </row>
    <row r="6" spans="1:6" x14ac:dyDescent="0.25">
      <c r="A6" s="9" t="s">
        <v>51</v>
      </c>
      <c r="B6">
        <v>120</v>
      </c>
      <c r="E6" t="str">
        <f t="shared" si="0"/>
        <v>Married</v>
      </c>
      <c r="F6">
        <f t="shared" si="1"/>
        <v>120</v>
      </c>
    </row>
    <row r="7" spans="1:6" x14ac:dyDescent="0.25">
      <c r="A7" s="9" t="s">
        <v>781</v>
      </c>
      <c r="B7">
        <v>259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10FA9-7D46-4A78-90A5-3BCE3D5F6EE3}">
  <dimension ref="A1:AO1471"/>
  <sheetViews>
    <sheetView topLeftCell="A1293" workbookViewId="0">
      <selection sqref="A1:AO1471"/>
    </sheetView>
  </sheetViews>
  <sheetFormatPr defaultRowHeight="15" x14ac:dyDescent="0.25"/>
  <cols>
    <col min="2" max="2" width="14.28515625" customWidth="1"/>
    <col min="3" max="3" width="12.28515625" customWidth="1"/>
    <col min="4" max="4" width="18.28515625" customWidth="1"/>
    <col min="6" max="6" width="15.28515625" customWidth="1"/>
    <col min="7" max="7" width="9.42578125" customWidth="1"/>
    <col min="9" max="9" width="14.28515625" customWidth="1"/>
    <col min="10" max="10" width="13.28515625" customWidth="1"/>
    <col min="11" max="11" width="15.28515625" customWidth="1"/>
    <col min="12" max="12" width="21.28515625" customWidth="1"/>
    <col min="13" max="13" width="10.42578125" customWidth="1"/>
    <col min="14" max="14" width="17" customWidth="1"/>
    <col min="15" max="15" width="17.7109375" customWidth="1"/>
    <col min="16" max="16" width="16.42578125" customWidth="1"/>
    <col min="17" max="17" width="17.42578125" customWidth="1"/>
    <col min="18" max="18" width="20.28515625" customWidth="1"/>
    <col min="19" max="19" width="16.140625" customWidth="1"/>
    <col min="20" max="20" width="22.5703125" customWidth="1"/>
    <col min="21" max="21" width="21.140625" customWidth="1"/>
    <col min="22" max="22" width="16.42578125" customWidth="1"/>
    <col min="23" max="23" width="24.7109375" style="1" customWidth="1"/>
    <col min="24" max="24" width="19.140625" customWidth="1"/>
    <col min="25" max="25" width="16.42578125" customWidth="1"/>
    <col min="26" max="26" width="14.7109375" customWidth="1"/>
    <col min="28" max="28" width="13" customWidth="1"/>
    <col min="29" max="29" width="14.28515625" customWidth="1"/>
    <col min="30" max="30" width="14.7109375" customWidth="1"/>
    <col min="31" max="31" width="10.7109375" customWidth="1"/>
    <col min="32" max="32" width="9.28515625" style="3" customWidth="1"/>
    <col min="33" max="33" width="12" style="3" customWidth="1"/>
    <col min="34" max="34" width="14.7109375" customWidth="1"/>
    <col min="35" max="35" width="19.42578125" customWidth="1"/>
    <col min="40" max="40" width="20.7109375" customWidth="1"/>
  </cols>
  <sheetData>
    <row r="1" spans="1:4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1" t="s">
        <v>22</v>
      </c>
      <c r="X1" t="s">
        <v>23</v>
      </c>
      <c r="Y1" t="s">
        <v>24</v>
      </c>
      <c r="Z1" t="s">
        <v>25</v>
      </c>
      <c r="AA1" t="s">
        <v>26</v>
      </c>
      <c r="AB1" t="s">
        <v>27</v>
      </c>
      <c r="AC1" t="s">
        <v>28</v>
      </c>
      <c r="AD1" t="s">
        <v>29</v>
      </c>
      <c r="AE1" t="s">
        <v>30</v>
      </c>
      <c r="AF1" s="3" t="s">
        <v>757</v>
      </c>
      <c r="AG1" s="3" t="s">
        <v>758</v>
      </c>
      <c r="AH1" t="s">
        <v>759</v>
      </c>
      <c r="AI1" t="s">
        <v>760</v>
      </c>
      <c r="AJ1" t="s">
        <v>762</v>
      </c>
      <c r="AK1" t="s">
        <v>763</v>
      </c>
      <c r="AL1" t="s">
        <v>764</v>
      </c>
      <c r="AM1" t="s">
        <v>765</v>
      </c>
      <c r="AN1" t="s">
        <v>766</v>
      </c>
      <c r="AO1" t="s">
        <v>769</v>
      </c>
    </row>
    <row r="2" spans="1:41" x14ac:dyDescent="0.25">
      <c r="A2">
        <v>37</v>
      </c>
      <c r="B2" t="s">
        <v>32</v>
      </c>
      <c r="C2" t="s">
        <v>33</v>
      </c>
      <c r="D2">
        <v>2</v>
      </c>
      <c r="E2" t="s">
        <v>34</v>
      </c>
      <c r="F2">
        <v>2</v>
      </c>
      <c r="G2">
        <v>1</v>
      </c>
      <c r="H2" t="s">
        <v>35</v>
      </c>
      <c r="I2">
        <v>3</v>
      </c>
      <c r="J2" t="s">
        <v>36</v>
      </c>
      <c r="K2">
        <v>2090</v>
      </c>
      <c r="L2">
        <v>6</v>
      </c>
      <c r="M2" t="s">
        <v>31</v>
      </c>
      <c r="N2">
        <v>15</v>
      </c>
      <c r="O2">
        <v>3</v>
      </c>
      <c r="P2">
        <v>0</v>
      </c>
      <c r="Q2">
        <v>7</v>
      </c>
      <c r="R2">
        <v>3</v>
      </c>
      <c r="S2">
        <v>0</v>
      </c>
      <c r="T2">
        <v>0</v>
      </c>
      <c r="U2">
        <v>0</v>
      </c>
      <c r="V2" t="s">
        <v>37</v>
      </c>
      <c r="W2" s="1" t="s">
        <v>38</v>
      </c>
      <c r="Y2" t="s">
        <v>39</v>
      </c>
      <c r="Z2" t="s">
        <v>40</v>
      </c>
      <c r="AA2">
        <v>4</v>
      </c>
      <c r="AB2">
        <v>2</v>
      </c>
      <c r="AC2" t="s">
        <v>41</v>
      </c>
      <c r="AD2" t="s">
        <v>42</v>
      </c>
      <c r="AE2" t="s">
        <v>43</v>
      </c>
      <c r="AF2" s="3">
        <v>1</v>
      </c>
      <c r="AG2" s="3">
        <v>94</v>
      </c>
      <c r="AH2">
        <v>80</v>
      </c>
      <c r="AI2">
        <v>4</v>
      </c>
      <c r="AJ2">
        <v>1</v>
      </c>
      <c r="AK2">
        <v>1</v>
      </c>
      <c r="AL2">
        <v>1</v>
      </c>
      <c r="AM2">
        <v>0</v>
      </c>
      <c r="AN2" t="s">
        <v>767</v>
      </c>
      <c r="AO2" t="s">
        <v>31</v>
      </c>
    </row>
    <row r="3" spans="1:41" x14ac:dyDescent="0.25">
      <c r="A3">
        <v>21</v>
      </c>
      <c r="B3" t="s">
        <v>32</v>
      </c>
      <c r="C3" t="s">
        <v>33</v>
      </c>
      <c r="D3">
        <v>15</v>
      </c>
      <c r="E3" t="s">
        <v>34</v>
      </c>
      <c r="F3">
        <v>3</v>
      </c>
      <c r="G3">
        <v>1</v>
      </c>
      <c r="H3" t="s">
        <v>44</v>
      </c>
      <c r="I3">
        <v>4</v>
      </c>
      <c r="J3" t="s">
        <v>36</v>
      </c>
      <c r="K3">
        <v>1232</v>
      </c>
      <c r="L3">
        <v>1</v>
      </c>
      <c r="M3" t="s">
        <v>41</v>
      </c>
      <c r="N3">
        <v>14</v>
      </c>
      <c r="O3">
        <v>3</v>
      </c>
      <c r="P3">
        <v>0</v>
      </c>
      <c r="Q3">
        <v>0</v>
      </c>
      <c r="R3">
        <v>6</v>
      </c>
      <c r="S3">
        <v>0</v>
      </c>
      <c r="T3">
        <v>0</v>
      </c>
      <c r="U3">
        <v>0</v>
      </c>
      <c r="V3" t="s">
        <v>37</v>
      </c>
      <c r="W3" s="1" t="s">
        <v>45</v>
      </c>
      <c r="Y3" t="s">
        <v>46</v>
      </c>
      <c r="Z3" t="s">
        <v>47</v>
      </c>
      <c r="AA3">
        <v>5</v>
      </c>
      <c r="AB3">
        <v>2</v>
      </c>
      <c r="AC3" t="s">
        <v>41</v>
      </c>
      <c r="AD3" t="s">
        <v>48</v>
      </c>
      <c r="AE3" t="s">
        <v>49</v>
      </c>
      <c r="AF3" s="3">
        <v>2</v>
      </c>
      <c r="AG3" s="3">
        <v>61</v>
      </c>
      <c r="AH3">
        <v>80</v>
      </c>
      <c r="AI3">
        <v>7</v>
      </c>
      <c r="AJ3">
        <v>0</v>
      </c>
      <c r="AL3">
        <v>0</v>
      </c>
      <c r="AM3">
        <v>1</v>
      </c>
      <c r="AN3" t="s">
        <v>768</v>
      </c>
      <c r="AO3" t="s">
        <v>41</v>
      </c>
    </row>
    <row r="4" spans="1:41" x14ac:dyDescent="0.25">
      <c r="A4">
        <v>45</v>
      </c>
      <c r="B4" t="s">
        <v>32</v>
      </c>
      <c r="C4" t="s">
        <v>33</v>
      </c>
      <c r="D4">
        <v>6</v>
      </c>
      <c r="E4" t="s">
        <v>34</v>
      </c>
      <c r="F4">
        <v>3</v>
      </c>
      <c r="G4">
        <v>3</v>
      </c>
      <c r="H4" t="s">
        <v>50</v>
      </c>
      <c r="I4">
        <v>1</v>
      </c>
      <c r="J4" t="s">
        <v>51</v>
      </c>
      <c r="K4">
        <v>13245</v>
      </c>
      <c r="L4">
        <v>4</v>
      </c>
      <c r="M4" t="s">
        <v>31</v>
      </c>
      <c r="N4">
        <v>14</v>
      </c>
      <c r="O4">
        <v>3</v>
      </c>
      <c r="P4">
        <v>0</v>
      </c>
      <c r="Q4">
        <v>17</v>
      </c>
      <c r="R4">
        <v>3</v>
      </c>
      <c r="S4">
        <v>0</v>
      </c>
      <c r="T4">
        <v>0</v>
      </c>
      <c r="U4">
        <v>0</v>
      </c>
      <c r="V4" t="s">
        <v>52</v>
      </c>
      <c r="W4" s="1" t="s">
        <v>53</v>
      </c>
      <c r="Y4" t="s">
        <v>54</v>
      </c>
      <c r="Z4" t="s">
        <v>47</v>
      </c>
      <c r="AA4">
        <v>1</v>
      </c>
      <c r="AB4">
        <v>3</v>
      </c>
      <c r="AC4" t="s">
        <v>41</v>
      </c>
      <c r="AD4" t="s">
        <v>42</v>
      </c>
      <c r="AE4" t="s">
        <v>43</v>
      </c>
      <c r="AF4" s="3">
        <v>4</v>
      </c>
      <c r="AG4" s="3">
        <v>92</v>
      </c>
      <c r="AH4">
        <v>80</v>
      </c>
      <c r="AI4">
        <v>0</v>
      </c>
      <c r="AJ4">
        <v>1</v>
      </c>
      <c r="AK4">
        <v>1</v>
      </c>
      <c r="AL4">
        <v>1</v>
      </c>
      <c r="AM4">
        <v>0</v>
      </c>
      <c r="AN4" t="s">
        <v>767</v>
      </c>
      <c r="AO4" t="s">
        <v>31</v>
      </c>
    </row>
    <row r="5" spans="1:41" x14ac:dyDescent="0.25">
      <c r="A5">
        <v>23</v>
      </c>
      <c r="B5" t="s">
        <v>32</v>
      </c>
      <c r="C5" t="s">
        <v>55</v>
      </c>
      <c r="D5">
        <v>2</v>
      </c>
      <c r="E5" t="s">
        <v>34</v>
      </c>
      <c r="F5">
        <v>3</v>
      </c>
      <c r="G5">
        <v>1</v>
      </c>
      <c r="H5" t="s">
        <v>56</v>
      </c>
      <c r="I5">
        <v>1</v>
      </c>
      <c r="J5" t="s">
        <v>57</v>
      </c>
      <c r="K5">
        <v>2322</v>
      </c>
      <c r="L5">
        <v>3</v>
      </c>
      <c r="M5" t="s">
        <v>41</v>
      </c>
      <c r="N5">
        <v>13</v>
      </c>
      <c r="O5">
        <v>3</v>
      </c>
      <c r="P5">
        <v>1</v>
      </c>
      <c r="Q5">
        <v>3</v>
      </c>
      <c r="R5">
        <v>3</v>
      </c>
      <c r="S5">
        <v>0</v>
      </c>
      <c r="T5">
        <v>0</v>
      </c>
      <c r="U5">
        <v>0</v>
      </c>
      <c r="V5" t="s">
        <v>58</v>
      </c>
      <c r="W5" s="1" t="s">
        <v>59</v>
      </c>
      <c r="Y5" t="s">
        <v>46</v>
      </c>
      <c r="Z5" t="s">
        <v>40</v>
      </c>
      <c r="AA5">
        <v>1</v>
      </c>
      <c r="AB5">
        <v>0</v>
      </c>
      <c r="AC5" t="s">
        <v>31</v>
      </c>
      <c r="AD5" t="s">
        <v>48</v>
      </c>
      <c r="AE5" t="s">
        <v>60</v>
      </c>
      <c r="AF5" s="3">
        <v>5</v>
      </c>
      <c r="AG5" s="3">
        <v>56</v>
      </c>
      <c r="AH5">
        <v>80</v>
      </c>
      <c r="AI5">
        <v>7</v>
      </c>
      <c r="AJ5">
        <v>0</v>
      </c>
      <c r="AL5">
        <v>0</v>
      </c>
      <c r="AM5">
        <v>1</v>
      </c>
      <c r="AN5" t="s">
        <v>768</v>
      </c>
      <c r="AO5" t="s">
        <v>41</v>
      </c>
    </row>
    <row r="6" spans="1:41" x14ac:dyDescent="0.25">
      <c r="A6">
        <v>22</v>
      </c>
      <c r="B6" t="s">
        <v>32</v>
      </c>
      <c r="C6" t="s">
        <v>33</v>
      </c>
      <c r="D6">
        <v>15</v>
      </c>
      <c r="E6" t="s">
        <v>61</v>
      </c>
      <c r="F6">
        <v>3</v>
      </c>
      <c r="G6">
        <v>1</v>
      </c>
      <c r="H6" t="s">
        <v>35</v>
      </c>
      <c r="I6">
        <v>4</v>
      </c>
      <c r="J6" t="s">
        <v>36</v>
      </c>
      <c r="K6">
        <v>2871</v>
      </c>
      <c r="L6">
        <v>1</v>
      </c>
      <c r="M6" t="s">
        <v>41</v>
      </c>
      <c r="N6">
        <v>15</v>
      </c>
      <c r="O6">
        <v>3</v>
      </c>
      <c r="P6">
        <v>0</v>
      </c>
      <c r="Q6">
        <v>1</v>
      </c>
      <c r="R6">
        <v>5</v>
      </c>
      <c r="S6">
        <v>0</v>
      </c>
      <c r="T6">
        <v>0</v>
      </c>
      <c r="U6">
        <v>0</v>
      </c>
      <c r="V6" t="s">
        <v>58</v>
      </c>
      <c r="W6" s="1" t="s">
        <v>62</v>
      </c>
      <c r="Y6" t="s">
        <v>63</v>
      </c>
      <c r="Z6" t="s">
        <v>47</v>
      </c>
      <c r="AA6">
        <v>5</v>
      </c>
      <c r="AB6">
        <v>2</v>
      </c>
      <c r="AC6" t="s">
        <v>41</v>
      </c>
      <c r="AD6" t="s">
        <v>42</v>
      </c>
      <c r="AE6" t="s">
        <v>43</v>
      </c>
      <c r="AF6" s="3">
        <v>7</v>
      </c>
      <c r="AG6" s="3">
        <v>40</v>
      </c>
      <c r="AH6">
        <v>80</v>
      </c>
      <c r="AI6">
        <v>2</v>
      </c>
      <c r="AJ6">
        <v>0</v>
      </c>
      <c r="AL6">
        <v>0</v>
      </c>
      <c r="AM6">
        <v>1</v>
      </c>
      <c r="AN6" t="s">
        <v>768</v>
      </c>
      <c r="AO6" t="s">
        <v>41</v>
      </c>
    </row>
    <row r="7" spans="1:41" x14ac:dyDescent="0.25">
      <c r="A7">
        <v>19</v>
      </c>
      <c r="B7" t="s">
        <v>32</v>
      </c>
      <c r="C7" t="s">
        <v>55</v>
      </c>
      <c r="D7">
        <v>22</v>
      </c>
      <c r="E7" t="s">
        <v>34</v>
      </c>
      <c r="F7">
        <v>3</v>
      </c>
      <c r="G7">
        <v>1</v>
      </c>
      <c r="H7" t="s">
        <v>56</v>
      </c>
      <c r="I7">
        <v>3</v>
      </c>
      <c r="J7" t="s">
        <v>36</v>
      </c>
      <c r="K7">
        <v>1675</v>
      </c>
      <c r="L7">
        <v>1</v>
      </c>
      <c r="M7" t="s">
        <v>31</v>
      </c>
      <c r="N7">
        <v>19</v>
      </c>
      <c r="O7">
        <v>3</v>
      </c>
      <c r="P7">
        <v>0</v>
      </c>
      <c r="Q7">
        <v>0</v>
      </c>
      <c r="R7">
        <v>2</v>
      </c>
      <c r="S7">
        <v>0</v>
      </c>
      <c r="T7">
        <v>0</v>
      </c>
      <c r="U7">
        <v>0</v>
      </c>
      <c r="V7" t="s">
        <v>58</v>
      </c>
      <c r="W7" s="1" t="s">
        <v>64</v>
      </c>
      <c r="Y7" t="s">
        <v>46</v>
      </c>
      <c r="Z7" t="s">
        <v>47</v>
      </c>
      <c r="AA7">
        <v>1</v>
      </c>
      <c r="AB7">
        <v>1</v>
      </c>
      <c r="AC7" t="s">
        <v>31</v>
      </c>
      <c r="AD7" t="s">
        <v>65</v>
      </c>
      <c r="AE7" t="s">
        <v>49</v>
      </c>
      <c r="AF7" s="3">
        <v>8</v>
      </c>
      <c r="AG7" s="3">
        <v>79</v>
      </c>
      <c r="AH7">
        <v>80</v>
      </c>
      <c r="AI7">
        <v>7</v>
      </c>
      <c r="AJ7">
        <v>0</v>
      </c>
      <c r="AL7">
        <v>0</v>
      </c>
      <c r="AM7">
        <v>1</v>
      </c>
      <c r="AN7" t="s">
        <v>768</v>
      </c>
      <c r="AO7" t="s">
        <v>41</v>
      </c>
    </row>
    <row r="8" spans="1:41" x14ac:dyDescent="0.25">
      <c r="A8">
        <v>19</v>
      </c>
      <c r="B8" t="s">
        <v>66</v>
      </c>
      <c r="C8" t="s">
        <v>55</v>
      </c>
      <c r="D8">
        <v>1</v>
      </c>
      <c r="E8" t="s">
        <v>61</v>
      </c>
      <c r="F8">
        <v>1</v>
      </c>
      <c r="G8">
        <v>1</v>
      </c>
      <c r="H8" t="s">
        <v>56</v>
      </c>
      <c r="I8">
        <v>1</v>
      </c>
      <c r="J8" t="s">
        <v>36</v>
      </c>
      <c r="K8">
        <v>2325</v>
      </c>
      <c r="L8">
        <v>0</v>
      </c>
      <c r="M8" t="s">
        <v>41</v>
      </c>
      <c r="N8">
        <v>21</v>
      </c>
      <c r="O8">
        <v>4</v>
      </c>
      <c r="P8">
        <v>0</v>
      </c>
      <c r="Q8">
        <v>1</v>
      </c>
      <c r="R8">
        <v>5</v>
      </c>
      <c r="S8">
        <v>0</v>
      </c>
      <c r="T8">
        <v>0</v>
      </c>
      <c r="U8">
        <v>0</v>
      </c>
      <c r="V8" t="s">
        <v>58</v>
      </c>
      <c r="W8" s="2">
        <v>44531</v>
      </c>
      <c r="Y8" t="s">
        <v>46</v>
      </c>
      <c r="Z8" t="s">
        <v>47</v>
      </c>
      <c r="AA8">
        <v>2</v>
      </c>
      <c r="AB8">
        <v>2</v>
      </c>
      <c r="AC8" t="s">
        <v>41</v>
      </c>
      <c r="AD8" t="s">
        <v>67</v>
      </c>
      <c r="AE8" t="s">
        <v>43</v>
      </c>
      <c r="AF8" s="3">
        <v>10</v>
      </c>
      <c r="AG8" s="3">
        <v>81</v>
      </c>
      <c r="AH8">
        <v>80</v>
      </c>
      <c r="AI8">
        <v>0</v>
      </c>
      <c r="AJ8">
        <v>0</v>
      </c>
      <c r="AL8">
        <v>0</v>
      </c>
      <c r="AM8">
        <v>1</v>
      </c>
      <c r="AN8" t="s">
        <v>768</v>
      </c>
      <c r="AO8" t="s">
        <v>41</v>
      </c>
    </row>
    <row r="9" spans="1:41" x14ac:dyDescent="0.25">
      <c r="A9">
        <v>28</v>
      </c>
      <c r="B9" t="s">
        <v>32</v>
      </c>
      <c r="C9" t="s">
        <v>33</v>
      </c>
      <c r="D9">
        <v>2</v>
      </c>
      <c r="E9" t="s">
        <v>34</v>
      </c>
      <c r="F9">
        <v>3</v>
      </c>
      <c r="G9">
        <v>1</v>
      </c>
      <c r="H9" t="s">
        <v>35</v>
      </c>
      <c r="I9">
        <v>3</v>
      </c>
      <c r="J9" t="s">
        <v>36</v>
      </c>
      <c r="K9">
        <v>3485</v>
      </c>
      <c r="L9">
        <v>2</v>
      </c>
      <c r="M9" t="s">
        <v>41</v>
      </c>
      <c r="N9">
        <v>11</v>
      </c>
      <c r="O9">
        <v>3</v>
      </c>
      <c r="P9">
        <v>0</v>
      </c>
      <c r="Q9">
        <v>5</v>
      </c>
      <c r="R9">
        <v>5</v>
      </c>
      <c r="S9">
        <v>0</v>
      </c>
      <c r="T9">
        <v>0</v>
      </c>
      <c r="U9">
        <v>0</v>
      </c>
      <c r="V9" t="s">
        <v>52</v>
      </c>
      <c r="W9" s="1" t="s">
        <v>68</v>
      </c>
      <c r="Y9" t="s">
        <v>69</v>
      </c>
      <c r="Z9" t="s">
        <v>47</v>
      </c>
      <c r="AA9">
        <v>0</v>
      </c>
      <c r="AB9">
        <v>2</v>
      </c>
      <c r="AC9" t="s">
        <v>41</v>
      </c>
      <c r="AD9" t="s">
        <v>67</v>
      </c>
      <c r="AE9" t="s">
        <v>43</v>
      </c>
      <c r="AF9" s="3">
        <v>11</v>
      </c>
      <c r="AG9" s="3">
        <v>67</v>
      </c>
      <c r="AH9">
        <v>80</v>
      </c>
      <c r="AI9">
        <v>0</v>
      </c>
      <c r="AJ9">
        <v>0</v>
      </c>
      <c r="AL9">
        <v>0</v>
      </c>
      <c r="AM9">
        <v>1</v>
      </c>
      <c r="AN9" t="s">
        <v>768</v>
      </c>
      <c r="AO9" t="s">
        <v>41</v>
      </c>
    </row>
    <row r="10" spans="1:41" x14ac:dyDescent="0.25">
      <c r="A10">
        <v>29</v>
      </c>
      <c r="B10" t="s">
        <v>32</v>
      </c>
      <c r="C10" t="s">
        <v>55</v>
      </c>
      <c r="D10">
        <v>2</v>
      </c>
      <c r="E10" t="s">
        <v>34</v>
      </c>
      <c r="F10">
        <v>2</v>
      </c>
      <c r="G10">
        <v>2</v>
      </c>
      <c r="H10" t="s">
        <v>70</v>
      </c>
      <c r="I10">
        <v>2</v>
      </c>
      <c r="J10" t="s">
        <v>51</v>
      </c>
      <c r="K10">
        <v>6644</v>
      </c>
      <c r="L10">
        <v>2</v>
      </c>
      <c r="M10" t="s">
        <v>41</v>
      </c>
      <c r="N10">
        <v>19</v>
      </c>
      <c r="O10">
        <v>3</v>
      </c>
      <c r="P10">
        <v>2</v>
      </c>
      <c r="Q10">
        <v>10</v>
      </c>
      <c r="R10">
        <v>2</v>
      </c>
      <c r="S10">
        <v>0</v>
      </c>
      <c r="T10">
        <v>0</v>
      </c>
      <c r="U10">
        <v>0</v>
      </c>
      <c r="V10" t="s">
        <v>37</v>
      </c>
      <c r="W10" s="1" t="s">
        <v>71</v>
      </c>
      <c r="Y10" t="s">
        <v>63</v>
      </c>
      <c r="Z10" t="s">
        <v>40</v>
      </c>
      <c r="AA10">
        <v>5</v>
      </c>
      <c r="AB10">
        <v>2</v>
      </c>
      <c r="AC10" t="s">
        <v>41</v>
      </c>
      <c r="AD10" t="s">
        <v>67</v>
      </c>
      <c r="AE10" t="s">
        <v>49</v>
      </c>
      <c r="AF10" s="3">
        <v>12</v>
      </c>
      <c r="AG10" s="3">
        <v>44</v>
      </c>
      <c r="AH10">
        <v>80</v>
      </c>
      <c r="AI10">
        <v>7</v>
      </c>
      <c r="AJ10">
        <v>0</v>
      </c>
      <c r="AL10">
        <v>0</v>
      </c>
      <c r="AM10">
        <v>1</v>
      </c>
      <c r="AN10" t="s">
        <v>768</v>
      </c>
      <c r="AO10" t="s">
        <v>41</v>
      </c>
    </row>
    <row r="11" spans="1:41" x14ac:dyDescent="0.25">
      <c r="A11">
        <v>18</v>
      </c>
      <c r="B11" t="s">
        <v>32</v>
      </c>
      <c r="C11" t="s">
        <v>33</v>
      </c>
      <c r="D11">
        <v>3</v>
      </c>
      <c r="E11" t="s">
        <v>34</v>
      </c>
      <c r="F11">
        <v>3</v>
      </c>
      <c r="G11">
        <v>1</v>
      </c>
      <c r="H11" t="s">
        <v>35</v>
      </c>
      <c r="I11">
        <v>3</v>
      </c>
      <c r="J11" t="s">
        <v>36</v>
      </c>
      <c r="K11">
        <v>1420</v>
      </c>
      <c r="L11">
        <v>1</v>
      </c>
      <c r="M11" t="s">
        <v>41</v>
      </c>
      <c r="N11">
        <v>13</v>
      </c>
      <c r="O11">
        <v>3</v>
      </c>
      <c r="P11">
        <v>0</v>
      </c>
      <c r="Q11">
        <v>0</v>
      </c>
      <c r="R11">
        <v>2</v>
      </c>
      <c r="S11">
        <v>0</v>
      </c>
      <c r="T11">
        <v>0</v>
      </c>
      <c r="U11">
        <v>0</v>
      </c>
      <c r="V11" t="s">
        <v>58</v>
      </c>
      <c r="W11" s="2">
        <v>44352</v>
      </c>
      <c r="Y11" t="s">
        <v>69</v>
      </c>
      <c r="Z11" t="s">
        <v>47</v>
      </c>
      <c r="AA11">
        <v>5</v>
      </c>
      <c r="AB11">
        <v>2</v>
      </c>
      <c r="AC11" t="s">
        <v>41</v>
      </c>
      <c r="AD11" t="s">
        <v>67</v>
      </c>
      <c r="AE11" t="s">
        <v>60</v>
      </c>
      <c r="AF11" s="3">
        <v>13</v>
      </c>
      <c r="AG11" s="3">
        <v>94</v>
      </c>
      <c r="AH11">
        <v>80</v>
      </c>
      <c r="AI11">
        <v>7</v>
      </c>
      <c r="AJ11">
        <v>0</v>
      </c>
      <c r="AL11">
        <v>0</v>
      </c>
      <c r="AM11">
        <v>1</v>
      </c>
      <c r="AN11" t="s">
        <v>768</v>
      </c>
      <c r="AO11" t="s">
        <v>41</v>
      </c>
    </row>
    <row r="12" spans="1:41" x14ac:dyDescent="0.25">
      <c r="A12">
        <v>18</v>
      </c>
      <c r="B12" t="s">
        <v>32</v>
      </c>
      <c r="C12" t="s">
        <v>55</v>
      </c>
      <c r="D12">
        <v>10</v>
      </c>
      <c r="E12" t="s">
        <v>61</v>
      </c>
      <c r="F12">
        <v>2</v>
      </c>
      <c r="G12">
        <v>1</v>
      </c>
      <c r="H12" t="s">
        <v>56</v>
      </c>
      <c r="I12">
        <v>3</v>
      </c>
      <c r="J12" t="s">
        <v>36</v>
      </c>
      <c r="K12">
        <v>1200</v>
      </c>
      <c r="L12">
        <v>1</v>
      </c>
      <c r="M12" t="s">
        <v>41</v>
      </c>
      <c r="N12">
        <v>12</v>
      </c>
      <c r="O12">
        <v>3</v>
      </c>
      <c r="P12">
        <v>0</v>
      </c>
      <c r="Q12">
        <v>0</v>
      </c>
      <c r="R12">
        <v>2</v>
      </c>
      <c r="S12">
        <v>0</v>
      </c>
      <c r="T12">
        <v>0</v>
      </c>
      <c r="U12">
        <v>0</v>
      </c>
      <c r="V12" t="s">
        <v>72</v>
      </c>
      <c r="W12" s="1" t="s">
        <v>73</v>
      </c>
      <c r="Y12" t="s">
        <v>69</v>
      </c>
      <c r="Z12" t="s">
        <v>47</v>
      </c>
      <c r="AA12">
        <v>1</v>
      </c>
      <c r="AB12">
        <v>2</v>
      </c>
      <c r="AC12" t="s">
        <v>31</v>
      </c>
      <c r="AD12" t="s">
        <v>65</v>
      </c>
      <c r="AE12" t="s">
        <v>60</v>
      </c>
      <c r="AF12" s="3">
        <v>14</v>
      </c>
      <c r="AG12" s="3">
        <v>84</v>
      </c>
      <c r="AH12">
        <v>80</v>
      </c>
      <c r="AI12">
        <v>4</v>
      </c>
      <c r="AJ12">
        <v>0</v>
      </c>
      <c r="AL12">
        <v>0</v>
      </c>
      <c r="AM12">
        <v>1</v>
      </c>
      <c r="AN12" t="s">
        <v>768</v>
      </c>
      <c r="AO12" t="s">
        <v>41</v>
      </c>
    </row>
    <row r="13" spans="1:41" x14ac:dyDescent="0.25">
      <c r="A13">
        <v>47</v>
      </c>
      <c r="B13" t="s">
        <v>66</v>
      </c>
      <c r="C13" t="s">
        <v>55</v>
      </c>
      <c r="D13">
        <v>4</v>
      </c>
      <c r="E13" t="s">
        <v>34</v>
      </c>
      <c r="F13">
        <v>3</v>
      </c>
      <c r="G13">
        <v>2</v>
      </c>
      <c r="H13" t="s">
        <v>56</v>
      </c>
      <c r="I13">
        <v>3</v>
      </c>
      <c r="J13" t="s">
        <v>36</v>
      </c>
      <c r="K13">
        <v>2976</v>
      </c>
      <c r="L13">
        <v>3</v>
      </c>
      <c r="M13" t="s">
        <v>41</v>
      </c>
      <c r="N13">
        <v>19</v>
      </c>
      <c r="O13">
        <v>3</v>
      </c>
      <c r="P13">
        <v>0</v>
      </c>
      <c r="Q13">
        <v>5</v>
      </c>
      <c r="R13">
        <v>3</v>
      </c>
      <c r="S13">
        <v>0</v>
      </c>
      <c r="T13">
        <v>0</v>
      </c>
      <c r="U13">
        <v>0</v>
      </c>
      <c r="V13" t="s">
        <v>72</v>
      </c>
      <c r="W13" s="1" t="s">
        <v>74</v>
      </c>
      <c r="Y13" t="s">
        <v>69</v>
      </c>
      <c r="Z13" t="s">
        <v>47</v>
      </c>
      <c r="AA13">
        <v>5</v>
      </c>
      <c r="AB13">
        <v>0</v>
      </c>
      <c r="AC13" t="s">
        <v>31</v>
      </c>
      <c r="AD13" t="s">
        <v>67</v>
      </c>
      <c r="AE13" t="s">
        <v>60</v>
      </c>
      <c r="AF13" s="3">
        <v>15</v>
      </c>
      <c r="AG13" s="3">
        <v>49</v>
      </c>
      <c r="AH13">
        <v>80</v>
      </c>
      <c r="AI13">
        <v>5</v>
      </c>
      <c r="AJ13">
        <v>0</v>
      </c>
      <c r="AL13">
        <v>0</v>
      </c>
      <c r="AM13">
        <v>1</v>
      </c>
      <c r="AN13" t="s">
        <v>768</v>
      </c>
      <c r="AO13" t="s">
        <v>41</v>
      </c>
    </row>
    <row r="14" spans="1:41" x14ac:dyDescent="0.25">
      <c r="A14">
        <v>48</v>
      </c>
      <c r="B14" t="s">
        <v>32</v>
      </c>
      <c r="C14" t="s">
        <v>55</v>
      </c>
      <c r="D14">
        <v>29</v>
      </c>
      <c r="E14" t="s">
        <v>61</v>
      </c>
      <c r="F14">
        <v>3</v>
      </c>
      <c r="G14">
        <v>3</v>
      </c>
      <c r="H14" t="s">
        <v>75</v>
      </c>
      <c r="I14">
        <v>3</v>
      </c>
      <c r="J14" t="s">
        <v>51</v>
      </c>
      <c r="K14">
        <v>12504</v>
      </c>
      <c r="L14">
        <v>3</v>
      </c>
      <c r="M14" t="s">
        <v>41</v>
      </c>
      <c r="N14">
        <v>21</v>
      </c>
      <c r="O14">
        <v>4</v>
      </c>
      <c r="P14">
        <v>1</v>
      </c>
      <c r="Q14">
        <v>15</v>
      </c>
      <c r="R14">
        <v>3</v>
      </c>
      <c r="S14">
        <v>0</v>
      </c>
      <c r="T14">
        <v>0</v>
      </c>
      <c r="U14">
        <v>0</v>
      </c>
      <c r="V14" t="s">
        <v>58</v>
      </c>
      <c r="W14" s="2">
        <v>44352</v>
      </c>
      <c r="Y14" t="s">
        <v>46</v>
      </c>
      <c r="Z14" t="s">
        <v>47</v>
      </c>
      <c r="AA14">
        <v>1</v>
      </c>
      <c r="AB14">
        <v>2</v>
      </c>
      <c r="AC14" t="s">
        <v>31</v>
      </c>
      <c r="AD14" t="s">
        <v>42</v>
      </c>
      <c r="AE14" t="s">
        <v>49</v>
      </c>
      <c r="AF14" s="3">
        <v>16</v>
      </c>
      <c r="AG14" s="3">
        <v>31</v>
      </c>
      <c r="AH14">
        <v>80</v>
      </c>
      <c r="AI14">
        <v>2</v>
      </c>
      <c r="AJ14">
        <v>0</v>
      </c>
      <c r="AL14">
        <v>0</v>
      </c>
      <c r="AM14">
        <v>1</v>
      </c>
      <c r="AN14" t="s">
        <v>768</v>
      </c>
      <c r="AO14" t="s">
        <v>41</v>
      </c>
    </row>
    <row r="15" spans="1:41" x14ac:dyDescent="0.25">
      <c r="A15">
        <v>18</v>
      </c>
      <c r="B15" t="s">
        <v>66</v>
      </c>
      <c r="C15" t="s">
        <v>55</v>
      </c>
      <c r="D15">
        <v>5</v>
      </c>
      <c r="E15" t="s">
        <v>34</v>
      </c>
      <c r="F15">
        <v>3</v>
      </c>
      <c r="G15">
        <v>1</v>
      </c>
      <c r="H15" t="s">
        <v>56</v>
      </c>
      <c r="I15">
        <v>2</v>
      </c>
      <c r="J15" t="s">
        <v>36</v>
      </c>
      <c r="K15">
        <v>1878</v>
      </c>
      <c r="L15">
        <v>1</v>
      </c>
      <c r="M15" t="s">
        <v>31</v>
      </c>
      <c r="N15">
        <v>14</v>
      </c>
      <c r="O15">
        <v>3</v>
      </c>
      <c r="P15">
        <v>0</v>
      </c>
      <c r="Q15">
        <v>0</v>
      </c>
      <c r="R15">
        <v>3</v>
      </c>
      <c r="S15">
        <v>0</v>
      </c>
      <c r="T15">
        <v>0</v>
      </c>
      <c r="U15">
        <v>0</v>
      </c>
      <c r="V15" t="s">
        <v>52</v>
      </c>
      <c r="W15" s="2">
        <v>44535</v>
      </c>
      <c r="Y15" t="s">
        <v>69</v>
      </c>
      <c r="Z15" t="s">
        <v>47</v>
      </c>
      <c r="AA15">
        <v>3</v>
      </c>
      <c r="AB15">
        <v>2</v>
      </c>
      <c r="AC15" t="s">
        <v>41</v>
      </c>
      <c r="AD15" t="s">
        <v>65</v>
      </c>
      <c r="AE15" t="s">
        <v>60</v>
      </c>
      <c r="AF15" s="3">
        <v>18</v>
      </c>
      <c r="AG15" s="3">
        <v>93</v>
      </c>
      <c r="AH15">
        <v>80</v>
      </c>
      <c r="AI15">
        <v>2</v>
      </c>
      <c r="AJ15">
        <v>0</v>
      </c>
      <c r="AL15">
        <v>0</v>
      </c>
      <c r="AM15">
        <v>1</v>
      </c>
      <c r="AN15" t="s">
        <v>768</v>
      </c>
      <c r="AO15" t="s">
        <v>41</v>
      </c>
    </row>
    <row r="16" spans="1:41" x14ac:dyDescent="0.25">
      <c r="A16">
        <v>26</v>
      </c>
      <c r="B16" t="s">
        <v>32</v>
      </c>
      <c r="C16" t="s">
        <v>55</v>
      </c>
      <c r="D16">
        <v>29</v>
      </c>
      <c r="E16" t="s">
        <v>34</v>
      </c>
      <c r="F16">
        <v>3</v>
      </c>
      <c r="G16">
        <v>2</v>
      </c>
      <c r="H16" t="s">
        <v>70</v>
      </c>
      <c r="I16">
        <v>3</v>
      </c>
      <c r="J16" t="s">
        <v>57</v>
      </c>
      <c r="K16">
        <v>4306</v>
      </c>
      <c r="L16">
        <v>5</v>
      </c>
      <c r="M16" t="s">
        <v>41</v>
      </c>
      <c r="N16">
        <v>12</v>
      </c>
      <c r="O16">
        <v>3</v>
      </c>
      <c r="P16">
        <v>2</v>
      </c>
      <c r="Q16">
        <v>8</v>
      </c>
      <c r="R16">
        <v>5</v>
      </c>
      <c r="S16">
        <v>0</v>
      </c>
      <c r="T16">
        <v>0</v>
      </c>
      <c r="U16">
        <v>0</v>
      </c>
      <c r="V16" t="s">
        <v>37</v>
      </c>
      <c r="W16" s="1" t="s">
        <v>76</v>
      </c>
      <c r="Y16" t="s">
        <v>54</v>
      </c>
      <c r="Z16" t="s">
        <v>47</v>
      </c>
      <c r="AA16">
        <v>0</v>
      </c>
      <c r="AB16">
        <v>3</v>
      </c>
      <c r="AC16" t="s">
        <v>31</v>
      </c>
      <c r="AD16" t="s">
        <v>42</v>
      </c>
      <c r="AE16" t="s">
        <v>49</v>
      </c>
      <c r="AF16" s="3">
        <v>19</v>
      </c>
      <c r="AG16" s="3">
        <v>50</v>
      </c>
      <c r="AH16">
        <v>80</v>
      </c>
      <c r="AI16">
        <v>2</v>
      </c>
      <c r="AJ16">
        <v>1</v>
      </c>
      <c r="AK16">
        <v>1</v>
      </c>
      <c r="AL16">
        <v>1</v>
      </c>
      <c r="AM16">
        <v>0</v>
      </c>
      <c r="AN16" t="s">
        <v>767</v>
      </c>
      <c r="AO16" t="s">
        <v>31</v>
      </c>
    </row>
    <row r="17" spans="1:41" x14ac:dyDescent="0.25">
      <c r="A17">
        <v>38</v>
      </c>
      <c r="B17" t="s">
        <v>32</v>
      </c>
      <c r="C17" t="s">
        <v>33</v>
      </c>
      <c r="D17">
        <v>1</v>
      </c>
      <c r="E17" t="s">
        <v>61</v>
      </c>
      <c r="F17">
        <v>3</v>
      </c>
      <c r="G17">
        <v>1</v>
      </c>
      <c r="H17" t="s">
        <v>44</v>
      </c>
      <c r="I17">
        <v>1</v>
      </c>
      <c r="J17" t="s">
        <v>36</v>
      </c>
      <c r="K17">
        <v>2619</v>
      </c>
      <c r="L17">
        <v>3</v>
      </c>
      <c r="M17" t="s">
        <v>41</v>
      </c>
      <c r="N17">
        <v>17</v>
      </c>
      <c r="O17">
        <v>3</v>
      </c>
      <c r="P17">
        <v>0</v>
      </c>
      <c r="Q17">
        <v>8</v>
      </c>
      <c r="R17">
        <v>3</v>
      </c>
      <c r="S17">
        <v>0</v>
      </c>
      <c r="T17">
        <v>0</v>
      </c>
      <c r="U17">
        <v>0</v>
      </c>
      <c r="V17" t="s">
        <v>37</v>
      </c>
      <c r="W17" s="1" t="s">
        <v>77</v>
      </c>
      <c r="Y17" t="s">
        <v>54</v>
      </c>
      <c r="Z17" t="s">
        <v>47</v>
      </c>
      <c r="AA17">
        <v>2</v>
      </c>
      <c r="AB17">
        <v>3</v>
      </c>
      <c r="AC17" t="s">
        <v>41</v>
      </c>
      <c r="AD17" t="s">
        <v>67</v>
      </c>
      <c r="AE17" t="s">
        <v>60</v>
      </c>
      <c r="AF17" s="3">
        <v>20</v>
      </c>
      <c r="AG17" s="3">
        <v>51</v>
      </c>
      <c r="AH17">
        <v>80</v>
      </c>
      <c r="AI17">
        <v>9</v>
      </c>
      <c r="AJ17">
        <v>0</v>
      </c>
      <c r="AL17">
        <v>0</v>
      </c>
      <c r="AM17">
        <v>1</v>
      </c>
      <c r="AN17" t="s">
        <v>768</v>
      </c>
      <c r="AO17" t="s">
        <v>41</v>
      </c>
    </row>
    <row r="18" spans="1:41" x14ac:dyDescent="0.25">
      <c r="A18">
        <v>34</v>
      </c>
      <c r="B18" t="s">
        <v>32</v>
      </c>
      <c r="C18" t="s">
        <v>33</v>
      </c>
      <c r="D18">
        <v>8</v>
      </c>
      <c r="E18" t="s">
        <v>61</v>
      </c>
      <c r="F18">
        <v>3</v>
      </c>
      <c r="G18">
        <v>2</v>
      </c>
      <c r="H18" t="s">
        <v>78</v>
      </c>
      <c r="I18">
        <v>1</v>
      </c>
      <c r="J18" t="s">
        <v>57</v>
      </c>
      <c r="K18">
        <v>5121</v>
      </c>
      <c r="L18">
        <v>3</v>
      </c>
      <c r="M18" t="s">
        <v>41</v>
      </c>
      <c r="N18">
        <v>14</v>
      </c>
      <c r="O18">
        <v>3</v>
      </c>
      <c r="P18">
        <v>1</v>
      </c>
      <c r="Q18">
        <v>7</v>
      </c>
      <c r="R18">
        <v>3</v>
      </c>
      <c r="S18">
        <v>0</v>
      </c>
      <c r="T18">
        <v>0</v>
      </c>
      <c r="U18">
        <v>0</v>
      </c>
      <c r="V18" t="s">
        <v>72</v>
      </c>
      <c r="W18" s="1" t="s">
        <v>79</v>
      </c>
      <c r="Y18" t="s">
        <v>39</v>
      </c>
      <c r="Z18" t="s">
        <v>47</v>
      </c>
      <c r="AA18">
        <v>3</v>
      </c>
      <c r="AB18">
        <v>0</v>
      </c>
      <c r="AC18" t="s">
        <v>41</v>
      </c>
      <c r="AD18" t="s">
        <v>65</v>
      </c>
      <c r="AE18" t="s">
        <v>49</v>
      </c>
      <c r="AF18" s="3">
        <v>21</v>
      </c>
      <c r="AG18" s="3">
        <v>80</v>
      </c>
      <c r="AH18">
        <v>80</v>
      </c>
      <c r="AI18">
        <v>2</v>
      </c>
      <c r="AJ18">
        <v>0</v>
      </c>
      <c r="AL18">
        <v>0</v>
      </c>
      <c r="AM18">
        <v>1</v>
      </c>
      <c r="AN18" t="s">
        <v>768</v>
      </c>
      <c r="AO18" t="s">
        <v>41</v>
      </c>
    </row>
    <row r="19" spans="1:41" x14ac:dyDescent="0.25">
      <c r="A19">
        <v>23</v>
      </c>
      <c r="B19" t="s">
        <v>32</v>
      </c>
      <c r="C19" t="s">
        <v>33</v>
      </c>
      <c r="D19">
        <v>6</v>
      </c>
      <c r="E19" t="s">
        <v>34</v>
      </c>
      <c r="F19">
        <v>4</v>
      </c>
      <c r="G19">
        <v>1</v>
      </c>
      <c r="H19" t="s">
        <v>35</v>
      </c>
      <c r="I19">
        <v>1</v>
      </c>
      <c r="J19" t="s">
        <v>51</v>
      </c>
      <c r="K19">
        <v>1601</v>
      </c>
      <c r="L19">
        <v>1</v>
      </c>
      <c r="M19" t="s">
        <v>31</v>
      </c>
      <c r="N19">
        <v>21</v>
      </c>
      <c r="O19">
        <v>4</v>
      </c>
      <c r="P19">
        <v>2</v>
      </c>
      <c r="Q19">
        <v>1</v>
      </c>
      <c r="R19">
        <v>2</v>
      </c>
      <c r="S19">
        <v>0</v>
      </c>
      <c r="T19">
        <v>0</v>
      </c>
      <c r="U19">
        <v>0</v>
      </c>
      <c r="V19" t="s">
        <v>37</v>
      </c>
      <c r="W19" s="2">
        <v>44472</v>
      </c>
      <c r="Y19" t="s">
        <v>54</v>
      </c>
      <c r="Z19" t="s">
        <v>40</v>
      </c>
      <c r="AA19">
        <v>2</v>
      </c>
      <c r="AB19">
        <v>1</v>
      </c>
      <c r="AC19" t="s">
        <v>31</v>
      </c>
      <c r="AD19" t="s">
        <v>42</v>
      </c>
      <c r="AE19" t="s">
        <v>49</v>
      </c>
      <c r="AF19" s="3">
        <v>22</v>
      </c>
      <c r="AG19" s="3">
        <v>96</v>
      </c>
      <c r="AH19">
        <v>80</v>
      </c>
      <c r="AI19">
        <v>0</v>
      </c>
      <c r="AJ19">
        <v>0</v>
      </c>
      <c r="AL19">
        <v>0</v>
      </c>
      <c r="AM19">
        <v>1</v>
      </c>
      <c r="AN19" t="s">
        <v>768</v>
      </c>
      <c r="AO19" t="s">
        <v>41</v>
      </c>
    </row>
    <row r="20" spans="1:41" x14ac:dyDescent="0.25">
      <c r="A20">
        <v>30</v>
      </c>
      <c r="B20" t="s">
        <v>32</v>
      </c>
      <c r="C20" t="s">
        <v>33</v>
      </c>
      <c r="D20">
        <v>2</v>
      </c>
      <c r="E20" t="s">
        <v>61</v>
      </c>
      <c r="F20">
        <v>2</v>
      </c>
      <c r="G20">
        <v>2</v>
      </c>
      <c r="H20" t="s">
        <v>78</v>
      </c>
      <c r="I20">
        <v>4</v>
      </c>
      <c r="J20" t="s">
        <v>36</v>
      </c>
      <c r="K20">
        <v>6877</v>
      </c>
      <c r="L20">
        <v>5</v>
      </c>
      <c r="M20" t="s">
        <v>31</v>
      </c>
      <c r="N20">
        <v>24</v>
      </c>
      <c r="O20">
        <v>4</v>
      </c>
      <c r="P20">
        <v>0</v>
      </c>
      <c r="Q20">
        <v>12</v>
      </c>
      <c r="R20">
        <v>4</v>
      </c>
      <c r="S20">
        <v>0</v>
      </c>
      <c r="T20">
        <v>0</v>
      </c>
      <c r="U20">
        <v>0</v>
      </c>
      <c r="V20" t="s">
        <v>37</v>
      </c>
      <c r="W20" s="1" t="s">
        <v>80</v>
      </c>
      <c r="Y20" t="s">
        <v>69</v>
      </c>
      <c r="Z20" t="s">
        <v>47</v>
      </c>
      <c r="AA20">
        <v>3</v>
      </c>
      <c r="AB20">
        <v>3</v>
      </c>
      <c r="AC20" t="s">
        <v>31</v>
      </c>
      <c r="AD20" t="s">
        <v>42</v>
      </c>
      <c r="AE20" t="s">
        <v>49</v>
      </c>
      <c r="AF20" s="3">
        <v>23</v>
      </c>
      <c r="AG20" s="3">
        <v>78</v>
      </c>
      <c r="AH20">
        <v>80</v>
      </c>
      <c r="AI20">
        <v>8</v>
      </c>
      <c r="AJ20">
        <v>0</v>
      </c>
      <c r="AL20">
        <v>0</v>
      </c>
      <c r="AM20">
        <v>1</v>
      </c>
      <c r="AN20" t="s">
        <v>768</v>
      </c>
      <c r="AO20" t="s">
        <v>41</v>
      </c>
    </row>
    <row r="21" spans="1:41" x14ac:dyDescent="0.25">
      <c r="A21">
        <v>27</v>
      </c>
      <c r="B21" t="s">
        <v>81</v>
      </c>
      <c r="C21" t="s">
        <v>33</v>
      </c>
      <c r="D21">
        <v>3</v>
      </c>
      <c r="E21" t="s">
        <v>34</v>
      </c>
      <c r="F21">
        <v>3</v>
      </c>
      <c r="G21">
        <v>1</v>
      </c>
      <c r="H21" t="s">
        <v>44</v>
      </c>
      <c r="I21">
        <v>4</v>
      </c>
      <c r="J21" t="s">
        <v>51</v>
      </c>
      <c r="K21">
        <v>1706</v>
      </c>
      <c r="L21">
        <v>1</v>
      </c>
      <c r="M21" t="s">
        <v>41</v>
      </c>
      <c r="N21">
        <v>11</v>
      </c>
      <c r="O21">
        <v>3</v>
      </c>
      <c r="P21">
        <v>3</v>
      </c>
      <c r="Q21">
        <v>0</v>
      </c>
      <c r="R21">
        <v>6</v>
      </c>
      <c r="S21">
        <v>0</v>
      </c>
      <c r="T21">
        <v>0</v>
      </c>
      <c r="U21">
        <v>0</v>
      </c>
      <c r="V21" t="s">
        <v>37</v>
      </c>
      <c r="W21" s="2">
        <v>44534</v>
      </c>
      <c r="Y21" t="s">
        <v>54</v>
      </c>
      <c r="Z21" t="s">
        <v>40</v>
      </c>
      <c r="AA21">
        <v>3</v>
      </c>
      <c r="AB21">
        <v>2</v>
      </c>
      <c r="AC21" t="s">
        <v>41</v>
      </c>
      <c r="AD21" t="s">
        <v>65</v>
      </c>
      <c r="AE21" t="s">
        <v>43</v>
      </c>
      <c r="AF21" s="3">
        <v>24</v>
      </c>
      <c r="AG21" s="3">
        <v>45</v>
      </c>
      <c r="AH21">
        <v>80</v>
      </c>
      <c r="AI21">
        <v>2</v>
      </c>
      <c r="AJ21">
        <v>0</v>
      </c>
      <c r="AL21">
        <v>0</v>
      </c>
      <c r="AM21">
        <v>1</v>
      </c>
      <c r="AN21" t="s">
        <v>768</v>
      </c>
      <c r="AO21" t="s">
        <v>41</v>
      </c>
    </row>
    <row r="22" spans="1:41" x14ac:dyDescent="0.25">
      <c r="A22">
        <v>48</v>
      </c>
      <c r="B22" t="s">
        <v>32</v>
      </c>
      <c r="C22" t="s">
        <v>33</v>
      </c>
      <c r="D22">
        <v>20</v>
      </c>
      <c r="E22" t="s">
        <v>34</v>
      </c>
      <c r="F22">
        <v>3</v>
      </c>
      <c r="G22">
        <v>1</v>
      </c>
      <c r="H22" t="s">
        <v>44</v>
      </c>
      <c r="I22">
        <v>3</v>
      </c>
      <c r="J22" t="s">
        <v>51</v>
      </c>
      <c r="K22">
        <v>2259</v>
      </c>
      <c r="L22">
        <v>4</v>
      </c>
      <c r="M22" t="s">
        <v>41</v>
      </c>
      <c r="N22">
        <v>17</v>
      </c>
      <c r="O22">
        <v>3</v>
      </c>
      <c r="P22">
        <v>2</v>
      </c>
      <c r="Q22">
        <v>13</v>
      </c>
      <c r="R22">
        <v>2</v>
      </c>
      <c r="S22">
        <v>0</v>
      </c>
      <c r="T22">
        <v>0</v>
      </c>
      <c r="U22">
        <v>0</v>
      </c>
      <c r="V22" t="s">
        <v>52</v>
      </c>
      <c r="W22" s="1" t="s">
        <v>59</v>
      </c>
      <c r="Y22" t="s">
        <v>54</v>
      </c>
      <c r="Z22" t="s">
        <v>47</v>
      </c>
      <c r="AA22">
        <v>0</v>
      </c>
      <c r="AB22">
        <v>2</v>
      </c>
      <c r="AC22" t="s">
        <v>31</v>
      </c>
      <c r="AD22" t="s">
        <v>67</v>
      </c>
      <c r="AE22" t="s">
        <v>60</v>
      </c>
      <c r="AF22" s="3">
        <v>26</v>
      </c>
      <c r="AG22" s="3">
        <v>96</v>
      </c>
      <c r="AH22">
        <v>80</v>
      </c>
      <c r="AI22">
        <v>2</v>
      </c>
      <c r="AJ22">
        <v>0</v>
      </c>
      <c r="AL22">
        <v>0</v>
      </c>
      <c r="AM22">
        <v>1</v>
      </c>
      <c r="AN22" t="s">
        <v>768</v>
      </c>
      <c r="AO22" t="s">
        <v>41</v>
      </c>
    </row>
    <row r="23" spans="1:41" x14ac:dyDescent="0.25">
      <c r="A23">
        <v>29</v>
      </c>
      <c r="B23" t="s">
        <v>32</v>
      </c>
      <c r="C23" t="s">
        <v>33</v>
      </c>
      <c r="D23">
        <v>10</v>
      </c>
      <c r="E23" t="s">
        <v>61</v>
      </c>
      <c r="F23">
        <v>2</v>
      </c>
      <c r="G23">
        <v>1</v>
      </c>
      <c r="H23" t="s">
        <v>44</v>
      </c>
      <c r="I23">
        <v>1</v>
      </c>
      <c r="J23" t="s">
        <v>36</v>
      </c>
      <c r="K23">
        <v>2404</v>
      </c>
      <c r="L23">
        <v>6</v>
      </c>
      <c r="M23" t="s">
        <v>31</v>
      </c>
      <c r="N23">
        <v>20</v>
      </c>
      <c r="O23">
        <v>4</v>
      </c>
      <c r="P23">
        <v>0</v>
      </c>
      <c r="Q23">
        <v>3</v>
      </c>
      <c r="R23">
        <v>5</v>
      </c>
      <c r="S23">
        <v>0</v>
      </c>
      <c r="T23">
        <v>0</v>
      </c>
      <c r="U23">
        <v>0</v>
      </c>
      <c r="V23" t="s">
        <v>72</v>
      </c>
      <c r="W23" s="2">
        <v>44505</v>
      </c>
      <c r="Y23" t="s">
        <v>39</v>
      </c>
      <c r="Z23" t="s">
        <v>47</v>
      </c>
      <c r="AA23">
        <v>1</v>
      </c>
      <c r="AB23">
        <v>0</v>
      </c>
      <c r="AC23" t="s">
        <v>41</v>
      </c>
      <c r="AD23" t="s">
        <v>65</v>
      </c>
      <c r="AE23" t="s">
        <v>60</v>
      </c>
      <c r="AF23" s="3">
        <v>27</v>
      </c>
      <c r="AG23" s="3">
        <v>82</v>
      </c>
      <c r="AH23">
        <v>80</v>
      </c>
      <c r="AI23">
        <v>3</v>
      </c>
      <c r="AJ23">
        <v>1</v>
      </c>
      <c r="AK23">
        <v>1</v>
      </c>
      <c r="AL23">
        <v>1</v>
      </c>
      <c r="AM23">
        <v>0</v>
      </c>
      <c r="AN23" t="s">
        <v>767</v>
      </c>
      <c r="AO23" t="s">
        <v>31</v>
      </c>
    </row>
    <row r="24" spans="1:41" x14ac:dyDescent="0.25">
      <c r="A24">
        <v>18</v>
      </c>
      <c r="B24" t="s">
        <v>81</v>
      </c>
      <c r="C24" t="s">
        <v>33</v>
      </c>
      <c r="D24">
        <v>5</v>
      </c>
      <c r="E24" t="s">
        <v>34</v>
      </c>
      <c r="F24">
        <v>3</v>
      </c>
      <c r="G24">
        <v>1</v>
      </c>
      <c r="H24" t="s">
        <v>44</v>
      </c>
      <c r="I24">
        <v>4</v>
      </c>
      <c r="J24" t="s">
        <v>36</v>
      </c>
      <c r="K24">
        <v>1051</v>
      </c>
      <c r="L24">
        <v>1</v>
      </c>
      <c r="M24" t="s">
        <v>41</v>
      </c>
      <c r="N24">
        <v>15</v>
      </c>
      <c r="O24">
        <v>3</v>
      </c>
      <c r="P24">
        <v>0</v>
      </c>
      <c r="Q24">
        <v>0</v>
      </c>
      <c r="R24">
        <v>2</v>
      </c>
      <c r="S24">
        <v>0</v>
      </c>
      <c r="T24">
        <v>0</v>
      </c>
      <c r="U24">
        <v>0</v>
      </c>
      <c r="V24" t="s">
        <v>52</v>
      </c>
      <c r="W24" s="1" t="s">
        <v>82</v>
      </c>
      <c r="Y24" t="s">
        <v>54</v>
      </c>
      <c r="Z24" t="s">
        <v>47</v>
      </c>
      <c r="AA24">
        <v>3</v>
      </c>
      <c r="AB24">
        <v>0</v>
      </c>
      <c r="AC24" t="s">
        <v>41</v>
      </c>
      <c r="AD24" t="s">
        <v>65</v>
      </c>
      <c r="AE24" t="s">
        <v>60</v>
      </c>
      <c r="AF24" s="3">
        <v>28</v>
      </c>
      <c r="AG24" s="3">
        <v>53</v>
      </c>
      <c r="AH24">
        <v>80</v>
      </c>
      <c r="AI24">
        <v>6</v>
      </c>
      <c r="AJ24">
        <v>0</v>
      </c>
      <c r="AL24">
        <v>0</v>
      </c>
      <c r="AM24">
        <v>1</v>
      </c>
      <c r="AN24" t="s">
        <v>768</v>
      </c>
      <c r="AO24" t="s">
        <v>41</v>
      </c>
    </row>
    <row r="25" spans="1:41" x14ac:dyDescent="0.25">
      <c r="A25">
        <v>50</v>
      </c>
      <c r="B25" t="s">
        <v>66</v>
      </c>
      <c r="C25" t="s">
        <v>55</v>
      </c>
      <c r="D25">
        <v>1</v>
      </c>
      <c r="E25" t="s">
        <v>34</v>
      </c>
      <c r="F25">
        <v>3</v>
      </c>
      <c r="G25">
        <v>2</v>
      </c>
      <c r="H25" t="s">
        <v>70</v>
      </c>
      <c r="I25">
        <v>3</v>
      </c>
      <c r="J25" t="s">
        <v>36</v>
      </c>
      <c r="K25">
        <v>4728</v>
      </c>
      <c r="L25">
        <v>3</v>
      </c>
      <c r="M25" t="s">
        <v>31</v>
      </c>
      <c r="N25">
        <v>14</v>
      </c>
      <c r="O25">
        <v>3</v>
      </c>
      <c r="P25">
        <v>0</v>
      </c>
      <c r="Q25">
        <v>5</v>
      </c>
      <c r="R25">
        <v>4</v>
      </c>
      <c r="S25">
        <v>0</v>
      </c>
      <c r="T25">
        <v>0</v>
      </c>
      <c r="U25">
        <v>0</v>
      </c>
      <c r="V25" t="s">
        <v>37</v>
      </c>
      <c r="W25" s="1" t="s">
        <v>83</v>
      </c>
      <c r="Y25" t="s">
        <v>54</v>
      </c>
      <c r="Z25" t="s">
        <v>40</v>
      </c>
      <c r="AA25">
        <v>1</v>
      </c>
      <c r="AB25">
        <v>3</v>
      </c>
      <c r="AC25" t="s">
        <v>41</v>
      </c>
      <c r="AD25" t="s">
        <v>48</v>
      </c>
      <c r="AE25" t="s">
        <v>49</v>
      </c>
      <c r="AF25" s="3">
        <v>30</v>
      </c>
      <c r="AG25" s="3">
        <v>96</v>
      </c>
      <c r="AH25">
        <v>80</v>
      </c>
      <c r="AI25">
        <v>0</v>
      </c>
      <c r="AJ25">
        <v>0</v>
      </c>
      <c r="AL25">
        <v>0</v>
      </c>
      <c r="AM25">
        <v>1</v>
      </c>
      <c r="AN25" t="s">
        <v>768</v>
      </c>
      <c r="AO25" t="s">
        <v>41</v>
      </c>
    </row>
    <row r="26" spans="1:41" x14ac:dyDescent="0.25">
      <c r="A26">
        <v>34</v>
      </c>
      <c r="B26" t="s">
        <v>81</v>
      </c>
      <c r="C26" t="s">
        <v>33</v>
      </c>
      <c r="D26">
        <v>3</v>
      </c>
      <c r="E26" t="s">
        <v>34</v>
      </c>
      <c r="F26">
        <v>2</v>
      </c>
      <c r="G26">
        <v>1</v>
      </c>
      <c r="H26" t="s">
        <v>44</v>
      </c>
      <c r="I26">
        <v>4</v>
      </c>
      <c r="J26" t="s">
        <v>51</v>
      </c>
      <c r="K26">
        <v>2979</v>
      </c>
      <c r="L26">
        <v>3</v>
      </c>
      <c r="M26" t="s">
        <v>41</v>
      </c>
      <c r="N26">
        <v>17</v>
      </c>
      <c r="O26">
        <v>3</v>
      </c>
      <c r="P26">
        <v>3</v>
      </c>
      <c r="Q26">
        <v>6</v>
      </c>
      <c r="R26">
        <v>2</v>
      </c>
      <c r="S26">
        <v>0</v>
      </c>
      <c r="T26">
        <v>0</v>
      </c>
      <c r="U26">
        <v>0</v>
      </c>
      <c r="V26" t="s">
        <v>72</v>
      </c>
      <c r="W26" s="1" t="s">
        <v>84</v>
      </c>
      <c r="Y26" t="s">
        <v>69</v>
      </c>
      <c r="Z26" t="s">
        <v>47</v>
      </c>
      <c r="AA26">
        <v>0</v>
      </c>
      <c r="AB26">
        <v>2</v>
      </c>
      <c r="AC26" t="s">
        <v>41</v>
      </c>
      <c r="AD26" t="s">
        <v>48</v>
      </c>
      <c r="AE26" t="s">
        <v>43</v>
      </c>
      <c r="AF26" s="3">
        <v>31</v>
      </c>
      <c r="AG26" s="3">
        <v>83</v>
      </c>
      <c r="AH26">
        <v>80</v>
      </c>
      <c r="AI26">
        <v>2</v>
      </c>
      <c r="AJ26">
        <v>1</v>
      </c>
      <c r="AK26">
        <v>1</v>
      </c>
      <c r="AL26">
        <v>1</v>
      </c>
      <c r="AM26">
        <v>0</v>
      </c>
      <c r="AN26" t="s">
        <v>767</v>
      </c>
      <c r="AO26" t="s">
        <v>31</v>
      </c>
    </row>
    <row r="27" spans="1:41" x14ac:dyDescent="0.25">
      <c r="A27">
        <v>18</v>
      </c>
      <c r="B27" t="s">
        <v>81</v>
      </c>
      <c r="C27" t="s">
        <v>33</v>
      </c>
      <c r="D27">
        <v>8</v>
      </c>
      <c r="E27" t="s">
        <v>34</v>
      </c>
      <c r="F27">
        <v>3</v>
      </c>
      <c r="G27">
        <v>1</v>
      </c>
      <c r="H27" t="s">
        <v>35</v>
      </c>
      <c r="I27">
        <v>3</v>
      </c>
      <c r="J27" t="s">
        <v>36</v>
      </c>
      <c r="K27">
        <v>1904</v>
      </c>
      <c r="L27">
        <v>1</v>
      </c>
      <c r="M27" t="s">
        <v>41</v>
      </c>
      <c r="N27">
        <v>12</v>
      </c>
      <c r="O27">
        <v>3</v>
      </c>
      <c r="P27">
        <v>0</v>
      </c>
      <c r="Q27">
        <v>0</v>
      </c>
      <c r="R27">
        <v>0</v>
      </c>
      <c r="S27">
        <v>0</v>
      </c>
      <c r="T27">
        <v>0</v>
      </c>
      <c r="U27">
        <v>0</v>
      </c>
      <c r="V27" t="s">
        <v>58</v>
      </c>
      <c r="W27" s="2">
        <v>44348</v>
      </c>
      <c r="Y27" t="s">
        <v>46</v>
      </c>
      <c r="Z27" t="s">
        <v>40</v>
      </c>
      <c r="AA27">
        <v>5</v>
      </c>
      <c r="AB27">
        <v>3</v>
      </c>
      <c r="AC27" t="s">
        <v>41</v>
      </c>
      <c r="AD27" t="s">
        <v>48</v>
      </c>
      <c r="AE27" t="s">
        <v>60</v>
      </c>
      <c r="AF27" s="3">
        <v>32</v>
      </c>
      <c r="AG27" s="3">
        <v>58</v>
      </c>
      <c r="AH27">
        <v>80</v>
      </c>
      <c r="AI27">
        <v>13</v>
      </c>
      <c r="AJ27">
        <v>0</v>
      </c>
      <c r="AL27">
        <v>0</v>
      </c>
      <c r="AM27">
        <v>1</v>
      </c>
      <c r="AN27" t="s">
        <v>768</v>
      </c>
      <c r="AO27" t="s">
        <v>41</v>
      </c>
    </row>
    <row r="28" spans="1:41" x14ac:dyDescent="0.25">
      <c r="A28">
        <v>22</v>
      </c>
      <c r="B28" t="s">
        <v>66</v>
      </c>
      <c r="C28" t="s">
        <v>33</v>
      </c>
      <c r="D28">
        <v>3</v>
      </c>
      <c r="E28" t="s">
        <v>34</v>
      </c>
      <c r="F28">
        <v>2</v>
      </c>
      <c r="G28">
        <v>1</v>
      </c>
      <c r="H28" t="s">
        <v>44</v>
      </c>
      <c r="I28">
        <v>4</v>
      </c>
      <c r="J28" t="s">
        <v>51</v>
      </c>
      <c r="K28">
        <v>2853</v>
      </c>
      <c r="L28">
        <v>0</v>
      </c>
      <c r="M28" t="s">
        <v>31</v>
      </c>
      <c r="N28">
        <v>11</v>
      </c>
      <c r="O28">
        <v>3</v>
      </c>
      <c r="P28">
        <v>1</v>
      </c>
      <c r="Q28">
        <v>1</v>
      </c>
      <c r="R28">
        <v>5</v>
      </c>
      <c r="S28">
        <v>0</v>
      </c>
      <c r="T28">
        <v>0</v>
      </c>
      <c r="U28">
        <v>0</v>
      </c>
      <c r="V28" t="s">
        <v>72</v>
      </c>
      <c r="W28" s="1" t="s">
        <v>85</v>
      </c>
      <c r="Y28" t="s">
        <v>54</v>
      </c>
      <c r="Z28" t="s">
        <v>47</v>
      </c>
      <c r="AA28">
        <v>5</v>
      </c>
      <c r="AB28">
        <v>1</v>
      </c>
      <c r="AC28" t="s">
        <v>41</v>
      </c>
      <c r="AD28" t="s">
        <v>67</v>
      </c>
      <c r="AE28" t="s">
        <v>60</v>
      </c>
      <c r="AF28" s="3">
        <v>33</v>
      </c>
      <c r="AG28" s="3">
        <v>72</v>
      </c>
      <c r="AH28">
        <v>80</v>
      </c>
      <c r="AI28">
        <v>2</v>
      </c>
      <c r="AJ28">
        <v>1</v>
      </c>
      <c r="AK28">
        <v>1</v>
      </c>
      <c r="AL28">
        <v>1</v>
      </c>
      <c r="AM28">
        <v>0</v>
      </c>
      <c r="AN28" t="s">
        <v>767</v>
      </c>
      <c r="AO28" t="s">
        <v>31</v>
      </c>
    </row>
    <row r="29" spans="1:41" x14ac:dyDescent="0.25">
      <c r="A29">
        <v>44</v>
      </c>
      <c r="B29" t="s">
        <v>81</v>
      </c>
      <c r="C29" t="s">
        <v>33</v>
      </c>
      <c r="D29">
        <v>17</v>
      </c>
      <c r="E29" t="s">
        <v>34</v>
      </c>
      <c r="F29">
        <v>1</v>
      </c>
      <c r="G29">
        <v>1</v>
      </c>
      <c r="H29" t="s">
        <v>44</v>
      </c>
      <c r="I29">
        <v>3</v>
      </c>
      <c r="J29" t="s">
        <v>36</v>
      </c>
      <c r="K29">
        <v>2290</v>
      </c>
      <c r="L29">
        <v>2</v>
      </c>
      <c r="M29" t="s">
        <v>41</v>
      </c>
      <c r="N29">
        <v>13</v>
      </c>
      <c r="O29">
        <v>3</v>
      </c>
      <c r="P29">
        <v>0</v>
      </c>
      <c r="Q29">
        <v>6</v>
      </c>
      <c r="R29">
        <v>3</v>
      </c>
      <c r="S29">
        <v>0</v>
      </c>
      <c r="T29">
        <v>0</v>
      </c>
      <c r="U29">
        <v>0</v>
      </c>
      <c r="V29" t="s">
        <v>58</v>
      </c>
      <c r="W29" s="2">
        <v>44287</v>
      </c>
      <c r="Y29" t="s">
        <v>46</v>
      </c>
      <c r="Z29" t="s">
        <v>47</v>
      </c>
      <c r="AA29">
        <v>1</v>
      </c>
      <c r="AB29">
        <v>3</v>
      </c>
      <c r="AC29" t="s">
        <v>41</v>
      </c>
      <c r="AD29" t="s">
        <v>48</v>
      </c>
      <c r="AE29" t="s">
        <v>43</v>
      </c>
      <c r="AF29" s="3">
        <v>35</v>
      </c>
      <c r="AG29" s="3">
        <v>48</v>
      </c>
      <c r="AH29">
        <v>80</v>
      </c>
      <c r="AI29">
        <v>7</v>
      </c>
      <c r="AJ29">
        <v>0</v>
      </c>
      <c r="AL29">
        <v>0</v>
      </c>
      <c r="AM29">
        <v>1</v>
      </c>
      <c r="AN29" t="s">
        <v>768</v>
      </c>
      <c r="AO29" t="s">
        <v>41</v>
      </c>
    </row>
    <row r="30" spans="1:41" x14ac:dyDescent="0.25">
      <c r="A30">
        <v>40</v>
      </c>
      <c r="B30" t="s">
        <v>66</v>
      </c>
      <c r="C30" t="s">
        <v>55</v>
      </c>
      <c r="D30">
        <v>2</v>
      </c>
      <c r="E30" t="s">
        <v>34</v>
      </c>
      <c r="F30">
        <v>3</v>
      </c>
      <c r="G30">
        <v>2</v>
      </c>
      <c r="H30" t="s">
        <v>70</v>
      </c>
      <c r="I30">
        <v>2</v>
      </c>
      <c r="J30" t="s">
        <v>51</v>
      </c>
      <c r="K30">
        <v>4327</v>
      </c>
      <c r="L30">
        <v>5</v>
      </c>
      <c r="M30" t="s">
        <v>41</v>
      </c>
      <c r="N30">
        <v>12</v>
      </c>
      <c r="O30">
        <v>3</v>
      </c>
      <c r="P30">
        <v>3</v>
      </c>
      <c r="Q30">
        <v>5</v>
      </c>
      <c r="R30">
        <v>2</v>
      </c>
      <c r="S30">
        <v>0</v>
      </c>
      <c r="T30">
        <v>0</v>
      </c>
      <c r="U30">
        <v>0</v>
      </c>
      <c r="V30" t="s">
        <v>52</v>
      </c>
      <c r="W30" s="2">
        <v>44198</v>
      </c>
      <c r="Y30" t="s">
        <v>39</v>
      </c>
      <c r="Z30" t="s">
        <v>47</v>
      </c>
      <c r="AA30">
        <v>2</v>
      </c>
      <c r="AB30">
        <v>3</v>
      </c>
      <c r="AC30" t="s">
        <v>31</v>
      </c>
      <c r="AD30" t="s">
        <v>67</v>
      </c>
      <c r="AE30" t="s">
        <v>60</v>
      </c>
      <c r="AF30" s="3">
        <v>36</v>
      </c>
      <c r="AG30" s="3">
        <v>42</v>
      </c>
      <c r="AH30">
        <v>80</v>
      </c>
      <c r="AI30">
        <v>6</v>
      </c>
      <c r="AJ30">
        <v>0</v>
      </c>
      <c r="AL30">
        <v>0</v>
      </c>
      <c r="AM30">
        <v>1</v>
      </c>
      <c r="AN30" t="s">
        <v>768</v>
      </c>
      <c r="AO30" t="s">
        <v>41</v>
      </c>
    </row>
    <row r="31" spans="1:41" x14ac:dyDescent="0.25">
      <c r="A31">
        <v>45</v>
      </c>
      <c r="B31" t="s">
        <v>66</v>
      </c>
      <c r="C31" t="s">
        <v>33</v>
      </c>
      <c r="D31">
        <v>25</v>
      </c>
      <c r="E31" t="s">
        <v>61</v>
      </c>
      <c r="F31">
        <v>3</v>
      </c>
      <c r="G31">
        <v>5</v>
      </c>
      <c r="H31" t="s">
        <v>75</v>
      </c>
      <c r="I31">
        <v>2</v>
      </c>
      <c r="J31" t="s">
        <v>36</v>
      </c>
      <c r="K31">
        <v>18061</v>
      </c>
      <c r="L31">
        <v>3</v>
      </c>
      <c r="M31" t="s">
        <v>41</v>
      </c>
      <c r="N31">
        <v>22</v>
      </c>
      <c r="O31">
        <v>4</v>
      </c>
      <c r="P31">
        <v>0</v>
      </c>
      <c r="Q31">
        <v>22</v>
      </c>
      <c r="R31">
        <v>4</v>
      </c>
      <c r="S31">
        <v>0</v>
      </c>
      <c r="T31">
        <v>0</v>
      </c>
      <c r="U31">
        <v>0</v>
      </c>
      <c r="V31" t="s">
        <v>72</v>
      </c>
      <c r="W31" s="1" t="s">
        <v>86</v>
      </c>
      <c r="Y31" t="s">
        <v>46</v>
      </c>
      <c r="Z31" t="s">
        <v>40</v>
      </c>
      <c r="AA31">
        <v>4</v>
      </c>
      <c r="AB31">
        <v>3</v>
      </c>
      <c r="AC31" t="s">
        <v>31</v>
      </c>
      <c r="AD31" t="s">
        <v>65</v>
      </c>
      <c r="AE31" t="s">
        <v>43</v>
      </c>
      <c r="AF31" s="3">
        <v>38</v>
      </c>
      <c r="AG31" s="3">
        <v>83</v>
      </c>
      <c r="AH31">
        <v>80</v>
      </c>
      <c r="AI31">
        <v>2</v>
      </c>
      <c r="AJ31">
        <v>0</v>
      </c>
      <c r="AL31">
        <v>0</v>
      </c>
      <c r="AM31">
        <v>1</v>
      </c>
      <c r="AN31" t="s">
        <v>768</v>
      </c>
      <c r="AO31" t="s">
        <v>41</v>
      </c>
    </row>
    <row r="32" spans="1:41" x14ac:dyDescent="0.25">
      <c r="A32">
        <v>18</v>
      </c>
      <c r="B32" t="s">
        <v>81</v>
      </c>
      <c r="C32" t="s">
        <v>33</v>
      </c>
      <c r="D32">
        <v>1</v>
      </c>
      <c r="E32" t="s">
        <v>61</v>
      </c>
      <c r="F32">
        <v>3</v>
      </c>
      <c r="G32">
        <v>1</v>
      </c>
      <c r="H32" t="s">
        <v>35</v>
      </c>
      <c r="I32">
        <v>4</v>
      </c>
      <c r="J32" t="s">
        <v>36</v>
      </c>
      <c r="K32">
        <v>1611</v>
      </c>
      <c r="L32">
        <v>1</v>
      </c>
      <c r="M32" t="s">
        <v>41</v>
      </c>
      <c r="N32">
        <v>15</v>
      </c>
      <c r="O32">
        <v>3</v>
      </c>
      <c r="P32">
        <v>0</v>
      </c>
      <c r="Q32">
        <v>0</v>
      </c>
      <c r="R32">
        <v>5</v>
      </c>
      <c r="S32">
        <v>0</v>
      </c>
      <c r="T32">
        <v>0</v>
      </c>
      <c r="U32">
        <v>0</v>
      </c>
      <c r="V32" t="s">
        <v>72</v>
      </c>
      <c r="W32" s="2">
        <v>44287</v>
      </c>
      <c r="Y32" t="s">
        <v>39</v>
      </c>
      <c r="Z32" t="s">
        <v>47</v>
      </c>
      <c r="AA32">
        <v>1</v>
      </c>
      <c r="AB32">
        <v>3</v>
      </c>
      <c r="AC32" t="s">
        <v>31</v>
      </c>
      <c r="AD32" t="s">
        <v>42</v>
      </c>
      <c r="AE32" t="s">
        <v>49</v>
      </c>
      <c r="AF32" s="3">
        <v>39</v>
      </c>
      <c r="AG32" s="3">
        <v>78</v>
      </c>
      <c r="AH32">
        <v>80</v>
      </c>
      <c r="AI32">
        <v>1</v>
      </c>
      <c r="AJ32">
        <v>0</v>
      </c>
      <c r="AL32">
        <v>0</v>
      </c>
      <c r="AM32">
        <v>1</v>
      </c>
      <c r="AN32" t="s">
        <v>768</v>
      </c>
      <c r="AO32" t="s">
        <v>41</v>
      </c>
    </row>
    <row r="33" spans="1:41" x14ac:dyDescent="0.25">
      <c r="A33">
        <v>24</v>
      </c>
      <c r="B33" t="s">
        <v>66</v>
      </c>
      <c r="C33" t="s">
        <v>33</v>
      </c>
      <c r="D33">
        <v>9</v>
      </c>
      <c r="E33" t="s">
        <v>34</v>
      </c>
      <c r="F33">
        <v>3</v>
      </c>
      <c r="G33">
        <v>1</v>
      </c>
      <c r="H33" t="s">
        <v>35</v>
      </c>
      <c r="I33">
        <v>1</v>
      </c>
      <c r="J33" t="s">
        <v>36</v>
      </c>
      <c r="K33">
        <v>3172</v>
      </c>
      <c r="L33">
        <v>2</v>
      </c>
      <c r="M33" t="s">
        <v>31</v>
      </c>
      <c r="N33">
        <v>11</v>
      </c>
      <c r="O33">
        <v>3</v>
      </c>
      <c r="P33">
        <v>0</v>
      </c>
      <c r="Q33">
        <v>4</v>
      </c>
      <c r="R33">
        <v>2</v>
      </c>
      <c r="S33">
        <v>0</v>
      </c>
      <c r="T33">
        <v>0</v>
      </c>
      <c r="U33">
        <v>0</v>
      </c>
      <c r="V33" t="s">
        <v>37</v>
      </c>
      <c r="W33" s="1" t="s">
        <v>87</v>
      </c>
      <c r="Y33" t="s">
        <v>69</v>
      </c>
      <c r="Z33" t="s">
        <v>40</v>
      </c>
      <c r="AA33">
        <v>5</v>
      </c>
      <c r="AB33">
        <v>2</v>
      </c>
      <c r="AC33" t="s">
        <v>31</v>
      </c>
      <c r="AD33" t="s">
        <v>42</v>
      </c>
      <c r="AE33" t="s">
        <v>49</v>
      </c>
      <c r="AF33" s="3">
        <v>40</v>
      </c>
      <c r="AG33" s="3">
        <v>41</v>
      </c>
      <c r="AH33">
        <v>80</v>
      </c>
      <c r="AI33">
        <v>2</v>
      </c>
      <c r="AJ33">
        <v>0</v>
      </c>
      <c r="AL33">
        <v>0</v>
      </c>
      <c r="AM33">
        <v>1</v>
      </c>
      <c r="AN33" t="s">
        <v>768</v>
      </c>
      <c r="AO33" t="s">
        <v>41</v>
      </c>
    </row>
    <row r="34" spans="1:41" x14ac:dyDescent="0.25">
      <c r="A34">
        <v>28</v>
      </c>
      <c r="B34" t="s">
        <v>66</v>
      </c>
      <c r="C34" t="s">
        <v>33</v>
      </c>
      <c r="D34">
        <v>2</v>
      </c>
      <c r="E34" t="s">
        <v>34</v>
      </c>
      <c r="F34">
        <v>2</v>
      </c>
      <c r="G34">
        <v>1</v>
      </c>
      <c r="H34" t="s">
        <v>35</v>
      </c>
      <c r="I34">
        <v>1</v>
      </c>
      <c r="J34" t="s">
        <v>36</v>
      </c>
      <c r="K34">
        <v>2561</v>
      </c>
      <c r="L34">
        <v>7</v>
      </c>
      <c r="M34" t="s">
        <v>41</v>
      </c>
      <c r="N34">
        <v>11</v>
      </c>
      <c r="O34">
        <v>3</v>
      </c>
      <c r="P34">
        <v>0</v>
      </c>
      <c r="Q34">
        <v>8</v>
      </c>
      <c r="R34">
        <v>2</v>
      </c>
      <c r="S34">
        <v>0</v>
      </c>
      <c r="T34">
        <v>0</v>
      </c>
      <c r="U34">
        <v>0</v>
      </c>
      <c r="V34" t="s">
        <v>72</v>
      </c>
      <c r="W34" s="1" t="s">
        <v>88</v>
      </c>
      <c r="Y34" t="s">
        <v>54</v>
      </c>
      <c r="Z34" t="s">
        <v>47</v>
      </c>
      <c r="AA34">
        <v>5</v>
      </c>
      <c r="AB34">
        <v>0</v>
      </c>
      <c r="AC34" t="s">
        <v>41</v>
      </c>
      <c r="AD34" t="s">
        <v>42</v>
      </c>
      <c r="AE34" t="s">
        <v>60</v>
      </c>
      <c r="AF34" s="3">
        <v>41</v>
      </c>
      <c r="AG34" s="3">
        <v>83</v>
      </c>
      <c r="AH34">
        <v>80</v>
      </c>
      <c r="AI34">
        <v>0</v>
      </c>
      <c r="AJ34">
        <v>0</v>
      </c>
      <c r="AL34">
        <v>0</v>
      </c>
      <c r="AM34">
        <v>1</v>
      </c>
      <c r="AN34" t="s">
        <v>768</v>
      </c>
      <c r="AO34" t="s">
        <v>41</v>
      </c>
    </row>
    <row r="35" spans="1:41" x14ac:dyDescent="0.25">
      <c r="A35">
        <v>33</v>
      </c>
      <c r="B35" t="s">
        <v>32</v>
      </c>
      <c r="C35" t="s">
        <v>33</v>
      </c>
      <c r="D35">
        <v>8</v>
      </c>
      <c r="E35" t="s">
        <v>34</v>
      </c>
      <c r="F35">
        <v>3</v>
      </c>
      <c r="G35">
        <v>2</v>
      </c>
      <c r="H35" t="s">
        <v>89</v>
      </c>
      <c r="I35">
        <v>3</v>
      </c>
      <c r="J35" t="s">
        <v>36</v>
      </c>
      <c r="K35">
        <v>6388</v>
      </c>
      <c r="L35">
        <v>2</v>
      </c>
      <c r="M35" t="s">
        <v>31</v>
      </c>
      <c r="N35">
        <v>17</v>
      </c>
      <c r="O35">
        <v>3</v>
      </c>
      <c r="P35">
        <v>0</v>
      </c>
      <c r="Q35">
        <v>14</v>
      </c>
      <c r="R35">
        <v>6</v>
      </c>
      <c r="S35">
        <v>0</v>
      </c>
      <c r="T35">
        <v>0</v>
      </c>
      <c r="U35">
        <v>0</v>
      </c>
      <c r="V35" t="s">
        <v>37</v>
      </c>
      <c r="W35" s="2">
        <v>44351</v>
      </c>
      <c r="Y35" t="s">
        <v>46</v>
      </c>
      <c r="Z35" t="s">
        <v>40</v>
      </c>
      <c r="AA35">
        <v>3</v>
      </c>
      <c r="AB35">
        <v>3</v>
      </c>
      <c r="AC35" t="s">
        <v>41</v>
      </c>
      <c r="AD35" t="s">
        <v>65</v>
      </c>
      <c r="AE35" t="s">
        <v>60</v>
      </c>
      <c r="AF35" s="3">
        <v>42</v>
      </c>
      <c r="AG35" s="3">
        <v>56</v>
      </c>
      <c r="AH35">
        <v>80</v>
      </c>
      <c r="AI35">
        <v>0</v>
      </c>
      <c r="AJ35">
        <v>1</v>
      </c>
      <c r="AK35">
        <v>1</v>
      </c>
      <c r="AL35">
        <v>1</v>
      </c>
      <c r="AM35">
        <v>0</v>
      </c>
      <c r="AN35" t="s">
        <v>767</v>
      </c>
      <c r="AO35" t="s">
        <v>31</v>
      </c>
    </row>
    <row r="36" spans="1:41" x14ac:dyDescent="0.25">
      <c r="A36">
        <v>18</v>
      </c>
      <c r="B36" t="s">
        <v>66</v>
      </c>
      <c r="C36" t="s">
        <v>55</v>
      </c>
      <c r="D36">
        <v>3</v>
      </c>
      <c r="E36" t="s">
        <v>61</v>
      </c>
      <c r="F36">
        <v>3</v>
      </c>
      <c r="G36">
        <v>1</v>
      </c>
      <c r="H36" t="s">
        <v>56</v>
      </c>
      <c r="I36">
        <v>4</v>
      </c>
      <c r="J36" t="s">
        <v>36</v>
      </c>
      <c r="K36">
        <v>1569</v>
      </c>
      <c r="L36">
        <v>1</v>
      </c>
      <c r="M36" t="s">
        <v>31</v>
      </c>
      <c r="N36">
        <v>12</v>
      </c>
      <c r="O36">
        <v>3</v>
      </c>
      <c r="P36">
        <v>0</v>
      </c>
      <c r="Q36">
        <v>0</v>
      </c>
      <c r="R36">
        <v>2</v>
      </c>
      <c r="S36">
        <v>0</v>
      </c>
      <c r="T36">
        <v>0</v>
      </c>
      <c r="U36">
        <v>0</v>
      </c>
      <c r="V36" t="s">
        <v>72</v>
      </c>
      <c r="W36" s="1" t="s">
        <v>90</v>
      </c>
      <c r="Y36" t="s">
        <v>54</v>
      </c>
      <c r="Z36" t="s">
        <v>40</v>
      </c>
      <c r="AA36">
        <v>0</v>
      </c>
      <c r="AB36">
        <v>1</v>
      </c>
      <c r="AC36" t="s">
        <v>41</v>
      </c>
      <c r="AD36" t="s">
        <v>48</v>
      </c>
      <c r="AE36" t="s">
        <v>49</v>
      </c>
      <c r="AF36" s="3">
        <v>45</v>
      </c>
      <c r="AG36" s="3">
        <v>61</v>
      </c>
      <c r="AH36">
        <v>80</v>
      </c>
      <c r="AI36">
        <v>0</v>
      </c>
      <c r="AJ36">
        <v>1</v>
      </c>
      <c r="AK36">
        <v>1</v>
      </c>
      <c r="AL36">
        <v>1</v>
      </c>
      <c r="AM36">
        <v>0</v>
      </c>
      <c r="AN36" t="s">
        <v>767</v>
      </c>
      <c r="AO36" t="s">
        <v>31</v>
      </c>
    </row>
    <row r="37" spans="1:41" x14ac:dyDescent="0.25">
      <c r="A37">
        <v>38</v>
      </c>
      <c r="B37" t="s">
        <v>32</v>
      </c>
      <c r="C37" t="s">
        <v>33</v>
      </c>
      <c r="D37">
        <v>4</v>
      </c>
      <c r="E37" t="s">
        <v>61</v>
      </c>
      <c r="F37">
        <v>3</v>
      </c>
      <c r="G37">
        <v>1</v>
      </c>
      <c r="H37" t="s">
        <v>35</v>
      </c>
      <c r="I37">
        <v>3</v>
      </c>
      <c r="J37" t="s">
        <v>51</v>
      </c>
      <c r="K37">
        <v>3306</v>
      </c>
      <c r="L37">
        <v>7</v>
      </c>
      <c r="M37" t="s">
        <v>41</v>
      </c>
      <c r="N37">
        <v>19</v>
      </c>
      <c r="O37">
        <v>3</v>
      </c>
      <c r="P37">
        <v>1</v>
      </c>
      <c r="Q37">
        <v>7</v>
      </c>
      <c r="R37">
        <v>5</v>
      </c>
      <c r="S37">
        <v>0</v>
      </c>
      <c r="T37">
        <v>0</v>
      </c>
      <c r="U37">
        <v>0</v>
      </c>
      <c r="V37" t="s">
        <v>52</v>
      </c>
      <c r="W37" s="1" t="s">
        <v>91</v>
      </c>
      <c r="Y37" t="s">
        <v>54</v>
      </c>
      <c r="Z37" t="s">
        <v>40</v>
      </c>
      <c r="AA37">
        <v>2</v>
      </c>
      <c r="AB37">
        <v>3</v>
      </c>
      <c r="AC37" t="s">
        <v>31</v>
      </c>
      <c r="AD37" t="s">
        <v>67</v>
      </c>
      <c r="AE37" t="s">
        <v>60</v>
      </c>
      <c r="AF37" s="3">
        <v>46</v>
      </c>
      <c r="AG37" s="3">
        <v>72</v>
      </c>
      <c r="AH37">
        <v>80</v>
      </c>
      <c r="AI37">
        <v>3</v>
      </c>
      <c r="AJ37">
        <v>0</v>
      </c>
      <c r="AL37">
        <v>0</v>
      </c>
      <c r="AM37">
        <v>1</v>
      </c>
      <c r="AN37" t="s">
        <v>768</v>
      </c>
      <c r="AO37" t="s">
        <v>41</v>
      </c>
    </row>
    <row r="38" spans="1:41" x14ac:dyDescent="0.25">
      <c r="A38">
        <v>32</v>
      </c>
      <c r="B38" t="s">
        <v>32</v>
      </c>
      <c r="C38" t="s">
        <v>55</v>
      </c>
      <c r="D38">
        <v>1</v>
      </c>
      <c r="E38" t="s">
        <v>34</v>
      </c>
      <c r="F38">
        <v>1</v>
      </c>
      <c r="G38">
        <v>2</v>
      </c>
      <c r="H38" t="s">
        <v>70</v>
      </c>
      <c r="I38">
        <v>2</v>
      </c>
      <c r="J38" t="s">
        <v>36</v>
      </c>
      <c r="K38">
        <v>6735</v>
      </c>
      <c r="L38">
        <v>6</v>
      </c>
      <c r="M38" t="s">
        <v>41</v>
      </c>
      <c r="N38">
        <v>15</v>
      </c>
      <c r="O38">
        <v>3</v>
      </c>
      <c r="P38">
        <v>0</v>
      </c>
      <c r="Q38">
        <v>10</v>
      </c>
      <c r="R38">
        <v>2</v>
      </c>
      <c r="S38">
        <v>0</v>
      </c>
      <c r="T38">
        <v>0</v>
      </c>
      <c r="U38">
        <v>0</v>
      </c>
      <c r="V38" t="s">
        <v>58</v>
      </c>
      <c r="W38" s="1" t="s">
        <v>73</v>
      </c>
      <c r="Y38" t="s">
        <v>69</v>
      </c>
      <c r="Z38" t="s">
        <v>47</v>
      </c>
      <c r="AA38">
        <v>1</v>
      </c>
      <c r="AB38">
        <v>1</v>
      </c>
      <c r="AC38" t="s">
        <v>31</v>
      </c>
      <c r="AD38" t="s">
        <v>48</v>
      </c>
      <c r="AE38" t="s">
        <v>60</v>
      </c>
      <c r="AF38" s="3">
        <v>47</v>
      </c>
      <c r="AG38" s="3">
        <v>86</v>
      </c>
      <c r="AH38">
        <v>80</v>
      </c>
      <c r="AI38">
        <v>2</v>
      </c>
      <c r="AJ38">
        <v>1</v>
      </c>
      <c r="AK38">
        <v>1</v>
      </c>
      <c r="AL38">
        <v>1</v>
      </c>
      <c r="AM38">
        <v>0</v>
      </c>
      <c r="AN38" t="s">
        <v>767</v>
      </c>
      <c r="AO38" t="s">
        <v>31</v>
      </c>
    </row>
    <row r="39" spans="1:41" x14ac:dyDescent="0.25">
      <c r="A39">
        <v>33</v>
      </c>
      <c r="B39" t="s">
        <v>32</v>
      </c>
      <c r="C39" t="s">
        <v>55</v>
      </c>
      <c r="D39">
        <v>16</v>
      </c>
      <c r="E39" t="s">
        <v>61</v>
      </c>
      <c r="F39">
        <v>3</v>
      </c>
      <c r="G39">
        <v>3</v>
      </c>
      <c r="H39" t="s">
        <v>70</v>
      </c>
      <c r="I39">
        <v>1</v>
      </c>
      <c r="J39" t="s">
        <v>36</v>
      </c>
      <c r="K39">
        <v>8564</v>
      </c>
      <c r="L39">
        <v>2</v>
      </c>
      <c r="M39" t="s">
        <v>31</v>
      </c>
      <c r="N39">
        <v>20</v>
      </c>
      <c r="O39">
        <v>4</v>
      </c>
      <c r="P39">
        <v>0</v>
      </c>
      <c r="Q39">
        <v>11</v>
      </c>
      <c r="R39">
        <v>2</v>
      </c>
      <c r="S39">
        <v>0</v>
      </c>
      <c r="T39">
        <v>0</v>
      </c>
      <c r="U39">
        <v>0</v>
      </c>
      <c r="V39" t="s">
        <v>52</v>
      </c>
      <c r="W39" s="2">
        <v>44378</v>
      </c>
      <c r="Y39" t="s">
        <v>39</v>
      </c>
      <c r="Z39" t="s">
        <v>40</v>
      </c>
      <c r="AA39">
        <v>5</v>
      </c>
      <c r="AB39">
        <v>1</v>
      </c>
      <c r="AC39" t="s">
        <v>41</v>
      </c>
      <c r="AD39" t="s">
        <v>48</v>
      </c>
      <c r="AE39" t="s">
        <v>43</v>
      </c>
      <c r="AF39" s="3">
        <v>49</v>
      </c>
      <c r="AG39" s="3">
        <v>97</v>
      </c>
      <c r="AH39">
        <v>80</v>
      </c>
      <c r="AI39">
        <v>2</v>
      </c>
      <c r="AJ39">
        <v>0</v>
      </c>
      <c r="AL39">
        <v>0</v>
      </c>
      <c r="AM39">
        <v>1</v>
      </c>
      <c r="AN39" t="s">
        <v>768</v>
      </c>
      <c r="AO39" t="s">
        <v>41</v>
      </c>
    </row>
    <row r="40" spans="1:41" x14ac:dyDescent="0.25">
      <c r="A40">
        <v>42</v>
      </c>
      <c r="B40" t="s">
        <v>32</v>
      </c>
      <c r="C40" t="s">
        <v>33</v>
      </c>
      <c r="D40">
        <v>13</v>
      </c>
      <c r="E40" t="s">
        <v>34</v>
      </c>
      <c r="F40">
        <v>4</v>
      </c>
      <c r="G40">
        <v>2</v>
      </c>
      <c r="H40" t="s">
        <v>89</v>
      </c>
      <c r="I40">
        <v>1</v>
      </c>
      <c r="J40" t="s">
        <v>51</v>
      </c>
      <c r="K40">
        <v>5538</v>
      </c>
      <c r="L40">
        <v>5</v>
      </c>
      <c r="M40" t="s">
        <v>41</v>
      </c>
      <c r="N40">
        <v>18</v>
      </c>
      <c r="O40">
        <v>3</v>
      </c>
      <c r="P40">
        <v>2</v>
      </c>
      <c r="Q40">
        <v>10</v>
      </c>
      <c r="R40">
        <v>2</v>
      </c>
      <c r="S40">
        <v>0</v>
      </c>
      <c r="T40">
        <v>0</v>
      </c>
      <c r="U40">
        <v>0</v>
      </c>
      <c r="V40" t="s">
        <v>52</v>
      </c>
      <c r="W40" s="2">
        <v>44230</v>
      </c>
      <c r="Y40" t="s">
        <v>46</v>
      </c>
      <c r="Z40" t="s">
        <v>47</v>
      </c>
      <c r="AA40">
        <v>3</v>
      </c>
      <c r="AB40">
        <v>0</v>
      </c>
      <c r="AC40" t="s">
        <v>31</v>
      </c>
      <c r="AD40" t="s">
        <v>42</v>
      </c>
      <c r="AE40" t="s">
        <v>43</v>
      </c>
      <c r="AF40" s="3">
        <v>51</v>
      </c>
      <c r="AG40" s="3">
        <v>82</v>
      </c>
      <c r="AH40">
        <v>80</v>
      </c>
      <c r="AI40">
        <v>1</v>
      </c>
      <c r="AJ40">
        <v>0</v>
      </c>
      <c r="AL40">
        <v>0</v>
      </c>
      <c r="AM40">
        <v>1</v>
      </c>
      <c r="AN40" t="s">
        <v>768</v>
      </c>
      <c r="AO40" t="s">
        <v>41</v>
      </c>
    </row>
    <row r="41" spans="1:41" x14ac:dyDescent="0.25">
      <c r="A41">
        <v>18</v>
      </c>
      <c r="B41" t="s">
        <v>81</v>
      </c>
      <c r="C41" t="s">
        <v>33</v>
      </c>
      <c r="D41">
        <v>14</v>
      </c>
      <c r="E41" t="s">
        <v>61</v>
      </c>
      <c r="F41">
        <v>3</v>
      </c>
      <c r="G41">
        <v>1</v>
      </c>
      <c r="H41" t="s">
        <v>44</v>
      </c>
      <c r="I41">
        <v>3</v>
      </c>
      <c r="J41" t="s">
        <v>36</v>
      </c>
      <c r="K41">
        <v>1514</v>
      </c>
      <c r="L41">
        <v>1</v>
      </c>
      <c r="M41" t="s">
        <v>41</v>
      </c>
      <c r="N41">
        <v>16</v>
      </c>
      <c r="O41">
        <v>3</v>
      </c>
      <c r="P41">
        <v>0</v>
      </c>
      <c r="Q41">
        <v>0</v>
      </c>
      <c r="R41">
        <v>4</v>
      </c>
      <c r="S41">
        <v>0</v>
      </c>
      <c r="T41">
        <v>0</v>
      </c>
      <c r="U41">
        <v>0</v>
      </c>
      <c r="V41" t="s">
        <v>37</v>
      </c>
      <c r="W41" s="1" t="s">
        <v>92</v>
      </c>
      <c r="Y41" t="s">
        <v>69</v>
      </c>
      <c r="Z41" t="s">
        <v>47</v>
      </c>
      <c r="AA41">
        <v>4</v>
      </c>
      <c r="AB41">
        <v>3</v>
      </c>
      <c r="AC41" t="s">
        <v>41</v>
      </c>
      <c r="AD41" t="s">
        <v>67</v>
      </c>
      <c r="AE41" t="s">
        <v>43</v>
      </c>
      <c r="AF41" s="3">
        <v>52</v>
      </c>
      <c r="AG41" s="3">
        <v>42</v>
      </c>
      <c r="AH41">
        <v>80</v>
      </c>
      <c r="AI41">
        <v>3</v>
      </c>
      <c r="AJ41">
        <v>0</v>
      </c>
      <c r="AL41">
        <v>0</v>
      </c>
      <c r="AM41">
        <v>1</v>
      </c>
      <c r="AN41" t="s">
        <v>768</v>
      </c>
      <c r="AO41" t="s">
        <v>41</v>
      </c>
    </row>
    <row r="42" spans="1:41" x14ac:dyDescent="0.25">
      <c r="A42">
        <v>32</v>
      </c>
      <c r="B42" t="s">
        <v>66</v>
      </c>
      <c r="C42" t="s">
        <v>55</v>
      </c>
      <c r="D42">
        <v>10</v>
      </c>
      <c r="E42" t="s">
        <v>34</v>
      </c>
      <c r="F42">
        <v>3</v>
      </c>
      <c r="G42">
        <v>2</v>
      </c>
      <c r="H42" t="s">
        <v>70</v>
      </c>
      <c r="I42">
        <v>4</v>
      </c>
      <c r="J42" t="s">
        <v>36</v>
      </c>
      <c r="K42">
        <v>4648</v>
      </c>
      <c r="L42">
        <v>8</v>
      </c>
      <c r="M42" t="s">
        <v>41</v>
      </c>
      <c r="N42">
        <v>13</v>
      </c>
      <c r="O42">
        <v>3</v>
      </c>
      <c r="P42">
        <v>0</v>
      </c>
      <c r="Q42">
        <v>4</v>
      </c>
      <c r="R42">
        <v>2</v>
      </c>
      <c r="S42">
        <v>0</v>
      </c>
      <c r="T42">
        <v>0</v>
      </c>
      <c r="U42">
        <v>0</v>
      </c>
      <c r="V42" t="s">
        <v>52</v>
      </c>
      <c r="W42" s="1" t="s">
        <v>93</v>
      </c>
      <c r="Y42" t="s">
        <v>69</v>
      </c>
      <c r="Z42" t="s">
        <v>40</v>
      </c>
      <c r="AA42">
        <v>3</v>
      </c>
      <c r="AB42">
        <v>3</v>
      </c>
      <c r="AC42" t="s">
        <v>31</v>
      </c>
      <c r="AD42" t="s">
        <v>67</v>
      </c>
      <c r="AE42" t="s">
        <v>43</v>
      </c>
      <c r="AF42" s="3">
        <v>53</v>
      </c>
      <c r="AG42" s="3">
        <v>75</v>
      </c>
      <c r="AH42">
        <v>80</v>
      </c>
      <c r="AI42">
        <v>0</v>
      </c>
      <c r="AJ42">
        <v>0</v>
      </c>
      <c r="AL42">
        <v>0</v>
      </c>
      <c r="AM42">
        <v>1</v>
      </c>
      <c r="AN42" t="s">
        <v>768</v>
      </c>
      <c r="AO42" t="s">
        <v>41</v>
      </c>
    </row>
    <row r="43" spans="1:41" x14ac:dyDescent="0.25">
      <c r="A43">
        <v>42</v>
      </c>
      <c r="B43" t="s">
        <v>32</v>
      </c>
      <c r="C43" t="s">
        <v>33</v>
      </c>
      <c r="D43">
        <v>8</v>
      </c>
      <c r="E43" t="s">
        <v>34</v>
      </c>
      <c r="F43">
        <v>3</v>
      </c>
      <c r="G43">
        <v>1</v>
      </c>
      <c r="H43" t="s">
        <v>35</v>
      </c>
      <c r="I43">
        <v>3</v>
      </c>
      <c r="J43" t="s">
        <v>36</v>
      </c>
      <c r="K43">
        <v>3968</v>
      </c>
      <c r="L43">
        <v>4</v>
      </c>
      <c r="M43" t="s">
        <v>41</v>
      </c>
      <c r="N43">
        <v>13</v>
      </c>
      <c r="O43">
        <v>3</v>
      </c>
      <c r="P43">
        <v>0</v>
      </c>
      <c r="Q43">
        <v>8</v>
      </c>
      <c r="R43">
        <v>3</v>
      </c>
      <c r="S43">
        <v>0</v>
      </c>
      <c r="T43">
        <v>0</v>
      </c>
      <c r="U43">
        <v>0</v>
      </c>
      <c r="V43" t="s">
        <v>37</v>
      </c>
      <c r="W43" s="2">
        <v>44442</v>
      </c>
      <c r="Y43" t="s">
        <v>63</v>
      </c>
      <c r="Z43" t="s">
        <v>40</v>
      </c>
      <c r="AA43">
        <v>5</v>
      </c>
      <c r="AB43">
        <v>1</v>
      </c>
      <c r="AC43" t="s">
        <v>41</v>
      </c>
      <c r="AD43" t="s">
        <v>65</v>
      </c>
      <c r="AE43" t="s">
        <v>60</v>
      </c>
      <c r="AF43" s="3">
        <v>54</v>
      </c>
      <c r="AG43" s="3">
        <v>33</v>
      </c>
      <c r="AH43">
        <v>80</v>
      </c>
      <c r="AI43">
        <v>0</v>
      </c>
      <c r="AJ43">
        <v>0</v>
      </c>
      <c r="AL43">
        <v>0</v>
      </c>
      <c r="AM43">
        <v>1</v>
      </c>
      <c r="AN43" t="s">
        <v>768</v>
      </c>
      <c r="AO43" t="s">
        <v>41</v>
      </c>
    </row>
    <row r="44" spans="1:41" x14ac:dyDescent="0.25">
      <c r="A44">
        <v>56</v>
      </c>
      <c r="B44" t="s">
        <v>32</v>
      </c>
      <c r="C44" t="s">
        <v>55</v>
      </c>
      <c r="D44">
        <v>11</v>
      </c>
      <c r="E44" t="s">
        <v>61</v>
      </c>
      <c r="F44">
        <v>2</v>
      </c>
      <c r="G44">
        <v>2</v>
      </c>
      <c r="H44" t="s">
        <v>70</v>
      </c>
      <c r="I44">
        <v>1</v>
      </c>
      <c r="J44" t="s">
        <v>51</v>
      </c>
      <c r="K44">
        <v>5380</v>
      </c>
      <c r="L44">
        <v>4</v>
      </c>
      <c r="M44" t="s">
        <v>41</v>
      </c>
      <c r="N44">
        <v>16</v>
      </c>
      <c r="O44">
        <v>3</v>
      </c>
      <c r="P44">
        <v>1</v>
      </c>
      <c r="Q44">
        <v>6</v>
      </c>
      <c r="R44">
        <v>3</v>
      </c>
      <c r="S44">
        <v>0</v>
      </c>
      <c r="T44">
        <v>0</v>
      </c>
      <c r="U44">
        <v>0</v>
      </c>
      <c r="V44" t="s">
        <v>58</v>
      </c>
      <c r="W44" s="1" t="s">
        <v>68</v>
      </c>
      <c r="Y44" t="s">
        <v>63</v>
      </c>
      <c r="Z44" t="s">
        <v>40</v>
      </c>
      <c r="AA44">
        <v>5</v>
      </c>
      <c r="AB44">
        <v>0</v>
      </c>
      <c r="AC44" t="s">
        <v>31</v>
      </c>
      <c r="AD44" t="s">
        <v>48</v>
      </c>
      <c r="AE44" t="s">
        <v>43</v>
      </c>
      <c r="AF44" s="3">
        <v>55</v>
      </c>
      <c r="AG44" s="3">
        <v>48</v>
      </c>
      <c r="AH44">
        <v>80</v>
      </c>
      <c r="AI44">
        <v>0</v>
      </c>
      <c r="AJ44">
        <v>1</v>
      </c>
      <c r="AK44">
        <v>1</v>
      </c>
      <c r="AL44">
        <v>1</v>
      </c>
      <c r="AM44">
        <v>0</v>
      </c>
      <c r="AN44" t="s">
        <v>767</v>
      </c>
      <c r="AO44" t="s">
        <v>31</v>
      </c>
    </row>
    <row r="45" spans="1:41" x14ac:dyDescent="0.25">
      <c r="A45">
        <v>42</v>
      </c>
      <c r="B45" t="s">
        <v>32</v>
      </c>
      <c r="C45" t="s">
        <v>55</v>
      </c>
      <c r="D45">
        <v>12</v>
      </c>
      <c r="E45" t="s">
        <v>34</v>
      </c>
      <c r="F45">
        <v>3</v>
      </c>
      <c r="G45">
        <v>2</v>
      </c>
      <c r="H45" t="s">
        <v>70</v>
      </c>
      <c r="I45">
        <v>4</v>
      </c>
      <c r="J45" t="s">
        <v>57</v>
      </c>
      <c r="K45">
        <v>5087</v>
      </c>
      <c r="L45">
        <v>3</v>
      </c>
      <c r="M45" t="s">
        <v>31</v>
      </c>
      <c r="N45">
        <v>12</v>
      </c>
      <c r="O45">
        <v>3</v>
      </c>
      <c r="P45">
        <v>2</v>
      </c>
      <c r="Q45">
        <v>14</v>
      </c>
      <c r="R45">
        <v>4</v>
      </c>
      <c r="S45">
        <v>0</v>
      </c>
      <c r="T45">
        <v>0</v>
      </c>
      <c r="U45">
        <v>0</v>
      </c>
      <c r="V45" t="s">
        <v>58</v>
      </c>
      <c r="W45" s="2">
        <v>44532</v>
      </c>
      <c r="Y45" t="s">
        <v>69</v>
      </c>
      <c r="Z45" t="s">
        <v>40</v>
      </c>
      <c r="AA45">
        <v>1</v>
      </c>
      <c r="AB45">
        <v>2</v>
      </c>
      <c r="AC45" t="s">
        <v>41</v>
      </c>
      <c r="AD45" t="s">
        <v>48</v>
      </c>
      <c r="AE45" t="s">
        <v>49</v>
      </c>
      <c r="AF45" s="3">
        <v>56</v>
      </c>
      <c r="AG45" s="3">
        <v>37</v>
      </c>
      <c r="AH45">
        <v>80</v>
      </c>
      <c r="AI45">
        <v>8</v>
      </c>
      <c r="AJ45">
        <v>0</v>
      </c>
      <c r="AL45">
        <v>0</v>
      </c>
      <c r="AM45">
        <v>1</v>
      </c>
      <c r="AN45" t="s">
        <v>768</v>
      </c>
      <c r="AO45" t="s">
        <v>41</v>
      </c>
    </row>
    <row r="46" spans="1:41" x14ac:dyDescent="0.25">
      <c r="A46">
        <v>59</v>
      </c>
      <c r="B46" t="s">
        <v>32</v>
      </c>
      <c r="C46" t="s">
        <v>33</v>
      </c>
      <c r="D46">
        <v>3</v>
      </c>
      <c r="E46" t="s">
        <v>61</v>
      </c>
      <c r="F46">
        <v>4</v>
      </c>
      <c r="G46">
        <v>1</v>
      </c>
      <c r="H46" t="s">
        <v>35</v>
      </c>
      <c r="I46">
        <v>1</v>
      </c>
      <c r="J46" t="s">
        <v>51</v>
      </c>
      <c r="K46">
        <v>2670</v>
      </c>
      <c r="L46">
        <v>4</v>
      </c>
      <c r="M46" t="s">
        <v>31</v>
      </c>
      <c r="N46">
        <v>20</v>
      </c>
      <c r="O46">
        <v>4</v>
      </c>
      <c r="P46">
        <v>3</v>
      </c>
      <c r="Q46">
        <v>12</v>
      </c>
      <c r="R46">
        <v>3</v>
      </c>
      <c r="S46">
        <v>1</v>
      </c>
      <c r="T46">
        <v>0</v>
      </c>
      <c r="U46">
        <v>0</v>
      </c>
      <c r="V46" t="s">
        <v>52</v>
      </c>
      <c r="W46" s="2">
        <v>44109</v>
      </c>
      <c r="Y46" t="s">
        <v>46</v>
      </c>
      <c r="Z46" t="s">
        <v>40</v>
      </c>
      <c r="AA46">
        <v>2</v>
      </c>
      <c r="AB46">
        <v>1</v>
      </c>
      <c r="AC46" t="s">
        <v>31</v>
      </c>
      <c r="AD46" t="s">
        <v>42</v>
      </c>
      <c r="AE46" t="s">
        <v>43</v>
      </c>
      <c r="AF46" s="3">
        <v>57</v>
      </c>
      <c r="AG46" s="3">
        <v>58</v>
      </c>
      <c r="AH46">
        <v>80</v>
      </c>
      <c r="AI46">
        <v>8</v>
      </c>
      <c r="AJ46">
        <v>0</v>
      </c>
      <c r="AL46">
        <v>0</v>
      </c>
      <c r="AM46">
        <v>1</v>
      </c>
      <c r="AN46" t="s">
        <v>768</v>
      </c>
      <c r="AO46" t="s">
        <v>41</v>
      </c>
    </row>
    <row r="47" spans="1:41" x14ac:dyDescent="0.25">
      <c r="A47">
        <v>30</v>
      </c>
      <c r="B47" t="s">
        <v>32</v>
      </c>
      <c r="C47" t="s">
        <v>33</v>
      </c>
      <c r="D47">
        <v>24</v>
      </c>
      <c r="E47" t="s">
        <v>34</v>
      </c>
      <c r="F47">
        <v>3</v>
      </c>
      <c r="G47">
        <v>1</v>
      </c>
      <c r="H47" t="s">
        <v>35</v>
      </c>
      <c r="I47">
        <v>3</v>
      </c>
      <c r="J47" t="s">
        <v>57</v>
      </c>
      <c r="K47">
        <v>2693</v>
      </c>
      <c r="L47">
        <v>1</v>
      </c>
      <c r="M47" t="s">
        <v>41</v>
      </c>
      <c r="N47">
        <v>22</v>
      </c>
      <c r="O47">
        <v>4</v>
      </c>
      <c r="P47">
        <v>1</v>
      </c>
      <c r="Q47">
        <v>1</v>
      </c>
      <c r="R47">
        <v>2</v>
      </c>
      <c r="S47">
        <v>1</v>
      </c>
      <c r="T47">
        <v>0</v>
      </c>
      <c r="U47">
        <v>0</v>
      </c>
      <c r="V47" t="s">
        <v>37</v>
      </c>
      <c r="W47" s="1" t="s">
        <v>94</v>
      </c>
      <c r="Y47" t="s">
        <v>46</v>
      </c>
      <c r="Z47" t="s">
        <v>47</v>
      </c>
      <c r="AA47">
        <v>2</v>
      </c>
      <c r="AB47">
        <v>3</v>
      </c>
      <c r="AC47" t="s">
        <v>41</v>
      </c>
      <c r="AD47" t="s">
        <v>67</v>
      </c>
      <c r="AE47" t="s">
        <v>49</v>
      </c>
      <c r="AF47" s="3">
        <v>58</v>
      </c>
      <c r="AG47" s="3">
        <v>49</v>
      </c>
      <c r="AH47">
        <v>80</v>
      </c>
      <c r="AI47">
        <v>15</v>
      </c>
      <c r="AJ47">
        <v>1</v>
      </c>
      <c r="AK47">
        <v>1</v>
      </c>
      <c r="AL47">
        <v>1</v>
      </c>
      <c r="AM47">
        <v>0</v>
      </c>
      <c r="AN47" t="s">
        <v>767</v>
      </c>
      <c r="AO47" t="s">
        <v>31</v>
      </c>
    </row>
    <row r="48" spans="1:41" x14ac:dyDescent="0.25">
      <c r="A48">
        <v>22</v>
      </c>
      <c r="B48" t="s">
        <v>81</v>
      </c>
      <c r="C48" t="s">
        <v>33</v>
      </c>
      <c r="D48">
        <v>16</v>
      </c>
      <c r="E48" t="s">
        <v>34</v>
      </c>
      <c r="F48">
        <v>4</v>
      </c>
      <c r="G48">
        <v>1</v>
      </c>
      <c r="H48" t="s">
        <v>35</v>
      </c>
      <c r="I48">
        <v>4</v>
      </c>
      <c r="J48" t="s">
        <v>57</v>
      </c>
      <c r="K48">
        <v>2935</v>
      </c>
      <c r="L48">
        <v>1</v>
      </c>
      <c r="M48" t="s">
        <v>31</v>
      </c>
      <c r="N48">
        <v>13</v>
      </c>
      <c r="O48">
        <v>3</v>
      </c>
      <c r="P48">
        <v>2</v>
      </c>
      <c r="Q48">
        <v>1</v>
      </c>
      <c r="R48">
        <v>2</v>
      </c>
      <c r="S48">
        <v>1</v>
      </c>
      <c r="T48">
        <v>0</v>
      </c>
      <c r="U48">
        <v>0</v>
      </c>
      <c r="V48" t="s">
        <v>58</v>
      </c>
      <c r="W48" s="1" t="s">
        <v>95</v>
      </c>
      <c r="Y48" t="s">
        <v>39</v>
      </c>
      <c r="Z48" t="s">
        <v>40</v>
      </c>
      <c r="AA48">
        <v>0</v>
      </c>
      <c r="AB48">
        <v>0</v>
      </c>
      <c r="AC48" t="s">
        <v>31</v>
      </c>
      <c r="AD48" t="s">
        <v>67</v>
      </c>
      <c r="AE48" t="s">
        <v>43</v>
      </c>
      <c r="AF48" s="3">
        <v>60</v>
      </c>
      <c r="AG48" s="3">
        <v>72</v>
      </c>
      <c r="AH48">
        <v>80</v>
      </c>
      <c r="AI48">
        <v>5</v>
      </c>
      <c r="AJ48">
        <v>0</v>
      </c>
      <c r="AL48">
        <v>0</v>
      </c>
      <c r="AM48">
        <v>1</v>
      </c>
      <c r="AN48" t="s">
        <v>768</v>
      </c>
      <c r="AO48" t="s">
        <v>41</v>
      </c>
    </row>
    <row r="49" spans="1:41" x14ac:dyDescent="0.25">
      <c r="A49">
        <v>33</v>
      </c>
      <c r="B49" t="s">
        <v>32</v>
      </c>
      <c r="C49" t="s">
        <v>33</v>
      </c>
      <c r="D49">
        <v>2</v>
      </c>
      <c r="E49" t="s">
        <v>34</v>
      </c>
      <c r="F49">
        <v>3</v>
      </c>
      <c r="G49">
        <v>1</v>
      </c>
      <c r="H49" t="s">
        <v>35</v>
      </c>
      <c r="I49">
        <v>4</v>
      </c>
      <c r="J49" t="s">
        <v>36</v>
      </c>
      <c r="K49">
        <v>2496</v>
      </c>
      <c r="L49">
        <v>4</v>
      </c>
      <c r="M49" t="s">
        <v>41</v>
      </c>
      <c r="N49">
        <v>11</v>
      </c>
      <c r="O49">
        <v>3</v>
      </c>
      <c r="P49">
        <v>0</v>
      </c>
      <c r="Q49">
        <v>7</v>
      </c>
      <c r="R49">
        <v>3</v>
      </c>
      <c r="S49">
        <v>1</v>
      </c>
      <c r="T49">
        <v>0</v>
      </c>
      <c r="U49">
        <v>0</v>
      </c>
      <c r="V49" t="s">
        <v>58</v>
      </c>
      <c r="W49" s="2">
        <v>43896</v>
      </c>
      <c r="Y49" t="s">
        <v>69</v>
      </c>
      <c r="Z49" t="s">
        <v>40</v>
      </c>
      <c r="AA49">
        <v>1</v>
      </c>
      <c r="AB49">
        <v>0</v>
      </c>
      <c r="AC49" t="s">
        <v>31</v>
      </c>
      <c r="AD49" t="s">
        <v>42</v>
      </c>
      <c r="AE49" t="s">
        <v>43</v>
      </c>
      <c r="AF49" s="3">
        <v>61</v>
      </c>
      <c r="AG49" s="3">
        <v>73</v>
      </c>
      <c r="AH49">
        <v>80</v>
      </c>
      <c r="AI49">
        <v>0</v>
      </c>
      <c r="AJ49">
        <v>0</v>
      </c>
      <c r="AL49">
        <v>0</v>
      </c>
      <c r="AM49">
        <v>1</v>
      </c>
      <c r="AN49" t="s">
        <v>768</v>
      </c>
      <c r="AO49" t="s">
        <v>41</v>
      </c>
    </row>
    <row r="50" spans="1:41" x14ac:dyDescent="0.25">
      <c r="A50">
        <v>39</v>
      </c>
      <c r="B50" t="s">
        <v>32</v>
      </c>
      <c r="C50" t="s">
        <v>55</v>
      </c>
      <c r="D50">
        <v>5</v>
      </c>
      <c r="E50" t="s">
        <v>34</v>
      </c>
      <c r="F50">
        <v>3</v>
      </c>
      <c r="G50">
        <v>2</v>
      </c>
      <c r="H50" t="s">
        <v>56</v>
      </c>
      <c r="I50">
        <v>4</v>
      </c>
      <c r="J50" t="s">
        <v>51</v>
      </c>
      <c r="K50">
        <v>2086</v>
      </c>
      <c r="L50">
        <v>3</v>
      </c>
      <c r="M50" t="s">
        <v>41</v>
      </c>
      <c r="N50">
        <v>14</v>
      </c>
      <c r="O50">
        <v>3</v>
      </c>
      <c r="P50">
        <v>1</v>
      </c>
      <c r="Q50">
        <v>19</v>
      </c>
      <c r="R50">
        <v>6</v>
      </c>
      <c r="S50">
        <v>1</v>
      </c>
      <c r="T50">
        <v>0</v>
      </c>
      <c r="U50">
        <v>0</v>
      </c>
      <c r="V50" t="s">
        <v>52</v>
      </c>
      <c r="W50" s="1" t="s">
        <v>96</v>
      </c>
      <c r="Y50" t="s">
        <v>54</v>
      </c>
      <c r="Z50" t="s">
        <v>40</v>
      </c>
      <c r="AA50">
        <v>5</v>
      </c>
      <c r="AB50">
        <v>0</v>
      </c>
      <c r="AC50" t="s">
        <v>41</v>
      </c>
      <c r="AD50" t="s">
        <v>48</v>
      </c>
      <c r="AE50" t="s">
        <v>43</v>
      </c>
      <c r="AF50" s="3">
        <v>62</v>
      </c>
      <c r="AG50" s="3">
        <v>98</v>
      </c>
      <c r="AH50">
        <v>80</v>
      </c>
      <c r="AI50">
        <v>6</v>
      </c>
      <c r="AJ50">
        <v>0</v>
      </c>
      <c r="AL50">
        <v>0</v>
      </c>
      <c r="AM50">
        <v>1</v>
      </c>
      <c r="AN50" t="s">
        <v>768</v>
      </c>
      <c r="AO50" t="s">
        <v>41</v>
      </c>
    </row>
    <row r="51" spans="1:41" x14ac:dyDescent="0.25">
      <c r="A51">
        <v>36</v>
      </c>
      <c r="B51" t="s">
        <v>32</v>
      </c>
      <c r="C51" t="s">
        <v>33</v>
      </c>
      <c r="D51">
        <v>5</v>
      </c>
      <c r="E51" t="s">
        <v>61</v>
      </c>
      <c r="F51">
        <v>2</v>
      </c>
      <c r="G51">
        <v>1</v>
      </c>
      <c r="H51" t="s">
        <v>44</v>
      </c>
      <c r="I51">
        <v>1</v>
      </c>
      <c r="J51" t="s">
        <v>51</v>
      </c>
      <c r="K51">
        <v>3419</v>
      </c>
      <c r="L51">
        <v>9</v>
      </c>
      <c r="M51" t="s">
        <v>31</v>
      </c>
      <c r="N51">
        <v>14</v>
      </c>
      <c r="O51">
        <v>3</v>
      </c>
      <c r="P51">
        <v>1</v>
      </c>
      <c r="Q51">
        <v>6</v>
      </c>
      <c r="R51">
        <v>3</v>
      </c>
      <c r="S51">
        <v>1</v>
      </c>
      <c r="T51">
        <v>0</v>
      </c>
      <c r="U51">
        <v>0</v>
      </c>
      <c r="V51" t="s">
        <v>37</v>
      </c>
      <c r="W51" s="1" t="s">
        <v>97</v>
      </c>
      <c r="Y51" t="s">
        <v>69</v>
      </c>
      <c r="Z51" t="s">
        <v>40</v>
      </c>
      <c r="AA51">
        <v>4</v>
      </c>
      <c r="AB51">
        <v>2</v>
      </c>
      <c r="AC51" t="s">
        <v>41</v>
      </c>
      <c r="AD51" t="s">
        <v>48</v>
      </c>
      <c r="AE51" t="s">
        <v>49</v>
      </c>
      <c r="AF51" s="3">
        <v>63</v>
      </c>
      <c r="AG51" s="3">
        <v>36</v>
      </c>
      <c r="AH51">
        <v>80</v>
      </c>
      <c r="AI51">
        <v>0</v>
      </c>
      <c r="AJ51">
        <v>0</v>
      </c>
      <c r="AL51">
        <v>0</v>
      </c>
      <c r="AM51">
        <v>1</v>
      </c>
      <c r="AN51" t="s">
        <v>768</v>
      </c>
      <c r="AO51" t="s">
        <v>41</v>
      </c>
    </row>
    <row r="52" spans="1:41" x14ac:dyDescent="0.25">
      <c r="A52">
        <v>35</v>
      </c>
      <c r="B52" t="s">
        <v>32</v>
      </c>
      <c r="C52" t="s">
        <v>33</v>
      </c>
      <c r="D52">
        <v>4</v>
      </c>
      <c r="E52" t="s">
        <v>34</v>
      </c>
      <c r="F52">
        <v>3</v>
      </c>
      <c r="G52">
        <v>1</v>
      </c>
      <c r="H52" t="s">
        <v>35</v>
      </c>
      <c r="I52">
        <v>4</v>
      </c>
      <c r="J52" t="s">
        <v>57</v>
      </c>
      <c r="K52">
        <v>1951</v>
      </c>
      <c r="L52">
        <v>1</v>
      </c>
      <c r="M52" t="s">
        <v>41</v>
      </c>
      <c r="N52">
        <v>12</v>
      </c>
      <c r="O52">
        <v>3</v>
      </c>
      <c r="P52">
        <v>1</v>
      </c>
      <c r="Q52">
        <v>1</v>
      </c>
      <c r="R52">
        <v>3</v>
      </c>
      <c r="S52">
        <v>1</v>
      </c>
      <c r="T52">
        <v>0</v>
      </c>
      <c r="U52">
        <v>0</v>
      </c>
      <c r="V52" t="s">
        <v>37</v>
      </c>
      <c r="W52" s="1" t="s">
        <v>98</v>
      </c>
      <c r="Y52" t="s">
        <v>63</v>
      </c>
      <c r="Z52" t="s">
        <v>47</v>
      </c>
      <c r="AA52">
        <v>0</v>
      </c>
      <c r="AB52">
        <v>3</v>
      </c>
      <c r="AC52" t="s">
        <v>41</v>
      </c>
      <c r="AD52" t="s">
        <v>65</v>
      </c>
      <c r="AE52" t="s">
        <v>60</v>
      </c>
      <c r="AF52" s="3">
        <v>64</v>
      </c>
      <c r="AG52" s="3">
        <v>98</v>
      </c>
      <c r="AH52">
        <v>80</v>
      </c>
      <c r="AI52">
        <v>0</v>
      </c>
      <c r="AJ52">
        <v>1</v>
      </c>
      <c r="AK52">
        <v>1</v>
      </c>
      <c r="AL52">
        <v>1</v>
      </c>
      <c r="AM52">
        <v>0</v>
      </c>
      <c r="AN52" t="s">
        <v>767</v>
      </c>
      <c r="AO52" t="s">
        <v>31</v>
      </c>
    </row>
    <row r="53" spans="1:41" x14ac:dyDescent="0.25">
      <c r="A53">
        <v>27</v>
      </c>
      <c r="B53" t="s">
        <v>32</v>
      </c>
      <c r="C53" t="s">
        <v>33</v>
      </c>
      <c r="D53">
        <v>2</v>
      </c>
      <c r="E53" t="s">
        <v>61</v>
      </c>
      <c r="F53">
        <v>3</v>
      </c>
      <c r="G53">
        <v>1</v>
      </c>
      <c r="H53" t="s">
        <v>35</v>
      </c>
      <c r="I53">
        <v>1</v>
      </c>
      <c r="J53" t="s">
        <v>57</v>
      </c>
      <c r="K53">
        <v>2341</v>
      </c>
      <c r="L53">
        <v>1</v>
      </c>
      <c r="M53" t="s">
        <v>41</v>
      </c>
      <c r="N53">
        <v>13</v>
      </c>
      <c r="O53">
        <v>3</v>
      </c>
      <c r="P53">
        <v>1</v>
      </c>
      <c r="Q53">
        <v>1</v>
      </c>
      <c r="R53">
        <v>6</v>
      </c>
      <c r="S53">
        <v>1</v>
      </c>
      <c r="T53">
        <v>0</v>
      </c>
      <c r="U53">
        <v>0</v>
      </c>
      <c r="V53" t="s">
        <v>72</v>
      </c>
      <c r="W53" s="2">
        <v>43924</v>
      </c>
      <c r="Y53" t="s">
        <v>63</v>
      </c>
      <c r="Z53" t="s">
        <v>40</v>
      </c>
      <c r="AA53">
        <v>5</v>
      </c>
      <c r="AB53">
        <v>0</v>
      </c>
      <c r="AC53" t="s">
        <v>41</v>
      </c>
      <c r="AD53" t="s">
        <v>42</v>
      </c>
      <c r="AE53" t="s">
        <v>49</v>
      </c>
      <c r="AF53" s="3">
        <v>65</v>
      </c>
      <c r="AG53" s="3">
        <v>50</v>
      </c>
      <c r="AH53">
        <v>80</v>
      </c>
      <c r="AI53">
        <v>2</v>
      </c>
      <c r="AJ53">
        <v>1</v>
      </c>
      <c r="AK53">
        <v>1</v>
      </c>
      <c r="AL53">
        <v>1</v>
      </c>
      <c r="AM53">
        <v>0</v>
      </c>
      <c r="AN53" t="s">
        <v>767</v>
      </c>
      <c r="AO53" t="s">
        <v>31</v>
      </c>
    </row>
    <row r="54" spans="1:41" x14ac:dyDescent="0.25">
      <c r="A54">
        <v>26</v>
      </c>
      <c r="B54" t="s">
        <v>32</v>
      </c>
      <c r="C54" t="s">
        <v>33</v>
      </c>
      <c r="D54">
        <v>25</v>
      </c>
      <c r="E54" t="s">
        <v>34</v>
      </c>
      <c r="F54">
        <v>1</v>
      </c>
      <c r="G54">
        <v>1</v>
      </c>
      <c r="H54" t="s">
        <v>35</v>
      </c>
      <c r="I54">
        <v>3</v>
      </c>
      <c r="J54" t="s">
        <v>36</v>
      </c>
      <c r="K54">
        <v>2293</v>
      </c>
      <c r="L54">
        <v>1</v>
      </c>
      <c r="M54" t="s">
        <v>41</v>
      </c>
      <c r="N54">
        <v>12</v>
      </c>
      <c r="O54">
        <v>3</v>
      </c>
      <c r="P54">
        <v>0</v>
      </c>
      <c r="Q54">
        <v>1</v>
      </c>
      <c r="R54">
        <v>2</v>
      </c>
      <c r="S54">
        <v>1</v>
      </c>
      <c r="T54">
        <v>0</v>
      </c>
      <c r="U54">
        <v>1</v>
      </c>
      <c r="V54" t="s">
        <v>52</v>
      </c>
      <c r="W54" s="1" t="s">
        <v>99</v>
      </c>
      <c r="Y54" t="s">
        <v>54</v>
      </c>
      <c r="Z54" t="s">
        <v>47</v>
      </c>
      <c r="AA54">
        <v>4</v>
      </c>
      <c r="AB54">
        <v>3</v>
      </c>
      <c r="AC54" t="s">
        <v>41</v>
      </c>
      <c r="AD54" t="s">
        <v>65</v>
      </c>
      <c r="AE54" t="s">
        <v>49</v>
      </c>
      <c r="AF54" s="3">
        <v>68</v>
      </c>
      <c r="AG54" s="3">
        <v>75</v>
      </c>
      <c r="AH54">
        <v>80</v>
      </c>
      <c r="AI54">
        <v>3</v>
      </c>
      <c r="AJ54">
        <v>0</v>
      </c>
      <c r="AL54">
        <v>0</v>
      </c>
      <c r="AM54">
        <v>1</v>
      </c>
      <c r="AN54" t="s">
        <v>768</v>
      </c>
      <c r="AO54" t="s">
        <v>41</v>
      </c>
    </row>
    <row r="55" spans="1:41" x14ac:dyDescent="0.25">
      <c r="A55">
        <v>37</v>
      </c>
      <c r="B55" t="s">
        <v>32</v>
      </c>
      <c r="C55" t="s">
        <v>33</v>
      </c>
      <c r="D55">
        <v>19</v>
      </c>
      <c r="E55" t="s">
        <v>34</v>
      </c>
      <c r="F55">
        <v>3</v>
      </c>
      <c r="G55">
        <v>1</v>
      </c>
      <c r="H55" t="s">
        <v>44</v>
      </c>
      <c r="I55">
        <v>2</v>
      </c>
      <c r="J55" t="s">
        <v>51</v>
      </c>
      <c r="K55">
        <v>3022</v>
      </c>
      <c r="L55">
        <v>4</v>
      </c>
      <c r="M55" t="s">
        <v>41</v>
      </c>
      <c r="N55">
        <v>21</v>
      </c>
      <c r="O55">
        <v>4</v>
      </c>
      <c r="P55">
        <v>0</v>
      </c>
      <c r="Q55">
        <v>8</v>
      </c>
      <c r="R55">
        <v>1</v>
      </c>
      <c r="S55">
        <v>1</v>
      </c>
      <c r="T55">
        <v>0</v>
      </c>
      <c r="U55">
        <v>0</v>
      </c>
      <c r="V55" t="s">
        <v>58</v>
      </c>
      <c r="W55" s="2">
        <v>43923</v>
      </c>
      <c r="Y55" t="s">
        <v>69</v>
      </c>
      <c r="Z55" t="s">
        <v>47</v>
      </c>
      <c r="AA55">
        <v>5</v>
      </c>
      <c r="AB55">
        <v>1</v>
      </c>
      <c r="AC55" t="s">
        <v>41</v>
      </c>
      <c r="AD55" t="s">
        <v>42</v>
      </c>
      <c r="AE55" t="s">
        <v>49</v>
      </c>
      <c r="AF55" s="3">
        <v>70</v>
      </c>
      <c r="AG55" s="3">
        <v>79</v>
      </c>
      <c r="AH55">
        <v>80</v>
      </c>
      <c r="AI55">
        <v>0</v>
      </c>
      <c r="AJ55">
        <v>0</v>
      </c>
      <c r="AL55">
        <v>0</v>
      </c>
      <c r="AM55">
        <v>1</v>
      </c>
      <c r="AN55" t="s">
        <v>768</v>
      </c>
      <c r="AO55" t="s">
        <v>41</v>
      </c>
    </row>
    <row r="56" spans="1:41" x14ac:dyDescent="0.25">
      <c r="A56">
        <v>35</v>
      </c>
      <c r="B56" t="s">
        <v>32</v>
      </c>
      <c r="C56" t="s">
        <v>33</v>
      </c>
      <c r="D56">
        <v>8</v>
      </c>
      <c r="E56" t="s">
        <v>34</v>
      </c>
      <c r="F56">
        <v>4</v>
      </c>
      <c r="G56">
        <v>1</v>
      </c>
      <c r="H56" t="s">
        <v>35</v>
      </c>
      <c r="I56">
        <v>4</v>
      </c>
      <c r="J56" t="s">
        <v>51</v>
      </c>
      <c r="K56">
        <v>2269</v>
      </c>
      <c r="L56">
        <v>1</v>
      </c>
      <c r="M56" t="s">
        <v>41</v>
      </c>
      <c r="N56">
        <v>19</v>
      </c>
      <c r="O56">
        <v>3</v>
      </c>
      <c r="P56">
        <v>0</v>
      </c>
      <c r="Q56">
        <v>1</v>
      </c>
      <c r="R56">
        <v>2</v>
      </c>
      <c r="S56">
        <v>1</v>
      </c>
      <c r="T56">
        <v>0</v>
      </c>
      <c r="U56">
        <v>1</v>
      </c>
      <c r="V56" t="s">
        <v>58</v>
      </c>
      <c r="W56" s="1" t="s">
        <v>100</v>
      </c>
      <c r="Y56" t="s">
        <v>39</v>
      </c>
      <c r="Z56" t="s">
        <v>40</v>
      </c>
      <c r="AA56">
        <v>2</v>
      </c>
      <c r="AB56">
        <v>2</v>
      </c>
      <c r="AC56" t="s">
        <v>31</v>
      </c>
      <c r="AD56" t="s">
        <v>67</v>
      </c>
      <c r="AE56" t="s">
        <v>60</v>
      </c>
      <c r="AF56" s="3">
        <v>72</v>
      </c>
      <c r="AG56" s="3">
        <v>47</v>
      </c>
      <c r="AH56">
        <v>80</v>
      </c>
      <c r="AI56">
        <v>2</v>
      </c>
      <c r="AJ56">
        <v>0</v>
      </c>
      <c r="AL56">
        <v>0</v>
      </c>
      <c r="AM56">
        <v>1</v>
      </c>
      <c r="AN56" t="s">
        <v>768</v>
      </c>
      <c r="AO56" t="s">
        <v>41</v>
      </c>
    </row>
    <row r="57" spans="1:41" x14ac:dyDescent="0.25">
      <c r="A57">
        <v>48</v>
      </c>
      <c r="B57" t="s">
        <v>32</v>
      </c>
      <c r="C57" t="s">
        <v>33</v>
      </c>
      <c r="D57">
        <v>1</v>
      </c>
      <c r="E57" t="s">
        <v>34</v>
      </c>
      <c r="F57">
        <v>2</v>
      </c>
      <c r="G57">
        <v>3</v>
      </c>
      <c r="H57" t="s">
        <v>35</v>
      </c>
      <c r="I57">
        <v>3</v>
      </c>
      <c r="J57" t="s">
        <v>36</v>
      </c>
      <c r="K57">
        <v>5381</v>
      </c>
      <c r="L57">
        <v>9</v>
      </c>
      <c r="M57" t="s">
        <v>31</v>
      </c>
      <c r="N57">
        <v>13</v>
      </c>
      <c r="O57">
        <v>3</v>
      </c>
      <c r="P57">
        <v>0</v>
      </c>
      <c r="Q57">
        <v>23</v>
      </c>
      <c r="R57">
        <v>2</v>
      </c>
      <c r="S57">
        <v>1</v>
      </c>
      <c r="T57">
        <v>0</v>
      </c>
      <c r="U57">
        <v>0</v>
      </c>
      <c r="V57" t="s">
        <v>37</v>
      </c>
      <c r="W57" s="2">
        <v>44044</v>
      </c>
      <c r="Y57" t="s">
        <v>46</v>
      </c>
      <c r="Z57" t="s">
        <v>40</v>
      </c>
      <c r="AA57">
        <v>4</v>
      </c>
      <c r="AB57">
        <v>2</v>
      </c>
      <c r="AC57" t="s">
        <v>41</v>
      </c>
      <c r="AD57" t="s">
        <v>48</v>
      </c>
      <c r="AE57" t="s">
        <v>43</v>
      </c>
      <c r="AF57" s="3">
        <v>73</v>
      </c>
      <c r="AG57" s="3">
        <v>98</v>
      </c>
      <c r="AH57">
        <v>80</v>
      </c>
      <c r="AI57">
        <v>14</v>
      </c>
      <c r="AJ57">
        <v>0</v>
      </c>
      <c r="AL57">
        <v>0</v>
      </c>
      <c r="AM57">
        <v>1</v>
      </c>
      <c r="AN57" t="s">
        <v>768</v>
      </c>
      <c r="AO57" t="s">
        <v>41</v>
      </c>
    </row>
    <row r="58" spans="1:41" x14ac:dyDescent="0.25">
      <c r="A58">
        <v>45</v>
      </c>
      <c r="B58" t="s">
        <v>32</v>
      </c>
      <c r="C58" t="s">
        <v>33</v>
      </c>
      <c r="D58">
        <v>7</v>
      </c>
      <c r="E58" t="s">
        <v>34</v>
      </c>
      <c r="F58">
        <v>3</v>
      </c>
      <c r="G58">
        <v>3</v>
      </c>
      <c r="H58" t="s">
        <v>44</v>
      </c>
      <c r="I58">
        <v>1</v>
      </c>
      <c r="J58" t="s">
        <v>57</v>
      </c>
      <c r="K58">
        <v>9724</v>
      </c>
      <c r="L58">
        <v>2</v>
      </c>
      <c r="M58" t="s">
        <v>41</v>
      </c>
      <c r="N58">
        <v>17</v>
      </c>
      <c r="O58">
        <v>3</v>
      </c>
      <c r="P58">
        <v>1</v>
      </c>
      <c r="Q58">
        <v>25</v>
      </c>
      <c r="R58">
        <v>2</v>
      </c>
      <c r="S58">
        <v>1</v>
      </c>
      <c r="T58">
        <v>0</v>
      </c>
      <c r="U58">
        <v>0</v>
      </c>
      <c r="V58" t="s">
        <v>37</v>
      </c>
      <c r="W58" s="2">
        <v>44075</v>
      </c>
      <c r="Y58" t="s">
        <v>69</v>
      </c>
      <c r="Z58" t="s">
        <v>40</v>
      </c>
      <c r="AA58">
        <v>5</v>
      </c>
      <c r="AB58">
        <v>0</v>
      </c>
      <c r="AC58" t="s">
        <v>41</v>
      </c>
      <c r="AD58" t="s">
        <v>65</v>
      </c>
      <c r="AE58" t="s">
        <v>49</v>
      </c>
      <c r="AF58" s="3">
        <v>74</v>
      </c>
      <c r="AG58" s="3">
        <v>71</v>
      </c>
      <c r="AH58">
        <v>80</v>
      </c>
      <c r="AI58">
        <v>8</v>
      </c>
      <c r="AJ58">
        <v>0</v>
      </c>
      <c r="AL58">
        <v>0</v>
      </c>
      <c r="AM58">
        <v>1</v>
      </c>
      <c r="AN58" t="s">
        <v>768</v>
      </c>
      <c r="AO58" t="s">
        <v>41</v>
      </c>
    </row>
    <row r="59" spans="1:41" x14ac:dyDescent="0.25">
      <c r="A59">
        <v>36</v>
      </c>
      <c r="B59" t="s">
        <v>32</v>
      </c>
      <c r="C59" t="s">
        <v>33</v>
      </c>
      <c r="D59">
        <v>9</v>
      </c>
      <c r="E59" t="s">
        <v>34</v>
      </c>
      <c r="F59">
        <v>2</v>
      </c>
      <c r="G59">
        <v>1</v>
      </c>
      <c r="H59" t="s">
        <v>44</v>
      </c>
      <c r="I59">
        <v>3</v>
      </c>
      <c r="J59" t="s">
        <v>51</v>
      </c>
      <c r="K59">
        <v>3388</v>
      </c>
      <c r="L59">
        <v>0</v>
      </c>
      <c r="M59" t="s">
        <v>31</v>
      </c>
      <c r="N59">
        <v>17</v>
      </c>
      <c r="O59">
        <v>3</v>
      </c>
      <c r="P59">
        <v>1</v>
      </c>
      <c r="Q59">
        <v>2</v>
      </c>
      <c r="R59">
        <v>0</v>
      </c>
      <c r="S59">
        <v>1</v>
      </c>
      <c r="T59">
        <v>0</v>
      </c>
      <c r="U59">
        <v>0</v>
      </c>
      <c r="V59" t="s">
        <v>52</v>
      </c>
      <c r="W59" s="2">
        <v>44075</v>
      </c>
      <c r="Y59" t="s">
        <v>46</v>
      </c>
      <c r="Z59" t="s">
        <v>47</v>
      </c>
      <c r="AA59">
        <v>4</v>
      </c>
      <c r="AB59">
        <v>3</v>
      </c>
      <c r="AC59" t="s">
        <v>31</v>
      </c>
      <c r="AD59" t="s">
        <v>42</v>
      </c>
      <c r="AE59" t="s">
        <v>60</v>
      </c>
      <c r="AF59" s="3">
        <v>75</v>
      </c>
      <c r="AG59" s="3">
        <v>30</v>
      </c>
      <c r="AH59">
        <v>80</v>
      </c>
      <c r="AI59">
        <v>2</v>
      </c>
      <c r="AJ59">
        <v>0</v>
      </c>
      <c r="AL59">
        <v>0</v>
      </c>
      <c r="AM59">
        <v>1</v>
      </c>
      <c r="AN59" t="s">
        <v>768</v>
      </c>
      <c r="AO59" t="s">
        <v>41</v>
      </c>
    </row>
    <row r="60" spans="1:41" x14ac:dyDescent="0.25">
      <c r="A60">
        <v>31</v>
      </c>
      <c r="B60" t="s">
        <v>32</v>
      </c>
      <c r="C60" t="s">
        <v>33</v>
      </c>
      <c r="D60">
        <v>1</v>
      </c>
      <c r="E60" t="s">
        <v>34</v>
      </c>
      <c r="F60">
        <v>3</v>
      </c>
      <c r="G60">
        <v>1</v>
      </c>
      <c r="H60" t="s">
        <v>44</v>
      </c>
      <c r="I60">
        <v>2</v>
      </c>
      <c r="J60" t="s">
        <v>36</v>
      </c>
      <c r="K60">
        <v>2501</v>
      </c>
      <c r="L60">
        <v>1</v>
      </c>
      <c r="M60" t="s">
        <v>41</v>
      </c>
      <c r="N60">
        <v>17</v>
      </c>
      <c r="O60">
        <v>3</v>
      </c>
      <c r="P60">
        <v>0</v>
      </c>
      <c r="Q60">
        <v>1</v>
      </c>
      <c r="R60">
        <v>4</v>
      </c>
      <c r="S60">
        <v>1</v>
      </c>
      <c r="T60">
        <v>1</v>
      </c>
      <c r="U60">
        <v>0</v>
      </c>
      <c r="V60" t="s">
        <v>37</v>
      </c>
      <c r="W60" s="1" t="s">
        <v>101</v>
      </c>
      <c r="Y60" t="s">
        <v>39</v>
      </c>
      <c r="Z60" t="s">
        <v>47</v>
      </c>
      <c r="AA60">
        <v>0</v>
      </c>
      <c r="AB60">
        <v>3</v>
      </c>
      <c r="AC60" t="s">
        <v>41</v>
      </c>
      <c r="AD60" t="s">
        <v>48</v>
      </c>
      <c r="AE60" t="s">
        <v>43</v>
      </c>
      <c r="AF60" s="3">
        <v>76</v>
      </c>
      <c r="AG60" s="3">
        <v>48</v>
      </c>
      <c r="AH60">
        <v>80</v>
      </c>
      <c r="AI60">
        <v>7</v>
      </c>
      <c r="AJ60">
        <v>0</v>
      </c>
      <c r="AL60">
        <v>0</v>
      </c>
      <c r="AM60">
        <v>1</v>
      </c>
      <c r="AN60" t="s">
        <v>768</v>
      </c>
      <c r="AO60" t="s">
        <v>41</v>
      </c>
    </row>
    <row r="61" spans="1:41" x14ac:dyDescent="0.25">
      <c r="A61">
        <v>36</v>
      </c>
      <c r="B61" t="s">
        <v>32</v>
      </c>
      <c r="C61" t="s">
        <v>33</v>
      </c>
      <c r="D61">
        <v>6</v>
      </c>
      <c r="E61" t="s">
        <v>61</v>
      </c>
      <c r="F61">
        <v>4</v>
      </c>
      <c r="G61">
        <v>1</v>
      </c>
      <c r="H61" t="s">
        <v>35</v>
      </c>
      <c r="I61">
        <v>4</v>
      </c>
      <c r="J61" t="s">
        <v>51</v>
      </c>
      <c r="K61">
        <v>3038</v>
      </c>
      <c r="L61">
        <v>3</v>
      </c>
      <c r="M61" t="s">
        <v>41</v>
      </c>
      <c r="N61">
        <v>12</v>
      </c>
      <c r="O61">
        <v>3</v>
      </c>
      <c r="P61">
        <v>0</v>
      </c>
      <c r="Q61">
        <v>5</v>
      </c>
      <c r="R61">
        <v>3</v>
      </c>
      <c r="S61">
        <v>1</v>
      </c>
      <c r="T61">
        <v>0</v>
      </c>
      <c r="U61">
        <v>0</v>
      </c>
      <c r="V61" t="s">
        <v>72</v>
      </c>
      <c r="W61" s="1" t="s">
        <v>99</v>
      </c>
      <c r="Y61" t="s">
        <v>54</v>
      </c>
      <c r="Z61" t="s">
        <v>40</v>
      </c>
      <c r="AA61">
        <v>3</v>
      </c>
      <c r="AB61">
        <v>1</v>
      </c>
      <c r="AC61" t="s">
        <v>31</v>
      </c>
      <c r="AD61" t="s">
        <v>67</v>
      </c>
      <c r="AE61" t="s">
        <v>43</v>
      </c>
      <c r="AF61" s="3">
        <v>77</v>
      </c>
      <c r="AG61" s="3">
        <v>51</v>
      </c>
      <c r="AH61">
        <v>80</v>
      </c>
      <c r="AI61">
        <v>5</v>
      </c>
      <c r="AJ61">
        <v>0</v>
      </c>
      <c r="AL61">
        <v>0</v>
      </c>
      <c r="AM61">
        <v>1</v>
      </c>
      <c r="AN61" t="s">
        <v>768</v>
      </c>
      <c r="AO61" t="s">
        <v>41</v>
      </c>
    </row>
    <row r="62" spans="1:41" x14ac:dyDescent="0.25">
      <c r="A62">
        <v>55</v>
      </c>
      <c r="B62" t="s">
        <v>32</v>
      </c>
      <c r="C62" t="s">
        <v>55</v>
      </c>
      <c r="D62">
        <v>1</v>
      </c>
      <c r="E62" t="s">
        <v>34</v>
      </c>
      <c r="F62">
        <v>3</v>
      </c>
      <c r="G62">
        <v>3</v>
      </c>
      <c r="H62" t="s">
        <v>70</v>
      </c>
      <c r="I62">
        <v>4</v>
      </c>
      <c r="J62" t="s">
        <v>51</v>
      </c>
      <c r="K62">
        <v>10239</v>
      </c>
      <c r="L62">
        <v>3</v>
      </c>
      <c r="M62" t="s">
        <v>41</v>
      </c>
      <c r="N62">
        <v>14</v>
      </c>
      <c r="O62">
        <v>3</v>
      </c>
      <c r="P62">
        <v>1</v>
      </c>
      <c r="Q62">
        <v>24</v>
      </c>
      <c r="R62">
        <v>4</v>
      </c>
      <c r="S62">
        <v>1</v>
      </c>
      <c r="T62">
        <v>1</v>
      </c>
      <c r="U62">
        <v>0</v>
      </c>
      <c r="V62" t="s">
        <v>58</v>
      </c>
      <c r="W62" s="2">
        <v>44076</v>
      </c>
      <c r="Y62" t="s">
        <v>69</v>
      </c>
      <c r="Z62" t="s">
        <v>47</v>
      </c>
      <c r="AA62">
        <v>0</v>
      </c>
      <c r="AB62">
        <v>2</v>
      </c>
      <c r="AC62" t="s">
        <v>41</v>
      </c>
      <c r="AD62" t="s">
        <v>65</v>
      </c>
      <c r="AE62" t="s">
        <v>60</v>
      </c>
      <c r="AF62" s="3">
        <v>78</v>
      </c>
      <c r="AG62" s="3">
        <v>33</v>
      </c>
      <c r="AH62">
        <v>80</v>
      </c>
      <c r="AI62">
        <v>8</v>
      </c>
      <c r="AJ62">
        <v>0</v>
      </c>
      <c r="AL62">
        <v>0</v>
      </c>
      <c r="AM62">
        <v>1</v>
      </c>
      <c r="AN62" t="s">
        <v>768</v>
      </c>
      <c r="AO62" t="s">
        <v>41</v>
      </c>
    </row>
    <row r="63" spans="1:41" x14ac:dyDescent="0.25">
      <c r="A63">
        <v>32</v>
      </c>
      <c r="B63" t="s">
        <v>32</v>
      </c>
      <c r="C63" t="s">
        <v>33</v>
      </c>
      <c r="D63">
        <v>1</v>
      </c>
      <c r="E63" t="s">
        <v>34</v>
      </c>
      <c r="F63">
        <v>3</v>
      </c>
      <c r="G63">
        <v>1</v>
      </c>
      <c r="H63" t="s">
        <v>44</v>
      </c>
      <c r="I63">
        <v>1</v>
      </c>
      <c r="J63" t="s">
        <v>36</v>
      </c>
      <c r="K63">
        <v>2956</v>
      </c>
      <c r="L63">
        <v>1</v>
      </c>
      <c r="M63" t="s">
        <v>41</v>
      </c>
      <c r="N63">
        <v>13</v>
      </c>
      <c r="O63">
        <v>3</v>
      </c>
      <c r="P63">
        <v>0</v>
      </c>
      <c r="Q63">
        <v>1</v>
      </c>
      <c r="R63">
        <v>2</v>
      </c>
      <c r="S63">
        <v>1</v>
      </c>
      <c r="T63">
        <v>0</v>
      </c>
      <c r="U63">
        <v>0</v>
      </c>
      <c r="V63" t="s">
        <v>72</v>
      </c>
      <c r="W63" s="1" t="s">
        <v>102</v>
      </c>
      <c r="Y63" t="s">
        <v>39</v>
      </c>
      <c r="Z63" t="s">
        <v>47</v>
      </c>
      <c r="AA63">
        <v>4</v>
      </c>
      <c r="AB63">
        <v>1</v>
      </c>
      <c r="AC63" t="s">
        <v>31</v>
      </c>
      <c r="AD63" t="s">
        <v>65</v>
      </c>
      <c r="AE63" t="s">
        <v>60</v>
      </c>
      <c r="AF63" s="3">
        <v>79</v>
      </c>
      <c r="AG63" s="3">
        <v>50</v>
      </c>
      <c r="AH63">
        <v>80</v>
      </c>
      <c r="AI63">
        <v>3</v>
      </c>
      <c r="AJ63">
        <v>0</v>
      </c>
      <c r="AL63">
        <v>0</v>
      </c>
      <c r="AM63">
        <v>1</v>
      </c>
      <c r="AN63" t="s">
        <v>768</v>
      </c>
      <c r="AO63" t="s">
        <v>41</v>
      </c>
    </row>
    <row r="64" spans="1:41" x14ac:dyDescent="0.25">
      <c r="A64">
        <v>20</v>
      </c>
      <c r="B64" t="s">
        <v>66</v>
      </c>
      <c r="C64" t="s">
        <v>33</v>
      </c>
      <c r="D64">
        <v>6</v>
      </c>
      <c r="E64" t="s">
        <v>61</v>
      </c>
      <c r="F64">
        <v>2</v>
      </c>
      <c r="G64">
        <v>1</v>
      </c>
      <c r="H64" t="s">
        <v>35</v>
      </c>
      <c r="I64">
        <v>4</v>
      </c>
      <c r="J64" t="s">
        <v>36</v>
      </c>
      <c r="K64">
        <v>2926</v>
      </c>
      <c r="L64">
        <v>1</v>
      </c>
      <c r="M64" t="s">
        <v>31</v>
      </c>
      <c r="N64">
        <v>18</v>
      </c>
      <c r="O64">
        <v>3</v>
      </c>
      <c r="P64">
        <v>0</v>
      </c>
      <c r="Q64">
        <v>1</v>
      </c>
      <c r="R64">
        <v>5</v>
      </c>
      <c r="S64">
        <v>1</v>
      </c>
      <c r="T64">
        <v>1</v>
      </c>
      <c r="U64">
        <v>0</v>
      </c>
      <c r="V64" t="s">
        <v>37</v>
      </c>
      <c r="W64" s="1" t="s">
        <v>103</v>
      </c>
      <c r="Y64" t="s">
        <v>54</v>
      </c>
      <c r="Z64" t="s">
        <v>47</v>
      </c>
      <c r="AA64">
        <v>3</v>
      </c>
      <c r="AB64">
        <v>3</v>
      </c>
      <c r="AC64" t="s">
        <v>41</v>
      </c>
      <c r="AD64" t="s">
        <v>48</v>
      </c>
      <c r="AE64" t="s">
        <v>43</v>
      </c>
      <c r="AF64" s="3">
        <v>80</v>
      </c>
      <c r="AG64" s="3">
        <v>43</v>
      </c>
      <c r="AH64">
        <v>80</v>
      </c>
      <c r="AI64">
        <v>3</v>
      </c>
      <c r="AJ64">
        <v>0</v>
      </c>
      <c r="AL64">
        <v>0</v>
      </c>
      <c r="AM64">
        <v>1</v>
      </c>
      <c r="AN64" t="s">
        <v>768</v>
      </c>
      <c r="AO64" t="s">
        <v>41</v>
      </c>
    </row>
    <row r="65" spans="1:41" x14ac:dyDescent="0.25">
      <c r="A65">
        <v>37</v>
      </c>
      <c r="B65" t="s">
        <v>81</v>
      </c>
      <c r="C65" t="s">
        <v>33</v>
      </c>
      <c r="D65">
        <v>2</v>
      </c>
      <c r="E65" t="s">
        <v>34</v>
      </c>
      <c r="F65">
        <v>2</v>
      </c>
      <c r="G65">
        <v>2</v>
      </c>
      <c r="H65" t="s">
        <v>89</v>
      </c>
      <c r="I65">
        <v>4</v>
      </c>
      <c r="J65" t="s">
        <v>57</v>
      </c>
      <c r="K65">
        <v>5163</v>
      </c>
      <c r="L65">
        <v>5</v>
      </c>
      <c r="M65" t="s">
        <v>41</v>
      </c>
      <c r="N65">
        <v>14</v>
      </c>
      <c r="O65">
        <v>3</v>
      </c>
      <c r="P65">
        <v>1</v>
      </c>
      <c r="Q65">
        <v>17</v>
      </c>
      <c r="R65">
        <v>2</v>
      </c>
      <c r="S65">
        <v>1</v>
      </c>
      <c r="T65">
        <v>0</v>
      </c>
      <c r="U65">
        <v>0</v>
      </c>
      <c r="V65" t="s">
        <v>72</v>
      </c>
      <c r="W65" s="1" t="s">
        <v>104</v>
      </c>
      <c r="Y65" t="s">
        <v>69</v>
      </c>
      <c r="Z65" t="s">
        <v>47</v>
      </c>
      <c r="AA65">
        <v>3</v>
      </c>
      <c r="AB65">
        <v>0</v>
      </c>
      <c r="AC65" t="s">
        <v>41</v>
      </c>
      <c r="AD65" t="s">
        <v>48</v>
      </c>
      <c r="AE65" t="s">
        <v>43</v>
      </c>
      <c r="AF65" s="3">
        <v>81</v>
      </c>
      <c r="AG65" s="3">
        <v>99</v>
      </c>
      <c r="AH65">
        <v>80</v>
      </c>
      <c r="AI65">
        <v>16</v>
      </c>
      <c r="AJ65">
        <v>0</v>
      </c>
      <c r="AL65">
        <v>0</v>
      </c>
      <c r="AM65">
        <v>1</v>
      </c>
      <c r="AN65" t="s">
        <v>768</v>
      </c>
      <c r="AO65" t="s">
        <v>41</v>
      </c>
    </row>
    <row r="66" spans="1:41" x14ac:dyDescent="0.25">
      <c r="A66">
        <v>34</v>
      </c>
      <c r="B66" t="s">
        <v>32</v>
      </c>
      <c r="C66" t="s">
        <v>33</v>
      </c>
      <c r="D66">
        <v>6</v>
      </c>
      <c r="E66" t="s">
        <v>61</v>
      </c>
      <c r="F66">
        <v>2</v>
      </c>
      <c r="G66">
        <v>2</v>
      </c>
      <c r="H66" t="s">
        <v>44</v>
      </c>
      <c r="I66">
        <v>2</v>
      </c>
      <c r="J66" t="s">
        <v>57</v>
      </c>
      <c r="K66">
        <v>4505</v>
      </c>
      <c r="L66">
        <v>6</v>
      </c>
      <c r="M66" t="s">
        <v>41</v>
      </c>
      <c r="N66">
        <v>15</v>
      </c>
      <c r="O66">
        <v>3</v>
      </c>
      <c r="P66">
        <v>1</v>
      </c>
      <c r="Q66">
        <v>12</v>
      </c>
      <c r="R66">
        <v>3</v>
      </c>
      <c r="S66">
        <v>1</v>
      </c>
      <c r="T66">
        <v>0</v>
      </c>
      <c r="U66">
        <v>0</v>
      </c>
      <c r="V66" t="s">
        <v>72</v>
      </c>
      <c r="W66" s="1" t="s">
        <v>105</v>
      </c>
      <c r="Y66" t="s">
        <v>39</v>
      </c>
      <c r="Z66" t="s">
        <v>47</v>
      </c>
      <c r="AA66">
        <v>5</v>
      </c>
      <c r="AB66">
        <v>2</v>
      </c>
      <c r="AC66" t="s">
        <v>31</v>
      </c>
      <c r="AD66" t="s">
        <v>65</v>
      </c>
      <c r="AE66" t="s">
        <v>43</v>
      </c>
      <c r="AF66" s="3">
        <v>83</v>
      </c>
      <c r="AG66" s="3">
        <v>59</v>
      </c>
      <c r="AH66">
        <v>80</v>
      </c>
      <c r="AI66">
        <v>14</v>
      </c>
      <c r="AJ66">
        <v>0</v>
      </c>
      <c r="AL66">
        <v>0</v>
      </c>
      <c r="AM66">
        <v>1</v>
      </c>
      <c r="AN66" t="s">
        <v>768</v>
      </c>
      <c r="AO66" t="s">
        <v>41</v>
      </c>
    </row>
    <row r="67" spans="1:41" x14ac:dyDescent="0.25">
      <c r="A67">
        <v>36</v>
      </c>
      <c r="B67" t="s">
        <v>32</v>
      </c>
      <c r="C67" t="s">
        <v>33</v>
      </c>
      <c r="D67">
        <v>3</v>
      </c>
      <c r="E67" t="s">
        <v>61</v>
      </c>
      <c r="F67">
        <v>3</v>
      </c>
      <c r="G67">
        <v>1</v>
      </c>
      <c r="H67" t="s">
        <v>35</v>
      </c>
      <c r="I67">
        <v>4</v>
      </c>
      <c r="J67" t="s">
        <v>57</v>
      </c>
      <c r="K67">
        <v>2835</v>
      </c>
      <c r="L67">
        <v>5</v>
      </c>
      <c r="M67" t="s">
        <v>41</v>
      </c>
      <c r="N67">
        <v>22</v>
      </c>
      <c r="O67">
        <v>4</v>
      </c>
      <c r="P67">
        <v>1</v>
      </c>
      <c r="Q67">
        <v>7</v>
      </c>
      <c r="R67">
        <v>2</v>
      </c>
      <c r="S67">
        <v>1</v>
      </c>
      <c r="T67">
        <v>0</v>
      </c>
      <c r="U67">
        <v>0</v>
      </c>
      <c r="V67" t="s">
        <v>37</v>
      </c>
      <c r="W67" s="1" t="s">
        <v>106</v>
      </c>
      <c r="Y67" t="s">
        <v>39</v>
      </c>
      <c r="Z67" t="s">
        <v>40</v>
      </c>
      <c r="AA67">
        <v>5</v>
      </c>
      <c r="AB67">
        <v>2</v>
      </c>
      <c r="AC67" t="s">
        <v>41</v>
      </c>
      <c r="AD67" t="s">
        <v>42</v>
      </c>
      <c r="AE67" t="s">
        <v>60</v>
      </c>
      <c r="AF67" s="3">
        <v>84</v>
      </c>
      <c r="AG67" s="3">
        <v>33</v>
      </c>
      <c r="AH67">
        <v>80</v>
      </c>
      <c r="AI67">
        <v>0</v>
      </c>
      <c r="AJ67">
        <v>0</v>
      </c>
      <c r="AL67">
        <v>0</v>
      </c>
      <c r="AM67">
        <v>1</v>
      </c>
      <c r="AN67" t="s">
        <v>768</v>
      </c>
      <c r="AO67" t="s">
        <v>41</v>
      </c>
    </row>
    <row r="68" spans="1:41" x14ac:dyDescent="0.25">
      <c r="A68">
        <v>19</v>
      </c>
      <c r="B68" t="s">
        <v>32</v>
      </c>
      <c r="C68" t="s">
        <v>33</v>
      </c>
      <c r="D68">
        <v>3</v>
      </c>
      <c r="E68" t="s">
        <v>61</v>
      </c>
      <c r="F68">
        <v>3</v>
      </c>
      <c r="G68">
        <v>1</v>
      </c>
      <c r="H68" t="s">
        <v>35</v>
      </c>
      <c r="I68">
        <v>2</v>
      </c>
      <c r="J68" t="s">
        <v>36</v>
      </c>
      <c r="K68">
        <v>1483</v>
      </c>
      <c r="L68">
        <v>1</v>
      </c>
      <c r="M68" t="s">
        <v>41</v>
      </c>
      <c r="N68">
        <v>14</v>
      </c>
      <c r="O68">
        <v>3</v>
      </c>
      <c r="P68">
        <v>0</v>
      </c>
      <c r="Q68">
        <v>1</v>
      </c>
      <c r="R68">
        <v>3</v>
      </c>
      <c r="S68">
        <v>1</v>
      </c>
      <c r="T68">
        <v>0</v>
      </c>
      <c r="U68">
        <v>0</v>
      </c>
      <c r="V68" t="s">
        <v>72</v>
      </c>
      <c r="W68" s="1" t="s">
        <v>107</v>
      </c>
      <c r="Y68" t="s">
        <v>46</v>
      </c>
      <c r="Z68" t="s">
        <v>40</v>
      </c>
      <c r="AA68">
        <v>0</v>
      </c>
      <c r="AB68">
        <v>0</v>
      </c>
      <c r="AC68" t="s">
        <v>41</v>
      </c>
      <c r="AD68" t="s">
        <v>42</v>
      </c>
      <c r="AE68" t="s">
        <v>60</v>
      </c>
      <c r="AF68" s="3">
        <v>85</v>
      </c>
      <c r="AG68" s="3">
        <v>95</v>
      </c>
      <c r="AH68">
        <v>80</v>
      </c>
      <c r="AI68">
        <v>5</v>
      </c>
      <c r="AJ68">
        <v>0</v>
      </c>
      <c r="AL68">
        <v>0</v>
      </c>
      <c r="AM68">
        <v>1</v>
      </c>
      <c r="AN68" t="s">
        <v>768</v>
      </c>
      <c r="AO68" t="s">
        <v>41</v>
      </c>
    </row>
    <row r="69" spans="1:41" x14ac:dyDescent="0.25">
      <c r="A69">
        <v>51</v>
      </c>
      <c r="B69" t="s">
        <v>32</v>
      </c>
      <c r="C69" t="s">
        <v>33</v>
      </c>
      <c r="D69">
        <v>7</v>
      </c>
      <c r="E69" t="s">
        <v>34</v>
      </c>
      <c r="F69">
        <v>2</v>
      </c>
      <c r="G69">
        <v>2</v>
      </c>
      <c r="H69" t="s">
        <v>78</v>
      </c>
      <c r="I69">
        <v>3</v>
      </c>
      <c r="J69" t="s">
        <v>51</v>
      </c>
      <c r="K69">
        <v>6132</v>
      </c>
      <c r="L69">
        <v>2</v>
      </c>
      <c r="M69" t="s">
        <v>41</v>
      </c>
      <c r="N69">
        <v>17</v>
      </c>
      <c r="O69">
        <v>3</v>
      </c>
      <c r="P69">
        <v>0</v>
      </c>
      <c r="Q69">
        <v>10</v>
      </c>
      <c r="R69">
        <v>2</v>
      </c>
      <c r="S69">
        <v>1</v>
      </c>
      <c r="T69">
        <v>0</v>
      </c>
      <c r="U69">
        <v>0</v>
      </c>
      <c r="V69" t="s">
        <v>52</v>
      </c>
      <c r="W69" s="1" t="s">
        <v>95</v>
      </c>
      <c r="Y69" t="s">
        <v>69</v>
      </c>
      <c r="Z69" t="s">
        <v>47</v>
      </c>
      <c r="AA69">
        <v>1</v>
      </c>
      <c r="AB69">
        <v>1</v>
      </c>
      <c r="AC69" t="s">
        <v>31</v>
      </c>
      <c r="AD69" t="s">
        <v>42</v>
      </c>
      <c r="AE69" t="s">
        <v>43</v>
      </c>
      <c r="AF69" s="3">
        <v>86</v>
      </c>
      <c r="AG69" s="3">
        <v>59</v>
      </c>
      <c r="AH69">
        <v>80</v>
      </c>
      <c r="AI69">
        <v>0</v>
      </c>
      <c r="AJ69">
        <v>0</v>
      </c>
      <c r="AL69">
        <v>0</v>
      </c>
      <c r="AM69">
        <v>1</v>
      </c>
      <c r="AN69" t="s">
        <v>768</v>
      </c>
      <c r="AO69" t="s">
        <v>41</v>
      </c>
    </row>
    <row r="70" spans="1:41" x14ac:dyDescent="0.25">
      <c r="A70">
        <v>58</v>
      </c>
      <c r="B70" t="s">
        <v>32</v>
      </c>
      <c r="C70" t="s">
        <v>33</v>
      </c>
      <c r="D70">
        <v>9</v>
      </c>
      <c r="E70" t="s">
        <v>61</v>
      </c>
      <c r="F70">
        <v>2</v>
      </c>
      <c r="G70">
        <v>1</v>
      </c>
      <c r="H70" t="s">
        <v>44</v>
      </c>
      <c r="I70">
        <v>2</v>
      </c>
      <c r="J70" t="s">
        <v>51</v>
      </c>
      <c r="K70">
        <v>3346</v>
      </c>
      <c r="L70">
        <v>4</v>
      </c>
      <c r="M70" t="s">
        <v>31</v>
      </c>
      <c r="N70">
        <v>20</v>
      </c>
      <c r="O70">
        <v>4</v>
      </c>
      <c r="P70">
        <v>1</v>
      </c>
      <c r="Q70">
        <v>9</v>
      </c>
      <c r="R70">
        <v>3</v>
      </c>
      <c r="S70">
        <v>1</v>
      </c>
      <c r="T70">
        <v>0</v>
      </c>
      <c r="U70">
        <v>0</v>
      </c>
      <c r="V70" t="s">
        <v>37</v>
      </c>
      <c r="W70" s="2">
        <v>44109</v>
      </c>
      <c r="Y70" t="s">
        <v>46</v>
      </c>
      <c r="Z70" t="s">
        <v>47</v>
      </c>
      <c r="AA70">
        <v>3</v>
      </c>
      <c r="AB70">
        <v>0</v>
      </c>
      <c r="AC70" t="s">
        <v>41</v>
      </c>
      <c r="AD70" t="s">
        <v>42</v>
      </c>
      <c r="AE70" t="s">
        <v>43</v>
      </c>
      <c r="AF70" s="3">
        <v>88</v>
      </c>
      <c r="AG70" s="3">
        <v>79</v>
      </c>
      <c r="AH70">
        <v>80</v>
      </c>
      <c r="AI70">
        <v>2</v>
      </c>
      <c r="AJ70">
        <v>0</v>
      </c>
      <c r="AL70">
        <v>0</v>
      </c>
      <c r="AM70">
        <v>1</v>
      </c>
      <c r="AN70" t="s">
        <v>768</v>
      </c>
      <c r="AO70" t="s">
        <v>41</v>
      </c>
    </row>
    <row r="71" spans="1:41" x14ac:dyDescent="0.25">
      <c r="A71">
        <v>27</v>
      </c>
      <c r="B71" t="s">
        <v>81</v>
      </c>
      <c r="C71" t="s">
        <v>33</v>
      </c>
      <c r="D71">
        <v>3</v>
      </c>
      <c r="E71" t="s">
        <v>34</v>
      </c>
      <c r="F71">
        <v>2</v>
      </c>
      <c r="G71">
        <v>1</v>
      </c>
      <c r="H71" t="s">
        <v>44</v>
      </c>
      <c r="I71">
        <v>3</v>
      </c>
      <c r="J71" t="s">
        <v>57</v>
      </c>
      <c r="K71">
        <v>2566</v>
      </c>
      <c r="L71">
        <v>1</v>
      </c>
      <c r="M71" t="s">
        <v>31</v>
      </c>
      <c r="N71">
        <v>15</v>
      </c>
      <c r="O71">
        <v>3</v>
      </c>
      <c r="P71">
        <v>1</v>
      </c>
      <c r="Q71">
        <v>1</v>
      </c>
      <c r="R71">
        <v>2</v>
      </c>
      <c r="S71">
        <v>1</v>
      </c>
      <c r="T71">
        <v>0</v>
      </c>
      <c r="U71">
        <v>1</v>
      </c>
      <c r="V71" t="s">
        <v>52</v>
      </c>
      <c r="W71" s="2">
        <v>44107</v>
      </c>
      <c r="Y71" t="s">
        <v>69</v>
      </c>
      <c r="Z71" t="s">
        <v>47</v>
      </c>
      <c r="AA71">
        <v>5</v>
      </c>
      <c r="AB71">
        <v>1</v>
      </c>
      <c r="AC71" t="s">
        <v>31</v>
      </c>
      <c r="AD71" t="s">
        <v>42</v>
      </c>
      <c r="AE71" t="s">
        <v>43</v>
      </c>
      <c r="AF71" s="3">
        <v>90</v>
      </c>
      <c r="AG71" s="3">
        <v>79</v>
      </c>
      <c r="AH71">
        <v>80</v>
      </c>
      <c r="AI71">
        <v>0</v>
      </c>
      <c r="AJ71">
        <v>1</v>
      </c>
      <c r="AK71">
        <v>1</v>
      </c>
      <c r="AL71">
        <v>1</v>
      </c>
      <c r="AM71">
        <v>0</v>
      </c>
      <c r="AN71" t="s">
        <v>767</v>
      </c>
      <c r="AO71" t="s">
        <v>31</v>
      </c>
    </row>
    <row r="72" spans="1:41" x14ac:dyDescent="0.25">
      <c r="A72">
        <v>19</v>
      </c>
      <c r="B72" t="s">
        <v>32</v>
      </c>
      <c r="C72" t="s">
        <v>33</v>
      </c>
      <c r="D72">
        <v>2</v>
      </c>
      <c r="E72" t="s">
        <v>34</v>
      </c>
      <c r="F72">
        <v>2</v>
      </c>
      <c r="G72">
        <v>1</v>
      </c>
      <c r="H72" t="s">
        <v>35</v>
      </c>
      <c r="I72">
        <v>4</v>
      </c>
      <c r="J72" t="s">
        <v>36</v>
      </c>
      <c r="K72">
        <v>1102</v>
      </c>
      <c r="L72">
        <v>1</v>
      </c>
      <c r="M72" t="s">
        <v>41</v>
      </c>
      <c r="N72">
        <v>22</v>
      </c>
      <c r="O72">
        <v>4</v>
      </c>
      <c r="P72">
        <v>0</v>
      </c>
      <c r="Q72">
        <v>1</v>
      </c>
      <c r="R72">
        <v>3</v>
      </c>
      <c r="S72">
        <v>1</v>
      </c>
      <c r="T72">
        <v>1</v>
      </c>
      <c r="U72">
        <v>0</v>
      </c>
      <c r="V72" t="s">
        <v>52</v>
      </c>
      <c r="W72" s="2">
        <v>43925</v>
      </c>
      <c r="Y72" t="s">
        <v>69</v>
      </c>
      <c r="Z72" t="s">
        <v>40</v>
      </c>
      <c r="AA72">
        <v>0</v>
      </c>
      <c r="AB72">
        <v>1</v>
      </c>
      <c r="AC72" t="s">
        <v>41</v>
      </c>
      <c r="AD72" t="s">
        <v>65</v>
      </c>
      <c r="AE72" t="s">
        <v>43</v>
      </c>
      <c r="AF72" s="3">
        <v>91</v>
      </c>
      <c r="AG72" s="3">
        <v>57</v>
      </c>
      <c r="AH72">
        <v>80</v>
      </c>
      <c r="AI72">
        <v>3</v>
      </c>
      <c r="AJ72">
        <v>0</v>
      </c>
      <c r="AL72">
        <v>0</v>
      </c>
      <c r="AM72">
        <v>1</v>
      </c>
      <c r="AN72" t="s">
        <v>768</v>
      </c>
      <c r="AO72" t="s">
        <v>41</v>
      </c>
    </row>
    <row r="73" spans="1:41" x14ac:dyDescent="0.25">
      <c r="A73">
        <v>35</v>
      </c>
      <c r="B73" t="s">
        <v>32</v>
      </c>
      <c r="C73" t="s">
        <v>33</v>
      </c>
      <c r="D73">
        <v>23</v>
      </c>
      <c r="E73" t="s">
        <v>34</v>
      </c>
      <c r="F73">
        <v>2</v>
      </c>
      <c r="G73">
        <v>2</v>
      </c>
      <c r="H73" t="s">
        <v>78</v>
      </c>
      <c r="I73">
        <v>3</v>
      </c>
      <c r="J73" t="s">
        <v>51</v>
      </c>
      <c r="K73">
        <v>5916</v>
      </c>
      <c r="L73">
        <v>3</v>
      </c>
      <c r="M73" t="s">
        <v>31</v>
      </c>
      <c r="N73">
        <v>13</v>
      </c>
      <c r="O73">
        <v>3</v>
      </c>
      <c r="P73">
        <v>0</v>
      </c>
      <c r="Q73">
        <v>8</v>
      </c>
      <c r="R73">
        <v>1</v>
      </c>
      <c r="S73">
        <v>1</v>
      </c>
      <c r="T73">
        <v>0</v>
      </c>
      <c r="U73">
        <v>1</v>
      </c>
      <c r="V73" t="s">
        <v>58</v>
      </c>
      <c r="W73" s="1" t="s">
        <v>108</v>
      </c>
      <c r="Y73" t="s">
        <v>39</v>
      </c>
      <c r="Z73" t="s">
        <v>47</v>
      </c>
      <c r="AA73">
        <v>0</v>
      </c>
      <c r="AB73">
        <v>0</v>
      </c>
      <c r="AC73" t="s">
        <v>31</v>
      </c>
      <c r="AD73" t="s">
        <v>48</v>
      </c>
      <c r="AE73" t="s">
        <v>60</v>
      </c>
      <c r="AF73" s="3">
        <v>94</v>
      </c>
      <c r="AG73" s="3">
        <v>76</v>
      </c>
      <c r="AH73">
        <v>80</v>
      </c>
      <c r="AI73">
        <v>4</v>
      </c>
      <c r="AJ73">
        <v>0</v>
      </c>
      <c r="AL73">
        <v>0</v>
      </c>
      <c r="AM73">
        <v>1</v>
      </c>
      <c r="AN73" t="s">
        <v>768</v>
      </c>
      <c r="AO73" t="s">
        <v>41</v>
      </c>
    </row>
    <row r="74" spans="1:41" x14ac:dyDescent="0.25">
      <c r="A74">
        <v>38</v>
      </c>
      <c r="B74" t="s">
        <v>32</v>
      </c>
      <c r="C74" t="s">
        <v>33</v>
      </c>
      <c r="D74">
        <v>2</v>
      </c>
      <c r="E74" t="s">
        <v>34</v>
      </c>
      <c r="F74">
        <v>3</v>
      </c>
      <c r="G74">
        <v>2</v>
      </c>
      <c r="H74" t="s">
        <v>78</v>
      </c>
      <c r="I74">
        <v>3</v>
      </c>
      <c r="J74" t="s">
        <v>51</v>
      </c>
      <c r="K74">
        <v>6553</v>
      </c>
      <c r="L74">
        <v>9</v>
      </c>
      <c r="M74" t="s">
        <v>41</v>
      </c>
      <c r="N74">
        <v>14</v>
      </c>
      <c r="O74">
        <v>3</v>
      </c>
      <c r="P74">
        <v>0</v>
      </c>
      <c r="Q74">
        <v>14</v>
      </c>
      <c r="R74">
        <v>3</v>
      </c>
      <c r="S74">
        <v>1</v>
      </c>
      <c r="T74">
        <v>0</v>
      </c>
      <c r="U74">
        <v>0</v>
      </c>
      <c r="V74" t="s">
        <v>52</v>
      </c>
      <c r="W74" s="1" t="s">
        <v>109</v>
      </c>
      <c r="Y74" t="s">
        <v>63</v>
      </c>
      <c r="Z74" t="s">
        <v>40</v>
      </c>
      <c r="AA74">
        <v>3</v>
      </c>
      <c r="AB74">
        <v>2</v>
      </c>
      <c r="AC74" t="s">
        <v>31</v>
      </c>
      <c r="AD74" t="s">
        <v>42</v>
      </c>
      <c r="AE74" t="s">
        <v>60</v>
      </c>
      <c r="AF74" s="3">
        <v>95</v>
      </c>
      <c r="AG74" s="3">
        <v>87</v>
      </c>
      <c r="AH74">
        <v>80</v>
      </c>
      <c r="AI74">
        <v>1</v>
      </c>
      <c r="AJ74">
        <v>0</v>
      </c>
      <c r="AL74">
        <v>0</v>
      </c>
      <c r="AM74">
        <v>1</v>
      </c>
      <c r="AN74" t="s">
        <v>768</v>
      </c>
      <c r="AO74" t="s">
        <v>41</v>
      </c>
    </row>
    <row r="75" spans="1:41" x14ac:dyDescent="0.25">
      <c r="A75">
        <v>38</v>
      </c>
      <c r="B75" t="s">
        <v>32</v>
      </c>
      <c r="C75" t="s">
        <v>33</v>
      </c>
      <c r="D75">
        <v>29</v>
      </c>
      <c r="E75" t="s">
        <v>34</v>
      </c>
      <c r="F75">
        <v>3</v>
      </c>
      <c r="G75">
        <v>2</v>
      </c>
      <c r="H75" t="s">
        <v>89</v>
      </c>
      <c r="I75">
        <v>1</v>
      </c>
      <c r="J75" t="s">
        <v>51</v>
      </c>
      <c r="K75">
        <v>6673</v>
      </c>
      <c r="L75">
        <v>7</v>
      </c>
      <c r="M75" t="s">
        <v>31</v>
      </c>
      <c r="N75">
        <v>19</v>
      </c>
      <c r="O75">
        <v>3</v>
      </c>
      <c r="P75">
        <v>0</v>
      </c>
      <c r="Q75">
        <v>17</v>
      </c>
      <c r="R75">
        <v>2</v>
      </c>
      <c r="S75">
        <v>1</v>
      </c>
      <c r="T75">
        <v>0</v>
      </c>
      <c r="U75">
        <v>0</v>
      </c>
      <c r="V75" t="s">
        <v>52</v>
      </c>
      <c r="W75" s="2">
        <v>43952</v>
      </c>
      <c r="Y75" t="s">
        <v>63</v>
      </c>
      <c r="Z75" t="s">
        <v>40</v>
      </c>
      <c r="AA75">
        <v>3</v>
      </c>
      <c r="AB75">
        <v>2</v>
      </c>
      <c r="AC75" t="s">
        <v>41</v>
      </c>
      <c r="AD75" t="s">
        <v>48</v>
      </c>
      <c r="AE75" t="s">
        <v>49</v>
      </c>
      <c r="AF75" s="3">
        <v>96</v>
      </c>
      <c r="AG75" s="3">
        <v>66</v>
      </c>
      <c r="AH75">
        <v>80</v>
      </c>
      <c r="AI75">
        <v>4</v>
      </c>
      <c r="AJ75">
        <v>0</v>
      </c>
      <c r="AL75">
        <v>0</v>
      </c>
      <c r="AM75">
        <v>1</v>
      </c>
      <c r="AN75" t="s">
        <v>768</v>
      </c>
      <c r="AO75" t="s">
        <v>41</v>
      </c>
    </row>
    <row r="76" spans="1:41" x14ac:dyDescent="0.25">
      <c r="A76">
        <v>41</v>
      </c>
      <c r="B76" t="s">
        <v>32</v>
      </c>
      <c r="C76" t="s">
        <v>55</v>
      </c>
      <c r="D76">
        <v>6</v>
      </c>
      <c r="E76" t="s">
        <v>61</v>
      </c>
      <c r="F76">
        <v>3</v>
      </c>
      <c r="G76">
        <v>3</v>
      </c>
      <c r="H76" t="s">
        <v>75</v>
      </c>
      <c r="I76">
        <v>4</v>
      </c>
      <c r="J76" t="s">
        <v>36</v>
      </c>
      <c r="K76">
        <v>13591</v>
      </c>
      <c r="L76">
        <v>3</v>
      </c>
      <c r="M76" t="s">
        <v>31</v>
      </c>
      <c r="N76">
        <v>18</v>
      </c>
      <c r="O76">
        <v>3</v>
      </c>
      <c r="P76">
        <v>0</v>
      </c>
      <c r="Q76">
        <v>16</v>
      </c>
      <c r="R76">
        <v>3</v>
      </c>
      <c r="S76">
        <v>1</v>
      </c>
      <c r="T76">
        <v>0</v>
      </c>
      <c r="U76">
        <v>0</v>
      </c>
      <c r="V76" t="s">
        <v>58</v>
      </c>
      <c r="W76" s="1" t="s">
        <v>110</v>
      </c>
      <c r="Y76" t="s">
        <v>46</v>
      </c>
      <c r="Z76" t="s">
        <v>47</v>
      </c>
      <c r="AA76">
        <v>5</v>
      </c>
      <c r="AB76">
        <v>1</v>
      </c>
      <c r="AC76" t="s">
        <v>31</v>
      </c>
      <c r="AD76" t="s">
        <v>67</v>
      </c>
      <c r="AE76" t="s">
        <v>49</v>
      </c>
      <c r="AF76" s="3">
        <v>97</v>
      </c>
      <c r="AG76" s="3">
        <v>55</v>
      </c>
      <c r="AH76">
        <v>80</v>
      </c>
      <c r="AI76">
        <v>0</v>
      </c>
      <c r="AJ76">
        <v>0</v>
      </c>
      <c r="AL76">
        <v>0</v>
      </c>
      <c r="AM76">
        <v>1</v>
      </c>
      <c r="AN76" t="s">
        <v>768</v>
      </c>
      <c r="AO76" t="s">
        <v>41</v>
      </c>
    </row>
    <row r="77" spans="1:41" x14ac:dyDescent="0.25">
      <c r="A77">
        <v>59</v>
      </c>
      <c r="B77" t="s">
        <v>32</v>
      </c>
      <c r="C77" t="s">
        <v>33</v>
      </c>
      <c r="D77">
        <v>3</v>
      </c>
      <c r="E77" t="s">
        <v>34</v>
      </c>
      <c r="F77">
        <v>2</v>
      </c>
      <c r="G77">
        <v>1</v>
      </c>
      <c r="H77" t="s">
        <v>44</v>
      </c>
      <c r="I77">
        <v>4</v>
      </c>
      <c r="J77" t="s">
        <v>51</v>
      </c>
      <c r="K77">
        <v>2177</v>
      </c>
      <c r="L77">
        <v>3</v>
      </c>
      <c r="M77" t="s">
        <v>41</v>
      </c>
      <c r="N77">
        <v>17</v>
      </c>
      <c r="O77">
        <v>3</v>
      </c>
      <c r="P77">
        <v>1</v>
      </c>
      <c r="Q77">
        <v>7</v>
      </c>
      <c r="R77">
        <v>6</v>
      </c>
      <c r="S77">
        <v>1</v>
      </c>
      <c r="T77">
        <v>0</v>
      </c>
      <c r="U77">
        <v>0</v>
      </c>
      <c r="V77" t="s">
        <v>58</v>
      </c>
      <c r="W77" s="1" t="s">
        <v>111</v>
      </c>
      <c r="Y77" t="s">
        <v>54</v>
      </c>
      <c r="Z77" t="s">
        <v>40</v>
      </c>
      <c r="AA77">
        <v>4</v>
      </c>
      <c r="AB77">
        <v>1</v>
      </c>
      <c r="AC77" t="s">
        <v>31</v>
      </c>
      <c r="AD77" t="s">
        <v>48</v>
      </c>
      <c r="AE77" t="s">
        <v>43</v>
      </c>
      <c r="AF77" s="3">
        <v>98</v>
      </c>
      <c r="AG77" s="3">
        <v>61</v>
      </c>
      <c r="AH77">
        <v>80</v>
      </c>
      <c r="AI77">
        <v>7</v>
      </c>
      <c r="AJ77">
        <v>0</v>
      </c>
      <c r="AL77">
        <v>0</v>
      </c>
      <c r="AM77">
        <v>1</v>
      </c>
      <c r="AN77" t="s">
        <v>768</v>
      </c>
      <c r="AO77" t="s">
        <v>41</v>
      </c>
    </row>
    <row r="78" spans="1:41" x14ac:dyDescent="0.25">
      <c r="A78">
        <v>41</v>
      </c>
      <c r="B78" t="s">
        <v>32</v>
      </c>
      <c r="C78" t="s">
        <v>33</v>
      </c>
      <c r="D78">
        <v>19</v>
      </c>
      <c r="E78" t="s">
        <v>34</v>
      </c>
      <c r="F78">
        <v>3</v>
      </c>
      <c r="G78">
        <v>2</v>
      </c>
      <c r="H78" t="s">
        <v>44</v>
      </c>
      <c r="I78">
        <v>1</v>
      </c>
      <c r="J78" t="s">
        <v>57</v>
      </c>
      <c r="K78">
        <v>3072</v>
      </c>
      <c r="L78">
        <v>2</v>
      </c>
      <c r="M78" t="s">
        <v>41</v>
      </c>
      <c r="N78">
        <v>16</v>
      </c>
      <c r="O78">
        <v>3</v>
      </c>
      <c r="P78">
        <v>2</v>
      </c>
      <c r="Q78">
        <v>17</v>
      </c>
      <c r="R78">
        <v>2</v>
      </c>
      <c r="S78">
        <v>1</v>
      </c>
      <c r="T78">
        <v>0</v>
      </c>
      <c r="U78">
        <v>0</v>
      </c>
      <c r="V78" t="s">
        <v>37</v>
      </c>
      <c r="W78" s="1" t="s">
        <v>112</v>
      </c>
      <c r="Y78" t="s">
        <v>54</v>
      </c>
      <c r="Z78" t="s">
        <v>47</v>
      </c>
      <c r="AA78">
        <v>0</v>
      </c>
      <c r="AB78">
        <v>1</v>
      </c>
      <c r="AC78" t="s">
        <v>31</v>
      </c>
      <c r="AD78" t="s">
        <v>42</v>
      </c>
      <c r="AE78" t="s">
        <v>49</v>
      </c>
      <c r="AF78" s="3">
        <v>100</v>
      </c>
      <c r="AG78" s="3">
        <v>32</v>
      </c>
      <c r="AH78">
        <v>80</v>
      </c>
      <c r="AI78">
        <v>13</v>
      </c>
      <c r="AJ78">
        <v>0</v>
      </c>
      <c r="AL78">
        <v>0</v>
      </c>
      <c r="AM78">
        <v>1</v>
      </c>
      <c r="AN78" t="s">
        <v>768</v>
      </c>
      <c r="AO78" t="s">
        <v>41</v>
      </c>
    </row>
    <row r="79" spans="1:41" x14ac:dyDescent="0.25">
      <c r="A79">
        <v>37</v>
      </c>
      <c r="B79" t="s">
        <v>66</v>
      </c>
      <c r="C79" t="s">
        <v>33</v>
      </c>
      <c r="D79">
        <v>10</v>
      </c>
      <c r="E79" t="s">
        <v>34</v>
      </c>
      <c r="F79">
        <v>3</v>
      </c>
      <c r="G79">
        <v>3</v>
      </c>
      <c r="H79" t="s">
        <v>78</v>
      </c>
      <c r="I79">
        <v>3</v>
      </c>
      <c r="J79" t="s">
        <v>57</v>
      </c>
      <c r="K79">
        <v>10048</v>
      </c>
      <c r="L79">
        <v>6</v>
      </c>
      <c r="M79" t="s">
        <v>41</v>
      </c>
      <c r="N79">
        <v>11</v>
      </c>
      <c r="O79">
        <v>3</v>
      </c>
      <c r="P79">
        <v>2</v>
      </c>
      <c r="Q79">
        <v>17</v>
      </c>
      <c r="R79">
        <v>5</v>
      </c>
      <c r="S79">
        <v>1</v>
      </c>
      <c r="T79">
        <v>0</v>
      </c>
      <c r="U79">
        <v>0</v>
      </c>
      <c r="V79" t="s">
        <v>37</v>
      </c>
      <c r="W79" s="1" t="s">
        <v>113</v>
      </c>
      <c r="Y79" t="s">
        <v>39</v>
      </c>
      <c r="Z79" t="s">
        <v>47</v>
      </c>
      <c r="AA79">
        <v>0</v>
      </c>
      <c r="AB79">
        <v>1</v>
      </c>
      <c r="AC79" t="s">
        <v>31</v>
      </c>
      <c r="AD79" t="s">
        <v>48</v>
      </c>
      <c r="AE79" t="s">
        <v>49</v>
      </c>
      <c r="AF79" s="3">
        <v>101</v>
      </c>
      <c r="AG79" s="3">
        <v>52</v>
      </c>
      <c r="AH79">
        <v>80</v>
      </c>
      <c r="AI79">
        <v>0</v>
      </c>
      <c r="AJ79">
        <v>0</v>
      </c>
      <c r="AL79">
        <v>0</v>
      </c>
      <c r="AM79">
        <v>1</v>
      </c>
      <c r="AN79" t="s">
        <v>768</v>
      </c>
      <c r="AO79" t="s">
        <v>41</v>
      </c>
    </row>
    <row r="80" spans="1:41" x14ac:dyDescent="0.25">
      <c r="A80">
        <v>51</v>
      </c>
      <c r="B80" t="s">
        <v>32</v>
      </c>
      <c r="C80" t="s">
        <v>33</v>
      </c>
      <c r="D80">
        <v>1</v>
      </c>
      <c r="E80" t="s">
        <v>34</v>
      </c>
      <c r="F80">
        <v>3</v>
      </c>
      <c r="G80">
        <v>1</v>
      </c>
      <c r="H80" t="s">
        <v>44</v>
      </c>
      <c r="I80">
        <v>4</v>
      </c>
      <c r="J80" t="s">
        <v>51</v>
      </c>
      <c r="K80">
        <v>2723</v>
      </c>
      <c r="L80">
        <v>1</v>
      </c>
      <c r="M80" t="s">
        <v>41</v>
      </c>
      <c r="N80">
        <v>11</v>
      </c>
      <c r="O80">
        <v>3</v>
      </c>
      <c r="P80">
        <v>0</v>
      </c>
      <c r="Q80">
        <v>1</v>
      </c>
      <c r="R80">
        <v>0</v>
      </c>
      <c r="S80">
        <v>1</v>
      </c>
      <c r="T80">
        <v>0</v>
      </c>
      <c r="U80">
        <v>0</v>
      </c>
      <c r="V80" t="s">
        <v>72</v>
      </c>
      <c r="W80" s="2">
        <v>43865</v>
      </c>
      <c r="Y80" t="s">
        <v>63</v>
      </c>
      <c r="Z80" t="s">
        <v>47</v>
      </c>
      <c r="AA80">
        <v>2</v>
      </c>
      <c r="AB80">
        <v>1</v>
      </c>
      <c r="AC80" t="s">
        <v>31</v>
      </c>
      <c r="AD80" t="s">
        <v>48</v>
      </c>
      <c r="AE80" t="s">
        <v>49</v>
      </c>
      <c r="AF80" s="3">
        <v>102</v>
      </c>
      <c r="AG80" s="3">
        <v>30</v>
      </c>
      <c r="AH80">
        <v>80</v>
      </c>
      <c r="AI80">
        <v>2</v>
      </c>
      <c r="AJ80">
        <v>0</v>
      </c>
      <c r="AL80">
        <v>0</v>
      </c>
      <c r="AM80">
        <v>1</v>
      </c>
      <c r="AN80" t="s">
        <v>768</v>
      </c>
      <c r="AO80" t="s">
        <v>41</v>
      </c>
    </row>
    <row r="81" spans="1:41" x14ac:dyDescent="0.25">
      <c r="A81">
        <v>44</v>
      </c>
      <c r="B81" t="s">
        <v>66</v>
      </c>
      <c r="C81" t="s">
        <v>33</v>
      </c>
      <c r="D81">
        <v>24</v>
      </c>
      <c r="E81" t="s">
        <v>34</v>
      </c>
      <c r="F81">
        <v>3</v>
      </c>
      <c r="G81">
        <v>1</v>
      </c>
      <c r="H81" t="s">
        <v>35</v>
      </c>
      <c r="I81">
        <v>3</v>
      </c>
      <c r="J81" t="s">
        <v>57</v>
      </c>
      <c r="K81">
        <v>3161</v>
      </c>
      <c r="L81">
        <v>3</v>
      </c>
      <c r="M81" t="s">
        <v>31</v>
      </c>
      <c r="N81">
        <v>22</v>
      </c>
      <c r="O81">
        <v>4</v>
      </c>
      <c r="P81">
        <v>1</v>
      </c>
      <c r="Q81">
        <v>19</v>
      </c>
      <c r="R81">
        <v>0</v>
      </c>
      <c r="S81">
        <v>1</v>
      </c>
      <c r="T81">
        <v>0</v>
      </c>
      <c r="U81">
        <v>0</v>
      </c>
      <c r="V81" t="s">
        <v>52</v>
      </c>
      <c r="W81" s="1" t="s">
        <v>114</v>
      </c>
      <c r="Y81" t="s">
        <v>46</v>
      </c>
      <c r="Z81" t="s">
        <v>40</v>
      </c>
      <c r="AA81">
        <v>0</v>
      </c>
      <c r="AB81">
        <v>2</v>
      </c>
      <c r="AC81" t="s">
        <v>41</v>
      </c>
      <c r="AD81" t="s">
        <v>48</v>
      </c>
      <c r="AE81" t="s">
        <v>43</v>
      </c>
      <c r="AF81" s="3">
        <v>103</v>
      </c>
      <c r="AG81" s="3">
        <v>80</v>
      </c>
      <c r="AH81">
        <v>80</v>
      </c>
      <c r="AI81">
        <v>2</v>
      </c>
      <c r="AJ81">
        <v>0</v>
      </c>
      <c r="AL81">
        <v>0</v>
      </c>
      <c r="AM81">
        <v>1</v>
      </c>
      <c r="AN81" t="s">
        <v>768</v>
      </c>
      <c r="AO81" t="s">
        <v>41</v>
      </c>
    </row>
    <row r="82" spans="1:41" x14ac:dyDescent="0.25">
      <c r="A82">
        <v>36</v>
      </c>
      <c r="B82" t="s">
        <v>66</v>
      </c>
      <c r="C82" t="s">
        <v>33</v>
      </c>
      <c r="D82">
        <v>18</v>
      </c>
      <c r="E82" t="s">
        <v>34</v>
      </c>
      <c r="F82">
        <v>4</v>
      </c>
      <c r="G82">
        <v>1</v>
      </c>
      <c r="H82" t="s">
        <v>35</v>
      </c>
      <c r="I82">
        <v>4</v>
      </c>
      <c r="J82" t="s">
        <v>51</v>
      </c>
      <c r="K82">
        <v>3688</v>
      </c>
      <c r="L82">
        <v>4</v>
      </c>
      <c r="M82" t="s">
        <v>41</v>
      </c>
      <c r="N82">
        <v>18</v>
      </c>
      <c r="O82">
        <v>3</v>
      </c>
      <c r="P82">
        <v>2</v>
      </c>
      <c r="Q82">
        <v>4</v>
      </c>
      <c r="R82">
        <v>2</v>
      </c>
      <c r="S82">
        <v>1</v>
      </c>
      <c r="T82">
        <v>0</v>
      </c>
      <c r="U82">
        <v>0</v>
      </c>
      <c r="V82" t="s">
        <v>72</v>
      </c>
      <c r="W82" s="2">
        <v>43983</v>
      </c>
      <c r="Y82" t="s">
        <v>63</v>
      </c>
      <c r="Z82" t="s">
        <v>40</v>
      </c>
      <c r="AA82">
        <v>4</v>
      </c>
      <c r="AB82">
        <v>0</v>
      </c>
      <c r="AC82" t="s">
        <v>41</v>
      </c>
      <c r="AD82" t="s">
        <v>48</v>
      </c>
      <c r="AE82" t="s">
        <v>60</v>
      </c>
      <c r="AF82" s="3">
        <v>104</v>
      </c>
      <c r="AG82" s="3">
        <v>55</v>
      </c>
      <c r="AH82">
        <v>80</v>
      </c>
      <c r="AI82">
        <v>8</v>
      </c>
      <c r="AJ82">
        <v>0</v>
      </c>
      <c r="AL82">
        <v>0</v>
      </c>
      <c r="AM82">
        <v>1</v>
      </c>
      <c r="AN82" t="s">
        <v>768</v>
      </c>
      <c r="AO82" t="s">
        <v>41</v>
      </c>
    </row>
    <row r="83" spans="1:41" x14ac:dyDescent="0.25">
      <c r="A83">
        <v>39</v>
      </c>
      <c r="B83" t="s">
        <v>32</v>
      </c>
      <c r="C83" t="s">
        <v>55</v>
      </c>
      <c r="D83">
        <v>3</v>
      </c>
      <c r="E83" t="s">
        <v>61</v>
      </c>
      <c r="F83">
        <v>3</v>
      </c>
      <c r="G83">
        <v>2</v>
      </c>
      <c r="H83" t="s">
        <v>70</v>
      </c>
      <c r="I83">
        <v>3</v>
      </c>
      <c r="J83" t="s">
        <v>51</v>
      </c>
      <c r="K83">
        <v>5238</v>
      </c>
      <c r="L83">
        <v>4</v>
      </c>
      <c r="M83" t="s">
        <v>31</v>
      </c>
      <c r="N83">
        <v>18</v>
      </c>
      <c r="O83">
        <v>3</v>
      </c>
      <c r="P83">
        <v>0</v>
      </c>
      <c r="Q83">
        <v>12</v>
      </c>
      <c r="R83">
        <v>3</v>
      </c>
      <c r="S83">
        <v>1</v>
      </c>
      <c r="T83">
        <v>0</v>
      </c>
      <c r="U83">
        <v>0</v>
      </c>
      <c r="V83" t="s">
        <v>58</v>
      </c>
      <c r="W83" s="2">
        <v>43835</v>
      </c>
      <c r="Y83" t="s">
        <v>46</v>
      </c>
      <c r="Z83" t="s">
        <v>40</v>
      </c>
      <c r="AA83">
        <v>0</v>
      </c>
      <c r="AB83">
        <v>1</v>
      </c>
      <c r="AC83" t="s">
        <v>31</v>
      </c>
      <c r="AD83" t="s">
        <v>42</v>
      </c>
      <c r="AE83" t="s">
        <v>60</v>
      </c>
      <c r="AF83" s="3">
        <v>105</v>
      </c>
      <c r="AG83" s="3">
        <v>30</v>
      </c>
      <c r="AH83">
        <v>80</v>
      </c>
      <c r="AI83">
        <v>4</v>
      </c>
      <c r="AJ83">
        <v>0</v>
      </c>
      <c r="AL83">
        <v>0</v>
      </c>
      <c r="AM83">
        <v>1</v>
      </c>
      <c r="AN83" t="s">
        <v>768</v>
      </c>
      <c r="AO83" t="s">
        <v>41</v>
      </c>
    </row>
    <row r="84" spans="1:41" x14ac:dyDescent="0.25">
      <c r="A84">
        <v>43</v>
      </c>
      <c r="B84" t="s">
        <v>32</v>
      </c>
      <c r="C84" t="s">
        <v>33</v>
      </c>
      <c r="D84">
        <v>7</v>
      </c>
      <c r="E84" t="s">
        <v>61</v>
      </c>
      <c r="F84">
        <v>3</v>
      </c>
      <c r="G84">
        <v>3</v>
      </c>
      <c r="H84" t="s">
        <v>89</v>
      </c>
      <c r="I84">
        <v>1</v>
      </c>
      <c r="J84" t="s">
        <v>51</v>
      </c>
      <c r="K84">
        <v>9985</v>
      </c>
      <c r="L84">
        <v>8</v>
      </c>
      <c r="M84" t="s">
        <v>41</v>
      </c>
      <c r="N84">
        <v>16</v>
      </c>
      <c r="O84">
        <v>3</v>
      </c>
      <c r="P84">
        <v>1</v>
      </c>
      <c r="Q84">
        <v>10</v>
      </c>
      <c r="R84">
        <v>1</v>
      </c>
      <c r="S84">
        <v>1</v>
      </c>
      <c r="T84">
        <v>0</v>
      </c>
      <c r="U84">
        <v>0</v>
      </c>
      <c r="V84" t="s">
        <v>37</v>
      </c>
      <c r="W84" s="1" t="s">
        <v>115</v>
      </c>
      <c r="Y84" t="s">
        <v>54</v>
      </c>
      <c r="Z84" t="s">
        <v>47</v>
      </c>
      <c r="AA84">
        <v>1</v>
      </c>
      <c r="AB84">
        <v>3</v>
      </c>
      <c r="AC84" t="s">
        <v>41</v>
      </c>
      <c r="AD84" t="s">
        <v>48</v>
      </c>
      <c r="AE84" t="s">
        <v>60</v>
      </c>
      <c r="AF84" s="3">
        <v>106</v>
      </c>
      <c r="AG84" s="3">
        <v>70</v>
      </c>
      <c r="AH84">
        <v>80</v>
      </c>
      <c r="AI84">
        <v>0</v>
      </c>
      <c r="AJ84">
        <v>0</v>
      </c>
      <c r="AL84">
        <v>0</v>
      </c>
      <c r="AM84">
        <v>1</v>
      </c>
      <c r="AN84" t="s">
        <v>768</v>
      </c>
      <c r="AO84" t="s">
        <v>41</v>
      </c>
    </row>
    <row r="85" spans="1:41" x14ac:dyDescent="0.25">
      <c r="A85">
        <v>42</v>
      </c>
      <c r="B85" t="s">
        <v>32</v>
      </c>
      <c r="C85" t="s">
        <v>33</v>
      </c>
      <c r="D85">
        <v>23</v>
      </c>
      <c r="E85" t="s">
        <v>61</v>
      </c>
      <c r="F85">
        <v>3</v>
      </c>
      <c r="G85">
        <v>4</v>
      </c>
      <c r="H85" t="s">
        <v>50</v>
      </c>
      <c r="I85">
        <v>4</v>
      </c>
      <c r="J85" t="s">
        <v>36</v>
      </c>
      <c r="K85">
        <v>15992</v>
      </c>
      <c r="L85">
        <v>2</v>
      </c>
      <c r="M85" t="s">
        <v>41</v>
      </c>
      <c r="N85">
        <v>14</v>
      </c>
      <c r="O85">
        <v>3</v>
      </c>
      <c r="P85">
        <v>0</v>
      </c>
      <c r="Q85">
        <v>16</v>
      </c>
      <c r="R85">
        <v>2</v>
      </c>
      <c r="S85">
        <v>1</v>
      </c>
      <c r="T85">
        <v>0</v>
      </c>
      <c r="U85">
        <v>0</v>
      </c>
      <c r="V85" t="s">
        <v>37</v>
      </c>
      <c r="W85" s="2">
        <v>44136</v>
      </c>
      <c r="Y85" t="s">
        <v>46</v>
      </c>
      <c r="Z85" t="s">
        <v>47</v>
      </c>
      <c r="AA85">
        <v>1</v>
      </c>
      <c r="AB85">
        <v>0</v>
      </c>
      <c r="AC85" t="s">
        <v>41</v>
      </c>
      <c r="AD85" t="s">
        <v>42</v>
      </c>
      <c r="AE85" t="s">
        <v>60</v>
      </c>
      <c r="AF85" s="3">
        <v>107</v>
      </c>
      <c r="AG85" s="3">
        <v>79</v>
      </c>
      <c r="AH85">
        <v>80</v>
      </c>
      <c r="AI85">
        <v>11</v>
      </c>
      <c r="AJ85">
        <v>0</v>
      </c>
      <c r="AL85">
        <v>0</v>
      </c>
      <c r="AM85">
        <v>1</v>
      </c>
      <c r="AN85" t="s">
        <v>768</v>
      </c>
      <c r="AO85" t="s">
        <v>41</v>
      </c>
    </row>
    <row r="86" spans="1:41" x14ac:dyDescent="0.25">
      <c r="A86">
        <v>42</v>
      </c>
      <c r="B86" t="s">
        <v>32</v>
      </c>
      <c r="C86" t="s">
        <v>33</v>
      </c>
      <c r="D86">
        <v>2</v>
      </c>
      <c r="E86" t="s">
        <v>34</v>
      </c>
      <c r="F86">
        <v>2</v>
      </c>
      <c r="G86">
        <v>2</v>
      </c>
      <c r="H86" t="s">
        <v>89</v>
      </c>
      <c r="I86">
        <v>4</v>
      </c>
      <c r="J86" t="s">
        <v>36</v>
      </c>
      <c r="K86">
        <v>6781</v>
      </c>
      <c r="L86">
        <v>3</v>
      </c>
      <c r="M86" t="s">
        <v>41</v>
      </c>
      <c r="N86">
        <v>23</v>
      </c>
      <c r="O86">
        <v>4</v>
      </c>
      <c r="P86">
        <v>0</v>
      </c>
      <c r="Q86">
        <v>14</v>
      </c>
      <c r="R86">
        <v>6</v>
      </c>
      <c r="S86">
        <v>1</v>
      </c>
      <c r="T86">
        <v>0</v>
      </c>
      <c r="U86">
        <v>0</v>
      </c>
      <c r="V86" t="s">
        <v>72</v>
      </c>
      <c r="W86" s="1" t="s">
        <v>116</v>
      </c>
      <c r="Y86" t="s">
        <v>46</v>
      </c>
      <c r="Z86" t="s">
        <v>47</v>
      </c>
      <c r="AA86">
        <v>3</v>
      </c>
      <c r="AB86">
        <v>0</v>
      </c>
      <c r="AC86" t="s">
        <v>31</v>
      </c>
      <c r="AD86" t="s">
        <v>42</v>
      </c>
      <c r="AE86" t="s">
        <v>43</v>
      </c>
      <c r="AF86" s="3">
        <v>110</v>
      </c>
      <c r="AG86" s="3">
        <v>94</v>
      </c>
      <c r="AH86">
        <v>80</v>
      </c>
      <c r="AI86">
        <v>2</v>
      </c>
      <c r="AJ86">
        <v>0</v>
      </c>
      <c r="AL86">
        <v>0</v>
      </c>
      <c r="AM86">
        <v>1</v>
      </c>
      <c r="AN86" t="s">
        <v>768</v>
      </c>
      <c r="AO86" t="s">
        <v>41</v>
      </c>
    </row>
    <row r="87" spans="1:41" x14ac:dyDescent="0.25">
      <c r="A87">
        <v>36</v>
      </c>
      <c r="B87" t="s">
        <v>81</v>
      </c>
      <c r="C87" t="s">
        <v>55</v>
      </c>
      <c r="D87">
        <v>1</v>
      </c>
      <c r="E87" t="s">
        <v>61</v>
      </c>
      <c r="F87">
        <v>3</v>
      </c>
      <c r="G87">
        <v>2</v>
      </c>
      <c r="H87" t="s">
        <v>70</v>
      </c>
      <c r="I87">
        <v>4</v>
      </c>
      <c r="J87" t="s">
        <v>36</v>
      </c>
      <c r="K87">
        <v>6653</v>
      </c>
      <c r="L87">
        <v>4</v>
      </c>
      <c r="M87" t="s">
        <v>41</v>
      </c>
      <c r="N87">
        <v>15</v>
      </c>
      <c r="O87">
        <v>3</v>
      </c>
      <c r="P87">
        <v>0</v>
      </c>
      <c r="Q87">
        <v>7</v>
      </c>
      <c r="R87">
        <v>6</v>
      </c>
      <c r="S87">
        <v>1</v>
      </c>
      <c r="T87">
        <v>0</v>
      </c>
      <c r="U87">
        <v>0</v>
      </c>
      <c r="V87" t="s">
        <v>52</v>
      </c>
      <c r="W87" s="1" t="s">
        <v>116</v>
      </c>
      <c r="Y87" t="s">
        <v>69</v>
      </c>
      <c r="Z87" t="s">
        <v>47</v>
      </c>
      <c r="AA87">
        <v>3</v>
      </c>
      <c r="AB87">
        <v>0</v>
      </c>
      <c r="AC87" t="s">
        <v>41</v>
      </c>
      <c r="AD87" t="s">
        <v>48</v>
      </c>
      <c r="AE87" t="s">
        <v>43</v>
      </c>
      <c r="AF87" s="3">
        <v>112</v>
      </c>
      <c r="AG87" s="3">
        <v>49</v>
      </c>
      <c r="AH87">
        <v>80</v>
      </c>
      <c r="AI87">
        <v>4</v>
      </c>
      <c r="AJ87">
        <v>0</v>
      </c>
      <c r="AL87">
        <v>0</v>
      </c>
      <c r="AM87">
        <v>1</v>
      </c>
      <c r="AN87" t="s">
        <v>768</v>
      </c>
      <c r="AO87" t="s">
        <v>41</v>
      </c>
    </row>
    <row r="88" spans="1:41" x14ac:dyDescent="0.25">
      <c r="A88">
        <v>33</v>
      </c>
      <c r="B88" t="s">
        <v>32</v>
      </c>
      <c r="C88" t="s">
        <v>55</v>
      </c>
      <c r="D88">
        <v>5</v>
      </c>
      <c r="E88" t="s">
        <v>61</v>
      </c>
      <c r="F88">
        <v>3</v>
      </c>
      <c r="G88">
        <v>1</v>
      </c>
      <c r="H88" t="s">
        <v>56</v>
      </c>
      <c r="I88">
        <v>3</v>
      </c>
      <c r="J88" t="s">
        <v>36</v>
      </c>
      <c r="K88">
        <v>2851</v>
      </c>
      <c r="L88">
        <v>1</v>
      </c>
      <c r="M88" t="s">
        <v>31</v>
      </c>
      <c r="N88">
        <v>13</v>
      </c>
      <c r="O88">
        <v>3</v>
      </c>
      <c r="P88">
        <v>0</v>
      </c>
      <c r="Q88">
        <v>1</v>
      </c>
      <c r="R88">
        <v>2</v>
      </c>
      <c r="S88">
        <v>1</v>
      </c>
      <c r="T88">
        <v>0</v>
      </c>
      <c r="U88">
        <v>0</v>
      </c>
      <c r="V88" t="s">
        <v>58</v>
      </c>
      <c r="W88" s="1" t="s">
        <v>117</v>
      </c>
      <c r="Y88" t="s">
        <v>69</v>
      </c>
      <c r="Z88" t="s">
        <v>40</v>
      </c>
      <c r="AA88">
        <v>0</v>
      </c>
      <c r="AB88">
        <v>1</v>
      </c>
      <c r="AC88" t="s">
        <v>41</v>
      </c>
      <c r="AD88" t="s">
        <v>48</v>
      </c>
      <c r="AE88" t="s">
        <v>43</v>
      </c>
      <c r="AF88" s="3">
        <v>113</v>
      </c>
      <c r="AG88" s="3">
        <v>62</v>
      </c>
      <c r="AH88">
        <v>80</v>
      </c>
      <c r="AI88">
        <v>0</v>
      </c>
      <c r="AJ88">
        <v>0</v>
      </c>
      <c r="AL88">
        <v>0</v>
      </c>
      <c r="AM88">
        <v>1</v>
      </c>
      <c r="AN88" t="s">
        <v>768</v>
      </c>
      <c r="AO88" t="s">
        <v>41</v>
      </c>
    </row>
    <row r="89" spans="1:41" x14ac:dyDescent="0.25">
      <c r="A89">
        <v>46</v>
      </c>
      <c r="B89" t="s">
        <v>81</v>
      </c>
      <c r="C89" t="s">
        <v>33</v>
      </c>
      <c r="D89">
        <v>7</v>
      </c>
      <c r="E89" t="s">
        <v>61</v>
      </c>
      <c r="F89">
        <v>3</v>
      </c>
      <c r="G89">
        <v>2</v>
      </c>
      <c r="H89" t="s">
        <v>78</v>
      </c>
      <c r="I89">
        <v>3</v>
      </c>
      <c r="J89" t="s">
        <v>51</v>
      </c>
      <c r="K89">
        <v>5258</v>
      </c>
      <c r="L89">
        <v>2</v>
      </c>
      <c r="M89" t="s">
        <v>41</v>
      </c>
      <c r="N89">
        <v>14</v>
      </c>
      <c r="O89">
        <v>3</v>
      </c>
      <c r="P89">
        <v>0</v>
      </c>
      <c r="Q89">
        <v>7</v>
      </c>
      <c r="R89">
        <v>2</v>
      </c>
      <c r="S89">
        <v>1</v>
      </c>
      <c r="T89">
        <v>0</v>
      </c>
      <c r="U89">
        <v>0</v>
      </c>
      <c r="V89" t="s">
        <v>37</v>
      </c>
      <c r="W89" s="1" t="s">
        <v>118</v>
      </c>
      <c r="Y89" t="s">
        <v>63</v>
      </c>
      <c r="Z89" t="s">
        <v>47</v>
      </c>
      <c r="AA89">
        <v>1</v>
      </c>
      <c r="AB89">
        <v>3</v>
      </c>
      <c r="AC89" t="s">
        <v>41</v>
      </c>
      <c r="AD89" t="s">
        <v>67</v>
      </c>
      <c r="AE89" t="s">
        <v>43</v>
      </c>
      <c r="AF89" s="3">
        <v>116</v>
      </c>
      <c r="AG89" s="3">
        <v>96</v>
      </c>
      <c r="AH89">
        <v>80</v>
      </c>
      <c r="AI89">
        <v>2</v>
      </c>
      <c r="AJ89">
        <v>0</v>
      </c>
      <c r="AL89">
        <v>0</v>
      </c>
      <c r="AM89">
        <v>1</v>
      </c>
      <c r="AN89" t="s">
        <v>768</v>
      </c>
      <c r="AO89" t="s">
        <v>41</v>
      </c>
    </row>
    <row r="90" spans="1:41" x14ac:dyDescent="0.25">
      <c r="A90">
        <v>21</v>
      </c>
      <c r="B90" t="s">
        <v>32</v>
      </c>
      <c r="C90" t="s">
        <v>55</v>
      </c>
      <c r="D90">
        <v>12</v>
      </c>
      <c r="E90" t="s">
        <v>61</v>
      </c>
      <c r="F90">
        <v>4</v>
      </c>
      <c r="G90">
        <v>1</v>
      </c>
      <c r="H90" t="s">
        <v>56</v>
      </c>
      <c r="I90">
        <v>2</v>
      </c>
      <c r="J90" t="s">
        <v>36</v>
      </c>
      <c r="K90">
        <v>2716</v>
      </c>
      <c r="L90">
        <v>1</v>
      </c>
      <c r="M90" t="s">
        <v>41</v>
      </c>
      <c r="N90">
        <v>15</v>
      </c>
      <c r="O90">
        <v>3</v>
      </c>
      <c r="P90">
        <v>0</v>
      </c>
      <c r="Q90">
        <v>1</v>
      </c>
      <c r="R90">
        <v>0</v>
      </c>
      <c r="S90">
        <v>1</v>
      </c>
      <c r="T90">
        <v>0</v>
      </c>
      <c r="U90">
        <v>0</v>
      </c>
      <c r="V90" t="s">
        <v>72</v>
      </c>
      <c r="W90" s="1" t="s">
        <v>119</v>
      </c>
      <c r="Y90" t="s">
        <v>39</v>
      </c>
      <c r="Z90" t="s">
        <v>47</v>
      </c>
      <c r="AA90">
        <v>1</v>
      </c>
      <c r="AB90">
        <v>1</v>
      </c>
      <c r="AC90" t="s">
        <v>31</v>
      </c>
      <c r="AD90" t="s">
        <v>48</v>
      </c>
      <c r="AE90" t="s">
        <v>49</v>
      </c>
      <c r="AF90" s="3">
        <v>117</v>
      </c>
      <c r="AG90" s="3">
        <v>99</v>
      </c>
      <c r="AH90">
        <v>80</v>
      </c>
      <c r="AI90">
        <v>10</v>
      </c>
      <c r="AJ90">
        <v>0</v>
      </c>
      <c r="AL90">
        <v>0</v>
      </c>
      <c r="AM90">
        <v>1</v>
      </c>
      <c r="AN90" t="s">
        <v>768</v>
      </c>
      <c r="AO90" t="s">
        <v>41</v>
      </c>
    </row>
    <row r="91" spans="1:41" x14ac:dyDescent="0.25">
      <c r="A91">
        <v>35</v>
      </c>
      <c r="B91" t="s">
        <v>32</v>
      </c>
      <c r="C91" t="s">
        <v>33</v>
      </c>
      <c r="D91">
        <v>9</v>
      </c>
      <c r="E91" t="s">
        <v>34</v>
      </c>
      <c r="F91">
        <v>2</v>
      </c>
      <c r="G91">
        <v>2</v>
      </c>
      <c r="H91" t="s">
        <v>89</v>
      </c>
      <c r="I91">
        <v>2</v>
      </c>
      <c r="J91" t="s">
        <v>36</v>
      </c>
      <c r="K91">
        <v>6540</v>
      </c>
      <c r="L91">
        <v>9</v>
      </c>
      <c r="M91" t="s">
        <v>41</v>
      </c>
      <c r="N91">
        <v>19</v>
      </c>
      <c r="O91">
        <v>3</v>
      </c>
      <c r="P91">
        <v>0</v>
      </c>
      <c r="Q91">
        <v>10</v>
      </c>
      <c r="R91">
        <v>5</v>
      </c>
      <c r="S91">
        <v>1</v>
      </c>
      <c r="T91">
        <v>0</v>
      </c>
      <c r="U91">
        <v>0</v>
      </c>
      <c r="V91" t="s">
        <v>52</v>
      </c>
      <c r="W91" s="2">
        <v>44169</v>
      </c>
      <c r="Y91" t="s">
        <v>46</v>
      </c>
      <c r="Z91" t="s">
        <v>40</v>
      </c>
      <c r="AA91">
        <v>1</v>
      </c>
      <c r="AB91">
        <v>2</v>
      </c>
      <c r="AC91" t="s">
        <v>41</v>
      </c>
      <c r="AD91" t="s">
        <v>42</v>
      </c>
      <c r="AE91" t="s">
        <v>60</v>
      </c>
      <c r="AF91" s="3">
        <v>118</v>
      </c>
      <c r="AG91" s="3">
        <v>64</v>
      </c>
      <c r="AH91">
        <v>80</v>
      </c>
      <c r="AI91">
        <v>8</v>
      </c>
      <c r="AJ91">
        <v>1</v>
      </c>
      <c r="AK91">
        <v>1</v>
      </c>
      <c r="AL91">
        <v>1</v>
      </c>
      <c r="AM91">
        <v>0</v>
      </c>
      <c r="AN91" t="s">
        <v>767</v>
      </c>
      <c r="AO91" t="s">
        <v>31</v>
      </c>
    </row>
    <row r="92" spans="1:41" x14ac:dyDescent="0.25">
      <c r="A92">
        <v>30</v>
      </c>
      <c r="B92" t="s">
        <v>32</v>
      </c>
      <c r="C92" t="s">
        <v>55</v>
      </c>
      <c r="D92">
        <v>2</v>
      </c>
      <c r="E92" t="s">
        <v>34</v>
      </c>
      <c r="F92">
        <v>3</v>
      </c>
      <c r="G92">
        <v>1</v>
      </c>
      <c r="H92" t="s">
        <v>56</v>
      </c>
      <c r="I92">
        <v>2</v>
      </c>
      <c r="J92" t="s">
        <v>51</v>
      </c>
      <c r="K92">
        <v>2476</v>
      </c>
      <c r="L92">
        <v>1</v>
      </c>
      <c r="M92" t="s">
        <v>41</v>
      </c>
      <c r="N92">
        <v>18</v>
      </c>
      <c r="O92">
        <v>3</v>
      </c>
      <c r="P92">
        <v>1</v>
      </c>
      <c r="Q92">
        <v>1</v>
      </c>
      <c r="R92">
        <v>3</v>
      </c>
      <c r="S92">
        <v>1</v>
      </c>
      <c r="T92">
        <v>0</v>
      </c>
      <c r="U92">
        <v>0</v>
      </c>
      <c r="V92" t="s">
        <v>58</v>
      </c>
      <c r="W92" s="2">
        <v>44106</v>
      </c>
      <c r="Y92" t="s">
        <v>54</v>
      </c>
      <c r="Z92" t="s">
        <v>47</v>
      </c>
      <c r="AA92">
        <v>4</v>
      </c>
      <c r="AB92">
        <v>2</v>
      </c>
      <c r="AC92" t="s">
        <v>41</v>
      </c>
      <c r="AD92" t="s">
        <v>42</v>
      </c>
      <c r="AE92" t="s">
        <v>60</v>
      </c>
      <c r="AF92" s="3">
        <v>119</v>
      </c>
      <c r="AG92" s="3">
        <v>78</v>
      </c>
      <c r="AH92">
        <v>80</v>
      </c>
      <c r="AI92">
        <v>3</v>
      </c>
      <c r="AJ92">
        <v>0</v>
      </c>
      <c r="AL92">
        <v>0</v>
      </c>
      <c r="AM92">
        <v>1</v>
      </c>
      <c r="AN92" t="s">
        <v>768</v>
      </c>
      <c r="AO92" t="s">
        <v>41</v>
      </c>
    </row>
    <row r="93" spans="1:41" x14ac:dyDescent="0.25">
      <c r="A93">
        <v>30</v>
      </c>
      <c r="B93" t="s">
        <v>66</v>
      </c>
      <c r="C93" t="s">
        <v>33</v>
      </c>
      <c r="D93">
        <v>4</v>
      </c>
      <c r="E93" t="s">
        <v>34</v>
      </c>
      <c r="F93">
        <v>3</v>
      </c>
      <c r="G93">
        <v>1</v>
      </c>
      <c r="H93" t="s">
        <v>44</v>
      </c>
      <c r="I93">
        <v>4</v>
      </c>
      <c r="J93" t="s">
        <v>36</v>
      </c>
      <c r="K93">
        <v>2285</v>
      </c>
      <c r="L93">
        <v>9</v>
      </c>
      <c r="M93" t="s">
        <v>31</v>
      </c>
      <c r="N93">
        <v>23</v>
      </c>
      <c r="O93">
        <v>4</v>
      </c>
      <c r="P93">
        <v>0</v>
      </c>
      <c r="Q93">
        <v>3</v>
      </c>
      <c r="R93">
        <v>4</v>
      </c>
      <c r="S93">
        <v>1</v>
      </c>
      <c r="T93">
        <v>0</v>
      </c>
      <c r="U93">
        <v>0</v>
      </c>
      <c r="V93" t="s">
        <v>72</v>
      </c>
      <c r="W93" s="2">
        <v>44014</v>
      </c>
      <c r="Y93" t="s">
        <v>46</v>
      </c>
      <c r="Z93" t="s">
        <v>47</v>
      </c>
      <c r="AA93">
        <v>4</v>
      </c>
      <c r="AB93">
        <v>1</v>
      </c>
      <c r="AC93" t="s">
        <v>31</v>
      </c>
      <c r="AD93" t="s">
        <v>42</v>
      </c>
      <c r="AE93" t="s">
        <v>60</v>
      </c>
      <c r="AF93" s="3">
        <v>120</v>
      </c>
      <c r="AG93" s="3">
        <v>71</v>
      </c>
      <c r="AH93">
        <v>80</v>
      </c>
      <c r="AI93">
        <v>7</v>
      </c>
      <c r="AJ93">
        <v>0</v>
      </c>
      <c r="AL93">
        <v>0</v>
      </c>
      <c r="AM93">
        <v>1</v>
      </c>
      <c r="AN93" t="s">
        <v>768</v>
      </c>
      <c r="AO93" t="s">
        <v>41</v>
      </c>
    </row>
    <row r="94" spans="1:41" x14ac:dyDescent="0.25">
      <c r="A94">
        <v>37</v>
      </c>
      <c r="B94" t="s">
        <v>32</v>
      </c>
      <c r="C94" t="s">
        <v>33</v>
      </c>
      <c r="D94">
        <v>10</v>
      </c>
      <c r="E94" t="s">
        <v>34</v>
      </c>
      <c r="F94">
        <v>3</v>
      </c>
      <c r="G94">
        <v>2</v>
      </c>
      <c r="H94" t="s">
        <v>78</v>
      </c>
      <c r="I94">
        <v>2</v>
      </c>
      <c r="J94" t="s">
        <v>36</v>
      </c>
      <c r="K94">
        <v>4197</v>
      </c>
      <c r="L94">
        <v>2</v>
      </c>
      <c r="M94" t="s">
        <v>31</v>
      </c>
      <c r="N94">
        <v>12</v>
      </c>
      <c r="O94">
        <v>3</v>
      </c>
      <c r="P94">
        <v>0</v>
      </c>
      <c r="Q94">
        <v>18</v>
      </c>
      <c r="R94">
        <v>2</v>
      </c>
      <c r="S94">
        <v>1</v>
      </c>
      <c r="T94">
        <v>0</v>
      </c>
      <c r="U94">
        <v>1</v>
      </c>
      <c r="V94" t="s">
        <v>37</v>
      </c>
      <c r="W94" s="2">
        <v>44170</v>
      </c>
      <c r="Y94" t="s">
        <v>46</v>
      </c>
      <c r="Z94" t="s">
        <v>40</v>
      </c>
      <c r="AA94">
        <v>3</v>
      </c>
      <c r="AB94">
        <v>3</v>
      </c>
      <c r="AC94" t="s">
        <v>41</v>
      </c>
      <c r="AD94" t="s">
        <v>42</v>
      </c>
      <c r="AE94" t="s">
        <v>60</v>
      </c>
      <c r="AF94" s="3">
        <v>121</v>
      </c>
      <c r="AG94" s="3">
        <v>63</v>
      </c>
      <c r="AH94">
        <v>80</v>
      </c>
      <c r="AI94">
        <v>8</v>
      </c>
      <c r="AJ94">
        <v>0</v>
      </c>
      <c r="AL94">
        <v>0</v>
      </c>
      <c r="AM94">
        <v>1</v>
      </c>
      <c r="AN94" t="s">
        <v>768</v>
      </c>
      <c r="AO94" t="s">
        <v>41</v>
      </c>
    </row>
    <row r="95" spans="1:41" x14ac:dyDescent="0.25">
      <c r="A95">
        <v>40</v>
      </c>
      <c r="B95" t="s">
        <v>32</v>
      </c>
      <c r="C95" t="s">
        <v>33</v>
      </c>
      <c r="D95">
        <v>2</v>
      </c>
      <c r="E95" t="s">
        <v>61</v>
      </c>
      <c r="F95">
        <v>2</v>
      </c>
      <c r="G95">
        <v>2</v>
      </c>
      <c r="H95" t="s">
        <v>35</v>
      </c>
      <c r="I95">
        <v>3</v>
      </c>
      <c r="J95" t="s">
        <v>51</v>
      </c>
      <c r="K95">
        <v>3448</v>
      </c>
      <c r="L95">
        <v>6</v>
      </c>
      <c r="M95" t="s">
        <v>41</v>
      </c>
      <c r="N95">
        <v>22</v>
      </c>
      <c r="O95">
        <v>4</v>
      </c>
      <c r="P95">
        <v>1</v>
      </c>
      <c r="Q95">
        <v>20</v>
      </c>
      <c r="R95">
        <v>3</v>
      </c>
      <c r="S95">
        <v>1</v>
      </c>
      <c r="T95">
        <v>0</v>
      </c>
      <c r="U95">
        <v>0</v>
      </c>
      <c r="V95" t="s">
        <v>37</v>
      </c>
      <c r="W95" s="2">
        <v>43864</v>
      </c>
      <c r="Y95" t="s">
        <v>39</v>
      </c>
      <c r="Z95" t="s">
        <v>47</v>
      </c>
      <c r="AA95">
        <v>5</v>
      </c>
      <c r="AB95">
        <v>1</v>
      </c>
      <c r="AC95" t="s">
        <v>41</v>
      </c>
      <c r="AD95" t="s">
        <v>48</v>
      </c>
      <c r="AE95" t="s">
        <v>43</v>
      </c>
      <c r="AF95" s="3">
        <v>124</v>
      </c>
      <c r="AG95" s="3">
        <v>40</v>
      </c>
      <c r="AH95">
        <v>80</v>
      </c>
      <c r="AI95">
        <v>9</v>
      </c>
      <c r="AJ95">
        <v>0</v>
      </c>
      <c r="AL95">
        <v>0</v>
      </c>
      <c r="AM95">
        <v>1</v>
      </c>
      <c r="AN95" t="s">
        <v>768</v>
      </c>
      <c r="AO95" t="s">
        <v>41</v>
      </c>
    </row>
    <row r="96" spans="1:41" x14ac:dyDescent="0.25">
      <c r="A96">
        <v>38</v>
      </c>
      <c r="B96" t="s">
        <v>66</v>
      </c>
      <c r="C96" t="s">
        <v>33</v>
      </c>
      <c r="D96">
        <v>2</v>
      </c>
      <c r="E96" t="s">
        <v>34</v>
      </c>
      <c r="F96">
        <v>3</v>
      </c>
      <c r="G96">
        <v>1</v>
      </c>
      <c r="H96" t="s">
        <v>35</v>
      </c>
      <c r="I96">
        <v>4</v>
      </c>
      <c r="J96" t="s">
        <v>51</v>
      </c>
      <c r="K96">
        <v>1702</v>
      </c>
      <c r="L96">
        <v>1</v>
      </c>
      <c r="M96" t="s">
        <v>31</v>
      </c>
      <c r="N96">
        <v>23</v>
      </c>
      <c r="O96">
        <v>4</v>
      </c>
      <c r="P96">
        <v>1</v>
      </c>
      <c r="Q96">
        <v>1</v>
      </c>
      <c r="R96">
        <v>3</v>
      </c>
      <c r="S96">
        <v>1</v>
      </c>
      <c r="T96">
        <v>0</v>
      </c>
      <c r="U96">
        <v>0</v>
      </c>
      <c r="V96" t="s">
        <v>72</v>
      </c>
      <c r="W96" s="1" t="s">
        <v>100</v>
      </c>
      <c r="Y96" t="s">
        <v>39</v>
      </c>
      <c r="Z96" t="s">
        <v>47</v>
      </c>
      <c r="AA96">
        <v>5</v>
      </c>
      <c r="AB96">
        <v>2</v>
      </c>
      <c r="AC96" t="s">
        <v>41</v>
      </c>
      <c r="AD96" t="s">
        <v>48</v>
      </c>
      <c r="AE96" t="s">
        <v>60</v>
      </c>
      <c r="AF96" s="3">
        <v>125</v>
      </c>
      <c r="AG96" s="3">
        <v>87</v>
      </c>
      <c r="AH96">
        <v>80</v>
      </c>
      <c r="AI96">
        <v>8</v>
      </c>
      <c r="AJ96">
        <v>0</v>
      </c>
      <c r="AL96">
        <v>0</v>
      </c>
      <c r="AM96">
        <v>1</v>
      </c>
      <c r="AN96" t="s">
        <v>768</v>
      </c>
      <c r="AO96" t="s">
        <v>41</v>
      </c>
    </row>
    <row r="97" spans="1:41" x14ac:dyDescent="0.25">
      <c r="A97">
        <v>19</v>
      </c>
      <c r="B97" t="s">
        <v>32</v>
      </c>
      <c r="C97" t="s">
        <v>120</v>
      </c>
      <c r="D97">
        <v>2</v>
      </c>
      <c r="E97" t="s">
        <v>34</v>
      </c>
      <c r="F97">
        <v>2</v>
      </c>
      <c r="G97">
        <v>1</v>
      </c>
      <c r="H97" t="s">
        <v>120</v>
      </c>
      <c r="I97">
        <v>4</v>
      </c>
      <c r="J97" t="s">
        <v>36</v>
      </c>
      <c r="K97">
        <v>2564</v>
      </c>
      <c r="L97">
        <v>1</v>
      </c>
      <c r="M97" t="s">
        <v>41</v>
      </c>
      <c r="N97">
        <v>12</v>
      </c>
      <c r="O97">
        <v>3</v>
      </c>
      <c r="P97">
        <v>0</v>
      </c>
      <c r="Q97">
        <v>1</v>
      </c>
      <c r="R97">
        <v>3</v>
      </c>
      <c r="S97">
        <v>1</v>
      </c>
      <c r="T97">
        <v>0</v>
      </c>
      <c r="U97">
        <v>0</v>
      </c>
      <c r="V97" t="s">
        <v>52</v>
      </c>
      <c r="W97" s="1" t="s">
        <v>121</v>
      </c>
      <c r="Y97" t="s">
        <v>46</v>
      </c>
      <c r="Z97" t="s">
        <v>47</v>
      </c>
      <c r="AA97">
        <v>0</v>
      </c>
      <c r="AB97">
        <v>0</v>
      </c>
      <c r="AC97" t="s">
        <v>31</v>
      </c>
      <c r="AD97" t="s">
        <v>67</v>
      </c>
      <c r="AE97" t="s">
        <v>60</v>
      </c>
      <c r="AF97" s="3">
        <v>126</v>
      </c>
      <c r="AG97" s="3">
        <v>60</v>
      </c>
      <c r="AH97">
        <v>80</v>
      </c>
      <c r="AI97">
        <v>3</v>
      </c>
      <c r="AJ97">
        <v>0</v>
      </c>
      <c r="AL97">
        <v>0</v>
      </c>
      <c r="AM97">
        <v>1</v>
      </c>
      <c r="AN97" t="s">
        <v>768</v>
      </c>
      <c r="AO97" t="s">
        <v>41</v>
      </c>
    </row>
    <row r="98" spans="1:41" x14ac:dyDescent="0.25">
      <c r="A98">
        <v>57</v>
      </c>
      <c r="B98" t="s">
        <v>32</v>
      </c>
      <c r="C98" t="s">
        <v>55</v>
      </c>
      <c r="D98">
        <v>29</v>
      </c>
      <c r="E98" t="s">
        <v>34</v>
      </c>
      <c r="F98">
        <v>2</v>
      </c>
      <c r="G98">
        <v>4</v>
      </c>
      <c r="H98" t="s">
        <v>75</v>
      </c>
      <c r="I98">
        <v>4</v>
      </c>
      <c r="J98" t="s">
        <v>57</v>
      </c>
      <c r="K98">
        <v>14118</v>
      </c>
      <c r="L98">
        <v>3</v>
      </c>
      <c r="M98" t="s">
        <v>41</v>
      </c>
      <c r="N98">
        <v>12</v>
      </c>
      <c r="O98">
        <v>3</v>
      </c>
      <c r="P98">
        <v>1</v>
      </c>
      <c r="Q98">
        <v>32</v>
      </c>
      <c r="R98">
        <v>3</v>
      </c>
      <c r="S98">
        <v>1</v>
      </c>
      <c r="T98">
        <v>0</v>
      </c>
      <c r="U98">
        <v>0</v>
      </c>
      <c r="V98" t="s">
        <v>52</v>
      </c>
      <c r="W98" s="1" t="s">
        <v>122</v>
      </c>
      <c r="Y98" t="s">
        <v>46</v>
      </c>
      <c r="Z98" t="s">
        <v>47</v>
      </c>
      <c r="AA98">
        <v>2</v>
      </c>
      <c r="AB98">
        <v>3</v>
      </c>
      <c r="AC98" t="s">
        <v>41</v>
      </c>
      <c r="AD98" t="s">
        <v>67</v>
      </c>
      <c r="AE98" t="s">
        <v>43</v>
      </c>
      <c r="AF98" s="3">
        <v>128</v>
      </c>
      <c r="AG98" s="3">
        <v>33</v>
      </c>
      <c r="AH98">
        <v>80</v>
      </c>
      <c r="AI98">
        <v>2</v>
      </c>
      <c r="AJ98">
        <v>0</v>
      </c>
      <c r="AL98">
        <v>0</v>
      </c>
      <c r="AM98">
        <v>1</v>
      </c>
      <c r="AN98" t="s">
        <v>768</v>
      </c>
      <c r="AO98" t="s">
        <v>41</v>
      </c>
    </row>
    <row r="99" spans="1:41" x14ac:dyDescent="0.25">
      <c r="A99">
        <v>54</v>
      </c>
      <c r="B99" t="s">
        <v>32</v>
      </c>
      <c r="C99" t="s">
        <v>33</v>
      </c>
      <c r="D99">
        <v>8</v>
      </c>
      <c r="E99" t="s">
        <v>61</v>
      </c>
      <c r="F99">
        <v>3</v>
      </c>
      <c r="G99">
        <v>2</v>
      </c>
      <c r="H99" t="s">
        <v>35</v>
      </c>
      <c r="I99">
        <v>3</v>
      </c>
      <c r="J99" t="s">
        <v>36</v>
      </c>
      <c r="K99">
        <v>3780</v>
      </c>
      <c r="L99">
        <v>7</v>
      </c>
      <c r="M99" t="s">
        <v>41</v>
      </c>
      <c r="N99">
        <v>11</v>
      </c>
      <c r="O99">
        <v>3</v>
      </c>
      <c r="P99">
        <v>0</v>
      </c>
      <c r="Q99">
        <v>19</v>
      </c>
      <c r="R99">
        <v>3</v>
      </c>
      <c r="S99">
        <v>1</v>
      </c>
      <c r="T99">
        <v>0</v>
      </c>
      <c r="U99">
        <v>0</v>
      </c>
      <c r="V99" t="s">
        <v>37</v>
      </c>
      <c r="W99" s="1" t="s">
        <v>123</v>
      </c>
      <c r="Y99" t="s">
        <v>63</v>
      </c>
      <c r="Z99" t="s">
        <v>47</v>
      </c>
      <c r="AA99">
        <v>0</v>
      </c>
      <c r="AB99">
        <v>3</v>
      </c>
      <c r="AC99" t="s">
        <v>41</v>
      </c>
      <c r="AD99" t="s">
        <v>42</v>
      </c>
      <c r="AE99" t="s">
        <v>60</v>
      </c>
      <c r="AF99" s="3">
        <v>129</v>
      </c>
      <c r="AG99" s="3">
        <v>43</v>
      </c>
      <c r="AH99">
        <v>80</v>
      </c>
      <c r="AI99">
        <v>4</v>
      </c>
      <c r="AJ99">
        <v>0</v>
      </c>
      <c r="AL99">
        <v>0</v>
      </c>
      <c r="AM99">
        <v>1</v>
      </c>
      <c r="AN99" t="s">
        <v>768</v>
      </c>
      <c r="AO99" t="s">
        <v>41</v>
      </c>
    </row>
    <row r="100" spans="1:41" x14ac:dyDescent="0.25">
      <c r="A100">
        <v>31</v>
      </c>
      <c r="B100" t="s">
        <v>66</v>
      </c>
      <c r="C100" t="s">
        <v>33</v>
      </c>
      <c r="D100">
        <v>20</v>
      </c>
      <c r="E100" t="s">
        <v>34</v>
      </c>
      <c r="F100">
        <v>3</v>
      </c>
      <c r="G100">
        <v>3</v>
      </c>
      <c r="H100" t="s">
        <v>89</v>
      </c>
      <c r="I100">
        <v>3</v>
      </c>
      <c r="J100" t="s">
        <v>51</v>
      </c>
      <c r="K100">
        <v>9824</v>
      </c>
      <c r="L100">
        <v>3</v>
      </c>
      <c r="M100" t="s">
        <v>41</v>
      </c>
      <c r="N100">
        <v>12</v>
      </c>
      <c r="O100">
        <v>3</v>
      </c>
      <c r="P100">
        <v>0</v>
      </c>
      <c r="Q100">
        <v>12</v>
      </c>
      <c r="R100">
        <v>2</v>
      </c>
      <c r="S100">
        <v>1</v>
      </c>
      <c r="T100">
        <v>0</v>
      </c>
      <c r="U100">
        <v>0</v>
      </c>
      <c r="V100" t="s">
        <v>37</v>
      </c>
      <c r="W100" s="2">
        <v>44169</v>
      </c>
      <c r="Y100" t="s">
        <v>39</v>
      </c>
      <c r="Z100" t="s">
        <v>47</v>
      </c>
      <c r="AA100">
        <v>4</v>
      </c>
      <c r="AB100">
        <v>0</v>
      </c>
      <c r="AC100" t="s">
        <v>31</v>
      </c>
      <c r="AD100" t="s">
        <v>65</v>
      </c>
      <c r="AE100" t="s">
        <v>60</v>
      </c>
      <c r="AF100" s="3">
        <v>131</v>
      </c>
      <c r="AG100" s="3">
        <v>37</v>
      </c>
      <c r="AH100">
        <v>80</v>
      </c>
      <c r="AI100">
        <v>10</v>
      </c>
      <c r="AJ100">
        <v>0</v>
      </c>
      <c r="AL100">
        <v>0</v>
      </c>
      <c r="AM100">
        <v>1</v>
      </c>
      <c r="AN100" t="s">
        <v>768</v>
      </c>
      <c r="AO100" t="s">
        <v>41</v>
      </c>
    </row>
    <row r="101" spans="1:41" x14ac:dyDescent="0.25">
      <c r="A101">
        <v>40</v>
      </c>
      <c r="B101" t="s">
        <v>81</v>
      </c>
      <c r="C101" t="s">
        <v>55</v>
      </c>
      <c r="D101">
        <v>28</v>
      </c>
      <c r="E101" t="s">
        <v>34</v>
      </c>
      <c r="F101">
        <v>1</v>
      </c>
      <c r="G101">
        <v>3</v>
      </c>
      <c r="H101" t="s">
        <v>70</v>
      </c>
      <c r="I101">
        <v>1</v>
      </c>
      <c r="J101" t="s">
        <v>57</v>
      </c>
      <c r="K101">
        <v>10932</v>
      </c>
      <c r="L101">
        <v>3</v>
      </c>
      <c r="M101" t="s">
        <v>41</v>
      </c>
      <c r="N101">
        <v>15</v>
      </c>
      <c r="O101">
        <v>3</v>
      </c>
      <c r="P101">
        <v>1</v>
      </c>
      <c r="Q101">
        <v>20</v>
      </c>
      <c r="R101">
        <v>2</v>
      </c>
      <c r="S101">
        <v>1</v>
      </c>
      <c r="T101">
        <v>0</v>
      </c>
      <c r="U101">
        <v>1</v>
      </c>
      <c r="V101" t="s">
        <v>58</v>
      </c>
      <c r="W101" s="1" t="s">
        <v>124</v>
      </c>
      <c r="Y101" t="s">
        <v>54</v>
      </c>
      <c r="Z101" t="s">
        <v>47</v>
      </c>
      <c r="AA101">
        <v>3</v>
      </c>
      <c r="AB101">
        <v>3</v>
      </c>
      <c r="AC101" t="s">
        <v>41</v>
      </c>
      <c r="AD101" t="s">
        <v>67</v>
      </c>
      <c r="AE101" t="s">
        <v>60</v>
      </c>
      <c r="AF101" s="3">
        <v>132</v>
      </c>
      <c r="AG101" s="3">
        <v>67</v>
      </c>
      <c r="AH101">
        <v>80</v>
      </c>
      <c r="AI101">
        <v>2</v>
      </c>
      <c r="AJ101">
        <v>0</v>
      </c>
      <c r="AL101">
        <v>0</v>
      </c>
      <c r="AM101">
        <v>1</v>
      </c>
      <c r="AN101" t="s">
        <v>768</v>
      </c>
      <c r="AO101" t="s">
        <v>41</v>
      </c>
    </row>
    <row r="102" spans="1:41" x14ac:dyDescent="0.25">
      <c r="A102">
        <v>26</v>
      </c>
      <c r="B102" t="s">
        <v>32</v>
      </c>
      <c r="C102" t="s">
        <v>33</v>
      </c>
      <c r="D102">
        <v>24</v>
      </c>
      <c r="E102" t="s">
        <v>34</v>
      </c>
      <c r="F102">
        <v>1</v>
      </c>
      <c r="G102">
        <v>1</v>
      </c>
      <c r="H102" t="s">
        <v>35</v>
      </c>
      <c r="I102">
        <v>4</v>
      </c>
      <c r="J102" t="s">
        <v>36</v>
      </c>
      <c r="K102">
        <v>2340</v>
      </c>
      <c r="L102">
        <v>1</v>
      </c>
      <c r="M102" t="s">
        <v>31</v>
      </c>
      <c r="N102">
        <v>18</v>
      </c>
      <c r="O102">
        <v>3</v>
      </c>
      <c r="P102">
        <v>0</v>
      </c>
      <c r="Q102">
        <v>1</v>
      </c>
      <c r="R102">
        <v>3</v>
      </c>
      <c r="S102">
        <v>1</v>
      </c>
      <c r="T102">
        <v>0</v>
      </c>
      <c r="U102">
        <v>0</v>
      </c>
      <c r="V102" t="s">
        <v>72</v>
      </c>
      <c r="W102" s="1" t="s">
        <v>125</v>
      </c>
      <c r="Y102" t="s">
        <v>39</v>
      </c>
      <c r="Z102" t="s">
        <v>47</v>
      </c>
      <c r="AA102">
        <v>2</v>
      </c>
      <c r="AB102">
        <v>2</v>
      </c>
      <c r="AC102" t="s">
        <v>41</v>
      </c>
      <c r="AD102" t="s">
        <v>65</v>
      </c>
      <c r="AE102" t="s">
        <v>43</v>
      </c>
      <c r="AF102" s="3">
        <v>133</v>
      </c>
      <c r="AG102" s="3">
        <v>63</v>
      </c>
      <c r="AH102">
        <v>80</v>
      </c>
      <c r="AI102">
        <v>2</v>
      </c>
      <c r="AJ102">
        <v>1</v>
      </c>
      <c r="AK102">
        <v>1</v>
      </c>
      <c r="AL102">
        <v>1</v>
      </c>
      <c r="AM102">
        <v>0</v>
      </c>
      <c r="AN102" t="s">
        <v>767</v>
      </c>
      <c r="AO102" t="s">
        <v>31</v>
      </c>
    </row>
    <row r="103" spans="1:41" x14ac:dyDescent="0.25">
      <c r="A103">
        <v>38</v>
      </c>
      <c r="B103" t="s">
        <v>32</v>
      </c>
      <c r="C103" t="s">
        <v>33</v>
      </c>
      <c r="D103">
        <v>10</v>
      </c>
      <c r="E103" t="s">
        <v>61</v>
      </c>
      <c r="F103">
        <v>3</v>
      </c>
      <c r="G103">
        <v>2</v>
      </c>
      <c r="H103" t="s">
        <v>89</v>
      </c>
      <c r="I103">
        <v>3</v>
      </c>
      <c r="J103" t="s">
        <v>51</v>
      </c>
      <c r="K103">
        <v>9824</v>
      </c>
      <c r="L103">
        <v>3</v>
      </c>
      <c r="M103" t="s">
        <v>41</v>
      </c>
      <c r="N103">
        <v>19</v>
      </c>
      <c r="O103">
        <v>3</v>
      </c>
      <c r="P103">
        <v>1</v>
      </c>
      <c r="Q103">
        <v>18</v>
      </c>
      <c r="R103">
        <v>4</v>
      </c>
      <c r="S103">
        <v>1</v>
      </c>
      <c r="T103">
        <v>0</v>
      </c>
      <c r="U103">
        <v>0</v>
      </c>
      <c r="V103" t="s">
        <v>72</v>
      </c>
      <c r="W103" s="2">
        <v>43924</v>
      </c>
      <c r="Y103" t="s">
        <v>39</v>
      </c>
      <c r="Z103" t="s">
        <v>47</v>
      </c>
      <c r="AA103">
        <v>0</v>
      </c>
      <c r="AB103">
        <v>3</v>
      </c>
      <c r="AC103" t="s">
        <v>41</v>
      </c>
      <c r="AD103" t="s">
        <v>67</v>
      </c>
      <c r="AE103" t="s">
        <v>43</v>
      </c>
      <c r="AF103" s="3">
        <v>134</v>
      </c>
      <c r="AG103" s="3">
        <v>71</v>
      </c>
      <c r="AH103">
        <v>80</v>
      </c>
      <c r="AI103">
        <v>0</v>
      </c>
      <c r="AJ103">
        <v>0</v>
      </c>
      <c r="AL103">
        <v>0</v>
      </c>
      <c r="AM103">
        <v>1</v>
      </c>
      <c r="AN103" t="s">
        <v>768</v>
      </c>
      <c r="AO103" t="s">
        <v>41</v>
      </c>
    </row>
    <row r="104" spans="1:41" x14ac:dyDescent="0.25">
      <c r="A104">
        <v>24</v>
      </c>
      <c r="B104" t="s">
        <v>32</v>
      </c>
      <c r="C104" t="s">
        <v>33</v>
      </c>
      <c r="D104">
        <v>17</v>
      </c>
      <c r="E104" t="s">
        <v>34</v>
      </c>
      <c r="F104">
        <v>2</v>
      </c>
      <c r="G104">
        <v>1</v>
      </c>
      <c r="H104" t="s">
        <v>35</v>
      </c>
      <c r="I104">
        <v>2</v>
      </c>
      <c r="J104" t="s">
        <v>51</v>
      </c>
      <c r="K104">
        <v>2127</v>
      </c>
      <c r="L104">
        <v>1</v>
      </c>
      <c r="M104" t="s">
        <v>41</v>
      </c>
      <c r="N104">
        <v>21</v>
      </c>
      <c r="O104">
        <v>4</v>
      </c>
      <c r="P104">
        <v>1</v>
      </c>
      <c r="Q104">
        <v>1</v>
      </c>
      <c r="R104">
        <v>2</v>
      </c>
      <c r="S104">
        <v>1</v>
      </c>
      <c r="T104">
        <v>0</v>
      </c>
      <c r="U104">
        <v>0</v>
      </c>
      <c r="V104" t="s">
        <v>58</v>
      </c>
      <c r="W104" s="1" t="s">
        <v>126</v>
      </c>
      <c r="Y104" t="s">
        <v>46</v>
      </c>
      <c r="Z104" t="s">
        <v>40</v>
      </c>
      <c r="AA104">
        <v>5</v>
      </c>
      <c r="AB104">
        <v>3</v>
      </c>
      <c r="AC104" t="s">
        <v>31</v>
      </c>
      <c r="AD104" t="s">
        <v>65</v>
      </c>
      <c r="AE104" t="s">
        <v>60</v>
      </c>
      <c r="AF104" s="3">
        <v>137</v>
      </c>
      <c r="AG104" s="3">
        <v>66</v>
      </c>
      <c r="AH104">
        <v>80</v>
      </c>
      <c r="AI104">
        <v>0</v>
      </c>
      <c r="AJ104">
        <v>1</v>
      </c>
      <c r="AK104">
        <v>1</v>
      </c>
      <c r="AL104">
        <v>1</v>
      </c>
      <c r="AM104">
        <v>0</v>
      </c>
      <c r="AN104" t="s">
        <v>767</v>
      </c>
      <c r="AO104" t="s">
        <v>31</v>
      </c>
    </row>
    <row r="105" spans="1:41" x14ac:dyDescent="0.25">
      <c r="A105">
        <v>30</v>
      </c>
      <c r="B105" t="s">
        <v>66</v>
      </c>
      <c r="C105" t="s">
        <v>55</v>
      </c>
      <c r="D105">
        <v>12</v>
      </c>
      <c r="E105" t="s">
        <v>34</v>
      </c>
      <c r="F105">
        <v>2</v>
      </c>
      <c r="G105">
        <v>1</v>
      </c>
      <c r="H105" t="s">
        <v>56</v>
      </c>
      <c r="I105">
        <v>1</v>
      </c>
      <c r="J105" t="s">
        <v>51</v>
      </c>
      <c r="K105">
        <v>2033</v>
      </c>
      <c r="L105">
        <v>1</v>
      </c>
      <c r="M105" t="s">
        <v>41</v>
      </c>
      <c r="N105">
        <v>18</v>
      </c>
      <c r="O105">
        <v>3</v>
      </c>
      <c r="P105">
        <v>1</v>
      </c>
      <c r="Q105">
        <v>1</v>
      </c>
      <c r="R105">
        <v>2</v>
      </c>
      <c r="S105">
        <v>1</v>
      </c>
      <c r="T105">
        <v>0</v>
      </c>
      <c r="U105">
        <v>0</v>
      </c>
      <c r="V105" t="s">
        <v>37</v>
      </c>
      <c r="W105" s="1" t="s">
        <v>121</v>
      </c>
      <c r="Y105" t="s">
        <v>39</v>
      </c>
      <c r="Z105" t="s">
        <v>47</v>
      </c>
      <c r="AA105">
        <v>4</v>
      </c>
      <c r="AB105">
        <v>3</v>
      </c>
      <c r="AC105" t="s">
        <v>31</v>
      </c>
      <c r="AD105" t="s">
        <v>42</v>
      </c>
      <c r="AE105" t="s">
        <v>43</v>
      </c>
      <c r="AF105" s="3">
        <v>138</v>
      </c>
      <c r="AG105" s="3">
        <v>41</v>
      </c>
      <c r="AH105">
        <v>80</v>
      </c>
      <c r="AI105">
        <v>13</v>
      </c>
      <c r="AJ105">
        <v>0</v>
      </c>
      <c r="AL105">
        <v>0</v>
      </c>
      <c r="AM105">
        <v>1</v>
      </c>
      <c r="AN105" t="s">
        <v>768</v>
      </c>
      <c r="AO105" t="s">
        <v>41</v>
      </c>
    </row>
    <row r="106" spans="1:41" x14ac:dyDescent="0.25">
      <c r="A106">
        <v>20</v>
      </c>
      <c r="B106" t="s">
        <v>32</v>
      </c>
      <c r="C106" t="s">
        <v>33</v>
      </c>
      <c r="D106">
        <v>1</v>
      </c>
      <c r="E106" t="s">
        <v>61</v>
      </c>
      <c r="F106">
        <v>2</v>
      </c>
      <c r="G106">
        <v>1</v>
      </c>
      <c r="H106" t="s">
        <v>44</v>
      </c>
      <c r="I106">
        <v>2</v>
      </c>
      <c r="J106" t="s">
        <v>36</v>
      </c>
      <c r="K106">
        <v>2836</v>
      </c>
      <c r="L106">
        <v>1</v>
      </c>
      <c r="M106" t="s">
        <v>41</v>
      </c>
      <c r="N106">
        <v>13</v>
      </c>
      <c r="O106">
        <v>3</v>
      </c>
      <c r="P106">
        <v>0</v>
      </c>
      <c r="Q106">
        <v>1</v>
      </c>
      <c r="R106">
        <v>0</v>
      </c>
      <c r="S106">
        <v>1</v>
      </c>
      <c r="T106">
        <v>0</v>
      </c>
      <c r="U106">
        <v>0</v>
      </c>
      <c r="V106" t="s">
        <v>72</v>
      </c>
      <c r="W106" s="2">
        <v>44048</v>
      </c>
      <c r="Y106" t="s">
        <v>39</v>
      </c>
      <c r="Z106" t="s">
        <v>47</v>
      </c>
      <c r="AA106">
        <v>0</v>
      </c>
      <c r="AB106">
        <v>2</v>
      </c>
      <c r="AC106" t="s">
        <v>41</v>
      </c>
      <c r="AD106" t="s">
        <v>65</v>
      </c>
      <c r="AE106" t="s">
        <v>49</v>
      </c>
      <c r="AF106" s="3">
        <v>139</v>
      </c>
      <c r="AG106" s="3">
        <v>100</v>
      </c>
      <c r="AH106">
        <v>80</v>
      </c>
      <c r="AI106">
        <v>0</v>
      </c>
      <c r="AJ106">
        <v>0</v>
      </c>
      <c r="AL106">
        <v>0</v>
      </c>
      <c r="AM106">
        <v>1</v>
      </c>
      <c r="AN106" t="s">
        <v>768</v>
      </c>
      <c r="AO106" t="s">
        <v>41</v>
      </c>
    </row>
    <row r="107" spans="1:41" x14ac:dyDescent="0.25">
      <c r="A107">
        <v>43</v>
      </c>
      <c r="B107" t="s">
        <v>32</v>
      </c>
      <c r="C107" t="s">
        <v>33</v>
      </c>
      <c r="D107">
        <v>6</v>
      </c>
      <c r="E107" t="s">
        <v>34</v>
      </c>
      <c r="F107">
        <v>2</v>
      </c>
      <c r="G107">
        <v>4</v>
      </c>
      <c r="H107" t="s">
        <v>50</v>
      </c>
      <c r="I107">
        <v>4</v>
      </c>
      <c r="J107" t="s">
        <v>57</v>
      </c>
      <c r="K107">
        <v>16627</v>
      </c>
      <c r="L107">
        <v>4</v>
      </c>
      <c r="M107" t="s">
        <v>31</v>
      </c>
      <c r="N107">
        <v>14</v>
      </c>
      <c r="O107">
        <v>3</v>
      </c>
      <c r="P107">
        <v>1</v>
      </c>
      <c r="Q107">
        <v>21</v>
      </c>
      <c r="R107">
        <v>3</v>
      </c>
      <c r="S107">
        <v>1</v>
      </c>
      <c r="T107">
        <v>0</v>
      </c>
      <c r="U107">
        <v>0</v>
      </c>
      <c r="V107" t="s">
        <v>72</v>
      </c>
      <c r="W107" s="1" t="s">
        <v>127</v>
      </c>
      <c r="Y107" t="s">
        <v>54</v>
      </c>
      <c r="Z107" t="s">
        <v>47</v>
      </c>
      <c r="AA107">
        <v>4</v>
      </c>
      <c r="AB107">
        <v>3</v>
      </c>
      <c r="AC107" t="s">
        <v>41</v>
      </c>
      <c r="AD107" t="s">
        <v>42</v>
      </c>
      <c r="AE107" t="s">
        <v>43</v>
      </c>
      <c r="AF107" s="3">
        <v>140</v>
      </c>
      <c r="AG107" s="3">
        <v>32</v>
      </c>
      <c r="AH107">
        <v>80</v>
      </c>
      <c r="AI107">
        <v>2</v>
      </c>
      <c r="AJ107">
        <v>0</v>
      </c>
      <c r="AL107">
        <v>0</v>
      </c>
      <c r="AM107">
        <v>1</v>
      </c>
      <c r="AN107" t="s">
        <v>768</v>
      </c>
      <c r="AO107" t="s">
        <v>41</v>
      </c>
    </row>
    <row r="108" spans="1:41" x14ac:dyDescent="0.25">
      <c r="A108">
        <v>30</v>
      </c>
      <c r="B108" t="s">
        <v>66</v>
      </c>
      <c r="C108" t="s">
        <v>33</v>
      </c>
      <c r="D108">
        <v>3</v>
      </c>
      <c r="E108" t="s">
        <v>61</v>
      </c>
      <c r="F108">
        <v>3</v>
      </c>
      <c r="G108">
        <v>1</v>
      </c>
      <c r="H108" t="s">
        <v>44</v>
      </c>
      <c r="I108">
        <v>3</v>
      </c>
      <c r="J108" t="s">
        <v>57</v>
      </c>
      <c r="K108">
        <v>2083</v>
      </c>
      <c r="L108">
        <v>1</v>
      </c>
      <c r="M108" t="s">
        <v>41</v>
      </c>
      <c r="N108">
        <v>20</v>
      </c>
      <c r="O108">
        <v>4</v>
      </c>
      <c r="P108">
        <v>1</v>
      </c>
      <c r="Q108">
        <v>1</v>
      </c>
      <c r="R108">
        <v>2</v>
      </c>
      <c r="S108">
        <v>1</v>
      </c>
      <c r="T108">
        <v>0</v>
      </c>
      <c r="U108">
        <v>0</v>
      </c>
      <c r="V108" t="s">
        <v>37</v>
      </c>
      <c r="W108" s="1" t="s">
        <v>128</v>
      </c>
      <c r="Y108" t="s">
        <v>69</v>
      </c>
      <c r="Z108" t="s">
        <v>47</v>
      </c>
      <c r="AA108">
        <v>4</v>
      </c>
      <c r="AB108">
        <v>0</v>
      </c>
      <c r="AC108" t="s">
        <v>31</v>
      </c>
      <c r="AD108" t="s">
        <v>67</v>
      </c>
      <c r="AE108" t="s">
        <v>60</v>
      </c>
      <c r="AF108" s="3">
        <v>141</v>
      </c>
      <c r="AG108" s="3">
        <v>73</v>
      </c>
      <c r="AH108">
        <v>80</v>
      </c>
      <c r="AI108">
        <v>3</v>
      </c>
      <c r="AJ108">
        <v>0</v>
      </c>
      <c r="AL108">
        <v>0</v>
      </c>
      <c r="AM108">
        <v>1</v>
      </c>
      <c r="AN108" t="s">
        <v>768</v>
      </c>
      <c r="AO108" t="s">
        <v>41</v>
      </c>
    </row>
    <row r="109" spans="1:41" x14ac:dyDescent="0.25">
      <c r="A109">
        <v>45</v>
      </c>
      <c r="B109" t="s">
        <v>66</v>
      </c>
      <c r="C109" t="s">
        <v>55</v>
      </c>
      <c r="D109">
        <v>26</v>
      </c>
      <c r="E109" t="s">
        <v>61</v>
      </c>
      <c r="F109">
        <v>3</v>
      </c>
      <c r="G109">
        <v>2</v>
      </c>
      <c r="H109" t="s">
        <v>70</v>
      </c>
      <c r="I109">
        <v>1</v>
      </c>
      <c r="J109" t="s">
        <v>51</v>
      </c>
      <c r="K109">
        <v>4286</v>
      </c>
      <c r="L109">
        <v>2</v>
      </c>
      <c r="M109" t="s">
        <v>41</v>
      </c>
      <c r="N109">
        <v>14</v>
      </c>
      <c r="O109">
        <v>3</v>
      </c>
      <c r="P109">
        <v>2</v>
      </c>
      <c r="Q109">
        <v>5</v>
      </c>
      <c r="R109">
        <v>4</v>
      </c>
      <c r="S109">
        <v>1</v>
      </c>
      <c r="T109">
        <v>0</v>
      </c>
      <c r="U109">
        <v>0</v>
      </c>
      <c r="V109" t="s">
        <v>52</v>
      </c>
      <c r="W109" s="1" t="s">
        <v>129</v>
      </c>
      <c r="Y109" t="s">
        <v>54</v>
      </c>
      <c r="Z109" t="s">
        <v>40</v>
      </c>
      <c r="AA109">
        <v>0</v>
      </c>
      <c r="AB109">
        <v>3</v>
      </c>
      <c r="AC109" t="s">
        <v>31</v>
      </c>
      <c r="AD109" t="s">
        <v>65</v>
      </c>
      <c r="AE109" t="s">
        <v>43</v>
      </c>
      <c r="AF109" s="3">
        <v>142</v>
      </c>
      <c r="AG109" s="3">
        <v>46</v>
      </c>
      <c r="AH109">
        <v>80</v>
      </c>
      <c r="AI109">
        <v>4</v>
      </c>
      <c r="AJ109">
        <v>1</v>
      </c>
      <c r="AK109">
        <v>1</v>
      </c>
      <c r="AL109">
        <v>1</v>
      </c>
      <c r="AM109">
        <v>0</v>
      </c>
      <c r="AN109" t="s">
        <v>767</v>
      </c>
      <c r="AO109" t="s">
        <v>31</v>
      </c>
    </row>
    <row r="110" spans="1:41" x14ac:dyDescent="0.25">
      <c r="A110">
        <v>20</v>
      </c>
      <c r="B110" t="s">
        <v>32</v>
      </c>
      <c r="C110" t="s">
        <v>33</v>
      </c>
      <c r="D110">
        <v>10</v>
      </c>
      <c r="E110" t="s">
        <v>34</v>
      </c>
      <c r="F110">
        <v>3</v>
      </c>
      <c r="G110">
        <v>1</v>
      </c>
      <c r="H110" t="s">
        <v>44</v>
      </c>
      <c r="I110">
        <v>3</v>
      </c>
      <c r="J110" t="s">
        <v>36</v>
      </c>
      <c r="K110">
        <v>1009</v>
      </c>
      <c r="L110">
        <v>1</v>
      </c>
      <c r="M110" t="s">
        <v>31</v>
      </c>
      <c r="N110">
        <v>11</v>
      </c>
      <c r="O110">
        <v>3</v>
      </c>
      <c r="P110">
        <v>0</v>
      </c>
      <c r="Q110">
        <v>1</v>
      </c>
      <c r="R110">
        <v>5</v>
      </c>
      <c r="S110">
        <v>1</v>
      </c>
      <c r="T110">
        <v>1</v>
      </c>
      <c r="U110">
        <v>1</v>
      </c>
      <c r="V110" t="s">
        <v>37</v>
      </c>
      <c r="W110" s="2">
        <v>44080</v>
      </c>
      <c r="Y110" t="s">
        <v>39</v>
      </c>
      <c r="Z110" t="s">
        <v>40</v>
      </c>
      <c r="AA110">
        <v>1</v>
      </c>
      <c r="AB110">
        <v>3</v>
      </c>
      <c r="AC110" t="s">
        <v>41</v>
      </c>
      <c r="AD110" t="s">
        <v>65</v>
      </c>
      <c r="AE110" t="s">
        <v>60</v>
      </c>
      <c r="AF110" s="3">
        <v>143</v>
      </c>
      <c r="AG110" s="3">
        <v>64</v>
      </c>
      <c r="AH110">
        <v>80</v>
      </c>
      <c r="AI110">
        <v>2</v>
      </c>
      <c r="AJ110">
        <v>0</v>
      </c>
      <c r="AL110">
        <v>0</v>
      </c>
      <c r="AM110">
        <v>1</v>
      </c>
      <c r="AN110" t="s">
        <v>768</v>
      </c>
      <c r="AO110" t="s">
        <v>41</v>
      </c>
    </row>
    <row r="111" spans="1:41" x14ac:dyDescent="0.25">
      <c r="A111">
        <v>35</v>
      </c>
      <c r="B111" t="s">
        <v>81</v>
      </c>
      <c r="C111" t="s">
        <v>33</v>
      </c>
      <c r="D111">
        <v>3</v>
      </c>
      <c r="E111" t="s">
        <v>34</v>
      </c>
      <c r="F111">
        <v>2</v>
      </c>
      <c r="G111">
        <v>1</v>
      </c>
      <c r="H111" t="s">
        <v>35</v>
      </c>
      <c r="I111">
        <v>3</v>
      </c>
      <c r="J111" t="s">
        <v>51</v>
      </c>
      <c r="K111">
        <v>1281</v>
      </c>
      <c r="L111">
        <v>1</v>
      </c>
      <c r="M111" t="s">
        <v>41</v>
      </c>
      <c r="N111">
        <v>18</v>
      </c>
      <c r="O111">
        <v>3</v>
      </c>
      <c r="P111">
        <v>2</v>
      </c>
      <c r="Q111">
        <v>1</v>
      </c>
      <c r="R111">
        <v>3</v>
      </c>
      <c r="S111">
        <v>1</v>
      </c>
      <c r="T111">
        <v>0</v>
      </c>
      <c r="U111">
        <v>0</v>
      </c>
      <c r="V111" t="s">
        <v>37</v>
      </c>
      <c r="W111" s="1" t="s">
        <v>130</v>
      </c>
      <c r="Y111" t="s">
        <v>39</v>
      </c>
      <c r="Z111" t="s">
        <v>47</v>
      </c>
      <c r="AA111">
        <v>0</v>
      </c>
      <c r="AB111">
        <v>1</v>
      </c>
      <c r="AC111" t="s">
        <v>31</v>
      </c>
      <c r="AD111" t="s">
        <v>42</v>
      </c>
      <c r="AE111" t="s">
        <v>60</v>
      </c>
      <c r="AF111" s="3">
        <v>144</v>
      </c>
      <c r="AG111" s="3">
        <v>59</v>
      </c>
      <c r="AH111">
        <v>80</v>
      </c>
      <c r="AI111">
        <v>0</v>
      </c>
      <c r="AJ111">
        <v>0</v>
      </c>
      <c r="AL111">
        <v>0</v>
      </c>
      <c r="AM111">
        <v>1</v>
      </c>
      <c r="AN111" t="s">
        <v>768</v>
      </c>
      <c r="AO111" t="s">
        <v>41</v>
      </c>
    </row>
    <row r="112" spans="1:41" x14ac:dyDescent="0.25">
      <c r="A112">
        <v>37</v>
      </c>
      <c r="B112" t="s">
        <v>32</v>
      </c>
      <c r="C112" t="s">
        <v>33</v>
      </c>
      <c r="D112">
        <v>10</v>
      </c>
      <c r="E112" t="s">
        <v>34</v>
      </c>
      <c r="F112">
        <v>4</v>
      </c>
      <c r="G112">
        <v>1</v>
      </c>
      <c r="H112" t="s">
        <v>44</v>
      </c>
      <c r="I112">
        <v>4</v>
      </c>
      <c r="J112" t="s">
        <v>36</v>
      </c>
      <c r="K112">
        <v>4680</v>
      </c>
      <c r="L112">
        <v>3</v>
      </c>
      <c r="M112" t="s">
        <v>41</v>
      </c>
      <c r="N112">
        <v>17</v>
      </c>
      <c r="O112">
        <v>3</v>
      </c>
      <c r="P112">
        <v>0</v>
      </c>
      <c r="Q112">
        <v>4</v>
      </c>
      <c r="R112">
        <v>2</v>
      </c>
      <c r="S112">
        <v>1</v>
      </c>
      <c r="T112">
        <v>0</v>
      </c>
      <c r="U112">
        <v>0</v>
      </c>
      <c r="V112" t="s">
        <v>37</v>
      </c>
      <c r="W112" s="2">
        <v>43925</v>
      </c>
      <c r="Y112" t="s">
        <v>46</v>
      </c>
      <c r="Z112" t="s">
        <v>47</v>
      </c>
      <c r="AA112">
        <v>5</v>
      </c>
      <c r="AB112">
        <v>3</v>
      </c>
      <c r="AC112" t="s">
        <v>31</v>
      </c>
      <c r="AD112" t="s">
        <v>48</v>
      </c>
      <c r="AE112" t="s">
        <v>60</v>
      </c>
      <c r="AF112" s="3">
        <v>145</v>
      </c>
      <c r="AG112" s="3">
        <v>30</v>
      </c>
      <c r="AH112">
        <v>80</v>
      </c>
      <c r="AI112">
        <v>12</v>
      </c>
      <c r="AJ112">
        <v>0</v>
      </c>
      <c r="AL112">
        <v>0</v>
      </c>
      <c r="AM112">
        <v>1</v>
      </c>
      <c r="AN112" t="s">
        <v>768</v>
      </c>
      <c r="AO112" t="s">
        <v>41</v>
      </c>
    </row>
    <row r="113" spans="1:41" x14ac:dyDescent="0.25">
      <c r="A113">
        <v>38</v>
      </c>
      <c r="B113" t="s">
        <v>32</v>
      </c>
      <c r="C113" t="s">
        <v>33</v>
      </c>
      <c r="D113">
        <v>1</v>
      </c>
      <c r="E113" t="s">
        <v>61</v>
      </c>
      <c r="F113">
        <v>3</v>
      </c>
      <c r="G113">
        <v>3</v>
      </c>
      <c r="H113" t="s">
        <v>78</v>
      </c>
      <c r="I113">
        <v>3</v>
      </c>
      <c r="J113" t="s">
        <v>36</v>
      </c>
      <c r="K113">
        <v>7861</v>
      </c>
      <c r="L113">
        <v>4</v>
      </c>
      <c r="M113" t="s">
        <v>31</v>
      </c>
      <c r="N113">
        <v>14</v>
      </c>
      <c r="O113">
        <v>3</v>
      </c>
      <c r="P113">
        <v>0</v>
      </c>
      <c r="Q113">
        <v>10</v>
      </c>
      <c r="R113">
        <v>4</v>
      </c>
      <c r="S113">
        <v>1</v>
      </c>
      <c r="T113">
        <v>0</v>
      </c>
      <c r="U113">
        <v>0</v>
      </c>
      <c r="V113" t="s">
        <v>52</v>
      </c>
      <c r="W113" s="2">
        <v>44171</v>
      </c>
      <c r="Y113" t="s">
        <v>63</v>
      </c>
      <c r="Z113" t="s">
        <v>40</v>
      </c>
      <c r="AA113">
        <v>4</v>
      </c>
      <c r="AB113">
        <v>2</v>
      </c>
      <c r="AC113" t="s">
        <v>41</v>
      </c>
      <c r="AD113" t="s">
        <v>42</v>
      </c>
      <c r="AE113" t="s">
        <v>43</v>
      </c>
      <c r="AF113" s="3">
        <v>147</v>
      </c>
      <c r="AG113" s="3">
        <v>66</v>
      </c>
      <c r="AH113">
        <v>80</v>
      </c>
      <c r="AI113">
        <v>7</v>
      </c>
      <c r="AJ113">
        <v>1</v>
      </c>
      <c r="AK113">
        <v>1</v>
      </c>
      <c r="AL113">
        <v>1</v>
      </c>
      <c r="AM113">
        <v>0</v>
      </c>
      <c r="AN113" t="s">
        <v>767</v>
      </c>
      <c r="AO113" t="s">
        <v>31</v>
      </c>
    </row>
    <row r="114" spans="1:41" x14ac:dyDescent="0.25">
      <c r="A114">
        <v>29</v>
      </c>
      <c r="B114" t="s">
        <v>32</v>
      </c>
      <c r="C114" t="s">
        <v>55</v>
      </c>
      <c r="D114">
        <v>10</v>
      </c>
      <c r="E114" t="s">
        <v>34</v>
      </c>
      <c r="F114">
        <v>3</v>
      </c>
      <c r="G114">
        <v>1</v>
      </c>
      <c r="H114" t="s">
        <v>56</v>
      </c>
      <c r="I114">
        <v>3</v>
      </c>
      <c r="J114" t="s">
        <v>36</v>
      </c>
      <c r="K114">
        <v>2642</v>
      </c>
      <c r="L114">
        <v>1</v>
      </c>
      <c r="M114" t="s">
        <v>41</v>
      </c>
      <c r="N114">
        <v>11</v>
      </c>
      <c r="O114">
        <v>3</v>
      </c>
      <c r="P114">
        <v>0</v>
      </c>
      <c r="Q114">
        <v>1</v>
      </c>
      <c r="R114">
        <v>6</v>
      </c>
      <c r="S114">
        <v>1</v>
      </c>
      <c r="T114">
        <v>0</v>
      </c>
      <c r="U114">
        <v>0</v>
      </c>
      <c r="V114" t="s">
        <v>72</v>
      </c>
      <c r="W114" s="1" t="s">
        <v>95</v>
      </c>
      <c r="Y114" t="s">
        <v>39</v>
      </c>
      <c r="Z114" t="s">
        <v>47</v>
      </c>
      <c r="AA114">
        <v>5</v>
      </c>
      <c r="AB114">
        <v>2</v>
      </c>
      <c r="AC114" t="s">
        <v>41</v>
      </c>
      <c r="AD114" t="s">
        <v>42</v>
      </c>
      <c r="AE114" t="s">
        <v>43</v>
      </c>
      <c r="AF114" s="3">
        <v>148</v>
      </c>
      <c r="AG114" s="3">
        <v>30</v>
      </c>
      <c r="AH114">
        <v>80</v>
      </c>
      <c r="AI114">
        <v>3</v>
      </c>
      <c r="AJ114">
        <v>0</v>
      </c>
      <c r="AL114">
        <v>0</v>
      </c>
      <c r="AM114">
        <v>1</v>
      </c>
      <c r="AN114" t="s">
        <v>768</v>
      </c>
      <c r="AO114" t="s">
        <v>41</v>
      </c>
    </row>
    <row r="115" spans="1:41" x14ac:dyDescent="0.25">
      <c r="A115">
        <v>35</v>
      </c>
      <c r="B115" t="s">
        <v>81</v>
      </c>
      <c r="C115" t="s">
        <v>33</v>
      </c>
      <c r="D115">
        <v>2</v>
      </c>
      <c r="E115" t="s">
        <v>61</v>
      </c>
      <c r="F115">
        <v>3</v>
      </c>
      <c r="G115">
        <v>2</v>
      </c>
      <c r="H115" t="s">
        <v>89</v>
      </c>
      <c r="I115">
        <v>1</v>
      </c>
      <c r="J115" t="s">
        <v>57</v>
      </c>
      <c r="K115">
        <v>5093</v>
      </c>
      <c r="L115">
        <v>2</v>
      </c>
      <c r="M115" t="s">
        <v>41</v>
      </c>
      <c r="N115">
        <v>11</v>
      </c>
      <c r="O115">
        <v>3</v>
      </c>
      <c r="P115">
        <v>1</v>
      </c>
      <c r="Q115">
        <v>16</v>
      </c>
      <c r="R115">
        <v>2</v>
      </c>
      <c r="S115">
        <v>1</v>
      </c>
      <c r="T115">
        <v>0</v>
      </c>
      <c r="U115">
        <v>0</v>
      </c>
      <c r="V115" t="s">
        <v>52</v>
      </c>
      <c r="W115" s="1" t="s">
        <v>131</v>
      </c>
      <c r="Y115" t="s">
        <v>46</v>
      </c>
      <c r="Z115" t="s">
        <v>47</v>
      </c>
      <c r="AA115">
        <v>0</v>
      </c>
      <c r="AB115">
        <v>0</v>
      </c>
      <c r="AC115" t="s">
        <v>41</v>
      </c>
      <c r="AD115" t="s">
        <v>67</v>
      </c>
      <c r="AE115" t="s">
        <v>49</v>
      </c>
      <c r="AF115" s="3">
        <v>150</v>
      </c>
      <c r="AG115" s="3">
        <v>52</v>
      </c>
      <c r="AH115">
        <v>80</v>
      </c>
      <c r="AI115">
        <v>3</v>
      </c>
      <c r="AJ115">
        <v>0</v>
      </c>
      <c r="AL115">
        <v>0</v>
      </c>
      <c r="AM115">
        <v>1</v>
      </c>
      <c r="AN115" t="s">
        <v>768</v>
      </c>
      <c r="AO115" t="s">
        <v>41</v>
      </c>
    </row>
    <row r="116" spans="1:41" x14ac:dyDescent="0.25">
      <c r="A116">
        <v>38</v>
      </c>
      <c r="B116" t="s">
        <v>32</v>
      </c>
      <c r="C116" t="s">
        <v>33</v>
      </c>
      <c r="D116">
        <v>2</v>
      </c>
      <c r="E116" t="s">
        <v>34</v>
      </c>
      <c r="F116">
        <v>3</v>
      </c>
      <c r="G116">
        <v>1</v>
      </c>
      <c r="H116" t="s">
        <v>44</v>
      </c>
      <c r="I116">
        <v>3</v>
      </c>
      <c r="J116" t="s">
        <v>51</v>
      </c>
      <c r="K116">
        <v>3057</v>
      </c>
      <c r="L116">
        <v>6</v>
      </c>
      <c r="M116" t="s">
        <v>31</v>
      </c>
      <c r="N116">
        <v>13</v>
      </c>
      <c r="O116">
        <v>3</v>
      </c>
      <c r="P116">
        <v>1</v>
      </c>
      <c r="Q116">
        <v>6</v>
      </c>
      <c r="R116">
        <v>0</v>
      </c>
      <c r="S116">
        <v>1</v>
      </c>
      <c r="T116">
        <v>0</v>
      </c>
      <c r="U116">
        <v>1</v>
      </c>
      <c r="V116" t="s">
        <v>52</v>
      </c>
      <c r="W116" s="2">
        <v>43925</v>
      </c>
      <c r="Y116" t="s">
        <v>63</v>
      </c>
      <c r="Z116" t="s">
        <v>40</v>
      </c>
      <c r="AA116">
        <v>1</v>
      </c>
      <c r="AB116">
        <v>0</v>
      </c>
      <c r="AC116" t="s">
        <v>41</v>
      </c>
      <c r="AD116" t="s">
        <v>67</v>
      </c>
      <c r="AE116" t="s">
        <v>60</v>
      </c>
      <c r="AF116" s="3">
        <v>151</v>
      </c>
      <c r="AG116" s="3">
        <v>45</v>
      </c>
      <c r="AH116">
        <v>80</v>
      </c>
      <c r="AI116">
        <v>0</v>
      </c>
      <c r="AJ116">
        <v>0</v>
      </c>
      <c r="AL116">
        <v>0</v>
      </c>
      <c r="AM116">
        <v>1</v>
      </c>
      <c r="AN116" t="s">
        <v>768</v>
      </c>
      <c r="AO116" t="s">
        <v>41</v>
      </c>
    </row>
    <row r="117" spans="1:41" x14ac:dyDescent="0.25">
      <c r="A117">
        <v>24</v>
      </c>
      <c r="B117" t="s">
        <v>81</v>
      </c>
      <c r="C117" t="s">
        <v>33</v>
      </c>
      <c r="D117">
        <v>9</v>
      </c>
      <c r="E117" t="s">
        <v>34</v>
      </c>
      <c r="F117">
        <v>2</v>
      </c>
      <c r="G117">
        <v>1</v>
      </c>
      <c r="H117" t="s">
        <v>35</v>
      </c>
      <c r="I117">
        <v>2</v>
      </c>
      <c r="J117" t="s">
        <v>57</v>
      </c>
      <c r="K117">
        <v>2694</v>
      </c>
      <c r="L117">
        <v>1</v>
      </c>
      <c r="M117" t="s">
        <v>41</v>
      </c>
      <c r="N117">
        <v>11</v>
      </c>
      <c r="O117">
        <v>3</v>
      </c>
      <c r="P117">
        <v>3</v>
      </c>
      <c r="Q117">
        <v>1</v>
      </c>
      <c r="R117">
        <v>4</v>
      </c>
      <c r="S117">
        <v>1</v>
      </c>
      <c r="T117">
        <v>0</v>
      </c>
      <c r="U117">
        <v>0</v>
      </c>
      <c r="V117" t="s">
        <v>37</v>
      </c>
      <c r="W117" s="2">
        <v>44110</v>
      </c>
      <c r="Y117" t="s">
        <v>69</v>
      </c>
      <c r="Z117" t="s">
        <v>40</v>
      </c>
      <c r="AA117">
        <v>3</v>
      </c>
      <c r="AB117">
        <v>2</v>
      </c>
      <c r="AC117" t="s">
        <v>41</v>
      </c>
      <c r="AD117" t="s">
        <v>42</v>
      </c>
      <c r="AE117" t="s">
        <v>49</v>
      </c>
      <c r="AF117" s="3">
        <v>152</v>
      </c>
      <c r="AG117" s="3">
        <v>87</v>
      </c>
      <c r="AH117">
        <v>80</v>
      </c>
      <c r="AI117">
        <v>3</v>
      </c>
      <c r="AJ117">
        <v>0</v>
      </c>
      <c r="AL117">
        <v>0</v>
      </c>
      <c r="AM117">
        <v>1</v>
      </c>
      <c r="AN117" t="s">
        <v>768</v>
      </c>
      <c r="AO117" t="s">
        <v>41</v>
      </c>
    </row>
    <row r="118" spans="1:41" x14ac:dyDescent="0.25">
      <c r="A118">
        <v>29</v>
      </c>
      <c r="B118" t="s">
        <v>32</v>
      </c>
      <c r="C118" t="s">
        <v>33</v>
      </c>
      <c r="D118">
        <v>1</v>
      </c>
      <c r="E118" t="s">
        <v>61</v>
      </c>
      <c r="F118">
        <v>2</v>
      </c>
      <c r="G118">
        <v>1</v>
      </c>
      <c r="H118" t="s">
        <v>35</v>
      </c>
      <c r="I118">
        <v>1</v>
      </c>
      <c r="J118" t="s">
        <v>51</v>
      </c>
      <c r="K118">
        <v>2319</v>
      </c>
      <c r="L118">
        <v>1</v>
      </c>
      <c r="M118" t="s">
        <v>31</v>
      </c>
      <c r="N118">
        <v>11</v>
      </c>
      <c r="O118">
        <v>3</v>
      </c>
      <c r="P118">
        <v>1</v>
      </c>
      <c r="Q118">
        <v>1</v>
      </c>
      <c r="R118">
        <v>1</v>
      </c>
      <c r="S118">
        <v>1</v>
      </c>
      <c r="T118">
        <v>0</v>
      </c>
      <c r="U118">
        <v>0</v>
      </c>
      <c r="V118" t="s">
        <v>52</v>
      </c>
      <c r="W118" s="1" t="s">
        <v>132</v>
      </c>
      <c r="Y118" t="s">
        <v>39</v>
      </c>
      <c r="Z118" t="s">
        <v>40</v>
      </c>
      <c r="AA118">
        <v>3</v>
      </c>
      <c r="AB118">
        <v>1</v>
      </c>
      <c r="AC118" t="s">
        <v>41</v>
      </c>
      <c r="AD118" t="s">
        <v>67</v>
      </c>
      <c r="AE118" t="s">
        <v>49</v>
      </c>
      <c r="AF118" s="3">
        <v>153</v>
      </c>
      <c r="AG118" s="3">
        <v>45</v>
      </c>
      <c r="AH118">
        <v>80</v>
      </c>
      <c r="AI118">
        <v>10</v>
      </c>
      <c r="AJ118">
        <v>0</v>
      </c>
      <c r="AL118">
        <v>0</v>
      </c>
      <c r="AM118">
        <v>1</v>
      </c>
      <c r="AN118" t="s">
        <v>768</v>
      </c>
      <c r="AO118" t="s">
        <v>41</v>
      </c>
    </row>
    <row r="119" spans="1:41" x14ac:dyDescent="0.25">
      <c r="A119">
        <v>40</v>
      </c>
      <c r="B119" t="s">
        <v>66</v>
      </c>
      <c r="C119" t="s">
        <v>33</v>
      </c>
      <c r="D119">
        <v>16</v>
      </c>
      <c r="E119" t="s">
        <v>34</v>
      </c>
      <c r="F119">
        <v>2</v>
      </c>
      <c r="G119">
        <v>2</v>
      </c>
      <c r="H119" t="s">
        <v>35</v>
      </c>
      <c r="I119">
        <v>3</v>
      </c>
      <c r="J119" t="s">
        <v>36</v>
      </c>
      <c r="K119">
        <v>5094</v>
      </c>
      <c r="L119">
        <v>6</v>
      </c>
      <c r="M119" t="s">
        <v>41</v>
      </c>
      <c r="N119">
        <v>14</v>
      </c>
      <c r="O119">
        <v>3</v>
      </c>
      <c r="P119">
        <v>0</v>
      </c>
      <c r="Q119">
        <v>10</v>
      </c>
      <c r="R119">
        <v>6</v>
      </c>
      <c r="S119">
        <v>1</v>
      </c>
      <c r="T119">
        <v>0</v>
      </c>
      <c r="U119">
        <v>0</v>
      </c>
      <c r="V119" t="s">
        <v>72</v>
      </c>
      <c r="W119" s="1" t="s">
        <v>133</v>
      </c>
      <c r="Y119" t="s">
        <v>54</v>
      </c>
      <c r="Z119" t="s">
        <v>40</v>
      </c>
      <c r="AA119">
        <v>2</v>
      </c>
      <c r="AB119">
        <v>2</v>
      </c>
      <c r="AC119" t="s">
        <v>31</v>
      </c>
      <c r="AD119" t="s">
        <v>48</v>
      </c>
      <c r="AE119" t="s">
        <v>49</v>
      </c>
      <c r="AF119" s="3">
        <v>154</v>
      </c>
      <c r="AG119" s="3">
        <v>92</v>
      </c>
      <c r="AH119">
        <v>80</v>
      </c>
      <c r="AI119">
        <v>7</v>
      </c>
      <c r="AJ119">
        <v>0</v>
      </c>
      <c r="AL119">
        <v>0</v>
      </c>
      <c r="AM119">
        <v>1</v>
      </c>
      <c r="AN119" t="s">
        <v>768</v>
      </c>
      <c r="AO119" t="s">
        <v>41</v>
      </c>
    </row>
    <row r="120" spans="1:41" x14ac:dyDescent="0.25">
      <c r="A120">
        <v>45</v>
      </c>
      <c r="B120" t="s">
        <v>32</v>
      </c>
      <c r="C120" t="s">
        <v>33</v>
      </c>
      <c r="D120">
        <v>2</v>
      </c>
      <c r="E120" t="s">
        <v>61</v>
      </c>
      <c r="F120">
        <v>2</v>
      </c>
      <c r="G120">
        <v>1</v>
      </c>
      <c r="H120" t="s">
        <v>44</v>
      </c>
      <c r="I120">
        <v>3</v>
      </c>
      <c r="J120" t="s">
        <v>36</v>
      </c>
      <c r="K120">
        <v>2274</v>
      </c>
      <c r="L120">
        <v>1</v>
      </c>
      <c r="M120" t="s">
        <v>41</v>
      </c>
      <c r="N120">
        <v>14</v>
      </c>
      <c r="O120">
        <v>3</v>
      </c>
      <c r="P120">
        <v>0</v>
      </c>
      <c r="Q120">
        <v>1</v>
      </c>
      <c r="R120">
        <v>3</v>
      </c>
      <c r="S120">
        <v>1</v>
      </c>
      <c r="T120">
        <v>0</v>
      </c>
      <c r="U120">
        <v>0</v>
      </c>
      <c r="V120" t="s">
        <v>52</v>
      </c>
      <c r="W120" s="2">
        <v>43927</v>
      </c>
      <c r="Y120" t="s">
        <v>54</v>
      </c>
      <c r="Z120" t="s">
        <v>40</v>
      </c>
      <c r="AA120">
        <v>4</v>
      </c>
      <c r="AB120">
        <v>3</v>
      </c>
      <c r="AC120" t="s">
        <v>31</v>
      </c>
      <c r="AD120" t="s">
        <v>67</v>
      </c>
      <c r="AE120" t="s">
        <v>43</v>
      </c>
      <c r="AF120" s="3">
        <v>155</v>
      </c>
      <c r="AG120" s="3">
        <v>39</v>
      </c>
      <c r="AH120">
        <v>80</v>
      </c>
      <c r="AI120">
        <v>0</v>
      </c>
      <c r="AJ120">
        <v>0</v>
      </c>
      <c r="AL120">
        <v>0</v>
      </c>
      <c r="AM120">
        <v>1</v>
      </c>
      <c r="AN120" t="s">
        <v>768</v>
      </c>
      <c r="AO120" t="s">
        <v>41</v>
      </c>
    </row>
    <row r="121" spans="1:41" x14ac:dyDescent="0.25">
      <c r="A121">
        <v>37</v>
      </c>
      <c r="B121" t="s">
        <v>32</v>
      </c>
      <c r="C121" t="s">
        <v>55</v>
      </c>
      <c r="D121">
        <v>16</v>
      </c>
      <c r="E121" t="s">
        <v>34</v>
      </c>
      <c r="F121">
        <v>2</v>
      </c>
      <c r="G121">
        <v>2</v>
      </c>
      <c r="H121" t="s">
        <v>70</v>
      </c>
      <c r="I121">
        <v>3</v>
      </c>
      <c r="J121" t="s">
        <v>57</v>
      </c>
      <c r="K121">
        <v>6334</v>
      </c>
      <c r="L121">
        <v>4</v>
      </c>
      <c r="M121" t="s">
        <v>41</v>
      </c>
      <c r="N121">
        <v>19</v>
      </c>
      <c r="O121">
        <v>3</v>
      </c>
      <c r="P121">
        <v>2</v>
      </c>
      <c r="Q121">
        <v>9</v>
      </c>
      <c r="R121">
        <v>2</v>
      </c>
      <c r="S121">
        <v>1</v>
      </c>
      <c r="T121">
        <v>0</v>
      </c>
      <c r="U121">
        <v>0</v>
      </c>
      <c r="V121" t="s">
        <v>72</v>
      </c>
      <c r="W121" s="2">
        <v>44044</v>
      </c>
      <c r="Y121" t="s">
        <v>46</v>
      </c>
      <c r="Z121" t="s">
        <v>40</v>
      </c>
      <c r="AA121">
        <v>0</v>
      </c>
      <c r="AB121">
        <v>0</v>
      </c>
      <c r="AC121" t="s">
        <v>41</v>
      </c>
      <c r="AD121" t="s">
        <v>67</v>
      </c>
      <c r="AE121" t="s">
        <v>49</v>
      </c>
      <c r="AF121" s="3">
        <v>158</v>
      </c>
      <c r="AG121" s="3">
        <v>92</v>
      </c>
      <c r="AH121">
        <v>80</v>
      </c>
      <c r="AI121">
        <v>12</v>
      </c>
      <c r="AJ121">
        <v>0</v>
      </c>
      <c r="AL121">
        <v>0</v>
      </c>
      <c r="AM121">
        <v>1</v>
      </c>
      <c r="AN121" t="s">
        <v>768</v>
      </c>
      <c r="AO121" t="s">
        <v>41</v>
      </c>
    </row>
    <row r="122" spans="1:41" x14ac:dyDescent="0.25">
      <c r="A122">
        <v>32</v>
      </c>
      <c r="B122" t="s">
        <v>32</v>
      </c>
      <c r="C122" t="s">
        <v>33</v>
      </c>
      <c r="D122">
        <v>25</v>
      </c>
      <c r="E122" t="s">
        <v>34</v>
      </c>
      <c r="F122">
        <v>3</v>
      </c>
      <c r="G122">
        <v>1</v>
      </c>
      <c r="H122" t="s">
        <v>35</v>
      </c>
      <c r="I122">
        <v>4</v>
      </c>
      <c r="J122" t="s">
        <v>36</v>
      </c>
      <c r="K122">
        <v>2795</v>
      </c>
      <c r="L122">
        <v>1</v>
      </c>
      <c r="M122" t="s">
        <v>31</v>
      </c>
      <c r="N122">
        <v>24</v>
      </c>
      <c r="O122">
        <v>4</v>
      </c>
      <c r="P122">
        <v>0</v>
      </c>
      <c r="Q122">
        <v>1</v>
      </c>
      <c r="R122">
        <v>2</v>
      </c>
      <c r="S122">
        <v>1</v>
      </c>
      <c r="T122">
        <v>0</v>
      </c>
      <c r="U122">
        <v>1</v>
      </c>
      <c r="V122" t="s">
        <v>72</v>
      </c>
      <c r="W122" s="1" t="s">
        <v>125</v>
      </c>
      <c r="Y122" t="s">
        <v>46</v>
      </c>
      <c r="Z122" t="s">
        <v>47</v>
      </c>
      <c r="AA122">
        <v>2</v>
      </c>
      <c r="AB122">
        <v>1</v>
      </c>
      <c r="AC122" t="s">
        <v>31</v>
      </c>
      <c r="AD122" t="s">
        <v>65</v>
      </c>
      <c r="AE122" t="s">
        <v>49</v>
      </c>
      <c r="AF122" s="3">
        <v>159</v>
      </c>
      <c r="AG122" s="3">
        <v>96</v>
      </c>
      <c r="AH122">
        <v>80</v>
      </c>
      <c r="AI122">
        <v>7</v>
      </c>
      <c r="AJ122">
        <v>0</v>
      </c>
      <c r="AL122">
        <v>0</v>
      </c>
      <c r="AM122">
        <v>1</v>
      </c>
      <c r="AN122" t="s">
        <v>768</v>
      </c>
      <c r="AO122" t="s">
        <v>41</v>
      </c>
    </row>
    <row r="123" spans="1:41" x14ac:dyDescent="0.25">
      <c r="A123">
        <v>58</v>
      </c>
      <c r="B123" t="s">
        <v>66</v>
      </c>
      <c r="C123" t="s">
        <v>33</v>
      </c>
      <c r="D123">
        <v>2</v>
      </c>
      <c r="E123" t="s">
        <v>34</v>
      </c>
      <c r="F123">
        <v>2</v>
      </c>
      <c r="G123">
        <v>1</v>
      </c>
      <c r="H123" t="s">
        <v>35</v>
      </c>
      <c r="I123">
        <v>4</v>
      </c>
      <c r="J123" t="s">
        <v>57</v>
      </c>
      <c r="K123">
        <v>2380</v>
      </c>
      <c r="L123">
        <v>9</v>
      </c>
      <c r="M123" t="s">
        <v>31</v>
      </c>
      <c r="N123">
        <v>14</v>
      </c>
      <c r="O123">
        <v>3</v>
      </c>
      <c r="P123">
        <v>1</v>
      </c>
      <c r="Q123">
        <v>3</v>
      </c>
      <c r="R123">
        <v>3</v>
      </c>
      <c r="S123">
        <v>1</v>
      </c>
      <c r="T123">
        <v>0</v>
      </c>
      <c r="U123">
        <v>0</v>
      </c>
      <c r="V123" t="s">
        <v>58</v>
      </c>
      <c r="W123" s="2">
        <v>44049</v>
      </c>
      <c r="Y123" t="s">
        <v>63</v>
      </c>
      <c r="Z123" t="s">
        <v>40</v>
      </c>
      <c r="AA123">
        <v>0</v>
      </c>
      <c r="AB123">
        <v>2</v>
      </c>
      <c r="AC123" t="s">
        <v>31</v>
      </c>
      <c r="AD123" t="s">
        <v>48</v>
      </c>
      <c r="AE123" t="s">
        <v>43</v>
      </c>
      <c r="AF123" s="3">
        <v>160</v>
      </c>
      <c r="AG123" s="3">
        <v>95</v>
      </c>
      <c r="AH123">
        <v>80</v>
      </c>
      <c r="AI123">
        <v>7</v>
      </c>
      <c r="AJ123">
        <v>0</v>
      </c>
      <c r="AL123">
        <v>0</v>
      </c>
      <c r="AM123">
        <v>1</v>
      </c>
      <c r="AN123" t="s">
        <v>768</v>
      </c>
      <c r="AO123" t="s">
        <v>41</v>
      </c>
    </row>
    <row r="124" spans="1:41" x14ac:dyDescent="0.25">
      <c r="A124">
        <v>43</v>
      </c>
      <c r="B124" t="s">
        <v>32</v>
      </c>
      <c r="C124" t="s">
        <v>33</v>
      </c>
      <c r="D124">
        <v>8</v>
      </c>
      <c r="E124" t="s">
        <v>61</v>
      </c>
      <c r="F124">
        <v>3</v>
      </c>
      <c r="G124">
        <v>2</v>
      </c>
      <c r="H124" t="s">
        <v>78</v>
      </c>
      <c r="I124">
        <v>2</v>
      </c>
      <c r="J124" t="s">
        <v>57</v>
      </c>
      <c r="K124">
        <v>4765</v>
      </c>
      <c r="L124">
        <v>4</v>
      </c>
      <c r="M124" t="s">
        <v>41</v>
      </c>
      <c r="N124">
        <v>21</v>
      </c>
      <c r="O124">
        <v>4</v>
      </c>
      <c r="P124">
        <v>1</v>
      </c>
      <c r="Q124">
        <v>4</v>
      </c>
      <c r="R124">
        <v>2</v>
      </c>
      <c r="S124">
        <v>1</v>
      </c>
      <c r="T124">
        <v>0</v>
      </c>
      <c r="U124">
        <v>0</v>
      </c>
      <c r="V124" t="s">
        <v>52</v>
      </c>
      <c r="W124" s="2">
        <v>43863</v>
      </c>
      <c r="Y124" t="s">
        <v>63</v>
      </c>
      <c r="Z124" t="s">
        <v>40</v>
      </c>
      <c r="AA124">
        <v>3</v>
      </c>
      <c r="AB124">
        <v>3</v>
      </c>
      <c r="AC124" t="s">
        <v>41</v>
      </c>
      <c r="AD124" t="s">
        <v>65</v>
      </c>
      <c r="AE124" t="s">
        <v>60</v>
      </c>
      <c r="AF124" s="3">
        <v>161</v>
      </c>
      <c r="AG124" s="3">
        <v>72</v>
      </c>
      <c r="AH124">
        <v>80</v>
      </c>
      <c r="AI124">
        <v>4</v>
      </c>
      <c r="AJ124">
        <v>1</v>
      </c>
      <c r="AK124">
        <v>1</v>
      </c>
      <c r="AL124">
        <v>1</v>
      </c>
      <c r="AM124">
        <v>0</v>
      </c>
      <c r="AN124" t="s">
        <v>767</v>
      </c>
      <c r="AO124" t="s">
        <v>31</v>
      </c>
    </row>
    <row r="125" spans="1:41" x14ac:dyDescent="0.25">
      <c r="A125">
        <v>21</v>
      </c>
      <c r="B125" t="s">
        <v>32</v>
      </c>
      <c r="C125" t="s">
        <v>33</v>
      </c>
      <c r="D125">
        <v>18</v>
      </c>
      <c r="E125" t="s">
        <v>61</v>
      </c>
      <c r="F125">
        <v>3</v>
      </c>
      <c r="G125">
        <v>1</v>
      </c>
      <c r="H125" t="s">
        <v>44</v>
      </c>
      <c r="I125">
        <v>4</v>
      </c>
      <c r="J125" t="s">
        <v>36</v>
      </c>
      <c r="K125">
        <v>2693</v>
      </c>
      <c r="L125">
        <v>1</v>
      </c>
      <c r="M125" t="s">
        <v>41</v>
      </c>
      <c r="N125">
        <v>19</v>
      </c>
      <c r="O125">
        <v>3</v>
      </c>
      <c r="P125">
        <v>0</v>
      </c>
      <c r="Q125">
        <v>1</v>
      </c>
      <c r="R125">
        <v>3</v>
      </c>
      <c r="S125">
        <v>1</v>
      </c>
      <c r="T125">
        <v>0</v>
      </c>
      <c r="U125">
        <v>0</v>
      </c>
      <c r="V125" t="s">
        <v>52</v>
      </c>
      <c r="W125" s="2">
        <v>44049</v>
      </c>
      <c r="Y125" t="s">
        <v>69</v>
      </c>
      <c r="Z125" t="s">
        <v>47</v>
      </c>
      <c r="AA125">
        <v>4</v>
      </c>
      <c r="AB125">
        <v>0</v>
      </c>
      <c r="AC125" t="s">
        <v>41</v>
      </c>
      <c r="AD125" t="s">
        <v>67</v>
      </c>
      <c r="AE125" t="s">
        <v>49</v>
      </c>
      <c r="AF125" s="3">
        <v>162</v>
      </c>
      <c r="AG125" s="3">
        <v>51</v>
      </c>
      <c r="AH125">
        <v>80</v>
      </c>
      <c r="AI125">
        <v>18</v>
      </c>
      <c r="AJ125">
        <v>0</v>
      </c>
      <c r="AL125">
        <v>0</v>
      </c>
      <c r="AM125">
        <v>1</v>
      </c>
      <c r="AN125" t="s">
        <v>768</v>
      </c>
      <c r="AO125" t="s">
        <v>41</v>
      </c>
    </row>
    <row r="126" spans="1:41" x14ac:dyDescent="0.25">
      <c r="A126">
        <v>27</v>
      </c>
      <c r="B126" t="s">
        <v>32</v>
      </c>
      <c r="C126" t="s">
        <v>33</v>
      </c>
      <c r="D126">
        <v>4</v>
      </c>
      <c r="E126" t="s">
        <v>61</v>
      </c>
      <c r="F126">
        <v>3</v>
      </c>
      <c r="G126">
        <v>1</v>
      </c>
      <c r="H126" t="s">
        <v>44</v>
      </c>
      <c r="I126">
        <v>3</v>
      </c>
      <c r="J126" t="s">
        <v>36</v>
      </c>
      <c r="K126">
        <v>2318</v>
      </c>
      <c r="L126">
        <v>1</v>
      </c>
      <c r="M126" t="s">
        <v>41</v>
      </c>
      <c r="N126">
        <v>19</v>
      </c>
      <c r="O126">
        <v>3</v>
      </c>
      <c r="P126">
        <v>0</v>
      </c>
      <c r="Q126">
        <v>1</v>
      </c>
      <c r="R126">
        <v>2</v>
      </c>
      <c r="S126">
        <v>1</v>
      </c>
      <c r="T126">
        <v>0</v>
      </c>
      <c r="U126">
        <v>0</v>
      </c>
      <c r="V126" t="s">
        <v>72</v>
      </c>
      <c r="W126" s="1" t="s">
        <v>116</v>
      </c>
      <c r="Y126" t="s">
        <v>63</v>
      </c>
      <c r="Z126" t="s">
        <v>40</v>
      </c>
      <c r="AA126">
        <v>4</v>
      </c>
      <c r="AB126">
        <v>3</v>
      </c>
      <c r="AC126" t="s">
        <v>31</v>
      </c>
      <c r="AD126" t="s">
        <v>65</v>
      </c>
      <c r="AE126" t="s">
        <v>60</v>
      </c>
      <c r="AF126" s="3">
        <v>163</v>
      </c>
      <c r="AG126" s="3">
        <v>76</v>
      </c>
      <c r="AH126">
        <v>80</v>
      </c>
      <c r="AI126">
        <v>7</v>
      </c>
      <c r="AJ126">
        <v>1</v>
      </c>
      <c r="AK126">
        <v>1</v>
      </c>
      <c r="AL126">
        <v>1</v>
      </c>
      <c r="AM126">
        <v>0</v>
      </c>
      <c r="AN126" t="s">
        <v>767</v>
      </c>
      <c r="AO126" t="s">
        <v>31</v>
      </c>
    </row>
    <row r="127" spans="1:41" x14ac:dyDescent="0.25">
      <c r="A127">
        <v>34</v>
      </c>
      <c r="B127" t="s">
        <v>32</v>
      </c>
      <c r="C127" t="s">
        <v>33</v>
      </c>
      <c r="D127">
        <v>10</v>
      </c>
      <c r="E127" t="s">
        <v>34</v>
      </c>
      <c r="F127">
        <v>3</v>
      </c>
      <c r="G127">
        <v>1</v>
      </c>
      <c r="H127" t="s">
        <v>35</v>
      </c>
      <c r="I127">
        <v>2</v>
      </c>
      <c r="J127" t="s">
        <v>57</v>
      </c>
      <c r="K127">
        <v>2008</v>
      </c>
      <c r="L127">
        <v>1</v>
      </c>
      <c r="M127" t="s">
        <v>41</v>
      </c>
      <c r="N127">
        <v>14</v>
      </c>
      <c r="O127">
        <v>3</v>
      </c>
      <c r="P127">
        <v>2</v>
      </c>
      <c r="Q127">
        <v>1</v>
      </c>
      <c r="R127">
        <v>3</v>
      </c>
      <c r="S127">
        <v>1</v>
      </c>
      <c r="T127">
        <v>1</v>
      </c>
      <c r="U127">
        <v>0</v>
      </c>
      <c r="V127" t="s">
        <v>72</v>
      </c>
      <c r="W127" s="1" t="s">
        <v>124</v>
      </c>
      <c r="Y127" t="s">
        <v>54</v>
      </c>
      <c r="Z127" t="s">
        <v>47</v>
      </c>
      <c r="AA127">
        <v>4</v>
      </c>
      <c r="AB127">
        <v>1</v>
      </c>
      <c r="AC127" t="s">
        <v>41</v>
      </c>
      <c r="AD127" t="s">
        <v>67</v>
      </c>
      <c r="AE127" t="s">
        <v>60</v>
      </c>
      <c r="AF127" s="3">
        <v>164</v>
      </c>
      <c r="AG127" s="3">
        <v>46</v>
      </c>
      <c r="AH127">
        <v>80</v>
      </c>
      <c r="AI127">
        <v>4</v>
      </c>
      <c r="AJ127">
        <v>0</v>
      </c>
      <c r="AL127">
        <v>0</v>
      </c>
      <c r="AM127">
        <v>1</v>
      </c>
      <c r="AN127" t="s">
        <v>768</v>
      </c>
      <c r="AO127" t="s">
        <v>41</v>
      </c>
    </row>
    <row r="128" spans="1:41" x14ac:dyDescent="0.25">
      <c r="A128">
        <v>25</v>
      </c>
      <c r="B128" t="s">
        <v>32</v>
      </c>
      <c r="C128" t="s">
        <v>55</v>
      </c>
      <c r="D128">
        <v>19</v>
      </c>
      <c r="E128" t="s">
        <v>34</v>
      </c>
      <c r="F128">
        <v>2</v>
      </c>
      <c r="G128">
        <v>1</v>
      </c>
      <c r="H128" t="s">
        <v>56</v>
      </c>
      <c r="I128">
        <v>2</v>
      </c>
      <c r="J128" t="s">
        <v>51</v>
      </c>
      <c r="K128">
        <v>2413</v>
      </c>
      <c r="L128">
        <v>1</v>
      </c>
      <c r="M128" t="s">
        <v>31</v>
      </c>
      <c r="N128">
        <v>18</v>
      </c>
      <c r="O128">
        <v>3</v>
      </c>
      <c r="P128">
        <v>3</v>
      </c>
      <c r="Q128">
        <v>1</v>
      </c>
      <c r="R128">
        <v>2</v>
      </c>
      <c r="S128">
        <v>1</v>
      </c>
      <c r="T128">
        <v>0</v>
      </c>
      <c r="U128">
        <v>0</v>
      </c>
      <c r="V128" t="s">
        <v>52</v>
      </c>
      <c r="W128" s="1" t="s">
        <v>134</v>
      </c>
      <c r="Y128" t="s">
        <v>46</v>
      </c>
      <c r="Z128" t="s">
        <v>47</v>
      </c>
      <c r="AA128">
        <v>5</v>
      </c>
      <c r="AB128">
        <v>3</v>
      </c>
      <c r="AC128" t="s">
        <v>31</v>
      </c>
      <c r="AD128" t="s">
        <v>67</v>
      </c>
      <c r="AE128" t="s">
        <v>60</v>
      </c>
      <c r="AF128" s="3">
        <v>165</v>
      </c>
      <c r="AG128" s="3">
        <v>94</v>
      </c>
      <c r="AH128">
        <v>80</v>
      </c>
      <c r="AI128">
        <v>10</v>
      </c>
      <c r="AJ128">
        <v>1</v>
      </c>
      <c r="AK128">
        <v>1</v>
      </c>
      <c r="AL128">
        <v>1</v>
      </c>
      <c r="AM128">
        <v>0</v>
      </c>
      <c r="AN128" t="s">
        <v>767</v>
      </c>
      <c r="AO128" t="s">
        <v>31</v>
      </c>
    </row>
    <row r="129" spans="1:41" x14ac:dyDescent="0.25">
      <c r="A129">
        <v>40</v>
      </c>
      <c r="B129" t="s">
        <v>32</v>
      </c>
      <c r="C129" t="s">
        <v>55</v>
      </c>
      <c r="D129">
        <v>10</v>
      </c>
      <c r="E129" t="s">
        <v>34</v>
      </c>
      <c r="F129">
        <v>2</v>
      </c>
      <c r="G129">
        <v>3</v>
      </c>
      <c r="H129" t="s">
        <v>70</v>
      </c>
      <c r="I129">
        <v>2</v>
      </c>
      <c r="J129" t="s">
        <v>57</v>
      </c>
      <c r="K129">
        <v>9705</v>
      </c>
      <c r="L129">
        <v>2</v>
      </c>
      <c r="M129" t="s">
        <v>41</v>
      </c>
      <c r="N129">
        <v>12</v>
      </c>
      <c r="O129">
        <v>3</v>
      </c>
      <c r="P129">
        <v>1</v>
      </c>
      <c r="Q129">
        <v>11</v>
      </c>
      <c r="R129">
        <v>2</v>
      </c>
      <c r="S129">
        <v>1</v>
      </c>
      <c r="T129">
        <v>0</v>
      </c>
      <c r="U129">
        <v>0</v>
      </c>
      <c r="V129" t="s">
        <v>52</v>
      </c>
      <c r="W129" s="2">
        <v>44077</v>
      </c>
      <c r="Y129" t="s">
        <v>54</v>
      </c>
      <c r="Z129" t="s">
        <v>40</v>
      </c>
      <c r="AA129">
        <v>4</v>
      </c>
      <c r="AB129">
        <v>2</v>
      </c>
      <c r="AC129" t="s">
        <v>41</v>
      </c>
      <c r="AD129" t="s">
        <v>42</v>
      </c>
      <c r="AE129" t="s">
        <v>60</v>
      </c>
      <c r="AF129" s="3">
        <v>167</v>
      </c>
      <c r="AG129" s="3">
        <v>50</v>
      </c>
      <c r="AH129">
        <v>80</v>
      </c>
      <c r="AI129">
        <v>0</v>
      </c>
      <c r="AJ129">
        <v>1</v>
      </c>
      <c r="AK129">
        <v>1</v>
      </c>
      <c r="AL129">
        <v>1</v>
      </c>
      <c r="AM129">
        <v>0</v>
      </c>
      <c r="AN129" t="s">
        <v>767</v>
      </c>
      <c r="AO129" t="s">
        <v>31</v>
      </c>
    </row>
    <row r="130" spans="1:41" x14ac:dyDescent="0.25">
      <c r="A130">
        <v>19</v>
      </c>
      <c r="B130" t="s">
        <v>32</v>
      </c>
      <c r="C130" t="s">
        <v>55</v>
      </c>
      <c r="D130">
        <v>21</v>
      </c>
      <c r="E130" t="s">
        <v>34</v>
      </c>
      <c r="F130">
        <v>2</v>
      </c>
      <c r="G130">
        <v>1</v>
      </c>
      <c r="H130" t="s">
        <v>56</v>
      </c>
      <c r="I130">
        <v>2</v>
      </c>
      <c r="J130" t="s">
        <v>36</v>
      </c>
      <c r="K130">
        <v>2121</v>
      </c>
      <c r="L130">
        <v>1</v>
      </c>
      <c r="M130" t="s">
        <v>31</v>
      </c>
      <c r="N130">
        <v>13</v>
      </c>
      <c r="O130">
        <v>3</v>
      </c>
      <c r="P130">
        <v>0</v>
      </c>
      <c r="Q130">
        <v>1</v>
      </c>
      <c r="R130">
        <v>3</v>
      </c>
      <c r="S130">
        <v>1</v>
      </c>
      <c r="T130">
        <v>0</v>
      </c>
      <c r="U130">
        <v>0</v>
      </c>
      <c r="V130" t="s">
        <v>58</v>
      </c>
      <c r="W130" s="2">
        <v>44015</v>
      </c>
      <c r="Y130" t="s">
        <v>69</v>
      </c>
      <c r="Z130" t="s">
        <v>40</v>
      </c>
      <c r="AA130">
        <v>2</v>
      </c>
      <c r="AB130">
        <v>0</v>
      </c>
      <c r="AC130" t="s">
        <v>41</v>
      </c>
      <c r="AD130" t="s">
        <v>48</v>
      </c>
      <c r="AE130" t="s">
        <v>43</v>
      </c>
      <c r="AF130" s="3">
        <v>169</v>
      </c>
      <c r="AG130" s="3">
        <v>100</v>
      </c>
      <c r="AH130">
        <v>80</v>
      </c>
      <c r="AI130">
        <v>1</v>
      </c>
      <c r="AJ130">
        <v>0</v>
      </c>
      <c r="AL130">
        <v>0</v>
      </c>
      <c r="AM130">
        <v>1</v>
      </c>
      <c r="AN130" t="s">
        <v>768</v>
      </c>
      <c r="AO130" t="s">
        <v>41</v>
      </c>
    </row>
    <row r="131" spans="1:41" x14ac:dyDescent="0.25">
      <c r="A131">
        <v>20</v>
      </c>
      <c r="B131" t="s">
        <v>32</v>
      </c>
      <c r="C131" t="s">
        <v>33</v>
      </c>
      <c r="D131">
        <v>4</v>
      </c>
      <c r="E131" t="s">
        <v>34</v>
      </c>
      <c r="F131">
        <v>3</v>
      </c>
      <c r="G131">
        <v>1</v>
      </c>
      <c r="H131" t="s">
        <v>35</v>
      </c>
      <c r="I131">
        <v>1</v>
      </c>
      <c r="J131" t="s">
        <v>36</v>
      </c>
      <c r="K131">
        <v>2973</v>
      </c>
      <c r="L131">
        <v>1</v>
      </c>
      <c r="M131" t="s">
        <v>41</v>
      </c>
      <c r="N131">
        <v>19</v>
      </c>
      <c r="O131">
        <v>3</v>
      </c>
      <c r="P131">
        <v>0</v>
      </c>
      <c r="Q131">
        <v>1</v>
      </c>
      <c r="R131">
        <v>2</v>
      </c>
      <c r="S131">
        <v>1</v>
      </c>
      <c r="T131">
        <v>0</v>
      </c>
      <c r="U131">
        <v>0</v>
      </c>
      <c r="V131" t="s">
        <v>37</v>
      </c>
      <c r="W131" s="1" t="s">
        <v>103</v>
      </c>
      <c r="Y131" t="s">
        <v>39</v>
      </c>
      <c r="Z131" t="s">
        <v>40</v>
      </c>
      <c r="AA131">
        <v>0</v>
      </c>
      <c r="AB131">
        <v>1</v>
      </c>
      <c r="AC131" t="s">
        <v>31</v>
      </c>
      <c r="AD131" t="s">
        <v>42</v>
      </c>
      <c r="AE131" t="s">
        <v>43</v>
      </c>
      <c r="AF131" s="3">
        <v>170</v>
      </c>
      <c r="AG131" s="3">
        <v>96</v>
      </c>
      <c r="AH131">
        <v>80</v>
      </c>
      <c r="AI131">
        <v>11</v>
      </c>
      <c r="AJ131">
        <v>0</v>
      </c>
      <c r="AL131">
        <v>0</v>
      </c>
      <c r="AM131">
        <v>1</v>
      </c>
      <c r="AN131" t="s">
        <v>768</v>
      </c>
      <c r="AO131" t="s">
        <v>41</v>
      </c>
    </row>
    <row r="132" spans="1:41" x14ac:dyDescent="0.25">
      <c r="A132">
        <v>40</v>
      </c>
      <c r="B132" t="s">
        <v>66</v>
      </c>
      <c r="C132" t="s">
        <v>33</v>
      </c>
      <c r="D132">
        <v>9</v>
      </c>
      <c r="E132" t="s">
        <v>34</v>
      </c>
      <c r="F132">
        <v>3</v>
      </c>
      <c r="G132">
        <v>1</v>
      </c>
      <c r="H132" t="s">
        <v>44</v>
      </c>
      <c r="I132">
        <v>2</v>
      </c>
      <c r="J132" t="s">
        <v>57</v>
      </c>
      <c r="K132">
        <v>3617</v>
      </c>
      <c r="L132">
        <v>8</v>
      </c>
      <c r="M132" t="s">
        <v>31</v>
      </c>
      <c r="N132">
        <v>14</v>
      </c>
      <c r="O132">
        <v>3</v>
      </c>
      <c r="P132">
        <v>1</v>
      </c>
      <c r="Q132">
        <v>3</v>
      </c>
      <c r="R132">
        <v>2</v>
      </c>
      <c r="S132">
        <v>1</v>
      </c>
      <c r="T132">
        <v>0</v>
      </c>
      <c r="U132">
        <v>0</v>
      </c>
      <c r="V132" t="s">
        <v>37</v>
      </c>
      <c r="W132" s="2">
        <v>44015</v>
      </c>
      <c r="Y132" t="s">
        <v>69</v>
      </c>
      <c r="Z132" t="s">
        <v>47</v>
      </c>
      <c r="AA132">
        <v>2</v>
      </c>
      <c r="AB132">
        <v>0</v>
      </c>
      <c r="AC132" t="s">
        <v>41</v>
      </c>
      <c r="AD132" t="s">
        <v>48</v>
      </c>
      <c r="AE132" t="s">
        <v>43</v>
      </c>
      <c r="AF132" s="3">
        <v>171</v>
      </c>
      <c r="AG132" s="3">
        <v>72</v>
      </c>
      <c r="AH132">
        <v>80</v>
      </c>
      <c r="AI132">
        <v>2</v>
      </c>
      <c r="AJ132">
        <v>0</v>
      </c>
      <c r="AL132">
        <v>0</v>
      </c>
      <c r="AM132">
        <v>1</v>
      </c>
      <c r="AN132" t="s">
        <v>768</v>
      </c>
      <c r="AO132" t="s">
        <v>41</v>
      </c>
    </row>
    <row r="133" spans="1:41" x14ac:dyDescent="0.25">
      <c r="A133">
        <v>58</v>
      </c>
      <c r="B133" t="s">
        <v>32</v>
      </c>
      <c r="C133" t="s">
        <v>33</v>
      </c>
      <c r="D133">
        <v>2</v>
      </c>
      <c r="E133" t="s">
        <v>34</v>
      </c>
      <c r="F133">
        <v>3</v>
      </c>
      <c r="G133">
        <v>1</v>
      </c>
      <c r="H133" t="s">
        <v>44</v>
      </c>
      <c r="I133">
        <v>3</v>
      </c>
      <c r="J133" t="s">
        <v>36</v>
      </c>
      <c r="K133">
        <v>2479</v>
      </c>
      <c r="L133">
        <v>4</v>
      </c>
      <c r="M133" t="s">
        <v>41</v>
      </c>
      <c r="N133">
        <v>24</v>
      </c>
      <c r="O133">
        <v>4</v>
      </c>
      <c r="P133">
        <v>0</v>
      </c>
      <c r="Q133">
        <v>7</v>
      </c>
      <c r="R133">
        <v>4</v>
      </c>
      <c r="S133">
        <v>1</v>
      </c>
      <c r="T133">
        <v>0</v>
      </c>
      <c r="U133">
        <v>0</v>
      </c>
      <c r="V133" t="s">
        <v>37</v>
      </c>
      <c r="W133" s="2">
        <v>43895</v>
      </c>
      <c r="Y133" t="s">
        <v>46</v>
      </c>
      <c r="Z133" t="s">
        <v>47</v>
      </c>
      <c r="AA133">
        <v>4</v>
      </c>
      <c r="AB133">
        <v>2</v>
      </c>
      <c r="AC133" t="s">
        <v>31</v>
      </c>
      <c r="AD133" t="s">
        <v>67</v>
      </c>
      <c r="AE133" t="s">
        <v>43</v>
      </c>
      <c r="AF133" s="3">
        <v>174</v>
      </c>
      <c r="AG133" s="3">
        <v>77</v>
      </c>
      <c r="AH133">
        <v>80</v>
      </c>
      <c r="AI133">
        <v>2</v>
      </c>
      <c r="AJ133">
        <v>0</v>
      </c>
      <c r="AL133">
        <v>0</v>
      </c>
      <c r="AM133">
        <v>1</v>
      </c>
      <c r="AN133" t="s">
        <v>768</v>
      </c>
      <c r="AO133" t="s">
        <v>41</v>
      </c>
    </row>
    <row r="134" spans="1:41" x14ac:dyDescent="0.25">
      <c r="A134">
        <v>40</v>
      </c>
      <c r="B134" t="s">
        <v>81</v>
      </c>
      <c r="C134" t="s">
        <v>55</v>
      </c>
      <c r="D134">
        <v>24</v>
      </c>
      <c r="E134" t="s">
        <v>61</v>
      </c>
      <c r="F134">
        <v>4</v>
      </c>
      <c r="G134">
        <v>4</v>
      </c>
      <c r="H134" t="s">
        <v>70</v>
      </c>
      <c r="I134">
        <v>2</v>
      </c>
      <c r="J134" t="s">
        <v>36</v>
      </c>
      <c r="K134">
        <v>13194</v>
      </c>
      <c r="L134">
        <v>4</v>
      </c>
      <c r="M134" t="s">
        <v>31</v>
      </c>
      <c r="N134">
        <v>16</v>
      </c>
      <c r="O134">
        <v>3</v>
      </c>
      <c r="P134">
        <v>0</v>
      </c>
      <c r="Q134">
        <v>22</v>
      </c>
      <c r="R134">
        <v>2</v>
      </c>
      <c r="S134">
        <v>1</v>
      </c>
      <c r="T134">
        <v>0</v>
      </c>
      <c r="U134">
        <v>0</v>
      </c>
      <c r="V134" t="s">
        <v>37</v>
      </c>
      <c r="W134" s="1" t="s">
        <v>135</v>
      </c>
      <c r="Y134" t="s">
        <v>54</v>
      </c>
      <c r="Z134" t="s">
        <v>40</v>
      </c>
      <c r="AA134">
        <v>4</v>
      </c>
      <c r="AB134">
        <v>3</v>
      </c>
      <c r="AC134" t="s">
        <v>31</v>
      </c>
      <c r="AD134" t="s">
        <v>48</v>
      </c>
      <c r="AE134" t="s">
        <v>60</v>
      </c>
      <c r="AF134" s="3">
        <v>175</v>
      </c>
      <c r="AG134" s="3">
        <v>71</v>
      </c>
      <c r="AH134">
        <v>80</v>
      </c>
      <c r="AI134">
        <v>2</v>
      </c>
      <c r="AJ134">
        <v>1</v>
      </c>
      <c r="AK134">
        <v>1</v>
      </c>
      <c r="AL134">
        <v>1</v>
      </c>
      <c r="AM134">
        <v>0</v>
      </c>
      <c r="AN134" t="s">
        <v>767</v>
      </c>
      <c r="AO134" t="s">
        <v>31</v>
      </c>
    </row>
    <row r="135" spans="1:41" x14ac:dyDescent="0.25">
      <c r="A135">
        <v>20</v>
      </c>
      <c r="B135" t="s">
        <v>32</v>
      </c>
      <c r="C135" t="s">
        <v>33</v>
      </c>
      <c r="D135">
        <v>11</v>
      </c>
      <c r="E135" t="s">
        <v>61</v>
      </c>
      <c r="F135">
        <v>2</v>
      </c>
      <c r="G135">
        <v>1</v>
      </c>
      <c r="H135" t="s">
        <v>44</v>
      </c>
      <c r="I135">
        <v>1</v>
      </c>
      <c r="J135" t="s">
        <v>36</v>
      </c>
      <c r="K135">
        <v>2600</v>
      </c>
      <c r="L135">
        <v>1</v>
      </c>
      <c r="M135" t="s">
        <v>31</v>
      </c>
      <c r="N135">
        <v>15</v>
      </c>
      <c r="O135">
        <v>3</v>
      </c>
      <c r="P135">
        <v>0</v>
      </c>
      <c r="Q135">
        <v>1</v>
      </c>
      <c r="R135">
        <v>2</v>
      </c>
      <c r="S135">
        <v>1</v>
      </c>
      <c r="T135">
        <v>0</v>
      </c>
      <c r="U135">
        <v>0</v>
      </c>
      <c r="V135" t="s">
        <v>37</v>
      </c>
      <c r="W135" s="1" t="s">
        <v>121</v>
      </c>
      <c r="Y135" t="s">
        <v>63</v>
      </c>
      <c r="Z135" t="s">
        <v>40</v>
      </c>
      <c r="AA135">
        <v>0</v>
      </c>
      <c r="AB135">
        <v>2</v>
      </c>
      <c r="AC135" t="s">
        <v>31</v>
      </c>
      <c r="AD135" t="s">
        <v>65</v>
      </c>
      <c r="AE135" t="s">
        <v>60</v>
      </c>
      <c r="AF135" s="3">
        <v>176</v>
      </c>
      <c r="AG135" s="3">
        <v>96</v>
      </c>
      <c r="AH135">
        <v>80</v>
      </c>
      <c r="AI135">
        <v>7</v>
      </c>
      <c r="AJ135">
        <v>0</v>
      </c>
      <c r="AL135">
        <v>0</v>
      </c>
      <c r="AM135">
        <v>1</v>
      </c>
      <c r="AN135" t="s">
        <v>768</v>
      </c>
      <c r="AO135" t="s">
        <v>41</v>
      </c>
    </row>
    <row r="136" spans="1:41" x14ac:dyDescent="0.25">
      <c r="A136">
        <v>42</v>
      </c>
      <c r="B136" t="s">
        <v>32</v>
      </c>
      <c r="C136" t="s">
        <v>55</v>
      </c>
      <c r="D136">
        <v>5</v>
      </c>
      <c r="E136" t="s">
        <v>34</v>
      </c>
      <c r="F136">
        <v>3</v>
      </c>
      <c r="G136">
        <v>5</v>
      </c>
      <c r="H136" t="s">
        <v>75</v>
      </c>
      <c r="I136">
        <v>3</v>
      </c>
      <c r="J136" t="s">
        <v>51</v>
      </c>
      <c r="K136">
        <v>18303</v>
      </c>
      <c r="L136">
        <v>6</v>
      </c>
      <c r="M136" t="s">
        <v>41</v>
      </c>
      <c r="N136">
        <v>13</v>
      </c>
      <c r="O136">
        <v>3</v>
      </c>
      <c r="P136">
        <v>0</v>
      </c>
      <c r="Q136">
        <v>21</v>
      </c>
      <c r="R136">
        <v>3</v>
      </c>
      <c r="S136">
        <v>1</v>
      </c>
      <c r="T136">
        <v>0</v>
      </c>
      <c r="U136">
        <v>0</v>
      </c>
      <c r="V136" t="s">
        <v>37</v>
      </c>
      <c r="W136" s="1" t="s">
        <v>111</v>
      </c>
      <c r="Y136" t="s">
        <v>69</v>
      </c>
      <c r="Z136" t="s">
        <v>47</v>
      </c>
      <c r="AA136">
        <v>4</v>
      </c>
      <c r="AB136">
        <v>2</v>
      </c>
      <c r="AC136" t="s">
        <v>41</v>
      </c>
      <c r="AD136" t="s">
        <v>42</v>
      </c>
      <c r="AE136" t="s">
        <v>49</v>
      </c>
      <c r="AF136" s="3">
        <v>177</v>
      </c>
      <c r="AG136" s="3">
        <v>61</v>
      </c>
      <c r="AH136">
        <v>80</v>
      </c>
      <c r="AI136">
        <v>7</v>
      </c>
      <c r="AJ136">
        <v>0</v>
      </c>
      <c r="AL136">
        <v>0</v>
      </c>
      <c r="AM136">
        <v>1</v>
      </c>
      <c r="AN136" t="s">
        <v>768</v>
      </c>
      <c r="AO136" t="s">
        <v>41</v>
      </c>
    </row>
    <row r="137" spans="1:41" x14ac:dyDescent="0.25">
      <c r="A137">
        <v>50</v>
      </c>
      <c r="B137" t="s">
        <v>32</v>
      </c>
      <c r="C137" t="s">
        <v>33</v>
      </c>
      <c r="D137">
        <v>9</v>
      </c>
      <c r="E137" t="s">
        <v>34</v>
      </c>
      <c r="F137">
        <v>3</v>
      </c>
      <c r="G137">
        <v>1</v>
      </c>
      <c r="H137" t="s">
        <v>35</v>
      </c>
      <c r="I137">
        <v>4</v>
      </c>
      <c r="J137" t="s">
        <v>51</v>
      </c>
      <c r="K137">
        <v>2380</v>
      </c>
      <c r="L137">
        <v>4</v>
      </c>
      <c r="M137" t="s">
        <v>41</v>
      </c>
      <c r="N137">
        <v>18</v>
      </c>
      <c r="O137">
        <v>3</v>
      </c>
      <c r="P137">
        <v>0</v>
      </c>
      <c r="Q137">
        <v>8</v>
      </c>
      <c r="R137">
        <v>5</v>
      </c>
      <c r="S137">
        <v>1</v>
      </c>
      <c r="T137">
        <v>0</v>
      </c>
      <c r="U137">
        <v>0</v>
      </c>
      <c r="V137" t="s">
        <v>37</v>
      </c>
      <c r="W137" s="2">
        <v>44141</v>
      </c>
      <c r="Y137" t="s">
        <v>39</v>
      </c>
      <c r="Z137" t="s">
        <v>47</v>
      </c>
      <c r="AA137">
        <v>3</v>
      </c>
      <c r="AB137">
        <v>0</v>
      </c>
      <c r="AC137" t="s">
        <v>41</v>
      </c>
      <c r="AD137" t="s">
        <v>67</v>
      </c>
      <c r="AE137" t="s">
        <v>60</v>
      </c>
      <c r="AF137" s="3">
        <v>178</v>
      </c>
      <c r="AG137" s="3">
        <v>84</v>
      </c>
      <c r="AH137">
        <v>80</v>
      </c>
      <c r="AI137">
        <v>2</v>
      </c>
      <c r="AJ137">
        <v>0</v>
      </c>
      <c r="AL137">
        <v>0</v>
      </c>
      <c r="AM137">
        <v>1</v>
      </c>
      <c r="AN137" t="s">
        <v>768</v>
      </c>
      <c r="AO137" t="s">
        <v>41</v>
      </c>
    </row>
    <row r="138" spans="1:41" x14ac:dyDescent="0.25">
      <c r="A138">
        <v>37</v>
      </c>
      <c r="B138" t="s">
        <v>32</v>
      </c>
      <c r="C138" t="s">
        <v>33</v>
      </c>
      <c r="D138">
        <v>11</v>
      </c>
      <c r="E138" t="s">
        <v>61</v>
      </c>
      <c r="F138">
        <v>1</v>
      </c>
      <c r="G138">
        <v>2</v>
      </c>
      <c r="H138" t="s">
        <v>89</v>
      </c>
      <c r="I138">
        <v>2</v>
      </c>
      <c r="J138" t="s">
        <v>51</v>
      </c>
      <c r="K138">
        <v>4777</v>
      </c>
      <c r="L138">
        <v>5</v>
      </c>
      <c r="M138" t="s">
        <v>41</v>
      </c>
      <c r="N138">
        <v>15</v>
      </c>
      <c r="O138">
        <v>3</v>
      </c>
      <c r="P138">
        <v>0</v>
      </c>
      <c r="Q138">
        <v>15</v>
      </c>
      <c r="R138">
        <v>2</v>
      </c>
      <c r="S138">
        <v>1</v>
      </c>
      <c r="T138">
        <v>0</v>
      </c>
      <c r="U138">
        <v>0</v>
      </c>
      <c r="V138" t="s">
        <v>52</v>
      </c>
      <c r="W138" s="2">
        <v>44075</v>
      </c>
      <c r="Y138" t="s">
        <v>63</v>
      </c>
      <c r="Z138" t="s">
        <v>40</v>
      </c>
      <c r="AA138">
        <v>2</v>
      </c>
      <c r="AB138">
        <v>0</v>
      </c>
      <c r="AC138" t="s">
        <v>41</v>
      </c>
      <c r="AD138" t="s">
        <v>48</v>
      </c>
      <c r="AE138" t="s">
        <v>60</v>
      </c>
      <c r="AF138" s="3">
        <v>179</v>
      </c>
      <c r="AG138" s="3">
        <v>53</v>
      </c>
      <c r="AH138">
        <v>80</v>
      </c>
      <c r="AI138">
        <v>2</v>
      </c>
      <c r="AJ138">
        <v>1</v>
      </c>
      <c r="AK138">
        <v>1</v>
      </c>
      <c r="AL138">
        <v>1</v>
      </c>
      <c r="AM138">
        <v>0</v>
      </c>
      <c r="AN138" t="s">
        <v>767</v>
      </c>
      <c r="AO138" t="s">
        <v>31</v>
      </c>
    </row>
    <row r="139" spans="1:41" x14ac:dyDescent="0.25">
      <c r="A139">
        <v>38</v>
      </c>
      <c r="B139" t="s">
        <v>32</v>
      </c>
      <c r="C139" t="s">
        <v>55</v>
      </c>
      <c r="D139">
        <v>3</v>
      </c>
      <c r="E139" t="s">
        <v>34</v>
      </c>
      <c r="F139">
        <v>3</v>
      </c>
      <c r="G139">
        <v>2</v>
      </c>
      <c r="H139" t="s">
        <v>70</v>
      </c>
      <c r="I139">
        <v>4</v>
      </c>
      <c r="J139" t="s">
        <v>36</v>
      </c>
      <c r="K139">
        <v>6861</v>
      </c>
      <c r="L139">
        <v>8</v>
      </c>
      <c r="M139" t="s">
        <v>31</v>
      </c>
      <c r="N139">
        <v>12</v>
      </c>
      <c r="O139">
        <v>3</v>
      </c>
      <c r="P139">
        <v>0</v>
      </c>
      <c r="Q139">
        <v>19</v>
      </c>
      <c r="R139">
        <v>1</v>
      </c>
      <c r="S139">
        <v>1</v>
      </c>
      <c r="T139">
        <v>0</v>
      </c>
      <c r="U139">
        <v>0</v>
      </c>
      <c r="V139" t="s">
        <v>58</v>
      </c>
      <c r="W139" s="1" t="s">
        <v>136</v>
      </c>
      <c r="Y139" t="s">
        <v>54</v>
      </c>
      <c r="Z139" t="s">
        <v>47</v>
      </c>
      <c r="AA139">
        <v>1</v>
      </c>
      <c r="AB139">
        <v>1</v>
      </c>
      <c r="AC139" t="s">
        <v>41</v>
      </c>
      <c r="AD139" t="s">
        <v>48</v>
      </c>
      <c r="AE139" t="s">
        <v>43</v>
      </c>
      <c r="AF139" s="3">
        <v>182</v>
      </c>
      <c r="AG139" s="3">
        <v>47</v>
      </c>
      <c r="AH139">
        <v>80</v>
      </c>
      <c r="AI139">
        <v>11</v>
      </c>
      <c r="AJ139">
        <v>0</v>
      </c>
      <c r="AL139">
        <v>0</v>
      </c>
      <c r="AM139">
        <v>1</v>
      </c>
      <c r="AN139" t="s">
        <v>768</v>
      </c>
      <c r="AO139" t="s">
        <v>41</v>
      </c>
    </row>
    <row r="140" spans="1:41" x14ac:dyDescent="0.25">
      <c r="A140">
        <v>36</v>
      </c>
      <c r="B140" t="s">
        <v>32</v>
      </c>
      <c r="C140" t="s">
        <v>33</v>
      </c>
      <c r="D140">
        <v>15</v>
      </c>
      <c r="E140" t="s">
        <v>34</v>
      </c>
      <c r="F140">
        <v>3</v>
      </c>
      <c r="G140">
        <v>2</v>
      </c>
      <c r="H140" t="s">
        <v>35</v>
      </c>
      <c r="I140">
        <v>3</v>
      </c>
      <c r="J140" t="s">
        <v>57</v>
      </c>
      <c r="K140">
        <v>4834</v>
      </c>
      <c r="L140">
        <v>7</v>
      </c>
      <c r="M140" t="s">
        <v>41</v>
      </c>
      <c r="N140">
        <v>14</v>
      </c>
      <c r="O140">
        <v>3</v>
      </c>
      <c r="P140">
        <v>1</v>
      </c>
      <c r="Q140">
        <v>9</v>
      </c>
      <c r="R140">
        <v>3</v>
      </c>
      <c r="S140">
        <v>1</v>
      </c>
      <c r="T140">
        <v>0</v>
      </c>
      <c r="U140">
        <v>0</v>
      </c>
      <c r="V140" t="s">
        <v>37</v>
      </c>
      <c r="W140" s="1" t="s">
        <v>137</v>
      </c>
      <c r="Y140" t="s">
        <v>69</v>
      </c>
      <c r="Z140" t="s">
        <v>40</v>
      </c>
      <c r="AA140">
        <v>4</v>
      </c>
      <c r="AB140">
        <v>2</v>
      </c>
      <c r="AC140" t="s">
        <v>31</v>
      </c>
      <c r="AD140" t="s">
        <v>67</v>
      </c>
      <c r="AE140" t="s">
        <v>60</v>
      </c>
      <c r="AF140" s="3">
        <v>183</v>
      </c>
      <c r="AG140" s="3">
        <v>41</v>
      </c>
      <c r="AH140">
        <v>80</v>
      </c>
      <c r="AI140">
        <v>2</v>
      </c>
      <c r="AJ140">
        <v>0</v>
      </c>
      <c r="AL140">
        <v>0</v>
      </c>
      <c r="AM140">
        <v>1</v>
      </c>
      <c r="AN140" t="s">
        <v>768</v>
      </c>
      <c r="AO140" t="s">
        <v>41</v>
      </c>
    </row>
    <row r="141" spans="1:41" x14ac:dyDescent="0.25">
      <c r="A141">
        <v>34</v>
      </c>
      <c r="B141" t="s">
        <v>32</v>
      </c>
      <c r="C141" t="s">
        <v>55</v>
      </c>
      <c r="D141">
        <v>10</v>
      </c>
      <c r="E141" t="s">
        <v>61</v>
      </c>
      <c r="F141">
        <v>3</v>
      </c>
      <c r="G141">
        <v>1</v>
      </c>
      <c r="H141" t="s">
        <v>56</v>
      </c>
      <c r="I141">
        <v>3</v>
      </c>
      <c r="J141" t="s">
        <v>51</v>
      </c>
      <c r="K141">
        <v>2220</v>
      </c>
      <c r="L141">
        <v>1</v>
      </c>
      <c r="M141" t="s">
        <v>31</v>
      </c>
      <c r="N141">
        <v>19</v>
      </c>
      <c r="O141">
        <v>3</v>
      </c>
      <c r="P141">
        <v>1</v>
      </c>
      <c r="Q141">
        <v>1</v>
      </c>
      <c r="R141">
        <v>2</v>
      </c>
      <c r="S141">
        <v>1</v>
      </c>
      <c r="T141">
        <v>0</v>
      </c>
      <c r="U141">
        <v>0</v>
      </c>
      <c r="V141" t="s">
        <v>52</v>
      </c>
      <c r="W141" s="1" t="s">
        <v>138</v>
      </c>
      <c r="Y141" t="s">
        <v>39</v>
      </c>
      <c r="Z141" t="s">
        <v>40</v>
      </c>
      <c r="AA141">
        <v>0</v>
      </c>
      <c r="AB141">
        <v>3</v>
      </c>
      <c r="AC141" t="s">
        <v>31</v>
      </c>
      <c r="AD141" t="s">
        <v>42</v>
      </c>
      <c r="AE141" t="s">
        <v>60</v>
      </c>
      <c r="AF141" s="3">
        <v>184</v>
      </c>
      <c r="AG141" s="3">
        <v>48</v>
      </c>
      <c r="AH141">
        <v>80</v>
      </c>
      <c r="AI141">
        <v>9</v>
      </c>
      <c r="AJ141">
        <v>0</v>
      </c>
      <c r="AL141">
        <v>0</v>
      </c>
      <c r="AM141">
        <v>1</v>
      </c>
      <c r="AN141" t="s">
        <v>768</v>
      </c>
      <c r="AO141" t="s">
        <v>41</v>
      </c>
    </row>
    <row r="142" spans="1:41" x14ac:dyDescent="0.25">
      <c r="A142">
        <v>28</v>
      </c>
      <c r="B142" t="s">
        <v>32</v>
      </c>
      <c r="C142" t="s">
        <v>55</v>
      </c>
      <c r="D142">
        <v>10</v>
      </c>
      <c r="E142" t="s">
        <v>34</v>
      </c>
      <c r="F142">
        <v>3</v>
      </c>
      <c r="G142">
        <v>1</v>
      </c>
      <c r="H142" t="s">
        <v>56</v>
      </c>
      <c r="I142">
        <v>2</v>
      </c>
      <c r="J142" t="s">
        <v>51</v>
      </c>
      <c r="K142">
        <v>1052</v>
      </c>
      <c r="L142">
        <v>1</v>
      </c>
      <c r="M142" t="s">
        <v>41</v>
      </c>
      <c r="N142">
        <v>22</v>
      </c>
      <c r="O142">
        <v>4</v>
      </c>
      <c r="P142">
        <v>0</v>
      </c>
      <c r="Q142">
        <v>1</v>
      </c>
      <c r="R142">
        <v>5</v>
      </c>
      <c r="S142">
        <v>1</v>
      </c>
      <c r="T142">
        <v>0</v>
      </c>
      <c r="U142">
        <v>0</v>
      </c>
      <c r="V142" t="s">
        <v>52</v>
      </c>
      <c r="W142" s="1" t="s">
        <v>139</v>
      </c>
      <c r="Y142" t="s">
        <v>69</v>
      </c>
      <c r="Z142" t="s">
        <v>47</v>
      </c>
      <c r="AA142">
        <v>0</v>
      </c>
      <c r="AB142">
        <v>0</v>
      </c>
      <c r="AC142" t="s">
        <v>31</v>
      </c>
      <c r="AD142" t="s">
        <v>42</v>
      </c>
      <c r="AE142" t="s">
        <v>43</v>
      </c>
      <c r="AF142" s="3">
        <v>190</v>
      </c>
      <c r="AG142" s="3">
        <v>41</v>
      </c>
      <c r="AH142">
        <v>80</v>
      </c>
      <c r="AI142">
        <v>4</v>
      </c>
      <c r="AJ142">
        <v>1</v>
      </c>
      <c r="AK142">
        <v>1</v>
      </c>
      <c r="AL142">
        <v>1</v>
      </c>
      <c r="AM142">
        <v>0</v>
      </c>
      <c r="AN142" t="s">
        <v>767</v>
      </c>
      <c r="AO142" t="s">
        <v>31</v>
      </c>
    </row>
    <row r="143" spans="1:41" x14ac:dyDescent="0.25">
      <c r="A143">
        <v>43</v>
      </c>
      <c r="B143" t="s">
        <v>32</v>
      </c>
      <c r="C143" t="s">
        <v>55</v>
      </c>
      <c r="D143">
        <v>25</v>
      </c>
      <c r="E143" t="s">
        <v>34</v>
      </c>
      <c r="F143">
        <v>2</v>
      </c>
      <c r="G143">
        <v>3</v>
      </c>
      <c r="H143" t="s">
        <v>70</v>
      </c>
      <c r="I143">
        <v>4</v>
      </c>
      <c r="J143" t="s">
        <v>57</v>
      </c>
      <c r="K143">
        <v>10798</v>
      </c>
      <c r="L143">
        <v>5</v>
      </c>
      <c r="M143" t="s">
        <v>41</v>
      </c>
      <c r="N143">
        <v>13</v>
      </c>
      <c r="O143">
        <v>3</v>
      </c>
      <c r="P143">
        <v>1</v>
      </c>
      <c r="Q143">
        <v>18</v>
      </c>
      <c r="R143">
        <v>5</v>
      </c>
      <c r="S143">
        <v>1</v>
      </c>
      <c r="T143">
        <v>0</v>
      </c>
      <c r="U143">
        <v>0</v>
      </c>
      <c r="V143" t="s">
        <v>52</v>
      </c>
      <c r="W143" s="1" t="s">
        <v>135</v>
      </c>
      <c r="Y143" t="s">
        <v>46</v>
      </c>
      <c r="Z143" t="s">
        <v>40</v>
      </c>
      <c r="AA143">
        <v>4</v>
      </c>
      <c r="AB143">
        <v>2</v>
      </c>
      <c r="AC143" t="s">
        <v>41</v>
      </c>
      <c r="AD143" t="s">
        <v>67</v>
      </c>
      <c r="AE143" t="s">
        <v>49</v>
      </c>
      <c r="AF143" s="3">
        <v>192</v>
      </c>
      <c r="AG143" s="3">
        <v>83</v>
      </c>
      <c r="AH143">
        <v>80</v>
      </c>
      <c r="AI143">
        <v>5</v>
      </c>
      <c r="AJ143">
        <v>0</v>
      </c>
      <c r="AL143">
        <v>0</v>
      </c>
      <c r="AM143">
        <v>1</v>
      </c>
      <c r="AN143" t="s">
        <v>768</v>
      </c>
      <c r="AO143" t="s">
        <v>41</v>
      </c>
    </row>
    <row r="144" spans="1:41" x14ac:dyDescent="0.25">
      <c r="A144">
        <v>21</v>
      </c>
      <c r="B144" t="s">
        <v>32</v>
      </c>
      <c r="C144" t="s">
        <v>33</v>
      </c>
      <c r="D144">
        <v>10</v>
      </c>
      <c r="E144" t="s">
        <v>61</v>
      </c>
      <c r="F144">
        <v>2</v>
      </c>
      <c r="G144">
        <v>1</v>
      </c>
      <c r="H144" t="s">
        <v>35</v>
      </c>
      <c r="I144">
        <v>1</v>
      </c>
      <c r="J144" t="s">
        <v>36</v>
      </c>
      <c r="K144">
        <v>1416</v>
      </c>
      <c r="L144">
        <v>1</v>
      </c>
      <c r="M144" t="s">
        <v>41</v>
      </c>
      <c r="N144">
        <v>13</v>
      </c>
      <c r="O144">
        <v>3</v>
      </c>
      <c r="P144">
        <v>0</v>
      </c>
      <c r="Q144">
        <v>1</v>
      </c>
      <c r="R144">
        <v>6</v>
      </c>
      <c r="S144">
        <v>1</v>
      </c>
      <c r="T144">
        <v>1</v>
      </c>
      <c r="U144">
        <v>0</v>
      </c>
      <c r="V144" t="s">
        <v>72</v>
      </c>
      <c r="W144" s="1" t="s">
        <v>140</v>
      </c>
      <c r="Y144" t="s">
        <v>69</v>
      </c>
      <c r="Z144" t="s">
        <v>40</v>
      </c>
      <c r="AA144">
        <v>1</v>
      </c>
      <c r="AB144">
        <v>1</v>
      </c>
      <c r="AC144" t="s">
        <v>31</v>
      </c>
      <c r="AD144" t="s">
        <v>48</v>
      </c>
      <c r="AE144" t="s">
        <v>43</v>
      </c>
      <c r="AF144" s="3">
        <v>193</v>
      </c>
      <c r="AG144" s="3">
        <v>32</v>
      </c>
      <c r="AH144">
        <v>80</v>
      </c>
      <c r="AI144">
        <v>2</v>
      </c>
      <c r="AJ144">
        <v>0</v>
      </c>
      <c r="AL144">
        <v>0</v>
      </c>
      <c r="AM144">
        <v>1</v>
      </c>
      <c r="AN144" t="s">
        <v>768</v>
      </c>
      <c r="AO144" t="s">
        <v>41</v>
      </c>
    </row>
    <row r="145" spans="1:41" x14ac:dyDescent="0.25">
      <c r="A145">
        <v>37</v>
      </c>
      <c r="B145" t="s">
        <v>32</v>
      </c>
      <c r="C145" t="s">
        <v>55</v>
      </c>
      <c r="D145">
        <v>10</v>
      </c>
      <c r="E145" t="s">
        <v>61</v>
      </c>
      <c r="F145">
        <v>2</v>
      </c>
      <c r="G145">
        <v>2</v>
      </c>
      <c r="H145" t="s">
        <v>70</v>
      </c>
      <c r="I145">
        <v>4</v>
      </c>
      <c r="J145" t="s">
        <v>57</v>
      </c>
      <c r="K145">
        <v>6694</v>
      </c>
      <c r="L145">
        <v>2</v>
      </c>
      <c r="M145" t="s">
        <v>31</v>
      </c>
      <c r="N145">
        <v>14</v>
      </c>
      <c r="O145">
        <v>3</v>
      </c>
      <c r="P145">
        <v>3</v>
      </c>
      <c r="Q145">
        <v>8</v>
      </c>
      <c r="R145">
        <v>5</v>
      </c>
      <c r="S145">
        <v>1</v>
      </c>
      <c r="T145">
        <v>0</v>
      </c>
      <c r="U145">
        <v>0</v>
      </c>
      <c r="V145" t="s">
        <v>52</v>
      </c>
      <c r="W145" s="1" t="s">
        <v>140</v>
      </c>
      <c r="Y145" t="s">
        <v>39</v>
      </c>
      <c r="Z145" t="s">
        <v>47</v>
      </c>
      <c r="AA145">
        <v>3</v>
      </c>
      <c r="AB145">
        <v>2</v>
      </c>
      <c r="AC145" t="s">
        <v>31</v>
      </c>
      <c r="AD145" t="s">
        <v>48</v>
      </c>
      <c r="AE145" t="s">
        <v>49</v>
      </c>
      <c r="AF145" s="3">
        <v>194</v>
      </c>
      <c r="AG145" s="3">
        <v>75</v>
      </c>
      <c r="AH145">
        <v>80</v>
      </c>
      <c r="AI145">
        <v>4</v>
      </c>
      <c r="AJ145">
        <v>0</v>
      </c>
      <c r="AL145">
        <v>0</v>
      </c>
      <c r="AM145">
        <v>1</v>
      </c>
      <c r="AN145" t="s">
        <v>768</v>
      </c>
      <c r="AO145" t="s">
        <v>41</v>
      </c>
    </row>
    <row r="146" spans="1:41" x14ac:dyDescent="0.25">
      <c r="A146">
        <v>26</v>
      </c>
      <c r="B146" t="s">
        <v>32</v>
      </c>
      <c r="C146" t="s">
        <v>33</v>
      </c>
      <c r="D146">
        <v>21</v>
      </c>
      <c r="E146" t="s">
        <v>34</v>
      </c>
      <c r="F146">
        <v>3</v>
      </c>
      <c r="G146">
        <v>1</v>
      </c>
      <c r="H146" t="s">
        <v>35</v>
      </c>
      <c r="I146">
        <v>3</v>
      </c>
      <c r="J146" t="s">
        <v>57</v>
      </c>
      <c r="K146">
        <v>2377</v>
      </c>
      <c r="L146">
        <v>1</v>
      </c>
      <c r="M146" t="s">
        <v>41</v>
      </c>
      <c r="N146">
        <v>20</v>
      </c>
      <c r="O146">
        <v>4</v>
      </c>
      <c r="P146">
        <v>1</v>
      </c>
      <c r="Q146">
        <v>1</v>
      </c>
      <c r="R146">
        <v>0</v>
      </c>
      <c r="S146">
        <v>1</v>
      </c>
      <c r="T146">
        <v>0</v>
      </c>
      <c r="U146">
        <v>0</v>
      </c>
      <c r="V146" t="s">
        <v>72</v>
      </c>
      <c r="W146" s="1" t="s">
        <v>141</v>
      </c>
      <c r="Y146" t="s">
        <v>69</v>
      </c>
      <c r="Z146" t="s">
        <v>40</v>
      </c>
      <c r="AA146">
        <v>0</v>
      </c>
      <c r="AB146">
        <v>0</v>
      </c>
      <c r="AC146" t="s">
        <v>41</v>
      </c>
      <c r="AD146" t="s">
        <v>67</v>
      </c>
      <c r="AE146" t="s">
        <v>60</v>
      </c>
      <c r="AF146" s="3">
        <v>195</v>
      </c>
      <c r="AG146" s="3">
        <v>35</v>
      </c>
      <c r="AH146">
        <v>80</v>
      </c>
      <c r="AI146">
        <v>7</v>
      </c>
      <c r="AJ146">
        <v>0</v>
      </c>
      <c r="AL146">
        <v>0</v>
      </c>
      <c r="AM146">
        <v>1</v>
      </c>
      <c r="AN146" t="s">
        <v>768</v>
      </c>
      <c r="AO146" t="s">
        <v>41</v>
      </c>
    </row>
    <row r="147" spans="1:41" x14ac:dyDescent="0.25">
      <c r="A147">
        <v>28</v>
      </c>
      <c r="B147" t="s">
        <v>66</v>
      </c>
      <c r="C147" t="s">
        <v>33</v>
      </c>
      <c r="D147">
        <v>1</v>
      </c>
      <c r="E147" t="s">
        <v>34</v>
      </c>
      <c r="F147">
        <v>2</v>
      </c>
      <c r="G147">
        <v>1</v>
      </c>
      <c r="H147" t="s">
        <v>35</v>
      </c>
      <c r="I147">
        <v>2</v>
      </c>
      <c r="J147" t="s">
        <v>57</v>
      </c>
      <c r="K147">
        <v>2596</v>
      </c>
      <c r="L147">
        <v>1</v>
      </c>
      <c r="M147" t="s">
        <v>41</v>
      </c>
      <c r="N147">
        <v>15</v>
      </c>
      <c r="O147">
        <v>3</v>
      </c>
      <c r="P147">
        <v>2</v>
      </c>
      <c r="Q147">
        <v>1</v>
      </c>
      <c r="R147">
        <v>2</v>
      </c>
      <c r="S147">
        <v>1</v>
      </c>
      <c r="T147">
        <v>0</v>
      </c>
      <c r="U147">
        <v>0</v>
      </c>
      <c r="V147" t="s">
        <v>58</v>
      </c>
      <c r="W147" s="1" t="s">
        <v>142</v>
      </c>
      <c r="Y147" t="s">
        <v>69</v>
      </c>
      <c r="Z147" t="s">
        <v>47</v>
      </c>
      <c r="AA147">
        <v>0</v>
      </c>
      <c r="AB147">
        <v>2</v>
      </c>
      <c r="AC147" t="s">
        <v>41</v>
      </c>
      <c r="AD147" t="s">
        <v>48</v>
      </c>
      <c r="AE147" t="s">
        <v>43</v>
      </c>
      <c r="AF147" s="3">
        <v>197</v>
      </c>
      <c r="AG147" s="3">
        <v>84</v>
      </c>
      <c r="AH147">
        <v>80</v>
      </c>
      <c r="AI147">
        <v>2</v>
      </c>
      <c r="AJ147">
        <v>0</v>
      </c>
      <c r="AL147">
        <v>0</v>
      </c>
      <c r="AM147">
        <v>1</v>
      </c>
      <c r="AN147" t="s">
        <v>768</v>
      </c>
      <c r="AO147" t="s">
        <v>41</v>
      </c>
    </row>
    <row r="148" spans="1:41" x14ac:dyDescent="0.25">
      <c r="A148">
        <v>38</v>
      </c>
      <c r="B148" t="s">
        <v>32</v>
      </c>
      <c r="C148" t="s">
        <v>55</v>
      </c>
      <c r="D148">
        <v>2</v>
      </c>
      <c r="E148" t="s">
        <v>34</v>
      </c>
      <c r="F148">
        <v>3</v>
      </c>
      <c r="G148">
        <v>3</v>
      </c>
      <c r="H148" t="s">
        <v>70</v>
      </c>
      <c r="I148">
        <v>2</v>
      </c>
      <c r="J148" t="s">
        <v>36</v>
      </c>
      <c r="K148">
        <v>7351</v>
      </c>
      <c r="L148">
        <v>7</v>
      </c>
      <c r="M148" t="s">
        <v>41</v>
      </c>
      <c r="N148">
        <v>16</v>
      </c>
      <c r="O148">
        <v>3</v>
      </c>
      <c r="P148">
        <v>0</v>
      </c>
      <c r="Q148">
        <v>10</v>
      </c>
      <c r="R148">
        <v>2</v>
      </c>
      <c r="S148">
        <v>1</v>
      </c>
      <c r="T148">
        <v>0</v>
      </c>
      <c r="U148">
        <v>0</v>
      </c>
      <c r="V148" t="s">
        <v>72</v>
      </c>
      <c r="W148" s="1" t="s">
        <v>106</v>
      </c>
      <c r="Y148" t="s">
        <v>39</v>
      </c>
      <c r="Z148" t="s">
        <v>47</v>
      </c>
      <c r="AA148">
        <v>3</v>
      </c>
      <c r="AB148">
        <v>0</v>
      </c>
      <c r="AC148" t="s">
        <v>41</v>
      </c>
      <c r="AD148" t="s">
        <v>48</v>
      </c>
      <c r="AE148" t="s">
        <v>49</v>
      </c>
      <c r="AF148" s="3">
        <v>198</v>
      </c>
      <c r="AG148" s="3">
        <v>35</v>
      </c>
      <c r="AH148">
        <v>80</v>
      </c>
      <c r="AI148">
        <v>3</v>
      </c>
      <c r="AJ148">
        <v>0</v>
      </c>
      <c r="AL148">
        <v>0</v>
      </c>
      <c r="AM148">
        <v>1</v>
      </c>
      <c r="AN148" t="s">
        <v>768</v>
      </c>
      <c r="AO148" t="s">
        <v>41</v>
      </c>
    </row>
    <row r="149" spans="1:41" x14ac:dyDescent="0.25">
      <c r="A149">
        <v>42</v>
      </c>
      <c r="B149" t="s">
        <v>32</v>
      </c>
      <c r="C149" t="s">
        <v>33</v>
      </c>
      <c r="D149">
        <v>29</v>
      </c>
      <c r="E149" t="s">
        <v>34</v>
      </c>
      <c r="F149">
        <v>1</v>
      </c>
      <c r="G149">
        <v>2</v>
      </c>
      <c r="H149" t="s">
        <v>35</v>
      </c>
      <c r="I149">
        <v>4</v>
      </c>
      <c r="J149" t="s">
        <v>36</v>
      </c>
      <c r="K149">
        <v>4272</v>
      </c>
      <c r="L149">
        <v>4</v>
      </c>
      <c r="M149" t="s">
        <v>41</v>
      </c>
      <c r="N149">
        <v>19</v>
      </c>
      <c r="O149">
        <v>3</v>
      </c>
      <c r="P149">
        <v>0</v>
      </c>
      <c r="Q149">
        <v>16</v>
      </c>
      <c r="R149">
        <v>3</v>
      </c>
      <c r="S149">
        <v>1</v>
      </c>
      <c r="T149">
        <v>0</v>
      </c>
      <c r="U149">
        <v>0</v>
      </c>
      <c r="V149" t="s">
        <v>52</v>
      </c>
      <c r="W149" s="1" t="s">
        <v>143</v>
      </c>
      <c r="Y149" t="s">
        <v>69</v>
      </c>
      <c r="Z149" t="s">
        <v>47</v>
      </c>
      <c r="AA149">
        <v>0</v>
      </c>
      <c r="AB149">
        <v>1</v>
      </c>
      <c r="AC149" t="s">
        <v>41</v>
      </c>
      <c r="AD149" t="s">
        <v>67</v>
      </c>
      <c r="AE149" t="s">
        <v>60</v>
      </c>
      <c r="AF149" s="3">
        <v>199</v>
      </c>
      <c r="AG149" s="3">
        <v>91</v>
      </c>
      <c r="AH149">
        <v>80</v>
      </c>
      <c r="AI149">
        <v>6</v>
      </c>
      <c r="AJ149">
        <v>0</v>
      </c>
      <c r="AL149">
        <v>0</v>
      </c>
      <c r="AM149">
        <v>1</v>
      </c>
      <c r="AN149" t="s">
        <v>768</v>
      </c>
      <c r="AO149" t="s">
        <v>41</v>
      </c>
    </row>
    <row r="150" spans="1:41" x14ac:dyDescent="0.25">
      <c r="A150">
        <v>41</v>
      </c>
      <c r="B150" t="s">
        <v>32</v>
      </c>
      <c r="C150" t="s">
        <v>33</v>
      </c>
      <c r="D150">
        <v>12</v>
      </c>
      <c r="E150" t="s">
        <v>34</v>
      </c>
      <c r="F150">
        <v>3</v>
      </c>
      <c r="G150">
        <v>1</v>
      </c>
      <c r="H150" t="s">
        <v>35</v>
      </c>
      <c r="I150">
        <v>4</v>
      </c>
      <c r="J150" t="s">
        <v>51</v>
      </c>
      <c r="K150">
        <v>4766</v>
      </c>
      <c r="L150">
        <v>3</v>
      </c>
      <c r="M150" t="s">
        <v>31</v>
      </c>
      <c r="N150">
        <v>11</v>
      </c>
      <c r="O150">
        <v>3</v>
      </c>
      <c r="P150">
        <v>1</v>
      </c>
      <c r="Q150">
        <v>6</v>
      </c>
      <c r="R150">
        <v>4</v>
      </c>
      <c r="S150">
        <v>1</v>
      </c>
      <c r="T150">
        <v>0</v>
      </c>
      <c r="U150">
        <v>0</v>
      </c>
      <c r="V150" t="s">
        <v>72</v>
      </c>
      <c r="W150" s="1" t="s">
        <v>129</v>
      </c>
      <c r="Y150" t="s">
        <v>63</v>
      </c>
      <c r="Z150" t="s">
        <v>40</v>
      </c>
      <c r="AA150">
        <v>1</v>
      </c>
      <c r="AB150">
        <v>0</v>
      </c>
      <c r="AC150" t="s">
        <v>41</v>
      </c>
      <c r="AD150" t="s">
        <v>48</v>
      </c>
      <c r="AE150" t="s">
        <v>60</v>
      </c>
      <c r="AF150" s="3">
        <v>200</v>
      </c>
      <c r="AG150" s="3">
        <v>94</v>
      </c>
      <c r="AH150">
        <v>80</v>
      </c>
      <c r="AI150">
        <v>0</v>
      </c>
      <c r="AJ150">
        <v>0</v>
      </c>
      <c r="AL150">
        <v>0</v>
      </c>
      <c r="AM150">
        <v>1</v>
      </c>
      <c r="AN150" t="s">
        <v>768</v>
      </c>
      <c r="AO150" t="s">
        <v>41</v>
      </c>
    </row>
    <row r="151" spans="1:41" x14ac:dyDescent="0.25">
      <c r="A151">
        <v>28</v>
      </c>
      <c r="B151" t="s">
        <v>32</v>
      </c>
      <c r="C151" t="s">
        <v>33</v>
      </c>
      <c r="D151">
        <v>12</v>
      </c>
      <c r="E151" t="s">
        <v>61</v>
      </c>
      <c r="F151">
        <v>3</v>
      </c>
      <c r="G151">
        <v>1</v>
      </c>
      <c r="H151" t="s">
        <v>35</v>
      </c>
      <c r="I151">
        <v>4</v>
      </c>
      <c r="J151" t="s">
        <v>51</v>
      </c>
      <c r="K151">
        <v>2515</v>
      </c>
      <c r="L151">
        <v>1</v>
      </c>
      <c r="M151" t="s">
        <v>31</v>
      </c>
      <c r="N151">
        <v>11</v>
      </c>
      <c r="O151">
        <v>3</v>
      </c>
      <c r="P151">
        <v>0</v>
      </c>
      <c r="Q151">
        <v>1</v>
      </c>
      <c r="R151">
        <v>4</v>
      </c>
      <c r="S151">
        <v>1</v>
      </c>
      <c r="T151">
        <v>0</v>
      </c>
      <c r="U151">
        <v>0</v>
      </c>
      <c r="V151" t="s">
        <v>52</v>
      </c>
      <c r="W151" s="1" t="s">
        <v>144</v>
      </c>
      <c r="Y151" t="s">
        <v>69</v>
      </c>
      <c r="Z151" t="s">
        <v>40</v>
      </c>
      <c r="AA151">
        <v>4</v>
      </c>
      <c r="AB151">
        <v>1</v>
      </c>
      <c r="AC151" t="s">
        <v>31</v>
      </c>
      <c r="AD151" t="s">
        <v>65</v>
      </c>
      <c r="AE151" t="s">
        <v>60</v>
      </c>
      <c r="AF151" s="3">
        <v>201</v>
      </c>
      <c r="AG151" s="3">
        <v>79</v>
      </c>
      <c r="AH151">
        <v>80</v>
      </c>
      <c r="AI151">
        <v>0</v>
      </c>
      <c r="AJ151">
        <v>0</v>
      </c>
      <c r="AL151">
        <v>0</v>
      </c>
      <c r="AM151">
        <v>1</v>
      </c>
      <c r="AN151" t="s">
        <v>768</v>
      </c>
      <c r="AO151" t="s">
        <v>41</v>
      </c>
    </row>
    <row r="152" spans="1:41" x14ac:dyDescent="0.25">
      <c r="A152">
        <v>40</v>
      </c>
      <c r="B152" t="s">
        <v>66</v>
      </c>
      <c r="C152" t="s">
        <v>33</v>
      </c>
      <c r="D152">
        <v>26</v>
      </c>
      <c r="E152" t="s">
        <v>61</v>
      </c>
      <c r="F152">
        <v>2</v>
      </c>
      <c r="G152">
        <v>2</v>
      </c>
      <c r="H152" t="s">
        <v>44</v>
      </c>
      <c r="I152">
        <v>4</v>
      </c>
      <c r="J152" t="s">
        <v>51</v>
      </c>
      <c r="K152">
        <v>4422</v>
      </c>
      <c r="L152">
        <v>3</v>
      </c>
      <c r="M152" t="s">
        <v>31</v>
      </c>
      <c r="N152">
        <v>13</v>
      </c>
      <c r="O152">
        <v>3</v>
      </c>
      <c r="P152">
        <v>1</v>
      </c>
      <c r="Q152">
        <v>16</v>
      </c>
      <c r="R152">
        <v>3</v>
      </c>
      <c r="S152">
        <v>1</v>
      </c>
      <c r="T152">
        <v>0</v>
      </c>
      <c r="U152">
        <v>0</v>
      </c>
      <c r="V152" t="s">
        <v>37</v>
      </c>
      <c r="W152" s="1" t="s">
        <v>113</v>
      </c>
      <c r="Y152" t="s">
        <v>39</v>
      </c>
      <c r="Z152" t="s">
        <v>47</v>
      </c>
      <c r="AA152">
        <v>5</v>
      </c>
      <c r="AB152">
        <v>3</v>
      </c>
      <c r="AC152" t="s">
        <v>41</v>
      </c>
      <c r="AD152" t="s">
        <v>48</v>
      </c>
      <c r="AE152" t="s">
        <v>49</v>
      </c>
      <c r="AF152" s="3">
        <v>202</v>
      </c>
      <c r="AG152" s="3">
        <v>54</v>
      </c>
      <c r="AH152">
        <v>80</v>
      </c>
      <c r="AI152">
        <v>7</v>
      </c>
      <c r="AJ152">
        <v>0</v>
      </c>
      <c r="AL152">
        <v>0</v>
      </c>
      <c r="AM152">
        <v>1</v>
      </c>
      <c r="AN152" t="s">
        <v>768</v>
      </c>
      <c r="AO152" t="s">
        <v>41</v>
      </c>
    </row>
    <row r="153" spans="1:41" x14ac:dyDescent="0.25">
      <c r="A153">
        <v>32</v>
      </c>
      <c r="B153" t="s">
        <v>81</v>
      </c>
      <c r="C153" t="s">
        <v>55</v>
      </c>
      <c r="D153">
        <v>2</v>
      </c>
      <c r="E153" t="s">
        <v>61</v>
      </c>
      <c r="F153">
        <v>3</v>
      </c>
      <c r="G153">
        <v>1</v>
      </c>
      <c r="H153" t="s">
        <v>56</v>
      </c>
      <c r="I153">
        <v>1</v>
      </c>
      <c r="J153" t="s">
        <v>57</v>
      </c>
      <c r="K153">
        <v>2827</v>
      </c>
      <c r="L153">
        <v>1</v>
      </c>
      <c r="M153" t="s">
        <v>41</v>
      </c>
      <c r="N153">
        <v>12</v>
      </c>
      <c r="O153">
        <v>3</v>
      </c>
      <c r="P153">
        <v>3</v>
      </c>
      <c r="Q153">
        <v>1</v>
      </c>
      <c r="R153">
        <v>3</v>
      </c>
      <c r="S153">
        <v>1</v>
      </c>
      <c r="T153">
        <v>0</v>
      </c>
      <c r="U153">
        <v>0</v>
      </c>
      <c r="V153" t="s">
        <v>52</v>
      </c>
      <c r="W153" s="2">
        <v>44014</v>
      </c>
      <c r="Y153" t="s">
        <v>54</v>
      </c>
      <c r="Z153" t="s">
        <v>40</v>
      </c>
      <c r="AA153">
        <v>4</v>
      </c>
      <c r="AB153">
        <v>0</v>
      </c>
      <c r="AC153" t="s">
        <v>41</v>
      </c>
      <c r="AD153" t="s">
        <v>65</v>
      </c>
      <c r="AE153" t="s">
        <v>60</v>
      </c>
      <c r="AF153" s="3">
        <v>204</v>
      </c>
      <c r="AG153" s="3">
        <v>94</v>
      </c>
      <c r="AH153">
        <v>80</v>
      </c>
      <c r="AI153">
        <v>8</v>
      </c>
      <c r="AJ153">
        <v>0</v>
      </c>
      <c r="AL153">
        <v>0</v>
      </c>
      <c r="AM153">
        <v>1</v>
      </c>
      <c r="AN153" t="s">
        <v>768</v>
      </c>
      <c r="AO153" t="s">
        <v>41</v>
      </c>
    </row>
    <row r="154" spans="1:41" x14ac:dyDescent="0.25">
      <c r="A154">
        <v>19</v>
      </c>
      <c r="B154" t="s">
        <v>32</v>
      </c>
      <c r="C154" t="s">
        <v>33</v>
      </c>
      <c r="D154">
        <v>9</v>
      </c>
      <c r="E154" t="s">
        <v>34</v>
      </c>
      <c r="F154">
        <v>3</v>
      </c>
      <c r="G154">
        <v>1</v>
      </c>
      <c r="H154" t="s">
        <v>44</v>
      </c>
      <c r="I154">
        <v>1</v>
      </c>
      <c r="J154" t="s">
        <v>36</v>
      </c>
      <c r="K154">
        <v>2552</v>
      </c>
      <c r="L154">
        <v>1</v>
      </c>
      <c r="M154" t="s">
        <v>41</v>
      </c>
      <c r="N154">
        <v>25</v>
      </c>
      <c r="O154">
        <v>4</v>
      </c>
      <c r="P154">
        <v>0</v>
      </c>
      <c r="Q154">
        <v>1</v>
      </c>
      <c r="R154">
        <v>4</v>
      </c>
      <c r="S154">
        <v>1</v>
      </c>
      <c r="T154">
        <v>0</v>
      </c>
      <c r="U154">
        <v>0</v>
      </c>
      <c r="V154" t="s">
        <v>52</v>
      </c>
      <c r="W154" s="1" t="s">
        <v>133</v>
      </c>
      <c r="Y154" t="s">
        <v>69</v>
      </c>
      <c r="Z154" t="s">
        <v>47</v>
      </c>
      <c r="AA154">
        <v>5</v>
      </c>
      <c r="AB154">
        <v>1</v>
      </c>
      <c r="AC154" t="s">
        <v>31</v>
      </c>
      <c r="AD154" t="s">
        <v>67</v>
      </c>
      <c r="AE154" t="s">
        <v>43</v>
      </c>
      <c r="AF154" s="3">
        <v>205</v>
      </c>
      <c r="AG154" s="3">
        <v>34</v>
      </c>
      <c r="AH154">
        <v>80</v>
      </c>
      <c r="AI154">
        <v>7</v>
      </c>
      <c r="AJ154">
        <v>0</v>
      </c>
      <c r="AL154">
        <v>0</v>
      </c>
      <c r="AM154">
        <v>1</v>
      </c>
      <c r="AN154" t="s">
        <v>768</v>
      </c>
      <c r="AO154" t="s">
        <v>41</v>
      </c>
    </row>
    <row r="155" spans="1:41" x14ac:dyDescent="0.25">
      <c r="A155">
        <v>41</v>
      </c>
      <c r="B155" t="s">
        <v>81</v>
      </c>
      <c r="C155" t="s">
        <v>33</v>
      </c>
      <c r="D155">
        <v>5</v>
      </c>
      <c r="E155" t="s">
        <v>34</v>
      </c>
      <c r="F155">
        <v>2</v>
      </c>
      <c r="G155">
        <v>1</v>
      </c>
      <c r="H155" t="s">
        <v>44</v>
      </c>
      <c r="I155">
        <v>1</v>
      </c>
      <c r="J155" t="s">
        <v>57</v>
      </c>
      <c r="K155">
        <v>2107</v>
      </c>
      <c r="L155">
        <v>6</v>
      </c>
      <c r="M155" t="s">
        <v>41</v>
      </c>
      <c r="N155">
        <v>17</v>
      </c>
      <c r="O155">
        <v>3</v>
      </c>
      <c r="P155">
        <v>1</v>
      </c>
      <c r="Q155">
        <v>5</v>
      </c>
      <c r="R155">
        <v>2</v>
      </c>
      <c r="S155">
        <v>1</v>
      </c>
      <c r="T155">
        <v>0</v>
      </c>
      <c r="U155">
        <v>0</v>
      </c>
      <c r="V155" t="s">
        <v>72</v>
      </c>
      <c r="W155" s="2">
        <v>43833</v>
      </c>
      <c r="Y155" t="s">
        <v>46</v>
      </c>
      <c r="Z155" t="s">
        <v>47</v>
      </c>
      <c r="AA155">
        <v>0</v>
      </c>
      <c r="AB155">
        <v>3</v>
      </c>
      <c r="AC155" t="s">
        <v>31</v>
      </c>
      <c r="AD155" t="s">
        <v>65</v>
      </c>
      <c r="AE155" t="s">
        <v>43</v>
      </c>
      <c r="AF155" s="3">
        <v>206</v>
      </c>
      <c r="AG155" s="3">
        <v>60</v>
      </c>
      <c r="AH155">
        <v>80</v>
      </c>
      <c r="AI155">
        <v>9</v>
      </c>
      <c r="AJ155">
        <v>0</v>
      </c>
      <c r="AL155">
        <v>0</v>
      </c>
      <c r="AM155">
        <v>1</v>
      </c>
      <c r="AN155" t="s">
        <v>768</v>
      </c>
      <c r="AO155" t="s">
        <v>41</v>
      </c>
    </row>
    <row r="156" spans="1:41" x14ac:dyDescent="0.25">
      <c r="A156">
        <v>24</v>
      </c>
      <c r="B156" t="s">
        <v>32</v>
      </c>
      <c r="C156" t="s">
        <v>33</v>
      </c>
      <c r="D156">
        <v>17</v>
      </c>
      <c r="E156" t="s">
        <v>61</v>
      </c>
      <c r="F156">
        <v>3</v>
      </c>
      <c r="G156">
        <v>1</v>
      </c>
      <c r="H156" t="s">
        <v>35</v>
      </c>
      <c r="I156">
        <v>2</v>
      </c>
      <c r="J156" t="s">
        <v>51</v>
      </c>
      <c r="K156">
        <v>2210</v>
      </c>
      <c r="L156">
        <v>1</v>
      </c>
      <c r="M156" t="s">
        <v>41</v>
      </c>
      <c r="N156">
        <v>13</v>
      </c>
      <c r="O156">
        <v>3</v>
      </c>
      <c r="P156">
        <v>1</v>
      </c>
      <c r="Q156">
        <v>1</v>
      </c>
      <c r="R156">
        <v>3</v>
      </c>
      <c r="S156">
        <v>1</v>
      </c>
      <c r="T156">
        <v>0</v>
      </c>
      <c r="U156">
        <v>0</v>
      </c>
      <c r="V156" t="s">
        <v>52</v>
      </c>
      <c r="W156" s="1" t="s">
        <v>145</v>
      </c>
      <c r="Y156" t="s">
        <v>69</v>
      </c>
      <c r="Z156" t="s">
        <v>40</v>
      </c>
      <c r="AA156">
        <v>5</v>
      </c>
      <c r="AB156">
        <v>3</v>
      </c>
      <c r="AC156" t="s">
        <v>41</v>
      </c>
      <c r="AD156" t="s">
        <v>67</v>
      </c>
      <c r="AE156" t="s">
        <v>60</v>
      </c>
      <c r="AF156" s="3">
        <v>207</v>
      </c>
      <c r="AG156" s="3">
        <v>43</v>
      </c>
      <c r="AH156">
        <v>80</v>
      </c>
      <c r="AI156">
        <v>8</v>
      </c>
      <c r="AJ156">
        <v>0</v>
      </c>
      <c r="AL156">
        <v>0</v>
      </c>
      <c r="AM156">
        <v>1</v>
      </c>
      <c r="AN156" t="s">
        <v>768</v>
      </c>
      <c r="AO156" t="s">
        <v>41</v>
      </c>
    </row>
    <row r="157" spans="1:41" x14ac:dyDescent="0.25">
      <c r="A157">
        <v>42</v>
      </c>
      <c r="B157" t="s">
        <v>66</v>
      </c>
      <c r="C157" t="s">
        <v>33</v>
      </c>
      <c r="D157">
        <v>26</v>
      </c>
      <c r="E157" t="s">
        <v>61</v>
      </c>
      <c r="F157">
        <v>3</v>
      </c>
      <c r="G157">
        <v>3</v>
      </c>
      <c r="H157" t="s">
        <v>50</v>
      </c>
      <c r="I157">
        <v>1</v>
      </c>
      <c r="J157" t="s">
        <v>51</v>
      </c>
      <c r="K157">
        <v>13191</v>
      </c>
      <c r="L157">
        <v>3</v>
      </c>
      <c r="M157" t="s">
        <v>31</v>
      </c>
      <c r="N157">
        <v>17</v>
      </c>
      <c r="O157">
        <v>3</v>
      </c>
      <c r="P157">
        <v>0</v>
      </c>
      <c r="Q157">
        <v>20</v>
      </c>
      <c r="R157">
        <v>6</v>
      </c>
      <c r="S157">
        <v>1</v>
      </c>
      <c r="T157">
        <v>0</v>
      </c>
      <c r="U157">
        <v>0</v>
      </c>
      <c r="V157" t="s">
        <v>37</v>
      </c>
      <c r="W157" s="1" t="s">
        <v>146</v>
      </c>
      <c r="Y157" t="s">
        <v>63</v>
      </c>
      <c r="Z157" t="s">
        <v>40</v>
      </c>
      <c r="AA157">
        <v>1</v>
      </c>
      <c r="AB157">
        <v>3</v>
      </c>
      <c r="AC157" t="s">
        <v>41</v>
      </c>
      <c r="AD157" t="s">
        <v>48</v>
      </c>
      <c r="AE157" t="s">
        <v>49</v>
      </c>
      <c r="AF157" s="3">
        <v>208</v>
      </c>
      <c r="AG157" s="3">
        <v>41</v>
      </c>
      <c r="AH157">
        <v>80</v>
      </c>
      <c r="AI157">
        <v>7</v>
      </c>
      <c r="AJ157">
        <v>0</v>
      </c>
      <c r="AL157">
        <v>0</v>
      </c>
      <c r="AM157">
        <v>1</v>
      </c>
      <c r="AN157" t="s">
        <v>768</v>
      </c>
      <c r="AO157" t="s">
        <v>41</v>
      </c>
    </row>
    <row r="158" spans="1:41" x14ac:dyDescent="0.25">
      <c r="A158">
        <v>19</v>
      </c>
      <c r="B158" t="s">
        <v>81</v>
      </c>
      <c r="C158" t="s">
        <v>33</v>
      </c>
      <c r="D158">
        <v>10</v>
      </c>
      <c r="E158" t="s">
        <v>61</v>
      </c>
      <c r="F158">
        <v>2</v>
      </c>
      <c r="G158">
        <v>1</v>
      </c>
      <c r="H158" t="s">
        <v>44</v>
      </c>
      <c r="I158">
        <v>2</v>
      </c>
      <c r="J158" t="s">
        <v>36</v>
      </c>
      <c r="K158">
        <v>1859</v>
      </c>
      <c r="L158">
        <v>1</v>
      </c>
      <c r="M158" t="s">
        <v>31</v>
      </c>
      <c r="N158">
        <v>25</v>
      </c>
      <c r="O158">
        <v>4</v>
      </c>
      <c r="P158">
        <v>0</v>
      </c>
      <c r="Q158">
        <v>1</v>
      </c>
      <c r="R158">
        <v>2</v>
      </c>
      <c r="S158">
        <v>1</v>
      </c>
      <c r="T158">
        <v>0</v>
      </c>
      <c r="U158">
        <v>0</v>
      </c>
      <c r="V158" t="s">
        <v>37</v>
      </c>
      <c r="W158" s="2">
        <v>43834</v>
      </c>
      <c r="Y158" t="s">
        <v>46</v>
      </c>
      <c r="Z158" t="s">
        <v>40</v>
      </c>
      <c r="AA158">
        <v>1</v>
      </c>
      <c r="AB158">
        <v>1</v>
      </c>
      <c r="AC158" t="s">
        <v>31</v>
      </c>
      <c r="AD158" t="s">
        <v>67</v>
      </c>
      <c r="AE158" t="s">
        <v>49</v>
      </c>
      <c r="AF158" s="3">
        <v>211</v>
      </c>
      <c r="AG158" s="3">
        <v>34</v>
      </c>
      <c r="AH158">
        <v>80</v>
      </c>
      <c r="AI158">
        <v>0</v>
      </c>
      <c r="AJ158">
        <v>0</v>
      </c>
      <c r="AL158">
        <v>0</v>
      </c>
      <c r="AM158">
        <v>1</v>
      </c>
      <c r="AN158" t="s">
        <v>768</v>
      </c>
      <c r="AO158" t="s">
        <v>41</v>
      </c>
    </row>
    <row r="159" spans="1:41" x14ac:dyDescent="0.25">
      <c r="A159">
        <v>49</v>
      </c>
      <c r="B159" t="s">
        <v>32</v>
      </c>
      <c r="C159" t="s">
        <v>33</v>
      </c>
      <c r="D159">
        <v>4</v>
      </c>
      <c r="E159" t="s">
        <v>34</v>
      </c>
      <c r="F159">
        <v>2</v>
      </c>
      <c r="G159">
        <v>5</v>
      </c>
      <c r="H159" t="s">
        <v>75</v>
      </c>
      <c r="I159">
        <v>3</v>
      </c>
      <c r="J159" t="s">
        <v>51</v>
      </c>
      <c r="K159">
        <v>18711</v>
      </c>
      <c r="L159">
        <v>2</v>
      </c>
      <c r="M159" t="s">
        <v>41</v>
      </c>
      <c r="N159">
        <v>13</v>
      </c>
      <c r="O159">
        <v>3</v>
      </c>
      <c r="P159">
        <v>1</v>
      </c>
      <c r="Q159">
        <v>23</v>
      </c>
      <c r="R159">
        <v>2</v>
      </c>
      <c r="S159">
        <v>1</v>
      </c>
      <c r="T159">
        <v>0</v>
      </c>
      <c r="U159">
        <v>0</v>
      </c>
      <c r="V159" t="s">
        <v>52</v>
      </c>
      <c r="W159" s="1" t="s">
        <v>147</v>
      </c>
      <c r="Y159" t="s">
        <v>39</v>
      </c>
      <c r="Z159" t="s">
        <v>40</v>
      </c>
      <c r="AA159">
        <v>4</v>
      </c>
      <c r="AB159">
        <v>1</v>
      </c>
      <c r="AC159" t="s">
        <v>41</v>
      </c>
      <c r="AD159" t="s">
        <v>48</v>
      </c>
      <c r="AE159" t="s">
        <v>43</v>
      </c>
      <c r="AF159" s="3">
        <v>214</v>
      </c>
      <c r="AG159" s="3">
        <v>75</v>
      </c>
      <c r="AH159">
        <v>80</v>
      </c>
      <c r="AI159">
        <v>0</v>
      </c>
      <c r="AJ159">
        <v>0</v>
      </c>
      <c r="AL159">
        <v>0</v>
      </c>
      <c r="AM159">
        <v>1</v>
      </c>
      <c r="AN159" t="s">
        <v>768</v>
      </c>
      <c r="AO159" t="s">
        <v>41</v>
      </c>
    </row>
    <row r="160" spans="1:41" x14ac:dyDescent="0.25">
      <c r="A160">
        <v>48</v>
      </c>
      <c r="B160" t="s">
        <v>32</v>
      </c>
      <c r="C160" t="s">
        <v>33</v>
      </c>
      <c r="D160">
        <v>2</v>
      </c>
      <c r="E160" t="s">
        <v>34</v>
      </c>
      <c r="F160">
        <v>4</v>
      </c>
      <c r="G160">
        <v>1</v>
      </c>
      <c r="H160" t="s">
        <v>35</v>
      </c>
      <c r="I160">
        <v>2</v>
      </c>
      <c r="J160" t="s">
        <v>36</v>
      </c>
      <c r="K160">
        <v>2559</v>
      </c>
      <c r="L160">
        <v>5</v>
      </c>
      <c r="M160" t="s">
        <v>41</v>
      </c>
      <c r="N160">
        <v>11</v>
      </c>
      <c r="O160">
        <v>3</v>
      </c>
      <c r="P160">
        <v>0</v>
      </c>
      <c r="Q160">
        <v>7</v>
      </c>
      <c r="R160">
        <v>4</v>
      </c>
      <c r="S160">
        <v>1</v>
      </c>
      <c r="T160">
        <v>0</v>
      </c>
      <c r="U160">
        <v>0</v>
      </c>
      <c r="V160" t="s">
        <v>37</v>
      </c>
      <c r="W160" s="2">
        <v>43983</v>
      </c>
      <c r="Y160" t="s">
        <v>69</v>
      </c>
      <c r="Z160" t="s">
        <v>40</v>
      </c>
      <c r="AA160">
        <v>3</v>
      </c>
      <c r="AB160">
        <v>0</v>
      </c>
      <c r="AC160" t="s">
        <v>41</v>
      </c>
      <c r="AD160" t="s">
        <v>48</v>
      </c>
      <c r="AE160" t="s">
        <v>49</v>
      </c>
      <c r="AF160" s="3">
        <v>215</v>
      </c>
      <c r="AG160" s="3">
        <v>67</v>
      </c>
      <c r="AH160">
        <v>80</v>
      </c>
      <c r="AI160">
        <v>11</v>
      </c>
      <c r="AJ160">
        <v>0</v>
      </c>
      <c r="AL160">
        <v>0</v>
      </c>
      <c r="AM160">
        <v>1</v>
      </c>
      <c r="AN160" t="s">
        <v>768</v>
      </c>
      <c r="AO160" t="s">
        <v>41</v>
      </c>
    </row>
    <row r="161" spans="1:41" x14ac:dyDescent="0.25">
      <c r="A161">
        <v>48</v>
      </c>
      <c r="B161" t="s">
        <v>32</v>
      </c>
      <c r="C161" t="s">
        <v>33</v>
      </c>
      <c r="D161">
        <v>1</v>
      </c>
      <c r="E161" t="s">
        <v>34</v>
      </c>
      <c r="F161">
        <v>2</v>
      </c>
      <c r="G161">
        <v>5</v>
      </c>
      <c r="H161" t="s">
        <v>50</v>
      </c>
      <c r="I161">
        <v>4</v>
      </c>
      <c r="J161" t="s">
        <v>36</v>
      </c>
      <c r="K161">
        <v>18265</v>
      </c>
      <c r="L161">
        <v>6</v>
      </c>
      <c r="M161" t="s">
        <v>41</v>
      </c>
      <c r="N161">
        <v>12</v>
      </c>
      <c r="O161">
        <v>3</v>
      </c>
      <c r="P161">
        <v>0</v>
      </c>
      <c r="Q161">
        <v>25</v>
      </c>
      <c r="R161">
        <v>3</v>
      </c>
      <c r="S161">
        <v>1</v>
      </c>
      <c r="T161">
        <v>0</v>
      </c>
      <c r="U161">
        <v>0</v>
      </c>
      <c r="V161" t="s">
        <v>37</v>
      </c>
      <c r="W161" s="2">
        <v>43892</v>
      </c>
      <c r="Y161" t="s">
        <v>69</v>
      </c>
      <c r="Z161" t="s">
        <v>47</v>
      </c>
      <c r="AA161">
        <v>5</v>
      </c>
      <c r="AB161">
        <v>0</v>
      </c>
      <c r="AC161" t="s">
        <v>31</v>
      </c>
      <c r="AD161" t="s">
        <v>67</v>
      </c>
      <c r="AE161" t="s">
        <v>49</v>
      </c>
      <c r="AF161" s="3">
        <v>216</v>
      </c>
      <c r="AG161" s="3">
        <v>75</v>
      </c>
      <c r="AH161">
        <v>80</v>
      </c>
      <c r="AI161">
        <v>3</v>
      </c>
      <c r="AJ161">
        <v>0</v>
      </c>
      <c r="AL161">
        <v>0</v>
      </c>
      <c r="AM161">
        <v>1</v>
      </c>
      <c r="AN161" t="s">
        <v>768</v>
      </c>
      <c r="AO161" t="s">
        <v>41</v>
      </c>
    </row>
    <row r="162" spans="1:41" x14ac:dyDescent="0.25">
      <c r="A162">
        <v>34</v>
      </c>
      <c r="B162" t="s">
        <v>32</v>
      </c>
      <c r="C162" t="s">
        <v>33</v>
      </c>
      <c r="D162">
        <v>20</v>
      </c>
      <c r="E162" t="s">
        <v>61</v>
      </c>
      <c r="F162">
        <v>4</v>
      </c>
      <c r="G162">
        <v>1</v>
      </c>
      <c r="H162" t="s">
        <v>44</v>
      </c>
      <c r="I162">
        <v>3</v>
      </c>
      <c r="J162" t="s">
        <v>51</v>
      </c>
      <c r="K162">
        <v>2585</v>
      </c>
      <c r="L162">
        <v>0</v>
      </c>
      <c r="M162" t="s">
        <v>41</v>
      </c>
      <c r="N162">
        <v>17</v>
      </c>
      <c r="O162">
        <v>3</v>
      </c>
      <c r="P162">
        <v>0</v>
      </c>
      <c r="Q162">
        <v>2</v>
      </c>
      <c r="R162">
        <v>5</v>
      </c>
      <c r="S162">
        <v>1</v>
      </c>
      <c r="T162">
        <v>0</v>
      </c>
      <c r="U162">
        <v>0</v>
      </c>
      <c r="V162" t="s">
        <v>72</v>
      </c>
      <c r="W162" s="2">
        <v>44108</v>
      </c>
      <c r="Y162" t="s">
        <v>54</v>
      </c>
      <c r="Z162" t="s">
        <v>47</v>
      </c>
      <c r="AA162">
        <v>5</v>
      </c>
      <c r="AB162">
        <v>2</v>
      </c>
      <c r="AC162" t="s">
        <v>31</v>
      </c>
      <c r="AD162" t="s">
        <v>48</v>
      </c>
      <c r="AE162" t="s">
        <v>60</v>
      </c>
      <c r="AF162" s="3">
        <v>217</v>
      </c>
      <c r="AG162" s="3">
        <v>80</v>
      </c>
      <c r="AH162">
        <v>80</v>
      </c>
      <c r="AI162">
        <v>2</v>
      </c>
      <c r="AJ162">
        <v>0</v>
      </c>
      <c r="AL162">
        <v>0</v>
      </c>
      <c r="AM162">
        <v>1</v>
      </c>
      <c r="AN162" t="s">
        <v>768</v>
      </c>
      <c r="AO162" t="s">
        <v>41</v>
      </c>
    </row>
    <row r="163" spans="1:41" x14ac:dyDescent="0.25">
      <c r="A163">
        <v>19</v>
      </c>
      <c r="B163" t="s">
        <v>32</v>
      </c>
      <c r="C163" t="s">
        <v>33</v>
      </c>
      <c r="D163">
        <v>25</v>
      </c>
      <c r="E163" t="s">
        <v>61</v>
      </c>
      <c r="F163">
        <v>4</v>
      </c>
      <c r="G163">
        <v>1</v>
      </c>
      <c r="H163" t="s">
        <v>44</v>
      </c>
      <c r="I163">
        <v>4</v>
      </c>
      <c r="J163" t="s">
        <v>36</v>
      </c>
      <c r="K163">
        <v>2994</v>
      </c>
      <c r="L163">
        <v>1</v>
      </c>
      <c r="M163" t="s">
        <v>31</v>
      </c>
      <c r="N163">
        <v>12</v>
      </c>
      <c r="O163">
        <v>3</v>
      </c>
      <c r="P163">
        <v>0</v>
      </c>
      <c r="Q163">
        <v>1</v>
      </c>
      <c r="R163">
        <v>2</v>
      </c>
      <c r="S163">
        <v>1</v>
      </c>
      <c r="T163">
        <v>0</v>
      </c>
      <c r="U163">
        <v>1</v>
      </c>
      <c r="V163" t="s">
        <v>52</v>
      </c>
      <c r="W163" s="1" t="s">
        <v>146</v>
      </c>
      <c r="Y163" t="s">
        <v>69</v>
      </c>
      <c r="Z163" t="s">
        <v>47</v>
      </c>
      <c r="AA163">
        <v>3</v>
      </c>
      <c r="AB163">
        <v>0</v>
      </c>
      <c r="AC163" t="s">
        <v>41</v>
      </c>
      <c r="AD163" t="s">
        <v>67</v>
      </c>
      <c r="AE163" t="s">
        <v>43</v>
      </c>
      <c r="AF163" s="3">
        <v>218</v>
      </c>
      <c r="AG163" s="3">
        <v>57</v>
      </c>
      <c r="AH163">
        <v>80</v>
      </c>
      <c r="AI163">
        <v>2</v>
      </c>
      <c r="AJ163">
        <v>0</v>
      </c>
      <c r="AL163">
        <v>0</v>
      </c>
      <c r="AM163">
        <v>1</v>
      </c>
      <c r="AN163" t="s">
        <v>768</v>
      </c>
      <c r="AO163" t="s">
        <v>41</v>
      </c>
    </row>
    <row r="164" spans="1:41" x14ac:dyDescent="0.25">
      <c r="A164">
        <v>23</v>
      </c>
      <c r="B164" t="s">
        <v>32</v>
      </c>
      <c r="C164" t="s">
        <v>33</v>
      </c>
      <c r="D164">
        <v>1</v>
      </c>
      <c r="E164" t="s">
        <v>34</v>
      </c>
      <c r="F164">
        <v>3</v>
      </c>
      <c r="G164">
        <v>1</v>
      </c>
      <c r="H164" t="s">
        <v>44</v>
      </c>
      <c r="I164">
        <v>3</v>
      </c>
      <c r="J164" t="s">
        <v>51</v>
      </c>
      <c r="K164">
        <v>1223</v>
      </c>
      <c r="L164">
        <v>1</v>
      </c>
      <c r="M164" t="s">
        <v>41</v>
      </c>
      <c r="N164">
        <v>22</v>
      </c>
      <c r="O164">
        <v>4</v>
      </c>
      <c r="P164">
        <v>1</v>
      </c>
      <c r="Q164">
        <v>1</v>
      </c>
      <c r="R164">
        <v>2</v>
      </c>
      <c r="S164">
        <v>1</v>
      </c>
      <c r="T164">
        <v>0</v>
      </c>
      <c r="U164">
        <v>1</v>
      </c>
      <c r="V164" t="s">
        <v>37</v>
      </c>
      <c r="W164" s="1" t="s">
        <v>148</v>
      </c>
      <c r="Y164" t="s">
        <v>63</v>
      </c>
      <c r="Z164" t="s">
        <v>40</v>
      </c>
      <c r="AA164">
        <v>2</v>
      </c>
      <c r="AB164">
        <v>1</v>
      </c>
      <c r="AC164" t="s">
        <v>31</v>
      </c>
      <c r="AD164" t="s">
        <v>42</v>
      </c>
      <c r="AE164" t="s">
        <v>60</v>
      </c>
      <c r="AF164" s="3">
        <v>221</v>
      </c>
      <c r="AG164" s="3">
        <v>42</v>
      </c>
      <c r="AH164">
        <v>80</v>
      </c>
      <c r="AI164">
        <v>2</v>
      </c>
      <c r="AJ164">
        <v>0</v>
      </c>
      <c r="AL164">
        <v>0</v>
      </c>
      <c r="AM164">
        <v>1</v>
      </c>
      <c r="AN164" t="s">
        <v>768</v>
      </c>
      <c r="AO164" t="s">
        <v>41</v>
      </c>
    </row>
    <row r="165" spans="1:41" x14ac:dyDescent="0.25">
      <c r="A165">
        <v>25</v>
      </c>
      <c r="B165" t="s">
        <v>66</v>
      </c>
      <c r="C165" t="s">
        <v>55</v>
      </c>
      <c r="D165">
        <v>24</v>
      </c>
      <c r="E165" t="s">
        <v>34</v>
      </c>
      <c r="F165">
        <v>1</v>
      </c>
      <c r="G165">
        <v>1</v>
      </c>
      <c r="H165" t="s">
        <v>56</v>
      </c>
      <c r="I165">
        <v>4</v>
      </c>
      <c r="J165" t="s">
        <v>36</v>
      </c>
      <c r="K165">
        <v>1118</v>
      </c>
      <c r="L165">
        <v>1</v>
      </c>
      <c r="M165" t="s">
        <v>31</v>
      </c>
      <c r="N165">
        <v>14</v>
      </c>
      <c r="O165">
        <v>3</v>
      </c>
      <c r="P165">
        <v>0</v>
      </c>
      <c r="Q165">
        <v>1</v>
      </c>
      <c r="R165">
        <v>4</v>
      </c>
      <c r="S165">
        <v>1</v>
      </c>
      <c r="T165">
        <v>1</v>
      </c>
      <c r="U165">
        <v>0</v>
      </c>
      <c r="V165" t="s">
        <v>58</v>
      </c>
      <c r="W165" s="1" t="s">
        <v>135</v>
      </c>
      <c r="Y165" t="s">
        <v>63</v>
      </c>
      <c r="Z165" t="s">
        <v>40</v>
      </c>
      <c r="AA165">
        <v>0</v>
      </c>
      <c r="AB165">
        <v>1</v>
      </c>
      <c r="AC165" t="s">
        <v>41</v>
      </c>
      <c r="AD165" t="s">
        <v>67</v>
      </c>
      <c r="AE165" t="s">
        <v>60</v>
      </c>
      <c r="AF165" s="3">
        <v>223</v>
      </c>
      <c r="AG165" s="3">
        <v>83</v>
      </c>
      <c r="AH165">
        <v>80</v>
      </c>
      <c r="AI165">
        <v>3</v>
      </c>
      <c r="AJ165">
        <v>0</v>
      </c>
      <c r="AL165">
        <v>0</v>
      </c>
      <c r="AM165">
        <v>1</v>
      </c>
      <c r="AN165" t="s">
        <v>768</v>
      </c>
      <c r="AO165" t="s">
        <v>41</v>
      </c>
    </row>
    <row r="166" spans="1:41" x14ac:dyDescent="0.25">
      <c r="A166">
        <v>42</v>
      </c>
      <c r="B166" t="s">
        <v>32</v>
      </c>
      <c r="C166" t="s">
        <v>33</v>
      </c>
      <c r="D166">
        <v>7</v>
      </c>
      <c r="E166" t="s">
        <v>61</v>
      </c>
      <c r="F166">
        <v>4</v>
      </c>
      <c r="G166">
        <v>2</v>
      </c>
      <c r="H166" t="s">
        <v>44</v>
      </c>
      <c r="I166">
        <v>2</v>
      </c>
      <c r="J166" t="s">
        <v>51</v>
      </c>
      <c r="K166">
        <v>2372</v>
      </c>
      <c r="L166">
        <v>6</v>
      </c>
      <c r="M166" t="s">
        <v>31</v>
      </c>
      <c r="N166">
        <v>16</v>
      </c>
      <c r="O166">
        <v>3</v>
      </c>
      <c r="P166">
        <v>0</v>
      </c>
      <c r="Q166">
        <v>18</v>
      </c>
      <c r="R166">
        <v>2</v>
      </c>
      <c r="S166">
        <v>1</v>
      </c>
      <c r="T166">
        <v>0</v>
      </c>
      <c r="U166">
        <v>0</v>
      </c>
      <c r="V166" t="s">
        <v>72</v>
      </c>
      <c r="W166" s="1" t="s">
        <v>149</v>
      </c>
      <c r="Y166" t="s">
        <v>46</v>
      </c>
      <c r="Z166" t="s">
        <v>47</v>
      </c>
      <c r="AA166">
        <v>5</v>
      </c>
      <c r="AB166">
        <v>3</v>
      </c>
      <c r="AC166" t="s">
        <v>31</v>
      </c>
      <c r="AD166" t="s">
        <v>67</v>
      </c>
      <c r="AE166" t="s">
        <v>60</v>
      </c>
      <c r="AF166" s="3">
        <v>224</v>
      </c>
      <c r="AG166" s="3">
        <v>79</v>
      </c>
      <c r="AH166">
        <v>80</v>
      </c>
      <c r="AI166">
        <v>1</v>
      </c>
      <c r="AJ166">
        <v>0</v>
      </c>
      <c r="AL166">
        <v>0</v>
      </c>
      <c r="AM166">
        <v>1</v>
      </c>
      <c r="AN166" t="s">
        <v>768</v>
      </c>
      <c r="AO166" t="s">
        <v>41</v>
      </c>
    </row>
    <row r="167" spans="1:41" x14ac:dyDescent="0.25">
      <c r="A167">
        <v>27</v>
      </c>
      <c r="B167" t="s">
        <v>32</v>
      </c>
      <c r="C167" t="s">
        <v>55</v>
      </c>
      <c r="D167">
        <v>11</v>
      </c>
      <c r="E167" t="s">
        <v>61</v>
      </c>
      <c r="F167">
        <v>4</v>
      </c>
      <c r="G167">
        <v>1</v>
      </c>
      <c r="H167" t="s">
        <v>56</v>
      </c>
      <c r="I167">
        <v>4</v>
      </c>
      <c r="J167" t="s">
        <v>51</v>
      </c>
      <c r="K167">
        <v>2534</v>
      </c>
      <c r="L167">
        <v>8</v>
      </c>
      <c r="M167" t="s">
        <v>41</v>
      </c>
      <c r="N167">
        <v>14</v>
      </c>
      <c r="O167">
        <v>3</v>
      </c>
      <c r="P167">
        <v>1</v>
      </c>
      <c r="Q167">
        <v>5</v>
      </c>
      <c r="R167">
        <v>4</v>
      </c>
      <c r="S167">
        <v>1</v>
      </c>
      <c r="T167">
        <v>0</v>
      </c>
      <c r="U167">
        <v>0</v>
      </c>
      <c r="V167" t="s">
        <v>52</v>
      </c>
      <c r="W167" s="1" t="s">
        <v>150</v>
      </c>
      <c r="Y167" t="s">
        <v>46</v>
      </c>
      <c r="Z167" t="s">
        <v>40</v>
      </c>
      <c r="AA167">
        <v>2</v>
      </c>
      <c r="AB167">
        <v>1</v>
      </c>
      <c r="AC167" t="s">
        <v>31</v>
      </c>
      <c r="AD167" t="s">
        <v>65</v>
      </c>
      <c r="AE167" t="s">
        <v>43</v>
      </c>
      <c r="AF167" s="3">
        <v>226</v>
      </c>
      <c r="AG167" s="3">
        <v>53</v>
      </c>
      <c r="AH167">
        <v>80</v>
      </c>
      <c r="AI167">
        <v>4</v>
      </c>
      <c r="AJ167">
        <v>0</v>
      </c>
      <c r="AL167">
        <v>0</v>
      </c>
      <c r="AM167">
        <v>1</v>
      </c>
      <c r="AN167" t="s">
        <v>768</v>
      </c>
      <c r="AO167" t="s">
        <v>41</v>
      </c>
    </row>
    <row r="168" spans="1:41" x14ac:dyDescent="0.25">
      <c r="A168">
        <v>31</v>
      </c>
      <c r="B168" t="s">
        <v>66</v>
      </c>
      <c r="C168" t="s">
        <v>55</v>
      </c>
      <c r="D168">
        <v>2</v>
      </c>
      <c r="E168" t="s">
        <v>61</v>
      </c>
      <c r="F168">
        <v>2</v>
      </c>
      <c r="G168">
        <v>1</v>
      </c>
      <c r="H168" t="s">
        <v>56</v>
      </c>
      <c r="I168">
        <v>4</v>
      </c>
      <c r="J168" t="s">
        <v>36</v>
      </c>
      <c r="K168">
        <v>2785</v>
      </c>
      <c r="L168">
        <v>7</v>
      </c>
      <c r="M168" t="s">
        <v>41</v>
      </c>
      <c r="N168">
        <v>14</v>
      </c>
      <c r="O168">
        <v>3</v>
      </c>
      <c r="P168">
        <v>0</v>
      </c>
      <c r="Q168">
        <v>3</v>
      </c>
      <c r="R168">
        <v>3</v>
      </c>
      <c r="S168">
        <v>1</v>
      </c>
      <c r="T168">
        <v>0</v>
      </c>
      <c r="U168">
        <v>0</v>
      </c>
      <c r="V168" t="s">
        <v>72</v>
      </c>
      <c r="W168" s="1" t="s">
        <v>135</v>
      </c>
      <c r="Y168" t="s">
        <v>54</v>
      </c>
      <c r="Z168" t="s">
        <v>47</v>
      </c>
      <c r="AA168">
        <v>1</v>
      </c>
      <c r="AB168">
        <v>1</v>
      </c>
      <c r="AC168" t="s">
        <v>41</v>
      </c>
      <c r="AD168" t="s">
        <v>48</v>
      </c>
      <c r="AE168" t="s">
        <v>43</v>
      </c>
      <c r="AF168" s="3">
        <v>227</v>
      </c>
      <c r="AG168" s="3">
        <v>56</v>
      </c>
      <c r="AH168">
        <v>80</v>
      </c>
      <c r="AI168">
        <v>8</v>
      </c>
      <c r="AJ168">
        <v>0</v>
      </c>
      <c r="AL168">
        <v>0</v>
      </c>
      <c r="AM168">
        <v>1</v>
      </c>
      <c r="AN168" t="s">
        <v>768</v>
      </c>
      <c r="AO168" t="s">
        <v>41</v>
      </c>
    </row>
    <row r="169" spans="1:41" x14ac:dyDescent="0.25">
      <c r="A169">
        <v>31</v>
      </c>
      <c r="B169" t="s">
        <v>66</v>
      </c>
      <c r="C169" t="s">
        <v>55</v>
      </c>
      <c r="D169">
        <v>1</v>
      </c>
      <c r="E169" t="s">
        <v>61</v>
      </c>
      <c r="F169">
        <v>1</v>
      </c>
      <c r="G169">
        <v>1</v>
      </c>
      <c r="H169" t="s">
        <v>56</v>
      </c>
      <c r="I169">
        <v>3</v>
      </c>
      <c r="J169" t="s">
        <v>36</v>
      </c>
      <c r="K169">
        <v>1359</v>
      </c>
      <c r="L169">
        <v>1</v>
      </c>
      <c r="M169" t="s">
        <v>41</v>
      </c>
      <c r="N169">
        <v>12</v>
      </c>
      <c r="O169">
        <v>3</v>
      </c>
      <c r="P169">
        <v>0</v>
      </c>
      <c r="Q169">
        <v>1</v>
      </c>
      <c r="R169">
        <v>3</v>
      </c>
      <c r="S169">
        <v>1</v>
      </c>
      <c r="T169">
        <v>0</v>
      </c>
      <c r="U169">
        <v>0</v>
      </c>
      <c r="V169" t="s">
        <v>37</v>
      </c>
      <c r="W169" s="1" t="s">
        <v>135</v>
      </c>
      <c r="Y169" t="s">
        <v>54</v>
      </c>
      <c r="Z169" t="s">
        <v>47</v>
      </c>
      <c r="AA169">
        <v>0</v>
      </c>
      <c r="AB169">
        <v>1</v>
      </c>
      <c r="AC169" t="s">
        <v>31</v>
      </c>
      <c r="AD169" t="s">
        <v>48</v>
      </c>
      <c r="AE169" t="s">
        <v>49</v>
      </c>
      <c r="AF169" s="3">
        <v>228</v>
      </c>
      <c r="AG169" s="3">
        <v>41</v>
      </c>
      <c r="AH169">
        <v>80</v>
      </c>
      <c r="AI169">
        <v>9</v>
      </c>
      <c r="AJ169">
        <v>0</v>
      </c>
      <c r="AL169">
        <v>0</v>
      </c>
      <c r="AM169">
        <v>1</v>
      </c>
      <c r="AN169" t="s">
        <v>768</v>
      </c>
      <c r="AO169" t="s">
        <v>41</v>
      </c>
    </row>
    <row r="170" spans="1:41" x14ac:dyDescent="0.25">
      <c r="A170">
        <v>31</v>
      </c>
      <c r="B170" t="s">
        <v>32</v>
      </c>
      <c r="C170" t="s">
        <v>33</v>
      </c>
      <c r="D170">
        <v>8</v>
      </c>
      <c r="E170" t="s">
        <v>61</v>
      </c>
      <c r="F170">
        <v>2</v>
      </c>
      <c r="G170">
        <v>1</v>
      </c>
      <c r="H170" t="s">
        <v>44</v>
      </c>
      <c r="I170">
        <v>2</v>
      </c>
      <c r="J170" t="s">
        <v>36</v>
      </c>
      <c r="K170">
        <v>1261</v>
      </c>
      <c r="L170">
        <v>1</v>
      </c>
      <c r="M170" t="s">
        <v>41</v>
      </c>
      <c r="N170">
        <v>12</v>
      </c>
      <c r="O170">
        <v>3</v>
      </c>
      <c r="P170">
        <v>0</v>
      </c>
      <c r="Q170">
        <v>1</v>
      </c>
      <c r="R170">
        <v>3</v>
      </c>
      <c r="S170">
        <v>1</v>
      </c>
      <c r="T170">
        <v>0</v>
      </c>
      <c r="U170">
        <v>0</v>
      </c>
      <c r="V170" t="s">
        <v>37</v>
      </c>
      <c r="W170" s="1" t="s">
        <v>151</v>
      </c>
      <c r="Y170" t="s">
        <v>39</v>
      </c>
      <c r="Z170" t="s">
        <v>47</v>
      </c>
      <c r="AA170">
        <v>5</v>
      </c>
      <c r="AB170">
        <v>2</v>
      </c>
      <c r="AC170" t="s">
        <v>31</v>
      </c>
      <c r="AD170" t="s">
        <v>65</v>
      </c>
      <c r="AE170" t="s">
        <v>43</v>
      </c>
      <c r="AF170" s="3">
        <v>230</v>
      </c>
      <c r="AG170" s="3">
        <v>59</v>
      </c>
      <c r="AH170">
        <v>80</v>
      </c>
      <c r="AI170">
        <v>3</v>
      </c>
      <c r="AJ170">
        <v>0</v>
      </c>
      <c r="AL170">
        <v>0</v>
      </c>
      <c r="AM170">
        <v>1</v>
      </c>
      <c r="AN170" t="s">
        <v>768</v>
      </c>
      <c r="AO170" t="s">
        <v>41</v>
      </c>
    </row>
    <row r="171" spans="1:41" x14ac:dyDescent="0.25">
      <c r="A171">
        <v>39</v>
      </c>
      <c r="B171" t="s">
        <v>81</v>
      </c>
      <c r="C171" t="s">
        <v>33</v>
      </c>
      <c r="D171">
        <v>2</v>
      </c>
      <c r="E171" t="s">
        <v>61</v>
      </c>
      <c r="F171">
        <v>2</v>
      </c>
      <c r="G171">
        <v>1</v>
      </c>
      <c r="H171" t="s">
        <v>35</v>
      </c>
      <c r="I171">
        <v>1</v>
      </c>
      <c r="J171" t="s">
        <v>36</v>
      </c>
      <c r="K171">
        <v>3646</v>
      </c>
      <c r="L171">
        <v>2</v>
      </c>
      <c r="M171" t="s">
        <v>31</v>
      </c>
      <c r="N171">
        <v>23</v>
      </c>
      <c r="O171">
        <v>4</v>
      </c>
      <c r="P171">
        <v>0</v>
      </c>
      <c r="Q171">
        <v>11</v>
      </c>
      <c r="R171">
        <v>2</v>
      </c>
      <c r="S171">
        <v>1</v>
      </c>
      <c r="T171">
        <v>0</v>
      </c>
      <c r="U171">
        <v>0</v>
      </c>
      <c r="V171" t="s">
        <v>58</v>
      </c>
      <c r="W171" s="1" t="s">
        <v>149</v>
      </c>
      <c r="Y171" t="s">
        <v>46</v>
      </c>
      <c r="Z171" t="s">
        <v>47</v>
      </c>
      <c r="AA171">
        <v>4</v>
      </c>
      <c r="AB171">
        <v>3</v>
      </c>
      <c r="AC171" t="s">
        <v>31</v>
      </c>
      <c r="AD171" t="s">
        <v>67</v>
      </c>
      <c r="AE171" t="s">
        <v>43</v>
      </c>
      <c r="AF171" s="3">
        <v>231</v>
      </c>
      <c r="AG171" s="3">
        <v>43</v>
      </c>
      <c r="AH171">
        <v>80</v>
      </c>
      <c r="AI171">
        <v>4</v>
      </c>
      <c r="AJ171">
        <v>0</v>
      </c>
      <c r="AL171">
        <v>0</v>
      </c>
      <c r="AM171">
        <v>1</v>
      </c>
      <c r="AN171" t="s">
        <v>768</v>
      </c>
      <c r="AO171" t="s">
        <v>41</v>
      </c>
    </row>
    <row r="172" spans="1:41" x14ac:dyDescent="0.25">
      <c r="A172">
        <v>44</v>
      </c>
      <c r="B172" t="s">
        <v>66</v>
      </c>
      <c r="C172" t="s">
        <v>55</v>
      </c>
      <c r="D172">
        <v>1</v>
      </c>
      <c r="E172" t="s">
        <v>61</v>
      </c>
      <c r="F172">
        <v>3</v>
      </c>
      <c r="G172">
        <v>2</v>
      </c>
      <c r="H172" t="s">
        <v>70</v>
      </c>
      <c r="I172">
        <v>3</v>
      </c>
      <c r="J172" t="s">
        <v>51</v>
      </c>
      <c r="K172">
        <v>4768</v>
      </c>
      <c r="L172">
        <v>7</v>
      </c>
      <c r="M172" t="s">
        <v>41</v>
      </c>
      <c r="N172">
        <v>12</v>
      </c>
      <c r="O172">
        <v>3</v>
      </c>
      <c r="P172">
        <v>1</v>
      </c>
      <c r="Q172">
        <v>11</v>
      </c>
      <c r="R172">
        <v>4</v>
      </c>
      <c r="S172">
        <v>1</v>
      </c>
      <c r="T172">
        <v>0</v>
      </c>
      <c r="U172">
        <v>0</v>
      </c>
      <c r="V172" t="s">
        <v>37</v>
      </c>
      <c r="W172" s="1" t="s">
        <v>134</v>
      </c>
      <c r="Y172" t="s">
        <v>46</v>
      </c>
      <c r="Z172" t="s">
        <v>40</v>
      </c>
      <c r="AA172">
        <v>0</v>
      </c>
      <c r="AB172">
        <v>2</v>
      </c>
      <c r="AC172" t="s">
        <v>41</v>
      </c>
      <c r="AD172" t="s">
        <v>65</v>
      </c>
      <c r="AE172" t="s">
        <v>43</v>
      </c>
      <c r="AF172" s="3">
        <v>233</v>
      </c>
      <c r="AG172" s="3">
        <v>51</v>
      </c>
      <c r="AH172">
        <v>80</v>
      </c>
      <c r="AI172">
        <v>2</v>
      </c>
      <c r="AJ172">
        <v>0</v>
      </c>
      <c r="AL172">
        <v>0</v>
      </c>
      <c r="AM172">
        <v>1</v>
      </c>
      <c r="AN172" t="s">
        <v>768</v>
      </c>
      <c r="AO172" t="s">
        <v>41</v>
      </c>
    </row>
    <row r="173" spans="1:41" x14ac:dyDescent="0.25">
      <c r="A173">
        <v>30</v>
      </c>
      <c r="B173" t="s">
        <v>81</v>
      </c>
      <c r="C173" t="s">
        <v>33</v>
      </c>
      <c r="D173">
        <v>7</v>
      </c>
      <c r="E173" t="s">
        <v>34</v>
      </c>
      <c r="F173">
        <v>3</v>
      </c>
      <c r="G173">
        <v>1</v>
      </c>
      <c r="H173" t="s">
        <v>44</v>
      </c>
      <c r="I173">
        <v>3</v>
      </c>
      <c r="J173" t="s">
        <v>57</v>
      </c>
      <c r="K173">
        <v>1274</v>
      </c>
      <c r="L173">
        <v>1</v>
      </c>
      <c r="M173" t="s">
        <v>41</v>
      </c>
      <c r="N173">
        <v>13</v>
      </c>
      <c r="O173">
        <v>3</v>
      </c>
      <c r="P173">
        <v>2</v>
      </c>
      <c r="Q173">
        <v>1</v>
      </c>
      <c r="R173">
        <v>2</v>
      </c>
      <c r="S173">
        <v>1</v>
      </c>
      <c r="T173">
        <v>0</v>
      </c>
      <c r="U173">
        <v>0</v>
      </c>
      <c r="V173" t="s">
        <v>52</v>
      </c>
      <c r="W173" s="1" t="s">
        <v>152</v>
      </c>
      <c r="Y173" t="s">
        <v>63</v>
      </c>
      <c r="Z173" t="s">
        <v>47</v>
      </c>
      <c r="AA173">
        <v>4</v>
      </c>
      <c r="AB173">
        <v>1</v>
      </c>
      <c r="AC173" t="s">
        <v>41</v>
      </c>
      <c r="AD173" t="s">
        <v>48</v>
      </c>
      <c r="AE173" t="s">
        <v>43</v>
      </c>
      <c r="AF173" s="3">
        <v>235</v>
      </c>
      <c r="AG173" s="3">
        <v>100</v>
      </c>
      <c r="AH173">
        <v>80</v>
      </c>
      <c r="AI173">
        <v>0</v>
      </c>
      <c r="AJ173">
        <v>1</v>
      </c>
      <c r="AK173">
        <v>1</v>
      </c>
      <c r="AL173">
        <v>1</v>
      </c>
      <c r="AM173">
        <v>0</v>
      </c>
      <c r="AN173" t="s">
        <v>767</v>
      </c>
      <c r="AO173" t="s">
        <v>31</v>
      </c>
    </row>
    <row r="174" spans="1:41" x14ac:dyDescent="0.25">
      <c r="A174">
        <v>35</v>
      </c>
      <c r="B174" t="s">
        <v>32</v>
      </c>
      <c r="C174" t="s">
        <v>55</v>
      </c>
      <c r="D174">
        <v>7</v>
      </c>
      <c r="E174" t="s">
        <v>34</v>
      </c>
      <c r="F174">
        <v>3</v>
      </c>
      <c r="G174">
        <v>1</v>
      </c>
      <c r="H174" t="s">
        <v>56</v>
      </c>
      <c r="I174">
        <v>3</v>
      </c>
      <c r="J174" t="s">
        <v>51</v>
      </c>
      <c r="K174">
        <v>2404</v>
      </c>
      <c r="L174">
        <v>1</v>
      </c>
      <c r="M174" t="s">
        <v>41</v>
      </c>
      <c r="N174">
        <v>13</v>
      </c>
      <c r="O174">
        <v>3</v>
      </c>
      <c r="P174">
        <v>1</v>
      </c>
      <c r="Q174">
        <v>1</v>
      </c>
      <c r="R174">
        <v>3</v>
      </c>
      <c r="S174">
        <v>1</v>
      </c>
      <c r="T174">
        <v>0</v>
      </c>
      <c r="U174">
        <v>0</v>
      </c>
      <c r="V174" t="s">
        <v>58</v>
      </c>
      <c r="W174" s="2">
        <v>43955</v>
      </c>
      <c r="Y174" t="s">
        <v>54</v>
      </c>
      <c r="Z174" t="s">
        <v>40</v>
      </c>
      <c r="AA174">
        <v>4</v>
      </c>
      <c r="AB174">
        <v>3</v>
      </c>
      <c r="AC174" t="s">
        <v>31</v>
      </c>
      <c r="AD174" t="s">
        <v>42</v>
      </c>
      <c r="AE174" t="s">
        <v>43</v>
      </c>
      <c r="AF174" s="3">
        <v>238</v>
      </c>
      <c r="AG174" s="3">
        <v>30</v>
      </c>
      <c r="AH174">
        <v>80</v>
      </c>
      <c r="AI174">
        <v>7</v>
      </c>
      <c r="AJ174">
        <v>0</v>
      </c>
      <c r="AL174">
        <v>0</v>
      </c>
      <c r="AM174">
        <v>1</v>
      </c>
      <c r="AN174" t="s">
        <v>768</v>
      </c>
      <c r="AO174" t="s">
        <v>41</v>
      </c>
    </row>
    <row r="175" spans="1:41" x14ac:dyDescent="0.25">
      <c r="A175">
        <v>24</v>
      </c>
      <c r="B175" t="s">
        <v>81</v>
      </c>
      <c r="C175" t="s">
        <v>55</v>
      </c>
      <c r="D175">
        <v>13</v>
      </c>
      <c r="E175" t="s">
        <v>61</v>
      </c>
      <c r="F175">
        <v>3</v>
      </c>
      <c r="G175">
        <v>1</v>
      </c>
      <c r="H175" t="s">
        <v>56</v>
      </c>
      <c r="I175">
        <v>2</v>
      </c>
      <c r="J175" t="s">
        <v>51</v>
      </c>
      <c r="K175">
        <v>2033</v>
      </c>
      <c r="L175">
        <v>1</v>
      </c>
      <c r="M175" t="s">
        <v>41</v>
      </c>
      <c r="N175">
        <v>13</v>
      </c>
      <c r="O175">
        <v>3</v>
      </c>
      <c r="P175">
        <v>1</v>
      </c>
      <c r="Q175">
        <v>1</v>
      </c>
      <c r="R175">
        <v>2</v>
      </c>
      <c r="S175">
        <v>1</v>
      </c>
      <c r="T175">
        <v>0</v>
      </c>
      <c r="U175">
        <v>0</v>
      </c>
      <c r="V175" t="s">
        <v>58</v>
      </c>
      <c r="W175" s="1" t="s">
        <v>103</v>
      </c>
      <c r="Y175" t="s">
        <v>54</v>
      </c>
      <c r="Z175" t="s">
        <v>40</v>
      </c>
      <c r="AA175">
        <v>4</v>
      </c>
      <c r="AB175">
        <v>1</v>
      </c>
      <c r="AC175" t="s">
        <v>31</v>
      </c>
      <c r="AD175" t="s">
        <v>48</v>
      </c>
      <c r="AE175" t="s">
        <v>60</v>
      </c>
      <c r="AF175" s="3">
        <v>239</v>
      </c>
      <c r="AG175" s="3">
        <v>66</v>
      </c>
      <c r="AH175">
        <v>80</v>
      </c>
      <c r="AI175">
        <v>9</v>
      </c>
      <c r="AJ175">
        <v>0</v>
      </c>
      <c r="AL175">
        <v>0</v>
      </c>
      <c r="AM175">
        <v>1</v>
      </c>
      <c r="AN175" t="s">
        <v>768</v>
      </c>
      <c r="AO175" t="s">
        <v>41</v>
      </c>
    </row>
    <row r="176" spans="1:41" x14ac:dyDescent="0.25">
      <c r="A176">
        <v>28</v>
      </c>
      <c r="B176" t="s">
        <v>32</v>
      </c>
      <c r="C176" t="s">
        <v>33</v>
      </c>
      <c r="D176">
        <v>1</v>
      </c>
      <c r="E176" t="s">
        <v>34</v>
      </c>
      <c r="F176">
        <v>2</v>
      </c>
      <c r="G176">
        <v>1</v>
      </c>
      <c r="H176" t="s">
        <v>44</v>
      </c>
      <c r="I176">
        <v>3</v>
      </c>
      <c r="J176" t="s">
        <v>57</v>
      </c>
      <c r="K176">
        <v>1563</v>
      </c>
      <c r="L176">
        <v>1</v>
      </c>
      <c r="M176" t="s">
        <v>41</v>
      </c>
      <c r="N176">
        <v>14</v>
      </c>
      <c r="O176">
        <v>3</v>
      </c>
      <c r="P176">
        <v>1</v>
      </c>
      <c r="Q176">
        <v>1</v>
      </c>
      <c r="R176">
        <v>2</v>
      </c>
      <c r="S176">
        <v>1</v>
      </c>
      <c r="T176">
        <v>0</v>
      </c>
      <c r="U176">
        <v>0</v>
      </c>
      <c r="V176" t="s">
        <v>72</v>
      </c>
      <c r="W176" s="1" t="s">
        <v>153</v>
      </c>
      <c r="Y176" t="s">
        <v>63</v>
      </c>
      <c r="Z176" t="s">
        <v>40</v>
      </c>
      <c r="AA176">
        <v>4</v>
      </c>
      <c r="AB176">
        <v>3</v>
      </c>
      <c r="AC176" t="s">
        <v>41</v>
      </c>
      <c r="AD176" t="s">
        <v>65</v>
      </c>
      <c r="AE176" t="s">
        <v>43</v>
      </c>
      <c r="AF176" s="3">
        <v>240</v>
      </c>
      <c r="AG176" s="3">
        <v>30</v>
      </c>
      <c r="AH176">
        <v>80</v>
      </c>
      <c r="AI176">
        <v>4</v>
      </c>
      <c r="AJ176">
        <v>0</v>
      </c>
      <c r="AL176">
        <v>0</v>
      </c>
      <c r="AM176">
        <v>1</v>
      </c>
      <c r="AN176" t="s">
        <v>768</v>
      </c>
      <c r="AO176" t="s">
        <v>41</v>
      </c>
    </row>
    <row r="177" spans="1:41" x14ac:dyDescent="0.25">
      <c r="A177">
        <v>42</v>
      </c>
      <c r="B177" t="s">
        <v>32</v>
      </c>
      <c r="C177" t="s">
        <v>33</v>
      </c>
      <c r="D177">
        <v>2</v>
      </c>
      <c r="E177" t="s">
        <v>34</v>
      </c>
      <c r="F177">
        <v>2</v>
      </c>
      <c r="G177">
        <v>1</v>
      </c>
      <c r="H177" t="s">
        <v>35</v>
      </c>
      <c r="I177">
        <v>2</v>
      </c>
      <c r="J177" t="s">
        <v>51</v>
      </c>
      <c r="K177">
        <v>4841</v>
      </c>
      <c r="L177">
        <v>4</v>
      </c>
      <c r="M177" t="s">
        <v>41</v>
      </c>
      <c r="N177">
        <v>14</v>
      </c>
      <c r="O177">
        <v>3</v>
      </c>
      <c r="P177">
        <v>1</v>
      </c>
      <c r="Q177">
        <v>4</v>
      </c>
      <c r="R177">
        <v>3</v>
      </c>
      <c r="S177">
        <v>1</v>
      </c>
      <c r="T177">
        <v>0</v>
      </c>
      <c r="U177">
        <v>0</v>
      </c>
      <c r="V177" t="s">
        <v>52</v>
      </c>
      <c r="W177" s="1" t="s">
        <v>154</v>
      </c>
      <c r="Y177" t="s">
        <v>46</v>
      </c>
      <c r="Z177" t="s">
        <v>47</v>
      </c>
      <c r="AA177">
        <v>5</v>
      </c>
      <c r="AB177">
        <v>1</v>
      </c>
      <c r="AC177" t="s">
        <v>31</v>
      </c>
      <c r="AD177" t="s">
        <v>67</v>
      </c>
      <c r="AE177" t="s">
        <v>43</v>
      </c>
      <c r="AF177" s="3">
        <v>241</v>
      </c>
      <c r="AG177" s="3">
        <v>67</v>
      </c>
      <c r="AH177">
        <v>80</v>
      </c>
      <c r="AI177">
        <v>2</v>
      </c>
      <c r="AJ177">
        <v>0</v>
      </c>
      <c r="AL177">
        <v>0</v>
      </c>
      <c r="AM177">
        <v>1</v>
      </c>
      <c r="AN177" t="s">
        <v>768</v>
      </c>
      <c r="AO177" t="s">
        <v>41</v>
      </c>
    </row>
    <row r="178" spans="1:41" x14ac:dyDescent="0.25">
      <c r="A178">
        <v>24</v>
      </c>
      <c r="B178" t="s">
        <v>32</v>
      </c>
      <c r="C178" t="s">
        <v>33</v>
      </c>
      <c r="D178">
        <v>21</v>
      </c>
      <c r="E178" t="s">
        <v>34</v>
      </c>
      <c r="F178">
        <v>2</v>
      </c>
      <c r="G178">
        <v>1</v>
      </c>
      <c r="H178" t="s">
        <v>35</v>
      </c>
      <c r="I178">
        <v>1</v>
      </c>
      <c r="J178" t="s">
        <v>57</v>
      </c>
      <c r="K178">
        <v>2296</v>
      </c>
      <c r="L178">
        <v>0</v>
      </c>
      <c r="M178" t="s">
        <v>41</v>
      </c>
      <c r="N178">
        <v>14</v>
      </c>
      <c r="O178">
        <v>3</v>
      </c>
      <c r="P178">
        <v>3</v>
      </c>
      <c r="Q178">
        <v>2</v>
      </c>
      <c r="R178">
        <v>3</v>
      </c>
      <c r="S178">
        <v>1</v>
      </c>
      <c r="T178">
        <v>0</v>
      </c>
      <c r="U178">
        <v>0</v>
      </c>
      <c r="V178" t="s">
        <v>52</v>
      </c>
      <c r="W178" s="2">
        <v>43954</v>
      </c>
      <c r="Y178" t="s">
        <v>63</v>
      </c>
      <c r="Z178" t="s">
        <v>47</v>
      </c>
      <c r="AA178">
        <v>4</v>
      </c>
      <c r="AB178">
        <v>3</v>
      </c>
      <c r="AC178" t="s">
        <v>41</v>
      </c>
      <c r="AD178" t="s">
        <v>42</v>
      </c>
      <c r="AE178" t="s">
        <v>60</v>
      </c>
      <c r="AF178" s="3">
        <v>242</v>
      </c>
      <c r="AG178" s="3">
        <v>90</v>
      </c>
      <c r="AH178">
        <v>80</v>
      </c>
      <c r="AI178">
        <v>1</v>
      </c>
      <c r="AJ178">
        <v>0</v>
      </c>
      <c r="AL178">
        <v>0</v>
      </c>
      <c r="AM178">
        <v>1</v>
      </c>
      <c r="AN178" t="s">
        <v>768</v>
      </c>
      <c r="AO178" t="s">
        <v>41</v>
      </c>
    </row>
    <row r="179" spans="1:41" x14ac:dyDescent="0.25">
      <c r="A179">
        <v>29</v>
      </c>
      <c r="B179" t="s">
        <v>32</v>
      </c>
      <c r="C179" t="s">
        <v>33</v>
      </c>
      <c r="D179">
        <v>9</v>
      </c>
      <c r="E179" t="s">
        <v>34</v>
      </c>
      <c r="F179">
        <v>4</v>
      </c>
      <c r="G179">
        <v>1</v>
      </c>
      <c r="H179" t="s">
        <v>44</v>
      </c>
      <c r="I179">
        <v>3</v>
      </c>
      <c r="J179" t="s">
        <v>51</v>
      </c>
      <c r="K179">
        <v>2451</v>
      </c>
      <c r="L179">
        <v>6</v>
      </c>
      <c r="M179" t="s">
        <v>41</v>
      </c>
      <c r="N179">
        <v>18</v>
      </c>
      <c r="O179">
        <v>3</v>
      </c>
      <c r="P179">
        <v>2</v>
      </c>
      <c r="Q179">
        <v>5</v>
      </c>
      <c r="R179">
        <v>2</v>
      </c>
      <c r="S179">
        <v>1</v>
      </c>
      <c r="T179">
        <v>0</v>
      </c>
      <c r="U179">
        <v>0</v>
      </c>
      <c r="V179" t="s">
        <v>37</v>
      </c>
      <c r="W179" s="1" t="s">
        <v>155</v>
      </c>
      <c r="Y179" t="s">
        <v>69</v>
      </c>
      <c r="Z179" t="s">
        <v>40</v>
      </c>
      <c r="AA179">
        <v>3</v>
      </c>
      <c r="AB179">
        <v>1</v>
      </c>
      <c r="AC179" t="s">
        <v>31</v>
      </c>
      <c r="AD179" t="s">
        <v>65</v>
      </c>
      <c r="AE179" t="s">
        <v>43</v>
      </c>
      <c r="AF179" s="3">
        <v>243</v>
      </c>
      <c r="AG179" s="3">
        <v>47</v>
      </c>
      <c r="AH179">
        <v>80</v>
      </c>
      <c r="AI179">
        <v>0</v>
      </c>
      <c r="AJ179">
        <v>1</v>
      </c>
      <c r="AK179">
        <v>1</v>
      </c>
      <c r="AL179">
        <v>1</v>
      </c>
      <c r="AM179">
        <v>0</v>
      </c>
      <c r="AN179" t="s">
        <v>767</v>
      </c>
      <c r="AO179" t="s">
        <v>31</v>
      </c>
    </row>
    <row r="180" spans="1:41" x14ac:dyDescent="0.25">
      <c r="A180">
        <v>35</v>
      </c>
      <c r="B180" t="s">
        <v>32</v>
      </c>
      <c r="C180" t="s">
        <v>33</v>
      </c>
      <c r="D180">
        <v>2</v>
      </c>
      <c r="E180" t="s">
        <v>61</v>
      </c>
      <c r="F180">
        <v>3</v>
      </c>
      <c r="G180">
        <v>1</v>
      </c>
      <c r="H180" t="s">
        <v>35</v>
      </c>
      <c r="I180">
        <v>1</v>
      </c>
      <c r="J180" t="s">
        <v>57</v>
      </c>
      <c r="K180">
        <v>2074</v>
      </c>
      <c r="L180">
        <v>1</v>
      </c>
      <c r="M180" t="s">
        <v>31</v>
      </c>
      <c r="N180">
        <v>12</v>
      </c>
      <c r="O180">
        <v>3</v>
      </c>
      <c r="P180">
        <v>1</v>
      </c>
      <c r="Q180">
        <v>1</v>
      </c>
      <c r="R180">
        <v>2</v>
      </c>
      <c r="S180">
        <v>1</v>
      </c>
      <c r="T180">
        <v>0</v>
      </c>
      <c r="U180">
        <v>0</v>
      </c>
      <c r="V180" t="s">
        <v>58</v>
      </c>
      <c r="W180" s="1" t="s">
        <v>156</v>
      </c>
      <c r="Y180" t="s">
        <v>69</v>
      </c>
      <c r="Z180" t="s">
        <v>40</v>
      </c>
      <c r="AA180">
        <v>3</v>
      </c>
      <c r="AB180">
        <v>3</v>
      </c>
      <c r="AC180" t="s">
        <v>41</v>
      </c>
      <c r="AD180" t="s">
        <v>65</v>
      </c>
      <c r="AE180" t="s">
        <v>60</v>
      </c>
      <c r="AF180" s="3">
        <v>244</v>
      </c>
      <c r="AG180" s="3">
        <v>92</v>
      </c>
      <c r="AH180">
        <v>80</v>
      </c>
      <c r="AI180">
        <v>13</v>
      </c>
      <c r="AJ180">
        <v>0</v>
      </c>
      <c r="AL180">
        <v>0</v>
      </c>
      <c r="AM180">
        <v>1</v>
      </c>
      <c r="AN180" t="s">
        <v>768</v>
      </c>
      <c r="AO180" t="s">
        <v>41</v>
      </c>
    </row>
    <row r="181" spans="1:41" x14ac:dyDescent="0.25">
      <c r="A181">
        <v>34</v>
      </c>
      <c r="B181" t="s">
        <v>32</v>
      </c>
      <c r="C181" t="s">
        <v>33</v>
      </c>
      <c r="D181">
        <v>7</v>
      </c>
      <c r="E181" t="s">
        <v>34</v>
      </c>
      <c r="F181">
        <v>3</v>
      </c>
      <c r="G181">
        <v>1</v>
      </c>
      <c r="H181" t="s">
        <v>44</v>
      </c>
      <c r="I181">
        <v>4</v>
      </c>
      <c r="J181" t="s">
        <v>36</v>
      </c>
      <c r="K181">
        <v>2972</v>
      </c>
      <c r="L181">
        <v>1</v>
      </c>
      <c r="M181" t="s">
        <v>41</v>
      </c>
      <c r="N181">
        <v>13</v>
      </c>
      <c r="O181">
        <v>3</v>
      </c>
      <c r="P181">
        <v>0</v>
      </c>
      <c r="Q181">
        <v>1</v>
      </c>
      <c r="R181">
        <v>4</v>
      </c>
      <c r="S181">
        <v>1</v>
      </c>
      <c r="T181">
        <v>0</v>
      </c>
      <c r="U181">
        <v>0</v>
      </c>
      <c r="V181" t="s">
        <v>52</v>
      </c>
      <c r="W181" s="1" t="s">
        <v>128</v>
      </c>
      <c r="Y181" t="s">
        <v>39</v>
      </c>
      <c r="Z181" t="s">
        <v>40</v>
      </c>
      <c r="AA181">
        <v>2</v>
      </c>
      <c r="AB181">
        <v>0</v>
      </c>
      <c r="AC181" t="s">
        <v>41</v>
      </c>
      <c r="AD181" t="s">
        <v>65</v>
      </c>
      <c r="AE181" t="s">
        <v>60</v>
      </c>
      <c r="AF181" s="3">
        <v>245</v>
      </c>
      <c r="AG181" s="3">
        <v>75</v>
      </c>
      <c r="AH181">
        <v>80</v>
      </c>
      <c r="AI181">
        <v>2</v>
      </c>
      <c r="AJ181">
        <v>0</v>
      </c>
      <c r="AL181">
        <v>0</v>
      </c>
      <c r="AM181">
        <v>1</v>
      </c>
      <c r="AN181" t="s">
        <v>768</v>
      </c>
      <c r="AO181" t="s">
        <v>41</v>
      </c>
    </row>
    <row r="182" spans="1:41" x14ac:dyDescent="0.25">
      <c r="A182">
        <v>26</v>
      </c>
      <c r="B182" t="s">
        <v>32</v>
      </c>
      <c r="C182" t="s">
        <v>33</v>
      </c>
      <c r="D182">
        <v>3</v>
      </c>
      <c r="E182" t="s">
        <v>61</v>
      </c>
      <c r="F182">
        <v>3</v>
      </c>
      <c r="G182">
        <v>1</v>
      </c>
      <c r="H182" t="s">
        <v>44</v>
      </c>
      <c r="I182">
        <v>4</v>
      </c>
      <c r="J182" t="s">
        <v>51</v>
      </c>
      <c r="K182">
        <v>2061</v>
      </c>
      <c r="L182">
        <v>1</v>
      </c>
      <c r="M182" t="s">
        <v>41</v>
      </c>
      <c r="N182">
        <v>21</v>
      </c>
      <c r="O182">
        <v>4</v>
      </c>
      <c r="P182">
        <v>0</v>
      </c>
      <c r="Q182">
        <v>1</v>
      </c>
      <c r="R182">
        <v>5</v>
      </c>
      <c r="S182">
        <v>1</v>
      </c>
      <c r="T182">
        <v>0</v>
      </c>
      <c r="U182">
        <v>0</v>
      </c>
      <c r="V182" t="s">
        <v>37</v>
      </c>
      <c r="W182" s="1" t="s">
        <v>121</v>
      </c>
      <c r="Y182" t="s">
        <v>63</v>
      </c>
      <c r="Z182" t="s">
        <v>47</v>
      </c>
      <c r="AA182">
        <v>2</v>
      </c>
      <c r="AB182">
        <v>2</v>
      </c>
      <c r="AC182" t="s">
        <v>41</v>
      </c>
      <c r="AD182" t="s">
        <v>67</v>
      </c>
      <c r="AE182" t="s">
        <v>43</v>
      </c>
      <c r="AF182" s="3">
        <v>246</v>
      </c>
      <c r="AG182" s="3">
        <v>95</v>
      </c>
      <c r="AH182">
        <v>80</v>
      </c>
      <c r="AI182">
        <v>2</v>
      </c>
      <c r="AJ182">
        <v>0</v>
      </c>
      <c r="AL182">
        <v>0</v>
      </c>
      <c r="AM182">
        <v>1</v>
      </c>
      <c r="AN182" t="s">
        <v>768</v>
      </c>
      <c r="AO182" t="s">
        <v>41</v>
      </c>
    </row>
    <row r="183" spans="1:41" x14ac:dyDescent="0.25">
      <c r="A183">
        <v>36</v>
      </c>
      <c r="B183" t="s">
        <v>32</v>
      </c>
      <c r="C183" t="s">
        <v>55</v>
      </c>
      <c r="D183">
        <v>1</v>
      </c>
      <c r="E183" t="s">
        <v>61</v>
      </c>
      <c r="F183">
        <v>3</v>
      </c>
      <c r="G183">
        <v>2</v>
      </c>
      <c r="H183" t="s">
        <v>70</v>
      </c>
      <c r="I183">
        <v>3</v>
      </c>
      <c r="J183" t="s">
        <v>36</v>
      </c>
      <c r="K183">
        <v>6815</v>
      </c>
      <c r="L183">
        <v>6</v>
      </c>
      <c r="M183" t="s">
        <v>41</v>
      </c>
      <c r="N183">
        <v>13</v>
      </c>
      <c r="O183">
        <v>3</v>
      </c>
      <c r="P183">
        <v>0</v>
      </c>
      <c r="Q183">
        <v>15</v>
      </c>
      <c r="R183">
        <v>5</v>
      </c>
      <c r="S183">
        <v>1</v>
      </c>
      <c r="T183">
        <v>0</v>
      </c>
      <c r="U183">
        <v>0</v>
      </c>
      <c r="V183" t="s">
        <v>52</v>
      </c>
      <c r="W183" s="2">
        <v>43832</v>
      </c>
      <c r="Y183" t="s">
        <v>63</v>
      </c>
      <c r="Z183" t="s">
        <v>47</v>
      </c>
      <c r="AA183">
        <v>5</v>
      </c>
      <c r="AB183">
        <v>0</v>
      </c>
      <c r="AC183" t="s">
        <v>41</v>
      </c>
      <c r="AD183" t="s">
        <v>67</v>
      </c>
      <c r="AE183" t="s">
        <v>49</v>
      </c>
      <c r="AF183" s="3">
        <v>247</v>
      </c>
      <c r="AG183" s="3">
        <v>95</v>
      </c>
      <c r="AH183">
        <v>80</v>
      </c>
      <c r="AI183">
        <v>2</v>
      </c>
      <c r="AJ183">
        <v>0</v>
      </c>
      <c r="AL183">
        <v>0</v>
      </c>
      <c r="AM183">
        <v>1</v>
      </c>
      <c r="AN183" t="s">
        <v>768</v>
      </c>
      <c r="AO183" t="s">
        <v>41</v>
      </c>
    </row>
    <row r="184" spans="1:41" x14ac:dyDescent="0.25">
      <c r="A184">
        <v>50</v>
      </c>
      <c r="B184" t="s">
        <v>32</v>
      </c>
      <c r="C184" t="s">
        <v>55</v>
      </c>
      <c r="D184">
        <v>9</v>
      </c>
      <c r="E184" t="s">
        <v>34</v>
      </c>
      <c r="F184">
        <v>3</v>
      </c>
      <c r="G184">
        <v>5</v>
      </c>
      <c r="H184" t="s">
        <v>75</v>
      </c>
      <c r="I184">
        <v>3</v>
      </c>
      <c r="J184" t="s">
        <v>51</v>
      </c>
      <c r="K184">
        <v>19331</v>
      </c>
      <c r="L184">
        <v>4</v>
      </c>
      <c r="M184" t="s">
        <v>31</v>
      </c>
      <c r="N184">
        <v>16</v>
      </c>
      <c r="O184">
        <v>3</v>
      </c>
      <c r="P184">
        <v>1</v>
      </c>
      <c r="Q184">
        <v>27</v>
      </c>
      <c r="R184">
        <v>2</v>
      </c>
      <c r="S184">
        <v>1</v>
      </c>
      <c r="T184">
        <v>0</v>
      </c>
      <c r="U184">
        <v>0</v>
      </c>
      <c r="V184" t="s">
        <v>58</v>
      </c>
      <c r="W184" s="1" t="s">
        <v>142</v>
      </c>
      <c r="Y184" t="s">
        <v>39</v>
      </c>
      <c r="Z184" t="s">
        <v>40</v>
      </c>
      <c r="AA184">
        <v>4</v>
      </c>
      <c r="AB184">
        <v>1</v>
      </c>
      <c r="AC184" t="s">
        <v>31</v>
      </c>
      <c r="AD184" t="s">
        <v>48</v>
      </c>
      <c r="AE184" t="s">
        <v>60</v>
      </c>
      <c r="AF184" s="3">
        <v>248</v>
      </c>
      <c r="AG184" s="3">
        <v>70</v>
      </c>
      <c r="AH184">
        <v>80</v>
      </c>
      <c r="AI184">
        <v>3</v>
      </c>
      <c r="AJ184">
        <v>1</v>
      </c>
      <c r="AK184">
        <v>1</v>
      </c>
      <c r="AL184">
        <v>1</v>
      </c>
      <c r="AM184">
        <v>0</v>
      </c>
      <c r="AN184" t="s">
        <v>767</v>
      </c>
      <c r="AO184" t="s">
        <v>31</v>
      </c>
    </row>
    <row r="185" spans="1:41" x14ac:dyDescent="0.25">
      <c r="A185">
        <v>42</v>
      </c>
      <c r="B185" t="s">
        <v>32</v>
      </c>
      <c r="C185" t="s">
        <v>33</v>
      </c>
      <c r="D185">
        <v>9</v>
      </c>
      <c r="E185" t="s">
        <v>34</v>
      </c>
      <c r="F185">
        <v>2</v>
      </c>
      <c r="G185">
        <v>5</v>
      </c>
      <c r="H185" t="s">
        <v>75</v>
      </c>
      <c r="I185">
        <v>4</v>
      </c>
      <c r="J185" t="s">
        <v>36</v>
      </c>
      <c r="K185">
        <v>19613</v>
      </c>
      <c r="L185">
        <v>8</v>
      </c>
      <c r="M185" t="s">
        <v>41</v>
      </c>
      <c r="N185">
        <v>22</v>
      </c>
      <c r="O185">
        <v>4</v>
      </c>
      <c r="P185">
        <v>0</v>
      </c>
      <c r="Q185">
        <v>24</v>
      </c>
      <c r="R185">
        <v>2</v>
      </c>
      <c r="S185">
        <v>1</v>
      </c>
      <c r="T185">
        <v>0</v>
      </c>
      <c r="U185">
        <v>1</v>
      </c>
      <c r="V185" t="s">
        <v>72</v>
      </c>
      <c r="W185" s="1" t="s">
        <v>111</v>
      </c>
      <c r="Y185" t="s">
        <v>63</v>
      </c>
      <c r="Z185" t="s">
        <v>40</v>
      </c>
      <c r="AA185">
        <v>1</v>
      </c>
      <c r="AB185">
        <v>1</v>
      </c>
      <c r="AC185" t="s">
        <v>31</v>
      </c>
      <c r="AD185" t="s">
        <v>42</v>
      </c>
      <c r="AE185" t="s">
        <v>43</v>
      </c>
      <c r="AF185" s="3">
        <v>249</v>
      </c>
      <c r="AG185" s="3">
        <v>86</v>
      </c>
      <c r="AH185">
        <v>80</v>
      </c>
      <c r="AI185">
        <v>2</v>
      </c>
      <c r="AJ185">
        <v>0</v>
      </c>
      <c r="AL185">
        <v>0</v>
      </c>
      <c r="AM185">
        <v>1</v>
      </c>
      <c r="AN185" t="s">
        <v>768</v>
      </c>
      <c r="AO185" t="s">
        <v>41</v>
      </c>
    </row>
    <row r="186" spans="1:41" x14ac:dyDescent="0.25">
      <c r="A186">
        <v>35</v>
      </c>
      <c r="B186" t="s">
        <v>32</v>
      </c>
      <c r="C186" t="s">
        <v>33</v>
      </c>
      <c r="D186">
        <v>7</v>
      </c>
      <c r="E186" t="s">
        <v>34</v>
      </c>
      <c r="F186">
        <v>2</v>
      </c>
      <c r="G186">
        <v>1</v>
      </c>
      <c r="H186" t="s">
        <v>35</v>
      </c>
      <c r="I186">
        <v>4</v>
      </c>
      <c r="J186" t="s">
        <v>51</v>
      </c>
      <c r="K186">
        <v>2690</v>
      </c>
      <c r="L186">
        <v>1</v>
      </c>
      <c r="M186" t="s">
        <v>41</v>
      </c>
      <c r="N186">
        <v>18</v>
      </c>
      <c r="O186">
        <v>3</v>
      </c>
      <c r="P186">
        <v>1</v>
      </c>
      <c r="Q186">
        <v>1</v>
      </c>
      <c r="R186">
        <v>5</v>
      </c>
      <c r="S186">
        <v>1</v>
      </c>
      <c r="T186">
        <v>0</v>
      </c>
      <c r="U186">
        <v>1</v>
      </c>
      <c r="V186" t="s">
        <v>72</v>
      </c>
      <c r="W186" s="1" t="s">
        <v>123</v>
      </c>
      <c r="Y186" t="s">
        <v>46</v>
      </c>
      <c r="Z186" t="s">
        <v>47</v>
      </c>
      <c r="AA186">
        <v>1</v>
      </c>
      <c r="AB186">
        <v>0</v>
      </c>
      <c r="AC186" t="s">
        <v>41</v>
      </c>
      <c r="AD186" t="s">
        <v>48</v>
      </c>
      <c r="AE186" t="s">
        <v>43</v>
      </c>
      <c r="AF186" s="3">
        <v>250</v>
      </c>
      <c r="AG186" s="3">
        <v>57</v>
      </c>
      <c r="AH186">
        <v>80</v>
      </c>
      <c r="AI186">
        <v>2</v>
      </c>
      <c r="AJ186">
        <v>0</v>
      </c>
      <c r="AL186">
        <v>0</v>
      </c>
      <c r="AM186">
        <v>1</v>
      </c>
      <c r="AN186" t="s">
        <v>768</v>
      </c>
      <c r="AO186" t="s">
        <v>41</v>
      </c>
    </row>
    <row r="187" spans="1:41" x14ac:dyDescent="0.25">
      <c r="A187">
        <v>28</v>
      </c>
      <c r="B187" t="s">
        <v>32</v>
      </c>
      <c r="C187" t="s">
        <v>33</v>
      </c>
      <c r="D187">
        <v>24</v>
      </c>
      <c r="E187" t="s">
        <v>34</v>
      </c>
      <c r="F187">
        <v>3</v>
      </c>
      <c r="G187">
        <v>1</v>
      </c>
      <c r="H187" t="s">
        <v>35</v>
      </c>
      <c r="I187">
        <v>2</v>
      </c>
      <c r="J187" t="s">
        <v>51</v>
      </c>
      <c r="K187">
        <v>2408</v>
      </c>
      <c r="L187">
        <v>1</v>
      </c>
      <c r="M187" t="s">
        <v>31</v>
      </c>
      <c r="N187">
        <v>17</v>
      </c>
      <c r="O187">
        <v>3</v>
      </c>
      <c r="P187">
        <v>3</v>
      </c>
      <c r="Q187">
        <v>1</v>
      </c>
      <c r="R187">
        <v>3</v>
      </c>
      <c r="S187">
        <v>1</v>
      </c>
      <c r="T187">
        <v>0</v>
      </c>
      <c r="U187">
        <v>0</v>
      </c>
      <c r="V187" t="s">
        <v>72</v>
      </c>
      <c r="W187" s="2">
        <v>44047</v>
      </c>
      <c r="Y187" t="s">
        <v>54</v>
      </c>
      <c r="Z187" t="s">
        <v>47</v>
      </c>
      <c r="AA187">
        <v>1</v>
      </c>
      <c r="AB187">
        <v>1</v>
      </c>
      <c r="AC187" t="s">
        <v>31</v>
      </c>
      <c r="AD187" t="s">
        <v>48</v>
      </c>
      <c r="AE187" t="s">
        <v>60</v>
      </c>
      <c r="AF187" s="3">
        <v>252</v>
      </c>
      <c r="AG187" s="3">
        <v>72</v>
      </c>
      <c r="AH187">
        <v>80</v>
      </c>
      <c r="AI187">
        <v>7</v>
      </c>
      <c r="AJ187">
        <v>0</v>
      </c>
      <c r="AL187">
        <v>0</v>
      </c>
      <c r="AM187">
        <v>1</v>
      </c>
      <c r="AN187" t="s">
        <v>768</v>
      </c>
      <c r="AO187" t="s">
        <v>41</v>
      </c>
    </row>
    <row r="188" spans="1:41" x14ac:dyDescent="0.25">
      <c r="A188">
        <v>32</v>
      </c>
      <c r="B188" t="s">
        <v>32</v>
      </c>
      <c r="C188" t="s">
        <v>33</v>
      </c>
      <c r="D188">
        <v>2</v>
      </c>
      <c r="E188" t="s">
        <v>34</v>
      </c>
      <c r="F188">
        <v>3</v>
      </c>
      <c r="G188">
        <v>1</v>
      </c>
      <c r="H188" t="s">
        <v>35</v>
      </c>
      <c r="I188">
        <v>2</v>
      </c>
      <c r="J188" t="s">
        <v>36</v>
      </c>
      <c r="K188">
        <v>1393</v>
      </c>
      <c r="L188">
        <v>1</v>
      </c>
      <c r="M188" t="s">
        <v>41</v>
      </c>
      <c r="N188">
        <v>12</v>
      </c>
      <c r="O188">
        <v>3</v>
      </c>
      <c r="P188">
        <v>0</v>
      </c>
      <c r="Q188">
        <v>1</v>
      </c>
      <c r="R188">
        <v>2</v>
      </c>
      <c r="S188">
        <v>1</v>
      </c>
      <c r="T188">
        <v>0</v>
      </c>
      <c r="U188">
        <v>0</v>
      </c>
      <c r="V188" t="s">
        <v>37</v>
      </c>
      <c r="W188" s="2">
        <v>44045</v>
      </c>
      <c r="Y188" t="s">
        <v>39</v>
      </c>
      <c r="Z188" t="s">
        <v>40</v>
      </c>
      <c r="AA188">
        <v>4</v>
      </c>
      <c r="AB188">
        <v>0</v>
      </c>
      <c r="AC188" t="s">
        <v>31</v>
      </c>
      <c r="AD188" t="s">
        <v>67</v>
      </c>
      <c r="AE188" t="s">
        <v>60</v>
      </c>
      <c r="AF188" s="3">
        <v>253</v>
      </c>
      <c r="AG188" s="3">
        <v>46</v>
      </c>
      <c r="AH188">
        <v>80</v>
      </c>
      <c r="AI188">
        <v>8</v>
      </c>
      <c r="AJ188">
        <v>0</v>
      </c>
      <c r="AL188">
        <v>0</v>
      </c>
      <c r="AM188">
        <v>1</v>
      </c>
      <c r="AN188" t="s">
        <v>768</v>
      </c>
      <c r="AO188" t="s">
        <v>41</v>
      </c>
    </row>
    <row r="189" spans="1:41" x14ac:dyDescent="0.25">
      <c r="A189">
        <v>60</v>
      </c>
      <c r="B189" t="s">
        <v>32</v>
      </c>
      <c r="C189" t="s">
        <v>33</v>
      </c>
      <c r="D189">
        <v>1</v>
      </c>
      <c r="E189" t="s">
        <v>34</v>
      </c>
      <c r="F189">
        <v>1</v>
      </c>
      <c r="G189">
        <v>3</v>
      </c>
      <c r="H189" t="s">
        <v>89</v>
      </c>
      <c r="I189">
        <v>4</v>
      </c>
      <c r="J189" t="s">
        <v>57</v>
      </c>
      <c r="K189">
        <v>10883</v>
      </c>
      <c r="L189">
        <v>3</v>
      </c>
      <c r="M189" t="s">
        <v>41</v>
      </c>
      <c r="N189">
        <v>20</v>
      </c>
      <c r="O189">
        <v>4</v>
      </c>
      <c r="P189">
        <v>1</v>
      </c>
      <c r="Q189">
        <v>19</v>
      </c>
      <c r="R189">
        <v>2</v>
      </c>
      <c r="S189">
        <v>1</v>
      </c>
      <c r="T189">
        <v>0</v>
      </c>
      <c r="U189">
        <v>0</v>
      </c>
      <c r="V189" t="s">
        <v>72</v>
      </c>
      <c r="W189" s="1" t="s">
        <v>157</v>
      </c>
      <c r="Y189" t="s">
        <v>39</v>
      </c>
      <c r="Z189" t="s">
        <v>40</v>
      </c>
      <c r="AA189">
        <v>1</v>
      </c>
      <c r="AB189">
        <v>1</v>
      </c>
      <c r="AC189" t="s">
        <v>41</v>
      </c>
      <c r="AD189" t="s">
        <v>48</v>
      </c>
      <c r="AE189" t="s">
        <v>43</v>
      </c>
      <c r="AF189" s="3">
        <v>254</v>
      </c>
      <c r="AG189" s="3">
        <v>61</v>
      </c>
      <c r="AH189">
        <v>80</v>
      </c>
      <c r="AI189">
        <v>15</v>
      </c>
      <c r="AJ189">
        <v>0</v>
      </c>
      <c r="AL189">
        <v>0</v>
      </c>
      <c r="AM189">
        <v>1</v>
      </c>
      <c r="AN189" t="s">
        <v>768</v>
      </c>
      <c r="AO189" t="s">
        <v>41</v>
      </c>
    </row>
    <row r="190" spans="1:41" x14ac:dyDescent="0.25">
      <c r="A190">
        <v>24</v>
      </c>
      <c r="B190" t="s">
        <v>32</v>
      </c>
      <c r="C190" t="s">
        <v>120</v>
      </c>
      <c r="D190">
        <v>22</v>
      </c>
      <c r="E190" t="s">
        <v>34</v>
      </c>
      <c r="F190">
        <v>1</v>
      </c>
      <c r="G190">
        <v>1</v>
      </c>
      <c r="H190" t="s">
        <v>120</v>
      </c>
      <c r="I190">
        <v>3</v>
      </c>
      <c r="J190" t="s">
        <v>51</v>
      </c>
      <c r="K190">
        <v>1555</v>
      </c>
      <c r="L190">
        <v>1</v>
      </c>
      <c r="M190" t="s">
        <v>41</v>
      </c>
      <c r="N190">
        <v>11</v>
      </c>
      <c r="O190">
        <v>3</v>
      </c>
      <c r="P190">
        <v>1</v>
      </c>
      <c r="Q190">
        <v>1</v>
      </c>
      <c r="R190">
        <v>2</v>
      </c>
      <c r="S190">
        <v>1</v>
      </c>
      <c r="T190">
        <v>0</v>
      </c>
      <c r="U190">
        <v>0</v>
      </c>
      <c r="V190" t="s">
        <v>58</v>
      </c>
      <c r="W190" s="2">
        <v>44014</v>
      </c>
      <c r="Y190" t="s">
        <v>63</v>
      </c>
      <c r="Z190" t="s">
        <v>40</v>
      </c>
      <c r="AA190">
        <v>1</v>
      </c>
      <c r="AB190">
        <v>2</v>
      </c>
      <c r="AC190" t="s">
        <v>41</v>
      </c>
      <c r="AD190" t="s">
        <v>67</v>
      </c>
      <c r="AE190" t="s">
        <v>60</v>
      </c>
      <c r="AF190" s="3">
        <v>256</v>
      </c>
      <c r="AG190" s="3">
        <v>45</v>
      </c>
      <c r="AH190">
        <v>80</v>
      </c>
      <c r="AI190">
        <v>9</v>
      </c>
      <c r="AJ190">
        <v>0</v>
      </c>
      <c r="AL190">
        <v>0</v>
      </c>
      <c r="AM190">
        <v>1</v>
      </c>
      <c r="AN190" t="s">
        <v>768</v>
      </c>
      <c r="AO190" t="s">
        <v>41</v>
      </c>
    </row>
    <row r="191" spans="1:41" x14ac:dyDescent="0.25">
      <c r="A191">
        <v>40</v>
      </c>
      <c r="B191" t="s">
        <v>32</v>
      </c>
      <c r="C191" t="s">
        <v>33</v>
      </c>
      <c r="D191">
        <v>8</v>
      </c>
      <c r="E191" t="s">
        <v>61</v>
      </c>
      <c r="F191">
        <v>3</v>
      </c>
      <c r="G191">
        <v>2</v>
      </c>
      <c r="H191" t="s">
        <v>78</v>
      </c>
      <c r="I191">
        <v>1</v>
      </c>
      <c r="J191" t="s">
        <v>51</v>
      </c>
      <c r="K191">
        <v>6516</v>
      </c>
      <c r="L191">
        <v>2</v>
      </c>
      <c r="M191" t="s">
        <v>31</v>
      </c>
      <c r="N191">
        <v>16</v>
      </c>
      <c r="O191">
        <v>3</v>
      </c>
      <c r="P191">
        <v>1</v>
      </c>
      <c r="Q191">
        <v>18</v>
      </c>
      <c r="R191">
        <v>3</v>
      </c>
      <c r="S191">
        <v>1</v>
      </c>
      <c r="T191">
        <v>0</v>
      </c>
      <c r="U191">
        <v>0</v>
      </c>
      <c r="V191" t="s">
        <v>52</v>
      </c>
      <c r="W191" s="1" t="s">
        <v>154</v>
      </c>
      <c r="Y191" t="s">
        <v>54</v>
      </c>
      <c r="Z191" t="s">
        <v>40</v>
      </c>
      <c r="AA191">
        <v>0</v>
      </c>
      <c r="AB191">
        <v>1</v>
      </c>
      <c r="AC191" t="s">
        <v>31</v>
      </c>
      <c r="AD191" t="s">
        <v>48</v>
      </c>
      <c r="AE191" t="s">
        <v>43</v>
      </c>
      <c r="AF191" s="3">
        <v>258</v>
      </c>
      <c r="AG191" s="3">
        <v>98</v>
      </c>
      <c r="AH191">
        <v>80</v>
      </c>
      <c r="AI191">
        <v>7</v>
      </c>
      <c r="AJ191">
        <v>0</v>
      </c>
      <c r="AL191">
        <v>0</v>
      </c>
      <c r="AM191">
        <v>1</v>
      </c>
      <c r="AN191" t="s">
        <v>768</v>
      </c>
      <c r="AO191" t="s">
        <v>41</v>
      </c>
    </row>
    <row r="192" spans="1:41" x14ac:dyDescent="0.25">
      <c r="A192">
        <v>47</v>
      </c>
      <c r="B192" t="s">
        <v>81</v>
      </c>
      <c r="C192" t="s">
        <v>55</v>
      </c>
      <c r="D192">
        <v>2</v>
      </c>
      <c r="E192" t="s">
        <v>34</v>
      </c>
      <c r="F192">
        <v>3</v>
      </c>
      <c r="G192">
        <v>2</v>
      </c>
      <c r="H192" t="s">
        <v>70</v>
      </c>
      <c r="I192">
        <v>2</v>
      </c>
      <c r="J192" t="s">
        <v>51</v>
      </c>
      <c r="K192">
        <v>4978</v>
      </c>
      <c r="L192">
        <v>7</v>
      </c>
      <c r="M192" t="s">
        <v>41</v>
      </c>
      <c r="N192">
        <v>11</v>
      </c>
      <c r="O192">
        <v>3</v>
      </c>
      <c r="P192">
        <v>1</v>
      </c>
      <c r="Q192">
        <v>4</v>
      </c>
      <c r="R192">
        <v>3</v>
      </c>
      <c r="S192">
        <v>1</v>
      </c>
      <c r="T192">
        <v>0</v>
      </c>
      <c r="U192">
        <v>0</v>
      </c>
      <c r="V192" t="s">
        <v>72</v>
      </c>
      <c r="W192" s="2">
        <v>44107</v>
      </c>
      <c r="Y192" t="s">
        <v>54</v>
      </c>
      <c r="Z192" t="s">
        <v>40</v>
      </c>
      <c r="AA192">
        <v>0</v>
      </c>
      <c r="AB192">
        <v>0</v>
      </c>
      <c r="AC192" t="s">
        <v>41</v>
      </c>
      <c r="AD192" t="s">
        <v>65</v>
      </c>
      <c r="AE192" t="s">
        <v>49</v>
      </c>
      <c r="AF192" s="3">
        <v>259</v>
      </c>
      <c r="AG192" s="3">
        <v>65</v>
      </c>
      <c r="AH192">
        <v>80</v>
      </c>
      <c r="AI192">
        <v>18</v>
      </c>
      <c r="AJ192">
        <v>0</v>
      </c>
      <c r="AL192">
        <v>0</v>
      </c>
      <c r="AM192">
        <v>1</v>
      </c>
      <c r="AN192" t="s">
        <v>768</v>
      </c>
      <c r="AO192" t="s">
        <v>41</v>
      </c>
    </row>
    <row r="193" spans="1:41" x14ac:dyDescent="0.25">
      <c r="A193">
        <v>31</v>
      </c>
      <c r="B193" t="s">
        <v>32</v>
      </c>
      <c r="C193" t="s">
        <v>55</v>
      </c>
      <c r="D193">
        <v>16</v>
      </c>
      <c r="E193" t="s">
        <v>34</v>
      </c>
      <c r="F193">
        <v>3</v>
      </c>
      <c r="G193">
        <v>3</v>
      </c>
      <c r="H193" t="s">
        <v>70</v>
      </c>
      <c r="I193">
        <v>3</v>
      </c>
      <c r="J193" t="s">
        <v>51</v>
      </c>
      <c r="K193">
        <v>8161</v>
      </c>
      <c r="L193">
        <v>2</v>
      </c>
      <c r="M193" t="s">
        <v>41</v>
      </c>
      <c r="N193">
        <v>13</v>
      </c>
      <c r="O193">
        <v>3</v>
      </c>
      <c r="P193">
        <v>3</v>
      </c>
      <c r="Q193">
        <v>10</v>
      </c>
      <c r="R193">
        <v>2</v>
      </c>
      <c r="S193">
        <v>1</v>
      </c>
      <c r="T193">
        <v>0</v>
      </c>
      <c r="U193">
        <v>0</v>
      </c>
      <c r="V193" t="s">
        <v>52</v>
      </c>
      <c r="W193" s="1" t="s">
        <v>158</v>
      </c>
      <c r="Y193" t="s">
        <v>46</v>
      </c>
      <c r="Z193" t="s">
        <v>40</v>
      </c>
      <c r="AA193">
        <v>4</v>
      </c>
      <c r="AB193">
        <v>3</v>
      </c>
      <c r="AC193" t="s">
        <v>31</v>
      </c>
      <c r="AD193" t="s">
        <v>42</v>
      </c>
      <c r="AE193" t="s">
        <v>49</v>
      </c>
      <c r="AF193" s="3">
        <v>260</v>
      </c>
      <c r="AG193" s="3">
        <v>99</v>
      </c>
      <c r="AH193">
        <v>80</v>
      </c>
      <c r="AI193">
        <v>7</v>
      </c>
      <c r="AJ193">
        <v>0</v>
      </c>
      <c r="AL193">
        <v>0</v>
      </c>
      <c r="AM193">
        <v>1</v>
      </c>
      <c r="AN193" t="s">
        <v>768</v>
      </c>
      <c r="AO193" t="s">
        <v>41</v>
      </c>
    </row>
    <row r="194" spans="1:41" x14ac:dyDescent="0.25">
      <c r="A194">
        <v>29</v>
      </c>
      <c r="B194" t="s">
        <v>32</v>
      </c>
      <c r="C194" t="s">
        <v>33</v>
      </c>
      <c r="D194">
        <v>4</v>
      </c>
      <c r="E194" t="s">
        <v>61</v>
      </c>
      <c r="F194">
        <v>2</v>
      </c>
      <c r="G194">
        <v>1</v>
      </c>
      <c r="H194" t="s">
        <v>44</v>
      </c>
      <c r="I194">
        <v>1</v>
      </c>
      <c r="J194" t="s">
        <v>57</v>
      </c>
      <c r="K194">
        <v>2109</v>
      </c>
      <c r="L194">
        <v>1</v>
      </c>
      <c r="M194" t="s">
        <v>41</v>
      </c>
      <c r="N194">
        <v>13</v>
      </c>
      <c r="O194">
        <v>3</v>
      </c>
      <c r="P194">
        <v>1</v>
      </c>
      <c r="Q194">
        <v>1</v>
      </c>
      <c r="R194">
        <v>2</v>
      </c>
      <c r="S194">
        <v>1</v>
      </c>
      <c r="T194">
        <v>0</v>
      </c>
      <c r="U194">
        <v>0</v>
      </c>
      <c r="V194" t="s">
        <v>37</v>
      </c>
      <c r="W194" s="1" t="s">
        <v>130</v>
      </c>
      <c r="Y194" t="s">
        <v>69</v>
      </c>
      <c r="Z194" t="s">
        <v>40</v>
      </c>
      <c r="AA194">
        <v>3</v>
      </c>
      <c r="AB194">
        <v>3</v>
      </c>
      <c r="AC194" t="s">
        <v>41</v>
      </c>
      <c r="AD194" t="s">
        <v>67</v>
      </c>
      <c r="AE194" t="s">
        <v>60</v>
      </c>
      <c r="AF194" s="3">
        <v>261</v>
      </c>
      <c r="AG194" s="3">
        <v>50</v>
      </c>
      <c r="AH194">
        <v>80</v>
      </c>
      <c r="AI194">
        <v>0</v>
      </c>
      <c r="AJ194">
        <v>1</v>
      </c>
      <c r="AK194">
        <v>1</v>
      </c>
      <c r="AL194">
        <v>1</v>
      </c>
      <c r="AM194">
        <v>0</v>
      </c>
      <c r="AN194" t="s">
        <v>767</v>
      </c>
      <c r="AO194" t="s">
        <v>31</v>
      </c>
    </row>
    <row r="195" spans="1:41" x14ac:dyDescent="0.25">
      <c r="A195">
        <v>38</v>
      </c>
      <c r="B195" t="s">
        <v>32</v>
      </c>
      <c r="C195" t="s">
        <v>33</v>
      </c>
      <c r="D195">
        <v>18</v>
      </c>
      <c r="E195" t="s">
        <v>34</v>
      </c>
      <c r="F195">
        <v>1</v>
      </c>
      <c r="G195">
        <v>2</v>
      </c>
      <c r="H195" t="s">
        <v>89</v>
      </c>
      <c r="I195">
        <v>4</v>
      </c>
      <c r="J195" t="s">
        <v>51</v>
      </c>
      <c r="K195">
        <v>5811</v>
      </c>
      <c r="L195">
        <v>3</v>
      </c>
      <c r="M195" t="s">
        <v>31</v>
      </c>
      <c r="N195">
        <v>16</v>
      </c>
      <c r="O195">
        <v>3</v>
      </c>
      <c r="P195">
        <v>1</v>
      </c>
      <c r="Q195">
        <v>15</v>
      </c>
      <c r="R195">
        <v>2</v>
      </c>
      <c r="S195">
        <v>1</v>
      </c>
      <c r="T195">
        <v>1</v>
      </c>
      <c r="U195">
        <v>0</v>
      </c>
      <c r="V195" t="s">
        <v>52</v>
      </c>
      <c r="W195" s="1" t="s">
        <v>159</v>
      </c>
      <c r="Y195" t="s">
        <v>46</v>
      </c>
      <c r="Z195" t="s">
        <v>47</v>
      </c>
      <c r="AA195">
        <v>2</v>
      </c>
      <c r="AB195">
        <v>1</v>
      </c>
      <c r="AC195" t="s">
        <v>31</v>
      </c>
      <c r="AD195" t="s">
        <v>42</v>
      </c>
      <c r="AE195" t="s">
        <v>49</v>
      </c>
      <c r="AF195" s="3">
        <v>262</v>
      </c>
      <c r="AG195" s="3">
        <v>37</v>
      </c>
      <c r="AH195">
        <v>80</v>
      </c>
      <c r="AI195">
        <v>4</v>
      </c>
      <c r="AJ195">
        <v>0</v>
      </c>
      <c r="AL195">
        <v>0</v>
      </c>
      <c r="AM195">
        <v>1</v>
      </c>
      <c r="AN195" t="s">
        <v>768</v>
      </c>
      <c r="AO195" t="s">
        <v>41</v>
      </c>
    </row>
    <row r="196" spans="1:41" x14ac:dyDescent="0.25">
      <c r="A196">
        <v>43</v>
      </c>
      <c r="B196" t="s">
        <v>66</v>
      </c>
      <c r="C196" t="s">
        <v>33</v>
      </c>
      <c r="D196">
        <v>17</v>
      </c>
      <c r="E196" t="s">
        <v>34</v>
      </c>
      <c r="F196">
        <v>2</v>
      </c>
      <c r="G196">
        <v>1</v>
      </c>
      <c r="H196" t="s">
        <v>44</v>
      </c>
      <c r="I196">
        <v>3</v>
      </c>
      <c r="J196" t="s">
        <v>51</v>
      </c>
      <c r="K196">
        <v>2437</v>
      </c>
      <c r="L196">
        <v>9</v>
      </c>
      <c r="M196" t="s">
        <v>31</v>
      </c>
      <c r="N196">
        <v>16</v>
      </c>
      <c r="O196">
        <v>3</v>
      </c>
      <c r="P196">
        <v>1</v>
      </c>
      <c r="Q196">
        <v>6</v>
      </c>
      <c r="R196">
        <v>4</v>
      </c>
      <c r="S196">
        <v>1</v>
      </c>
      <c r="T196">
        <v>0</v>
      </c>
      <c r="U196">
        <v>0</v>
      </c>
      <c r="V196" t="s">
        <v>58</v>
      </c>
      <c r="W196" s="2">
        <v>43926</v>
      </c>
      <c r="Y196" t="s">
        <v>54</v>
      </c>
      <c r="Z196" t="s">
        <v>40</v>
      </c>
      <c r="AA196">
        <v>3</v>
      </c>
      <c r="AB196">
        <v>1</v>
      </c>
      <c r="AC196" t="s">
        <v>41</v>
      </c>
      <c r="AD196" t="s">
        <v>67</v>
      </c>
      <c r="AE196" t="s">
        <v>43</v>
      </c>
      <c r="AF196" s="3">
        <v>264</v>
      </c>
      <c r="AG196" s="3">
        <v>65</v>
      </c>
      <c r="AH196">
        <v>80</v>
      </c>
      <c r="AI196">
        <v>8</v>
      </c>
      <c r="AJ196">
        <v>0</v>
      </c>
      <c r="AL196">
        <v>0</v>
      </c>
      <c r="AM196">
        <v>1</v>
      </c>
      <c r="AN196" t="s">
        <v>768</v>
      </c>
      <c r="AO196" t="s">
        <v>41</v>
      </c>
    </row>
    <row r="197" spans="1:41" x14ac:dyDescent="0.25">
      <c r="A197">
        <v>55</v>
      </c>
      <c r="B197" t="s">
        <v>32</v>
      </c>
      <c r="C197" t="s">
        <v>33</v>
      </c>
      <c r="D197">
        <v>2</v>
      </c>
      <c r="E197" t="s">
        <v>34</v>
      </c>
      <c r="F197">
        <v>2</v>
      </c>
      <c r="G197">
        <v>5</v>
      </c>
      <c r="H197" t="s">
        <v>50</v>
      </c>
      <c r="I197">
        <v>1</v>
      </c>
      <c r="J197" t="s">
        <v>51</v>
      </c>
      <c r="K197">
        <v>19038</v>
      </c>
      <c r="L197">
        <v>8</v>
      </c>
      <c r="M197" t="s">
        <v>41</v>
      </c>
      <c r="N197">
        <v>12</v>
      </c>
      <c r="O197">
        <v>3</v>
      </c>
      <c r="P197">
        <v>3</v>
      </c>
      <c r="Q197">
        <v>34</v>
      </c>
      <c r="R197">
        <v>2</v>
      </c>
      <c r="S197">
        <v>1</v>
      </c>
      <c r="T197">
        <v>0</v>
      </c>
      <c r="U197">
        <v>0</v>
      </c>
      <c r="V197" t="s">
        <v>58</v>
      </c>
      <c r="W197" s="1" t="s">
        <v>160</v>
      </c>
      <c r="Y197" t="s">
        <v>63</v>
      </c>
      <c r="Z197" t="s">
        <v>47</v>
      </c>
      <c r="AA197">
        <v>4</v>
      </c>
      <c r="AB197">
        <v>1</v>
      </c>
      <c r="AC197" t="s">
        <v>31</v>
      </c>
      <c r="AD197" t="s">
        <v>48</v>
      </c>
      <c r="AE197" t="s">
        <v>43</v>
      </c>
      <c r="AF197" s="3">
        <v>267</v>
      </c>
      <c r="AG197" s="3">
        <v>65</v>
      </c>
      <c r="AH197">
        <v>80</v>
      </c>
      <c r="AI197">
        <v>7</v>
      </c>
      <c r="AJ197">
        <v>0</v>
      </c>
      <c r="AL197">
        <v>0</v>
      </c>
      <c r="AM197">
        <v>1</v>
      </c>
      <c r="AN197" t="s">
        <v>768</v>
      </c>
      <c r="AO197" t="s">
        <v>41</v>
      </c>
    </row>
    <row r="198" spans="1:41" x14ac:dyDescent="0.25">
      <c r="A198">
        <v>21</v>
      </c>
      <c r="B198" t="s">
        <v>32</v>
      </c>
      <c r="C198" t="s">
        <v>55</v>
      </c>
      <c r="D198">
        <v>7</v>
      </c>
      <c r="E198" t="s">
        <v>34</v>
      </c>
      <c r="F198">
        <v>3</v>
      </c>
      <c r="G198">
        <v>1</v>
      </c>
      <c r="H198" t="s">
        <v>56</v>
      </c>
      <c r="I198">
        <v>2</v>
      </c>
      <c r="J198" t="s">
        <v>36</v>
      </c>
      <c r="K198">
        <v>2679</v>
      </c>
      <c r="L198">
        <v>1</v>
      </c>
      <c r="M198" t="s">
        <v>41</v>
      </c>
      <c r="N198">
        <v>13</v>
      </c>
      <c r="O198">
        <v>3</v>
      </c>
      <c r="P198">
        <v>0</v>
      </c>
      <c r="Q198">
        <v>1</v>
      </c>
      <c r="R198">
        <v>3</v>
      </c>
      <c r="S198">
        <v>1</v>
      </c>
      <c r="T198">
        <v>1</v>
      </c>
      <c r="U198">
        <v>0</v>
      </c>
      <c r="V198" t="s">
        <v>58</v>
      </c>
      <c r="W198" s="1" t="s">
        <v>161</v>
      </c>
      <c r="Y198" t="s">
        <v>46</v>
      </c>
      <c r="Z198" t="s">
        <v>47</v>
      </c>
      <c r="AA198">
        <v>5</v>
      </c>
      <c r="AB198">
        <v>2</v>
      </c>
      <c r="AC198" t="s">
        <v>31</v>
      </c>
      <c r="AD198" t="s">
        <v>42</v>
      </c>
      <c r="AE198" t="s">
        <v>49</v>
      </c>
      <c r="AF198" s="3">
        <v>269</v>
      </c>
      <c r="AG198" s="3">
        <v>37</v>
      </c>
      <c r="AH198">
        <v>80</v>
      </c>
      <c r="AI198">
        <v>2</v>
      </c>
      <c r="AJ198">
        <v>0</v>
      </c>
      <c r="AL198">
        <v>0</v>
      </c>
      <c r="AM198">
        <v>1</v>
      </c>
      <c r="AN198" t="s">
        <v>768</v>
      </c>
      <c r="AO198" t="s">
        <v>41</v>
      </c>
    </row>
    <row r="199" spans="1:41" x14ac:dyDescent="0.25">
      <c r="A199">
        <v>22</v>
      </c>
      <c r="B199" t="s">
        <v>32</v>
      </c>
      <c r="C199" t="s">
        <v>33</v>
      </c>
      <c r="D199">
        <v>8</v>
      </c>
      <c r="E199" t="s">
        <v>61</v>
      </c>
      <c r="F199">
        <v>3</v>
      </c>
      <c r="G199">
        <v>1</v>
      </c>
      <c r="H199" t="s">
        <v>35</v>
      </c>
      <c r="I199">
        <v>1</v>
      </c>
      <c r="J199" t="s">
        <v>51</v>
      </c>
      <c r="K199">
        <v>2398</v>
      </c>
      <c r="L199">
        <v>1</v>
      </c>
      <c r="M199" t="s">
        <v>31</v>
      </c>
      <c r="N199">
        <v>17</v>
      </c>
      <c r="O199">
        <v>3</v>
      </c>
      <c r="P199">
        <v>0</v>
      </c>
      <c r="Q199">
        <v>1</v>
      </c>
      <c r="R199">
        <v>6</v>
      </c>
      <c r="S199">
        <v>1</v>
      </c>
      <c r="T199">
        <v>0</v>
      </c>
      <c r="U199">
        <v>0</v>
      </c>
      <c r="V199" t="s">
        <v>72</v>
      </c>
      <c r="W199" s="2">
        <v>43954</v>
      </c>
      <c r="Y199" t="s">
        <v>39</v>
      </c>
      <c r="Z199" t="s">
        <v>47</v>
      </c>
      <c r="AA199">
        <v>5</v>
      </c>
      <c r="AB199">
        <v>3</v>
      </c>
      <c r="AC199" t="s">
        <v>31</v>
      </c>
      <c r="AD199" t="s">
        <v>42</v>
      </c>
      <c r="AE199" t="s">
        <v>60</v>
      </c>
      <c r="AF199" s="3">
        <v>270</v>
      </c>
      <c r="AG199" s="3">
        <v>36</v>
      </c>
      <c r="AH199">
        <v>80</v>
      </c>
      <c r="AI199">
        <v>3</v>
      </c>
      <c r="AJ199">
        <v>0</v>
      </c>
      <c r="AL199">
        <v>0</v>
      </c>
      <c r="AM199">
        <v>1</v>
      </c>
      <c r="AN199" t="s">
        <v>768</v>
      </c>
      <c r="AO199" t="s">
        <v>41</v>
      </c>
    </row>
    <row r="200" spans="1:41" x14ac:dyDescent="0.25">
      <c r="A200">
        <v>31</v>
      </c>
      <c r="B200" t="s">
        <v>32</v>
      </c>
      <c r="C200" t="s">
        <v>120</v>
      </c>
      <c r="D200">
        <v>18</v>
      </c>
      <c r="E200" t="s">
        <v>34</v>
      </c>
      <c r="F200">
        <v>4</v>
      </c>
      <c r="G200">
        <v>1</v>
      </c>
      <c r="H200" t="s">
        <v>120</v>
      </c>
      <c r="I200">
        <v>1</v>
      </c>
      <c r="J200" t="s">
        <v>51</v>
      </c>
      <c r="K200">
        <v>2956</v>
      </c>
      <c r="L200">
        <v>0</v>
      </c>
      <c r="M200" t="s">
        <v>41</v>
      </c>
      <c r="N200">
        <v>17</v>
      </c>
      <c r="O200">
        <v>3</v>
      </c>
      <c r="P200">
        <v>0</v>
      </c>
      <c r="Q200">
        <v>2</v>
      </c>
      <c r="R200">
        <v>4</v>
      </c>
      <c r="S200">
        <v>1</v>
      </c>
      <c r="T200">
        <v>0</v>
      </c>
      <c r="U200">
        <v>0</v>
      </c>
      <c r="V200" t="s">
        <v>52</v>
      </c>
      <c r="W200" s="1" t="s">
        <v>162</v>
      </c>
      <c r="Y200" t="s">
        <v>46</v>
      </c>
      <c r="Z200" t="s">
        <v>47</v>
      </c>
      <c r="AA200">
        <v>4</v>
      </c>
      <c r="AB200">
        <v>1</v>
      </c>
      <c r="AC200" t="s">
        <v>31</v>
      </c>
      <c r="AD200" t="s">
        <v>67</v>
      </c>
      <c r="AE200" t="s">
        <v>43</v>
      </c>
      <c r="AF200" s="3">
        <v>271</v>
      </c>
      <c r="AG200" s="3">
        <v>88</v>
      </c>
      <c r="AH200">
        <v>80</v>
      </c>
      <c r="AI200">
        <v>0</v>
      </c>
      <c r="AJ200">
        <v>0</v>
      </c>
      <c r="AL200">
        <v>0</v>
      </c>
      <c r="AM200">
        <v>1</v>
      </c>
      <c r="AN200" t="s">
        <v>768</v>
      </c>
      <c r="AO200" t="s">
        <v>41</v>
      </c>
    </row>
    <row r="201" spans="1:41" x14ac:dyDescent="0.25">
      <c r="A201">
        <v>36</v>
      </c>
      <c r="B201" t="s">
        <v>32</v>
      </c>
      <c r="C201" t="s">
        <v>33</v>
      </c>
      <c r="D201">
        <v>2</v>
      </c>
      <c r="E201" t="s">
        <v>61</v>
      </c>
      <c r="F201">
        <v>3</v>
      </c>
      <c r="G201">
        <v>2</v>
      </c>
      <c r="H201" t="s">
        <v>44</v>
      </c>
      <c r="I201">
        <v>2</v>
      </c>
      <c r="J201" t="s">
        <v>51</v>
      </c>
      <c r="K201">
        <v>6962</v>
      </c>
      <c r="L201">
        <v>4</v>
      </c>
      <c r="M201" t="s">
        <v>31</v>
      </c>
      <c r="N201">
        <v>22</v>
      </c>
      <c r="O201">
        <v>4</v>
      </c>
      <c r="P201">
        <v>1</v>
      </c>
      <c r="Q201">
        <v>15</v>
      </c>
      <c r="R201">
        <v>2</v>
      </c>
      <c r="S201">
        <v>1</v>
      </c>
      <c r="T201">
        <v>0</v>
      </c>
      <c r="U201">
        <v>0</v>
      </c>
      <c r="V201" t="s">
        <v>37</v>
      </c>
      <c r="W201" s="2">
        <v>43835</v>
      </c>
      <c r="Y201" t="s">
        <v>69</v>
      </c>
      <c r="Z201" t="s">
        <v>47</v>
      </c>
      <c r="AA201">
        <v>4</v>
      </c>
      <c r="AB201">
        <v>0</v>
      </c>
      <c r="AC201" t="s">
        <v>31</v>
      </c>
      <c r="AD201" t="s">
        <v>48</v>
      </c>
      <c r="AE201" t="s">
        <v>49</v>
      </c>
      <c r="AF201" s="3">
        <v>273</v>
      </c>
      <c r="AG201" s="3">
        <v>54</v>
      </c>
      <c r="AH201">
        <v>80</v>
      </c>
      <c r="AI201">
        <v>7</v>
      </c>
      <c r="AJ201">
        <v>0</v>
      </c>
      <c r="AL201">
        <v>0</v>
      </c>
      <c r="AM201">
        <v>1</v>
      </c>
      <c r="AN201" t="s">
        <v>768</v>
      </c>
      <c r="AO201" t="s">
        <v>41</v>
      </c>
    </row>
    <row r="202" spans="1:41" x14ac:dyDescent="0.25">
      <c r="A202">
        <v>29</v>
      </c>
      <c r="B202" t="s">
        <v>32</v>
      </c>
      <c r="C202" t="s">
        <v>120</v>
      </c>
      <c r="D202">
        <v>6</v>
      </c>
      <c r="E202" t="s">
        <v>34</v>
      </c>
      <c r="F202">
        <v>2</v>
      </c>
      <c r="G202">
        <v>1</v>
      </c>
      <c r="H202" t="s">
        <v>120</v>
      </c>
      <c r="I202">
        <v>2</v>
      </c>
      <c r="J202" t="s">
        <v>51</v>
      </c>
      <c r="K202">
        <v>2804</v>
      </c>
      <c r="L202">
        <v>1</v>
      </c>
      <c r="M202" t="s">
        <v>41</v>
      </c>
      <c r="N202">
        <v>11</v>
      </c>
      <c r="O202">
        <v>3</v>
      </c>
      <c r="P202">
        <v>0</v>
      </c>
      <c r="Q202">
        <v>1</v>
      </c>
      <c r="R202">
        <v>3</v>
      </c>
      <c r="S202">
        <v>1</v>
      </c>
      <c r="T202">
        <v>0</v>
      </c>
      <c r="U202">
        <v>0</v>
      </c>
      <c r="V202" t="s">
        <v>52</v>
      </c>
      <c r="W202" s="1" t="s">
        <v>163</v>
      </c>
      <c r="Y202" t="s">
        <v>54</v>
      </c>
      <c r="Z202" t="s">
        <v>47</v>
      </c>
      <c r="AA202">
        <v>1</v>
      </c>
      <c r="AB202">
        <v>3</v>
      </c>
      <c r="AC202" t="s">
        <v>31</v>
      </c>
      <c r="AD202" t="s">
        <v>65</v>
      </c>
      <c r="AE202" t="s">
        <v>49</v>
      </c>
      <c r="AF202" s="3">
        <v>274</v>
      </c>
      <c r="AG202" s="3">
        <v>60</v>
      </c>
      <c r="AH202">
        <v>80</v>
      </c>
      <c r="AI202">
        <v>2</v>
      </c>
      <c r="AJ202">
        <v>0</v>
      </c>
      <c r="AL202">
        <v>0</v>
      </c>
      <c r="AM202">
        <v>1</v>
      </c>
      <c r="AN202" t="s">
        <v>768</v>
      </c>
      <c r="AO202" t="s">
        <v>41</v>
      </c>
    </row>
    <row r="203" spans="1:41" x14ac:dyDescent="0.25">
      <c r="A203">
        <v>29</v>
      </c>
      <c r="B203" t="s">
        <v>66</v>
      </c>
      <c r="C203" t="s">
        <v>33</v>
      </c>
      <c r="D203">
        <v>24</v>
      </c>
      <c r="E203" t="s">
        <v>34</v>
      </c>
      <c r="F203">
        <v>2</v>
      </c>
      <c r="G203">
        <v>1</v>
      </c>
      <c r="H203" t="s">
        <v>44</v>
      </c>
      <c r="I203">
        <v>4</v>
      </c>
      <c r="J203" t="s">
        <v>36</v>
      </c>
      <c r="K203">
        <v>2439</v>
      </c>
      <c r="L203">
        <v>1</v>
      </c>
      <c r="M203" t="s">
        <v>31</v>
      </c>
      <c r="N203">
        <v>24</v>
      </c>
      <c r="O203">
        <v>4</v>
      </c>
      <c r="P203">
        <v>0</v>
      </c>
      <c r="Q203">
        <v>1</v>
      </c>
      <c r="R203">
        <v>3</v>
      </c>
      <c r="S203">
        <v>1</v>
      </c>
      <c r="T203">
        <v>1</v>
      </c>
      <c r="U203">
        <v>0</v>
      </c>
      <c r="V203" t="s">
        <v>37</v>
      </c>
      <c r="W203" s="1" t="s">
        <v>131</v>
      </c>
      <c r="Y203" t="s">
        <v>39</v>
      </c>
      <c r="Z203" t="s">
        <v>40</v>
      </c>
      <c r="AA203">
        <v>3</v>
      </c>
      <c r="AB203">
        <v>1</v>
      </c>
      <c r="AC203" t="s">
        <v>31</v>
      </c>
      <c r="AD203" t="s">
        <v>65</v>
      </c>
      <c r="AE203" t="s">
        <v>49</v>
      </c>
      <c r="AF203" s="3">
        <v>275</v>
      </c>
      <c r="AG203" s="3">
        <v>92</v>
      </c>
      <c r="AH203">
        <v>80</v>
      </c>
      <c r="AI203">
        <v>7</v>
      </c>
      <c r="AJ203">
        <v>0</v>
      </c>
      <c r="AL203">
        <v>0</v>
      </c>
      <c r="AM203">
        <v>1</v>
      </c>
      <c r="AN203" t="s">
        <v>768</v>
      </c>
      <c r="AO203" t="s">
        <v>41</v>
      </c>
    </row>
    <row r="204" spans="1:41" x14ac:dyDescent="0.25">
      <c r="A204">
        <v>28</v>
      </c>
      <c r="B204" t="s">
        <v>32</v>
      </c>
      <c r="C204" t="s">
        <v>55</v>
      </c>
      <c r="D204">
        <v>3</v>
      </c>
      <c r="E204" t="s">
        <v>61</v>
      </c>
      <c r="F204">
        <v>3</v>
      </c>
      <c r="G204">
        <v>1</v>
      </c>
      <c r="H204" t="s">
        <v>56</v>
      </c>
      <c r="I204">
        <v>2</v>
      </c>
      <c r="J204" t="s">
        <v>51</v>
      </c>
      <c r="K204">
        <v>2856</v>
      </c>
      <c r="L204">
        <v>1</v>
      </c>
      <c r="M204" t="s">
        <v>41</v>
      </c>
      <c r="N204">
        <v>19</v>
      </c>
      <c r="O204">
        <v>3</v>
      </c>
      <c r="P204">
        <v>1</v>
      </c>
      <c r="Q204">
        <v>1</v>
      </c>
      <c r="R204">
        <v>3</v>
      </c>
      <c r="S204">
        <v>1</v>
      </c>
      <c r="T204">
        <v>0</v>
      </c>
      <c r="U204">
        <v>0</v>
      </c>
      <c r="V204" t="s">
        <v>72</v>
      </c>
      <c r="W204" s="2">
        <v>43923</v>
      </c>
      <c r="Y204" t="s">
        <v>63</v>
      </c>
      <c r="Z204" t="s">
        <v>40</v>
      </c>
      <c r="AA204">
        <v>3</v>
      </c>
      <c r="AB204">
        <v>2</v>
      </c>
      <c r="AC204" t="s">
        <v>31</v>
      </c>
      <c r="AD204" t="s">
        <v>42</v>
      </c>
      <c r="AE204" t="s">
        <v>43</v>
      </c>
      <c r="AF204" s="3">
        <v>277</v>
      </c>
      <c r="AG204" s="3">
        <v>43</v>
      </c>
      <c r="AH204">
        <v>80</v>
      </c>
      <c r="AI204">
        <v>3</v>
      </c>
      <c r="AJ204">
        <v>0</v>
      </c>
      <c r="AL204">
        <v>0</v>
      </c>
      <c r="AM204">
        <v>1</v>
      </c>
      <c r="AN204" t="s">
        <v>768</v>
      </c>
      <c r="AO204" t="s">
        <v>41</v>
      </c>
    </row>
    <row r="205" spans="1:41" x14ac:dyDescent="0.25">
      <c r="A205">
        <v>30</v>
      </c>
      <c r="B205" t="s">
        <v>32</v>
      </c>
      <c r="C205" t="s">
        <v>55</v>
      </c>
      <c r="D205">
        <v>9</v>
      </c>
      <c r="E205" t="s">
        <v>34</v>
      </c>
      <c r="F205">
        <v>3</v>
      </c>
      <c r="G205">
        <v>1</v>
      </c>
      <c r="H205" t="s">
        <v>56</v>
      </c>
      <c r="I205">
        <v>4</v>
      </c>
      <c r="J205" t="s">
        <v>36</v>
      </c>
      <c r="K205">
        <v>1081</v>
      </c>
      <c r="L205">
        <v>1</v>
      </c>
      <c r="M205" t="s">
        <v>41</v>
      </c>
      <c r="N205">
        <v>13</v>
      </c>
      <c r="O205">
        <v>3</v>
      </c>
      <c r="P205">
        <v>0</v>
      </c>
      <c r="Q205">
        <v>1</v>
      </c>
      <c r="R205">
        <v>3</v>
      </c>
      <c r="S205">
        <v>1</v>
      </c>
      <c r="T205">
        <v>0</v>
      </c>
      <c r="U205">
        <v>0</v>
      </c>
      <c r="V205" t="s">
        <v>52</v>
      </c>
      <c r="W205" s="1" t="s">
        <v>164</v>
      </c>
      <c r="Y205" t="s">
        <v>63</v>
      </c>
      <c r="Z205" t="s">
        <v>47</v>
      </c>
      <c r="AA205">
        <v>0</v>
      </c>
      <c r="AB205">
        <v>0</v>
      </c>
      <c r="AC205" t="s">
        <v>41</v>
      </c>
      <c r="AD205" t="s">
        <v>42</v>
      </c>
      <c r="AE205" t="s">
        <v>60</v>
      </c>
      <c r="AF205" s="3">
        <v>281</v>
      </c>
      <c r="AG205" s="3">
        <v>99</v>
      </c>
      <c r="AH205">
        <v>80</v>
      </c>
      <c r="AI205">
        <v>2</v>
      </c>
      <c r="AJ205">
        <v>0</v>
      </c>
      <c r="AL205">
        <v>0</v>
      </c>
      <c r="AM205">
        <v>1</v>
      </c>
      <c r="AN205" t="s">
        <v>768</v>
      </c>
      <c r="AO205" t="s">
        <v>41</v>
      </c>
    </row>
    <row r="206" spans="1:41" x14ac:dyDescent="0.25">
      <c r="A206">
        <v>22</v>
      </c>
      <c r="B206" t="s">
        <v>32</v>
      </c>
      <c r="C206" t="s">
        <v>33</v>
      </c>
      <c r="D206">
        <v>7</v>
      </c>
      <c r="E206" t="s">
        <v>34</v>
      </c>
      <c r="F206">
        <v>3</v>
      </c>
      <c r="G206">
        <v>1</v>
      </c>
      <c r="H206" t="s">
        <v>44</v>
      </c>
      <c r="I206">
        <v>2</v>
      </c>
      <c r="J206" t="s">
        <v>36</v>
      </c>
      <c r="K206">
        <v>2472</v>
      </c>
      <c r="L206">
        <v>1</v>
      </c>
      <c r="M206" t="s">
        <v>31</v>
      </c>
      <c r="N206">
        <v>23</v>
      </c>
      <c r="O206">
        <v>4</v>
      </c>
      <c r="P206">
        <v>0</v>
      </c>
      <c r="Q206">
        <v>1</v>
      </c>
      <c r="R206">
        <v>2</v>
      </c>
      <c r="S206">
        <v>1</v>
      </c>
      <c r="T206">
        <v>0</v>
      </c>
      <c r="U206">
        <v>0</v>
      </c>
      <c r="V206" t="s">
        <v>52</v>
      </c>
      <c r="W206" s="1" t="s">
        <v>137</v>
      </c>
      <c r="Y206" t="s">
        <v>69</v>
      </c>
      <c r="Z206" t="s">
        <v>40</v>
      </c>
      <c r="AA206">
        <v>0</v>
      </c>
      <c r="AB206">
        <v>1</v>
      </c>
      <c r="AC206" t="s">
        <v>41</v>
      </c>
      <c r="AD206" t="s">
        <v>65</v>
      </c>
      <c r="AE206" t="s">
        <v>60</v>
      </c>
      <c r="AF206" s="3">
        <v>282</v>
      </c>
      <c r="AG206" s="3">
        <v>70</v>
      </c>
      <c r="AH206">
        <v>80</v>
      </c>
      <c r="AI206">
        <v>0</v>
      </c>
      <c r="AJ206">
        <v>1</v>
      </c>
      <c r="AK206">
        <v>1</v>
      </c>
      <c r="AL206">
        <v>1</v>
      </c>
      <c r="AM206">
        <v>0</v>
      </c>
      <c r="AN206" t="s">
        <v>767</v>
      </c>
      <c r="AO206" t="s">
        <v>31</v>
      </c>
    </row>
    <row r="207" spans="1:41" x14ac:dyDescent="0.25">
      <c r="A207">
        <v>26</v>
      </c>
      <c r="B207" t="s">
        <v>32</v>
      </c>
      <c r="C207" t="s">
        <v>33</v>
      </c>
      <c r="D207">
        <v>1</v>
      </c>
      <c r="E207" t="s">
        <v>61</v>
      </c>
      <c r="F207">
        <v>2</v>
      </c>
      <c r="G207">
        <v>1</v>
      </c>
      <c r="H207" t="s">
        <v>44</v>
      </c>
      <c r="I207">
        <v>3</v>
      </c>
      <c r="J207" t="s">
        <v>51</v>
      </c>
      <c r="K207">
        <v>2933</v>
      </c>
      <c r="L207">
        <v>1</v>
      </c>
      <c r="M207" t="s">
        <v>31</v>
      </c>
      <c r="N207">
        <v>13</v>
      </c>
      <c r="O207">
        <v>3</v>
      </c>
      <c r="P207">
        <v>1</v>
      </c>
      <c r="Q207">
        <v>1</v>
      </c>
      <c r="R207">
        <v>3</v>
      </c>
      <c r="S207">
        <v>1</v>
      </c>
      <c r="T207">
        <v>1</v>
      </c>
      <c r="U207">
        <v>0</v>
      </c>
      <c r="V207" t="s">
        <v>58</v>
      </c>
      <c r="W207" s="1" t="s">
        <v>113</v>
      </c>
      <c r="Y207" t="s">
        <v>39</v>
      </c>
      <c r="Z207" t="s">
        <v>40</v>
      </c>
      <c r="AA207">
        <v>1</v>
      </c>
      <c r="AB207">
        <v>0</v>
      </c>
      <c r="AC207" t="s">
        <v>31</v>
      </c>
      <c r="AD207" t="s">
        <v>65</v>
      </c>
      <c r="AE207" t="s">
        <v>49</v>
      </c>
      <c r="AF207" s="3">
        <v>283</v>
      </c>
      <c r="AG207" s="3">
        <v>35</v>
      </c>
      <c r="AH207">
        <v>80</v>
      </c>
      <c r="AI207">
        <v>4</v>
      </c>
      <c r="AJ207">
        <v>1</v>
      </c>
      <c r="AK207">
        <v>1</v>
      </c>
      <c r="AL207">
        <v>1</v>
      </c>
      <c r="AM207">
        <v>0</v>
      </c>
      <c r="AN207" t="s">
        <v>767</v>
      </c>
      <c r="AO207" t="s">
        <v>31</v>
      </c>
    </row>
    <row r="208" spans="1:41" x14ac:dyDescent="0.25">
      <c r="A208">
        <v>29</v>
      </c>
      <c r="B208" t="s">
        <v>66</v>
      </c>
      <c r="C208" t="s">
        <v>55</v>
      </c>
      <c r="D208">
        <v>24</v>
      </c>
      <c r="E208" t="s">
        <v>34</v>
      </c>
      <c r="F208">
        <v>4</v>
      </c>
      <c r="G208">
        <v>1</v>
      </c>
      <c r="H208" t="s">
        <v>56</v>
      </c>
      <c r="I208">
        <v>1</v>
      </c>
      <c r="J208" t="s">
        <v>36</v>
      </c>
      <c r="K208">
        <v>1091</v>
      </c>
      <c r="L208">
        <v>1</v>
      </c>
      <c r="M208" t="s">
        <v>41</v>
      </c>
      <c r="N208">
        <v>17</v>
      </c>
      <c r="O208">
        <v>3</v>
      </c>
      <c r="P208">
        <v>0</v>
      </c>
      <c r="Q208">
        <v>1</v>
      </c>
      <c r="R208">
        <v>3</v>
      </c>
      <c r="S208">
        <v>1</v>
      </c>
      <c r="T208">
        <v>0</v>
      </c>
      <c r="U208">
        <v>0</v>
      </c>
      <c r="V208" t="s">
        <v>52</v>
      </c>
      <c r="W208" s="2">
        <v>43864</v>
      </c>
      <c r="Y208" t="s">
        <v>54</v>
      </c>
      <c r="Z208" t="s">
        <v>47</v>
      </c>
      <c r="AA208">
        <v>5</v>
      </c>
      <c r="AB208">
        <v>0</v>
      </c>
      <c r="AC208" t="s">
        <v>41</v>
      </c>
      <c r="AD208" t="s">
        <v>65</v>
      </c>
      <c r="AE208" t="s">
        <v>49</v>
      </c>
      <c r="AF208" s="3">
        <v>284</v>
      </c>
      <c r="AG208" s="3">
        <v>60</v>
      </c>
      <c r="AH208">
        <v>80</v>
      </c>
      <c r="AI208">
        <v>2</v>
      </c>
      <c r="AJ208">
        <v>0</v>
      </c>
      <c r="AL208">
        <v>0</v>
      </c>
      <c r="AM208">
        <v>1</v>
      </c>
      <c r="AN208" t="s">
        <v>768</v>
      </c>
      <c r="AO208" t="s">
        <v>41</v>
      </c>
    </row>
    <row r="209" spans="1:41" x14ac:dyDescent="0.25">
      <c r="A209">
        <v>58</v>
      </c>
      <c r="B209" t="s">
        <v>32</v>
      </c>
      <c r="C209" t="s">
        <v>55</v>
      </c>
      <c r="D209">
        <v>21</v>
      </c>
      <c r="E209" t="s">
        <v>61</v>
      </c>
      <c r="F209">
        <v>3</v>
      </c>
      <c r="G209">
        <v>4</v>
      </c>
      <c r="H209" t="s">
        <v>75</v>
      </c>
      <c r="I209">
        <v>4</v>
      </c>
      <c r="J209" t="s">
        <v>51</v>
      </c>
      <c r="K209">
        <v>17875</v>
      </c>
      <c r="L209">
        <v>4</v>
      </c>
      <c r="M209" t="s">
        <v>31</v>
      </c>
      <c r="N209">
        <v>13</v>
      </c>
      <c r="O209">
        <v>3</v>
      </c>
      <c r="P209">
        <v>1</v>
      </c>
      <c r="Q209">
        <v>29</v>
      </c>
      <c r="R209">
        <v>2</v>
      </c>
      <c r="S209">
        <v>1</v>
      </c>
      <c r="T209">
        <v>0</v>
      </c>
      <c r="U209">
        <v>0</v>
      </c>
      <c r="V209" t="s">
        <v>72</v>
      </c>
      <c r="W209" s="1" t="s">
        <v>141</v>
      </c>
      <c r="Y209" t="s">
        <v>39</v>
      </c>
      <c r="Z209" t="s">
        <v>47</v>
      </c>
      <c r="AA209">
        <v>2</v>
      </c>
      <c r="AB209">
        <v>1</v>
      </c>
      <c r="AC209" t="s">
        <v>41</v>
      </c>
      <c r="AD209" t="s">
        <v>48</v>
      </c>
      <c r="AE209" t="s">
        <v>49</v>
      </c>
      <c r="AF209" s="3">
        <v>286</v>
      </c>
      <c r="AG209" s="3">
        <v>73</v>
      </c>
      <c r="AH209">
        <v>80</v>
      </c>
      <c r="AI209">
        <v>1</v>
      </c>
      <c r="AJ209">
        <v>0</v>
      </c>
      <c r="AL209">
        <v>0</v>
      </c>
      <c r="AM209">
        <v>1</v>
      </c>
      <c r="AN209" t="s">
        <v>768</v>
      </c>
      <c r="AO209" t="s">
        <v>41</v>
      </c>
    </row>
    <row r="210" spans="1:41" x14ac:dyDescent="0.25">
      <c r="A210">
        <v>27</v>
      </c>
      <c r="B210" t="s">
        <v>66</v>
      </c>
      <c r="C210" t="s">
        <v>120</v>
      </c>
      <c r="D210">
        <v>22</v>
      </c>
      <c r="E210" t="s">
        <v>61</v>
      </c>
      <c r="F210">
        <v>2</v>
      </c>
      <c r="G210">
        <v>1</v>
      </c>
      <c r="H210" t="s">
        <v>120</v>
      </c>
      <c r="I210">
        <v>2</v>
      </c>
      <c r="J210" t="s">
        <v>51</v>
      </c>
      <c r="K210">
        <v>2863</v>
      </c>
      <c r="L210">
        <v>1</v>
      </c>
      <c r="M210" t="s">
        <v>41</v>
      </c>
      <c r="N210">
        <v>12</v>
      </c>
      <c r="O210">
        <v>3</v>
      </c>
      <c r="P210">
        <v>0</v>
      </c>
      <c r="Q210">
        <v>1</v>
      </c>
      <c r="R210">
        <v>2</v>
      </c>
      <c r="S210">
        <v>1</v>
      </c>
      <c r="T210">
        <v>0</v>
      </c>
      <c r="U210">
        <v>0</v>
      </c>
      <c r="V210" t="s">
        <v>58</v>
      </c>
      <c r="W210" s="1" t="s">
        <v>165</v>
      </c>
      <c r="Y210" t="s">
        <v>39</v>
      </c>
      <c r="Z210" t="s">
        <v>40</v>
      </c>
      <c r="AA210">
        <v>3</v>
      </c>
      <c r="AB210">
        <v>3</v>
      </c>
      <c r="AC210" t="s">
        <v>41</v>
      </c>
      <c r="AD210" t="s">
        <v>48</v>
      </c>
      <c r="AE210" t="s">
        <v>49</v>
      </c>
      <c r="AF210" s="3">
        <v>287</v>
      </c>
      <c r="AG210" s="3">
        <v>63</v>
      </c>
      <c r="AH210">
        <v>80</v>
      </c>
      <c r="AI210">
        <v>2</v>
      </c>
      <c r="AJ210">
        <v>0</v>
      </c>
      <c r="AL210">
        <v>0</v>
      </c>
      <c r="AM210">
        <v>1</v>
      </c>
      <c r="AN210" t="s">
        <v>768</v>
      </c>
      <c r="AO210" t="s">
        <v>41</v>
      </c>
    </row>
    <row r="211" spans="1:41" x14ac:dyDescent="0.25">
      <c r="A211">
        <v>38</v>
      </c>
      <c r="B211" t="s">
        <v>32</v>
      </c>
      <c r="C211" t="s">
        <v>55</v>
      </c>
      <c r="D211">
        <v>1</v>
      </c>
      <c r="E211" t="s">
        <v>34</v>
      </c>
      <c r="F211">
        <v>2</v>
      </c>
      <c r="G211">
        <v>1</v>
      </c>
      <c r="H211" t="s">
        <v>56</v>
      </c>
      <c r="I211">
        <v>1</v>
      </c>
      <c r="J211" t="s">
        <v>36</v>
      </c>
      <c r="K211">
        <v>2858</v>
      </c>
      <c r="L211">
        <v>4</v>
      </c>
      <c r="M211" t="s">
        <v>41</v>
      </c>
      <c r="N211">
        <v>14</v>
      </c>
      <c r="O211">
        <v>3</v>
      </c>
      <c r="P211">
        <v>0</v>
      </c>
      <c r="Q211">
        <v>20</v>
      </c>
      <c r="R211">
        <v>3</v>
      </c>
      <c r="S211">
        <v>1</v>
      </c>
      <c r="T211">
        <v>0</v>
      </c>
      <c r="U211">
        <v>0</v>
      </c>
      <c r="V211" t="s">
        <v>52</v>
      </c>
      <c r="W211" s="2">
        <v>44044</v>
      </c>
      <c r="Y211" t="s">
        <v>69</v>
      </c>
      <c r="Z211" t="s">
        <v>47</v>
      </c>
      <c r="AA211">
        <v>3</v>
      </c>
      <c r="AB211">
        <v>1</v>
      </c>
      <c r="AC211" t="s">
        <v>41</v>
      </c>
      <c r="AD211" t="s">
        <v>65</v>
      </c>
      <c r="AE211" t="s">
        <v>60</v>
      </c>
      <c r="AF211" s="3">
        <v>288</v>
      </c>
      <c r="AG211" s="3">
        <v>97</v>
      </c>
      <c r="AH211">
        <v>80</v>
      </c>
      <c r="AI211">
        <v>2</v>
      </c>
      <c r="AJ211">
        <v>0</v>
      </c>
      <c r="AL211">
        <v>0</v>
      </c>
      <c r="AM211">
        <v>1</v>
      </c>
      <c r="AN211" t="s">
        <v>768</v>
      </c>
      <c r="AO211" t="s">
        <v>41</v>
      </c>
    </row>
    <row r="212" spans="1:41" x14ac:dyDescent="0.25">
      <c r="A212">
        <v>32</v>
      </c>
      <c r="B212" t="s">
        <v>32</v>
      </c>
      <c r="C212" t="s">
        <v>33</v>
      </c>
      <c r="D212">
        <v>5</v>
      </c>
      <c r="E212" t="s">
        <v>34</v>
      </c>
      <c r="F212">
        <v>2</v>
      </c>
      <c r="G212">
        <v>2</v>
      </c>
      <c r="H212" t="s">
        <v>78</v>
      </c>
      <c r="I212">
        <v>4</v>
      </c>
      <c r="J212" t="s">
        <v>36</v>
      </c>
      <c r="K212">
        <v>9679</v>
      </c>
      <c r="L212">
        <v>8</v>
      </c>
      <c r="M212" t="s">
        <v>41</v>
      </c>
      <c r="N212">
        <v>24</v>
      </c>
      <c r="O212">
        <v>4</v>
      </c>
      <c r="P212">
        <v>0</v>
      </c>
      <c r="Q212">
        <v>8</v>
      </c>
      <c r="R212">
        <v>1</v>
      </c>
      <c r="S212">
        <v>1</v>
      </c>
      <c r="T212">
        <v>0</v>
      </c>
      <c r="U212">
        <v>0</v>
      </c>
      <c r="V212" t="s">
        <v>72</v>
      </c>
      <c r="W212" s="2">
        <v>44049</v>
      </c>
      <c r="Y212" t="s">
        <v>63</v>
      </c>
      <c r="Z212" t="s">
        <v>47</v>
      </c>
      <c r="AA212">
        <v>3</v>
      </c>
      <c r="AB212">
        <v>2</v>
      </c>
      <c r="AC212" t="s">
        <v>41</v>
      </c>
      <c r="AD212" t="s">
        <v>65</v>
      </c>
      <c r="AE212" t="s">
        <v>43</v>
      </c>
      <c r="AF212" s="3">
        <v>291</v>
      </c>
      <c r="AG212" s="3">
        <v>32</v>
      </c>
      <c r="AH212">
        <v>80</v>
      </c>
      <c r="AI212">
        <v>8</v>
      </c>
      <c r="AJ212">
        <v>1</v>
      </c>
      <c r="AK212">
        <v>1</v>
      </c>
      <c r="AL212">
        <v>1</v>
      </c>
      <c r="AM212">
        <v>0</v>
      </c>
      <c r="AN212" t="s">
        <v>767</v>
      </c>
      <c r="AO212" t="s">
        <v>31</v>
      </c>
    </row>
    <row r="213" spans="1:41" x14ac:dyDescent="0.25">
      <c r="A213">
        <v>31</v>
      </c>
      <c r="B213" t="s">
        <v>32</v>
      </c>
      <c r="C213" t="s">
        <v>33</v>
      </c>
      <c r="D213">
        <v>2</v>
      </c>
      <c r="E213" t="s">
        <v>61</v>
      </c>
      <c r="F213">
        <v>1</v>
      </c>
      <c r="G213">
        <v>1</v>
      </c>
      <c r="H213" t="s">
        <v>35</v>
      </c>
      <c r="I213">
        <v>4</v>
      </c>
      <c r="J213" t="s">
        <v>57</v>
      </c>
      <c r="K213">
        <v>1129</v>
      </c>
      <c r="L213">
        <v>1</v>
      </c>
      <c r="M213" t="s">
        <v>31</v>
      </c>
      <c r="N213">
        <v>11</v>
      </c>
      <c r="O213">
        <v>3</v>
      </c>
      <c r="P213">
        <v>3</v>
      </c>
      <c r="Q213">
        <v>1</v>
      </c>
      <c r="R213">
        <v>4</v>
      </c>
      <c r="S213">
        <v>1</v>
      </c>
      <c r="T213">
        <v>0</v>
      </c>
      <c r="U213">
        <v>0</v>
      </c>
      <c r="V213" t="s">
        <v>58</v>
      </c>
      <c r="W213" s="1" t="s">
        <v>148</v>
      </c>
      <c r="Y213" t="s">
        <v>54</v>
      </c>
      <c r="Z213" t="s">
        <v>40</v>
      </c>
      <c r="AA213">
        <v>4</v>
      </c>
      <c r="AB213">
        <v>3</v>
      </c>
      <c r="AC213" t="s">
        <v>41</v>
      </c>
      <c r="AD213" t="s">
        <v>48</v>
      </c>
      <c r="AE213" t="s">
        <v>43</v>
      </c>
      <c r="AF213" s="3">
        <v>292</v>
      </c>
      <c r="AG213" s="3">
        <v>88</v>
      </c>
      <c r="AH213">
        <v>80</v>
      </c>
      <c r="AI213">
        <v>8</v>
      </c>
      <c r="AJ213">
        <v>0</v>
      </c>
      <c r="AL213">
        <v>0</v>
      </c>
      <c r="AM213">
        <v>1</v>
      </c>
      <c r="AN213" t="s">
        <v>768</v>
      </c>
      <c r="AO213" t="s">
        <v>41</v>
      </c>
    </row>
    <row r="214" spans="1:41" x14ac:dyDescent="0.25">
      <c r="A214">
        <v>33</v>
      </c>
      <c r="B214" t="s">
        <v>81</v>
      </c>
      <c r="C214" t="s">
        <v>33</v>
      </c>
      <c r="D214">
        <v>1</v>
      </c>
      <c r="E214" t="s">
        <v>34</v>
      </c>
      <c r="F214">
        <v>2</v>
      </c>
      <c r="G214">
        <v>1</v>
      </c>
      <c r="H214" t="s">
        <v>35</v>
      </c>
      <c r="I214">
        <v>3</v>
      </c>
      <c r="J214" t="s">
        <v>57</v>
      </c>
      <c r="K214">
        <v>2008</v>
      </c>
      <c r="L214">
        <v>1</v>
      </c>
      <c r="M214" t="s">
        <v>41</v>
      </c>
      <c r="N214">
        <v>12</v>
      </c>
      <c r="O214">
        <v>3</v>
      </c>
      <c r="P214">
        <v>3</v>
      </c>
      <c r="Q214">
        <v>1</v>
      </c>
      <c r="R214">
        <v>2</v>
      </c>
      <c r="S214">
        <v>1</v>
      </c>
      <c r="T214">
        <v>0</v>
      </c>
      <c r="U214">
        <v>0</v>
      </c>
      <c r="V214" t="s">
        <v>58</v>
      </c>
      <c r="W214" s="1" t="s">
        <v>161</v>
      </c>
      <c r="Y214" t="s">
        <v>63</v>
      </c>
      <c r="Z214" t="s">
        <v>47</v>
      </c>
      <c r="AA214">
        <v>0</v>
      </c>
      <c r="AB214">
        <v>1</v>
      </c>
      <c r="AC214" t="s">
        <v>31</v>
      </c>
      <c r="AD214" t="s">
        <v>67</v>
      </c>
      <c r="AE214" t="s">
        <v>43</v>
      </c>
      <c r="AF214" s="3">
        <v>293</v>
      </c>
      <c r="AG214" s="3">
        <v>90</v>
      </c>
      <c r="AH214">
        <v>80</v>
      </c>
      <c r="AI214">
        <v>7</v>
      </c>
      <c r="AJ214">
        <v>0</v>
      </c>
      <c r="AL214">
        <v>0</v>
      </c>
      <c r="AM214">
        <v>1</v>
      </c>
      <c r="AN214" t="s">
        <v>768</v>
      </c>
      <c r="AO214" t="s">
        <v>41</v>
      </c>
    </row>
    <row r="215" spans="1:41" x14ac:dyDescent="0.25">
      <c r="A215">
        <v>40</v>
      </c>
      <c r="B215" t="s">
        <v>32</v>
      </c>
      <c r="C215" t="s">
        <v>33</v>
      </c>
      <c r="D215">
        <v>1</v>
      </c>
      <c r="E215" t="s">
        <v>34</v>
      </c>
      <c r="F215">
        <v>3</v>
      </c>
      <c r="G215">
        <v>1</v>
      </c>
      <c r="H215" t="s">
        <v>35</v>
      </c>
      <c r="I215">
        <v>4</v>
      </c>
      <c r="J215" t="s">
        <v>51</v>
      </c>
      <c r="K215">
        <v>2406</v>
      </c>
      <c r="L215">
        <v>8</v>
      </c>
      <c r="M215" t="s">
        <v>41</v>
      </c>
      <c r="N215">
        <v>19</v>
      </c>
      <c r="O215">
        <v>3</v>
      </c>
      <c r="P215">
        <v>2</v>
      </c>
      <c r="Q215">
        <v>8</v>
      </c>
      <c r="R215">
        <v>3</v>
      </c>
      <c r="S215">
        <v>1</v>
      </c>
      <c r="T215">
        <v>0</v>
      </c>
      <c r="U215">
        <v>0</v>
      </c>
      <c r="V215" t="s">
        <v>52</v>
      </c>
      <c r="W215" s="1" t="s">
        <v>156</v>
      </c>
      <c r="Y215" t="s">
        <v>39</v>
      </c>
      <c r="Z215" t="s">
        <v>47</v>
      </c>
      <c r="AA215">
        <v>1</v>
      </c>
      <c r="AB215">
        <v>2</v>
      </c>
      <c r="AC215" t="s">
        <v>31</v>
      </c>
      <c r="AD215" t="s">
        <v>48</v>
      </c>
      <c r="AE215" t="s">
        <v>60</v>
      </c>
      <c r="AF215" s="3">
        <v>296</v>
      </c>
      <c r="AG215" s="3">
        <v>81</v>
      </c>
      <c r="AH215">
        <v>80</v>
      </c>
      <c r="AI215">
        <v>9</v>
      </c>
      <c r="AJ215">
        <v>0</v>
      </c>
      <c r="AL215">
        <v>0</v>
      </c>
      <c r="AM215">
        <v>1</v>
      </c>
      <c r="AN215" t="s">
        <v>768</v>
      </c>
      <c r="AO215" t="s">
        <v>41</v>
      </c>
    </row>
    <row r="216" spans="1:41" x14ac:dyDescent="0.25">
      <c r="A216">
        <v>23</v>
      </c>
      <c r="B216" t="s">
        <v>66</v>
      </c>
      <c r="C216" t="s">
        <v>55</v>
      </c>
      <c r="D216">
        <v>9</v>
      </c>
      <c r="E216" t="s">
        <v>34</v>
      </c>
      <c r="F216">
        <v>3</v>
      </c>
      <c r="G216">
        <v>1</v>
      </c>
      <c r="H216" t="s">
        <v>56</v>
      </c>
      <c r="I216">
        <v>1</v>
      </c>
      <c r="J216" t="s">
        <v>51</v>
      </c>
      <c r="K216">
        <v>1790</v>
      </c>
      <c r="L216">
        <v>1</v>
      </c>
      <c r="M216" t="s">
        <v>41</v>
      </c>
      <c r="N216">
        <v>19</v>
      </c>
      <c r="O216">
        <v>3</v>
      </c>
      <c r="P216">
        <v>1</v>
      </c>
      <c r="Q216">
        <v>1</v>
      </c>
      <c r="R216">
        <v>3</v>
      </c>
      <c r="S216">
        <v>1</v>
      </c>
      <c r="T216">
        <v>1</v>
      </c>
      <c r="U216">
        <v>0</v>
      </c>
      <c r="V216" t="s">
        <v>52</v>
      </c>
      <c r="W216" s="2">
        <v>43865</v>
      </c>
      <c r="Y216" t="s">
        <v>46</v>
      </c>
      <c r="Z216" t="s">
        <v>40</v>
      </c>
      <c r="AA216">
        <v>2</v>
      </c>
      <c r="AB216">
        <v>3</v>
      </c>
      <c r="AC216" t="s">
        <v>41</v>
      </c>
      <c r="AD216" t="s">
        <v>42</v>
      </c>
      <c r="AE216" t="s">
        <v>60</v>
      </c>
      <c r="AF216" s="3">
        <v>297</v>
      </c>
      <c r="AG216" s="3">
        <v>88</v>
      </c>
      <c r="AH216">
        <v>80</v>
      </c>
      <c r="AI216">
        <v>2</v>
      </c>
      <c r="AJ216">
        <v>1</v>
      </c>
      <c r="AK216">
        <v>1</v>
      </c>
      <c r="AL216">
        <v>1</v>
      </c>
      <c r="AM216">
        <v>0</v>
      </c>
      <c r="AN216" t="s">
        <v>767</v>
      </c>
      <c r="AO216" t="s">
        <v>31</v>
      </c>
    </row>
    <row r="217" spans="1:41" x14ac:dyDescent="0.25">
      <c r="A217">
        <v>27</v>
      </c>
      <c r="B217" t="s">
        <v>32</v>
      </c>
      <c r="C217" t="s">
        <v>33</v>
      </c>
      <c r="D217">
        <v>2</v>
      </c>
      <c r="E217" t="s">
        <v>34</v>
      </c>
      <c r="F217">
        <v>3</v>
      </c>
      <c r="G217">
        <v>1</v>
      </c>
      <c r="H217" t="s">
        <v>35</v>
      </c>
      <c r="I217">
        <v>2</v>
      </c>
      <c r="J217" t="s">
        <v>51</v>
      </c>
      <c r="K217">
        <v>3468</v>
      </c>
      <c r="L217">
        <v>9</v>
      </c>
      <c r="M217" t="s">
        <v>41</v>
      </c>
      <c r="N217">
        <v>12</v>
      </c>
      <c r="O217">
        <v>3</v>
      </c>
      <c r="P217">
        <v>1</v>
      </c>
      <c r="Q217">
        <v>6</v>
      </c>
      <c r="R217">
        <v>3</v>
      </c>
      <c r="S217">
        <v>2</v>
      </c>
      <c r="T217">
        <v>2</v>
      </c>
      <c r="U217">
        <v>2</v>
      </c>
      <c r="V217" t="s">
        <v>37</v>
      </c>
      <c r="W217" s="1" t="s">
        <v>166</v>
      </c>
      <c r="Y217" t="s">
        <v>54</v>
      </c>
      <c r="Z217" t="s">
        <v>47</v>
      </c>
      <c r="AA217">
        <v>0</v>
      </c>
      <c r="AB217">
        <v>2</v>
      </c>
      <c r="AC217" t="s">
        <v>31</v>
      </c>
      <c r="AD217" t="s">
        <v>65</v>
      </c>
      <c r="AE217" t="s">
        <v>43</v>
      </c>
      <c r="AF217" s="3">
        <v>298</v>
      </c>
      <c r="AG217" s="3">
        <v>75</v>
      </c>
      <c r="AH217">
        <v>80</v>
      </c>
      <c r="AI217">
        <v>0</v>
      </c>
      <c r="AJ217">
        <v>0</v>
      </c>
      <c r="AL217">
        <v>0</v>
      </c>
      <c r="AM217">
        <v>1</v>
      </c>
      <c r="AN217" t="s">
        <v>768</v>
      </c>
      <c r="AO217" t="s">
        <v>41</v>
      </c>
    </row>
    <row r="218" spans="1:41" x14ac:dyDescent="0.25">
      <c r="A218">
        <v>34</v>
      </c>
      <c r="B218" t="s">
        <v>32</v>
      </c>
      <c r="C218" t="s">
        <v>33</v>
      </c>
      <c r="D218">
        <v>19</v>
      </c>
      <c r="E218" t="s">
        <v>34</v>
      </c>
      <c r="F218">
        <v>3</v>
      </c>
      <c r="G218">
        <v>1</v>
      </c>
      <c r="H218" t="s">
        <v>35</v>
      </c>
      <c r="I218">
        <v>4</v>
      </c>
      <c r="J218" t="s">
        <v>57</v>
      </c>
      <c r="K218">
        <v>2661</v>
      </c>
      <c r="L218">
        <v>0</v>
      </c>
      <c r="M218" t="s">
        <v>41</v>
      </c>
      <c r="N218">
        <v>11</v>
      </c>
      <c r="O218">
        <v>3</v>
      </c>
      <c r="P218">
        <v>1</v>
      </c>
      <c r="Q218">
        <v>3</v>
      </c>
      <c r="R218">
        <v>2</v>
      </c>
      <c r="S218">
        <v>2</v>
      </c>
      <c r="T218">
        <v>1</v>
      </c>
      <c r="U218">
        <v>2</v>
      </c>
      <c r="V218" t="s">
        <v>58</v>
      </c>
      <c r="W218" s="2">
        <v>43470</v>
      </c>
      <c r="Y218" t="s">
        <v>69</v>
      </c>
      <c r="Z218" t="s">
        <v>40</v>
      </c>
      <c r="AA218">
        <v>2</v>
      </c>
      <c r="AB218">
        <v>2</v>
      </c>
      <c r="AC218" t="s">
        <v>31</v>
      </c>
      <c r="AD218" t="s">
        <v>42</v>
      </c>
      <c r="AE218" t="s">
        <v>60</v>
      </c>
      <c r="AF218" s="3">
        <v>299</v>
      </c>
      <c r="AG218" s="3">
        <v>52</v>
      </c>
      <c r="AH218">
        <v>80</v>
      </c>
      <c r="AI218">
        <v>3</v>
      </c>
      <c r="AJ218">
        <v>1</v>
      </c>
      <c r="AK218">
        <v>1</v>
      </c>
      <c r="AL218">
        <v>1</v>
      </c>
      <c r="AM218">
        <v>0</v>
      </c>
      <c r="AN218" t="s">
        <v>767</v>
      </c>
      <c r="AO218" t="s">
        <v>31</v>
      </c>
    </row>
    <row r="219" spans="1:41" x14ac:dyDescent="0.25">
      <c r="A219">
        <v>46</v>
      </c>
      <c r="B219" t="s">
        <v>32</v>
      </c>
      <c r="C219" t="s">
        <v>55</v>
      </c>
      <c r="D219">
        <v>2</v>
      </c>
      <c r="E219" t="s">
        <v>61</v>
      </c>
      <c r="F219">
        <v>3</v>
      </c>
      <c r="G219">
        <v>5</v>
      </c>
      <c r="H219" t="s">
        <v>75</v>
      </c>
      <c r="I219">
        <v>1</v>
      </c>
      <c r="J219" t="s">
        <v>36</v>
      </c>
      <c r="K219">
        <v>18947</v>
      </c>
      <c r="L219">
        <v>3</v>
      </c>
      <c r="M219" t="s">
        <v>41</v>
      </c>
      <c r="N219">
        <v>12</v>
      </c>
      <c r="O219">
        <v>3</v>
      </c>
      <c r="P219">
        <v>0</v>
      </c>
      <c r="Q219">
        <v>22</v>
      </c>
      <c r="R219">
        <v>2</v>
      </c>
      <c r="S219">
        <v>2</v>
      </c>
      <c r="T219">
        <v>2</v>
      </c>
      <c r="U219">
        <v>1</v>
      </c>
      <c r="V219" t="s">
        <v>52</v>
      </c>
      <c r="W219" s="1" t="s">
        <v>167</v>
      </c>
      <c r="Y219" t="s">
        <v>46</v>
      </c>
      <c r="Z219" t="s">
        <v>47</v>
      </c>
      <c r="AA219">
        <v>2</v>
      </c>
      <c r="AB219">
        <v>2</v>
      </c>
      <c r="AC219" t="s">
        <v>41</v>
      </c>
      <c r="AD219" t="s">
        <v>48</v>
      </c>
      <c r="AE219" t="s">
        <v>49</v>
      </c>
      <c r="AF219" s="3">
        <v>300</v>
      </c>
      <c r="AG219" s="3">
        <v>85</v>
      </c>
      <c r="AH219">
        <v>80</v>
      </c>
      <c r="AI219">
        <v>2</v>
      </c>
      <c r="AJ219">
        <v>1</v>
      </c>
      <c r="AK219">
        <v>1</v>
      </c>
      <c r="AL219">
        <v>1</v>
      </c>
      <c r="AM219">
        <v>0</v>
      </c>
      <c r="AN219" t="s">
        <v>767</v>
      </c>
      <c r="AO219" t="s">
        <v>31</v>
      </c>
    </row>
    <row r="220" spans="1:41" x14ac:dyDescent="0.25">
      <c r="A220">
        <v>24</v>
      </c>
      <c r="B220" t="s">
        <v>32</v>
      </c>
      <c r="C220" t="s">
        <v>33</v>
      </c>
      <c r="D220">
        <v>1</v>
      </c>
      <c r="E220" t="s">
        <v>34</v>
      </c>
      <c r="F220">
        <v>3</v>
      </c>
      <c r="G220">
        <v>1</v>
      </c>
      <c r="H220" t="s">
        <v>44</v>
      </c>
      <c r="I220">
        <v>4</v>
      </c>
      <c r="J220" t="s">
        <v>51</v>
      </c>
      <c r="K220">
        <v>2293</v>
      </c>
      <c r="L220">
        <v>2</v>
      </c>
      <c r="M220" t="s">
        <v>31</v>
      </c>
      <c r="N220">
        <v>16</v>
      </c>
      <c r="O220">
        <v>3</v>
      </c>
      <c r="P220">
        <v>1</v>
      </c>
      <c r="Q220">
        <v>6</v>
      </c>
      <c r="R220">
        <v>2</v>
      </c>
      <c r="S220">
        <v>2</v>
      </c>
      <c r="T220">
        <v>2</v>
      </c>
      <c r="U220">
        <v>0</v>
      </c>
      <c r="V220" t="s">
        <v>37</v>
      </c>
      <c r="W220" s="1" t="s">
        <v>168</v>
      </c>
      <c r="Y220" t="s">
        <v>69</v>
      </c>
      <c r="Z220" t="s">
        <v>47</v>
      </c>
      <c r="AA220">
        <v>1</v>
      </c>
      <c r="AB220">
        <v>3</v>
      </c>
      <c r="AC220" t="s">
        <v>31</v>
      </c>
      <c r="AD220" t="s">
        <v>42</v>
      </c>
      <c r="AE220" t="s">
        <v>49</v>
      </c>
      <c r="AF220" s="3">
        <v>302</v>
      </c>
      <c r="AG220" s="3">
        <v>57</v>
      </c>
      <c r="AH220">
        <v>80</v>
      </c>
      <c r="AI220">
        <v>7</v>
      </c>
      <c r="AJ220">
        <v>0</v>
      </c>
      <c r="AL220">
        <v>0</v>
      </c>
      <c r="AM220">
        <v>1</v>
      </c>
      <c r="AN220" t="s">
        <v>768</v>
      </c>
      <c r="AO220" t="s">
        <v>41</v>
      </c>
    </row>
    <row r="221" spans="1:41" x14ac:dyDescent="0.25">
      <c r="A221">
        <v>35</v>
      </c>
      <c r="B221" t="s">
        <v>32</v>
      </c>
      <c r="C221" t="s">
        <v>55</v>
      </c>
      <c r="D221">
        <v>2</v>
      </c>
      <c r="E221" t="s">
        <v>61</v>
      </c>
      <c r="F221">
        <v>3</v>
      </c>
      <c r="G221">
        <v>1</v>
      </c>
      <c r="H221" t="s">
        <v>56</v>
      </c>
      <c r="I221">
        <v>4</v>
      </c>
      <c r="J221" t="s">
        <v>51</v>
      </c>
      <c r="K221">
        <v>2014</v>
      </c>
      <c r="L221">
        <v>1</v>
      </c>
      <c r="M221" t="s">
        <v>41</v>
      </c>
      <c r="N221">
        <v>13</v>
      </c>
      <c r="O221">
        <v>3</v>
      </c>
      <c r="P221">
        <v>0</v>
      </c>
      <c r="Q221">
        <v>2</v>
      </c>
      <c r="R221">
        <v>3</v>
      </c>
      <c r="S221">
        <v>2</v>
      </c>
      <c r="T221">
        <v>2</v>
      </c>
      <c r="U221">
        <v>2</v>
      </c>
      <c r="V221" t="s">
        <v>72</v>
      </c>
      <c r="W221" s="1" t="s">
        <v>169</v>
      </c>
      <c r="Y221" t="s">
        <v>39</v>
      </c>
      <c r="Z221" t="s">
        <v>40</v>
      </c>
      <c r="AA221">
        <v>1</v>
      </c>
      <c r="AB221">
        <v>1</v>
      </c>
      <c r="AC221" t="s">
        <v>41</v>
      </c>
      <c r="AD221" t="s">
        <v>42</v>
      </c>
      <c r="AE221" t="s">
        <v>60</v>
      </c>
      <c r="AF221" s="3">
        <v>303</v>
      </c>
      <c r="AG221" s="3">
        <v>52</v>
      </c>
      <c r="AH221">
        <v>80</v>
      </c>
      <c r="AI221">
        <v>2</v>
      </c>
      <c r="AJ221">
        <v>0</v>
      </c>
      <c r="AL221">
        <v>0</v>
      </c>
      <c r="AM221">
        <v>1</v>
      </c>
      <c r="AN221" t="s">
        <v>768</v>
      </c>
      <c r="AO221" t="s">
        <v>41</v>
      </c>
    </row>
    <row r="222" spans="1:41" x14ac:dyDescent="0.25">
      <c r="A222">
        <v>28</v>
      </c>
      <c r="B222" t="s">
        <v>32</v>
      </c>
      <c r="C222" t="s">
        <v>33</v>
      </c>
      <c r="D222">
        <v>5</v>
      </c>
      <c r="E222" t="s">
        <v>34</v>
      </c>
      <c r="F222">
        <v>3</v>
      </c>
      <c r="G222">
        <v>1</v>
      </c>
      <c r="H222" t="s">
        <v>35</v>
      </c>
      <c r="I222">
        <v>3</v>
      </c>
      <c r="J222" t="s">
        <v>36</v>
      </c>
      <c r="K222">
        <v>3441</v>
      </c>
      <c r="L222">
        <v>1</v>
      </c>
      <c r="M222" t="s">
        <v>31</v>
      </c>
      <c r="N222">
        <v>13</v>
      </c>
      <c r="O222">
        <v>3</v>
      </c>
      <c r="P222">
        <v>0</v>
      </c>
      <c r="Q222">
        <v>2</v>
      </c>
      <c r="R222">
        <v>3</v>
      </c>
      <c r="S222">
        <v>2</v>
      </c>
      <c r="T222">
        <v>2</v>
      </c>
      <c r="U222">
        <v>2</v>
      </c>
      <c r="V222" t="s">
        <v>58</v>
      </c>
      <c r="W222" s="2">
        <v>43529</v>
      </c>
      <c r="Y222" t="s">
        <v>39</v>
      </c>
      <c r="Z222" t="s">
        <v>40</v>
      </c>
      <c r="AA222">
        <v>2</v>
      </c>
      <c r="AB222">
        <v>2</v>
      </c>
      <c r="AC222" t="s">
        <v>31</v>
      </c>
      <c r="AD222" t="s">
        <v>42</v>
      </c>
      <c r="AE222" t="s">
        <v>43</v>
      </c>
      <c r="AF222" s="3">
        <v>304</v>
      </c>
      <c r="AG222" s="3">
        <v>62</v>
      </c>
      <c r="AH222">
        <v>80</v>
      </c>
      <c r="AI222">
        <v>11</v>
      </c>
      <c r="AJ222">
        <v>0</v>
      </c>
      <c r="AL222">
        <v>0</v>
      </c>
      <c r="AM222">
        <v>1</v>
      </c>
      <c r="AN222" t="s">
        <v>768</v>
      </c>
      <c r="AO222" t="s">
        <v>41</v>
      </c>
    </row>
    <row r="223" spans="1:41" x14ac:dyDescent="0.25">
      <c r="A223">
        <v>26</v>
      </c>
      <c r="B223" t="s">
        <v>32</v>
      </c>
      <c r="C223" t="s">
        <v>55</v>
      </c>
      <c r="D223">
        <v>23</v>
      </c>
      <c r="E223" t="s">
        <v>61</v>
      </c>
      <c r="F223">
        <v>2</v>
      </c>
      <c r="G223">
        <v>2</v>
      </c>
      <c r="H223" t="s">
        <v>70</v>
      </c>
      <c r="I223">
        <v>4</v>
      </c>
      <c r="J223" t="s">
        <v>51</v>
      </c>
      <c r="K223">
        <v>4157</v>
      </c>
      <c r="L223">
        <v>7</v>
      </c>
      <c r="M223" t="s">
        <v>31</v>
      </c>
      <c r="N223">
        <v>19</v>
      </c>
      <c r="O223">
        <v>3</v>
      </c>
      <c r="P223">
        <v>1</v>
      </c>
      <c r="Q223">
        <v>5</v>
      </c>
      <c r="R223">
        <v>2</v>
      </c>
      <c r="S223">
        <v>2</v>
      </c>
      <c r="T223">
        <v>0</v>
      </c>
      <c r="U223">
        <v>0</v>
      </c>
      <c r="V223" t="s">
        <v>52</v>
      </c>
      <c r="W223" s="1" t="s">
        <v>170</v>
      </c>
      <c r="Y223" t="s">
        <v>46</v>
      </c>
      <c r="Z223" t="s">
        <v>47</v>
      </c>
      <c r="AA223">
        <v>4</v>
      </c>
      <c r="AB223">
        <v>3</v>
      </c>
      <c r="AC223" t="s">
        <v>31</v>
      </c>
      <c r="AD223" t="s">
        <v>48</v>
      </c>
      <c r="AE223" t="s">
        <v>60</v>
      </c>
      <c r="AF223" s="3">
        <v>305</v>
      </c>
      <c r="AG223" s="3">
        <v>47</v>
      </c>
      <c r="AH223">
        <v>80</v>
      </c>
      <c r="AI223">
        <v>2</v>
      </c>
      <c r="AJ223">
        <v>0</v>
      </c>
      <c r="AL223">
        <v>0</v>
      </c>
      <c r="AM223">
        <v>1</v>
      </c>
      <c r="AN223" t="s">
        <v>768</v>
      </c>
      <c r="AO223" t="s">
        <v>41</v>
      </c>
    </row>
    <row r="224" spans="1:41" x14ac:dyDescent="0.25">
      <c r="A224">
        <v>35</v>
      </c>
      <c r="B224" t="s">
        <v>32</v>
      </c>
      <c r="C224" t="s">
        <v>33</v>
      </c>
      <c r="D224">
        <v>23</v>
      </c>
      <c r="E224" t="s">
        <v>61</v>
      </c>
      <c r="F224">
        <v>3</v>
      </c>
      <c r="G224">
        <v>1</v>
      </c>
      <c r="H224" t="s">
        <v>35</v>
      </c>
      <c r="I224">
        <v>1</v>
      </c>
      <c r="J224" t="s">
        <v>51</v>
      </c>
      <c r="K224">
        <v>4014</v>
      </c>
      <c r="L224">
        <v>3</v>
      </c>
      <c r="M224" t="s">
        <v>31</v>
      </c>
      <c r="N224">
        <v>15</v>
      </c>
      <c r="O224">
        <v>3</v>
      </c>
      <c r="P224">
        <v>1</v>
      </c>
      <c r="Q224">
        <v>4</v>
      </c>
      <c r="R224">
        <v>3</v>
      </c>
      <c r="S224">
        <v>2</v>
      </c>
      <c r="T224">
        <v>2</v>
      </c>
      <c r="U224">
        <v>2</v>
      </c>
      <c r="V224" t="s">
        <v>58</v>
      </c>
      <c r="W224" s="2">
        <v>43557</v>
      </c>
      <c r="Y224" t="s">
        <v>69</v>
      </c>
      <c r="Z224" t="s">
        <v>47</v>
      </c>
      <c r="AA224">
        <v>3</v>
      </c>
      <c r="AB224">
        <v>0</v>
      </c>
      <c r="AC224" t="s">
        <v>41</v>
      </c>
      <c r="AD224" t="s">
        <v>65</v>
      </c>
      <c r="AE224" t="s">
        <v>49</v>
      </c>
      <c r="AF224" s="3">
        <v>306</v>
      </c>
      <c r="AG224" s="3">
        <v>47</v>
      </c>
      <c r="AH224">
        <v>80</v>
      </c>
      <c r="AI224">
        <v>8</v>
      </c>
      <c r="AJ224">
        <v>0</v>
      </c>
      <c r="AL224">
        <v>0</v>
      </c>
      <c r="AM224">
        <v>1</v>
      </c>
      <c r="AN224" t="s">
        <v>768</v>
      </c>
      <c r="AO224" t="s">
        <v>41</v>
      </c>
    </row>
    <row r="225" spans="1:41" x14ac:dyDescent="0.25">
      <c r="A225">
        <v>25</v>
      </c>
      <c r="B225" t="s">
        <v>32</v>
      </c>
      <c r="C225" t="s">
        <v>33</v>
      </c>
      <c r="D225">
        <v>7</v>
      </c>
      <c r="E225" t="s">
        <v>34</v>
      </c>
      <c r="F225">
        <v>2</v>
      </c>
      <c r="G225">
        <v>1</v>
      </c>
      <c r="H225" t="s">
        <v>44</v>
      </c>
      <c r="I225">
        <v>4</v>
      </c>
      <c r="J225" t="s">
        <v>51</v>
      </c>
      <c r="K225">
        <v>2889</v>
      </c>
      <c r="L225">
        <v>1</v>
      </c>
      <c r="M225" t="s">
        <v>41</v>
      </c>
      <c r="N225">
        <v>11</v>
      </c>
      <c r="O225">
        <v>3</v>
      </c>
      <c r="P225">
        <v>2</v>
      </c>
      <c r="Q225">
        <v>2</v>
      </c>
      <c r="R225">
        <v>2</v>
      </c>
      <c r="S225">
        <v>2</v>
      </c>
      <c r="T225">
        <v>2</v>
      </c>
      <c r="U225">
        <v>1</v>
      </c>
      <c r="V225" t="s">
        <v>72</v>
      </c>
      <c r="W225" s="1" t="s">
        <v>171</v>
      </c>
      <c r="Y225" t="s">
        <v>54</v>
      </c>
      <c r="Z225" t="s">
        <v>47</v>
      </c>
      <c r="AA225">
        <v>4</v>
      </c>
      <c r="AB225">
        <v>0</v>
      </c>
      <c r="AC225" t="s">
        <v>41</v>
      </c>
      <c r="AD225" t="s">
        <v>65</v>
      </c>
      <c r="AE225" t="s">
        <v>43</v>
      </c>
      <c r="AF225" s="3">
        <v>307</v>
      </c>
      <c r="AG225" s="3">
        <v>76</v>
      </c>
      <c r="AH225">
        <v>80</v>
      </c>
      <c r="AI225">
        <v>10</v>
      </c>
      <c r="AJ225">
        <v>0</v>
      </c>
      <c r="AL225">
        <v>0</v>
      </c>
      <c r="AM225">
        <v>1</v>
      </c>
      <c r="AN225" t="s">
        <v>768</v>
      </c>
      <c r="AO225" t="s">
        <v>41</v>
      </c>
    </row>
    <row r="226" spans="1:41" x14ac:dyDescent="0.25">
      <c r="A226">
        <v>22</v>
      </c>
      <c r="B226" t="s">
        <v>32</v>
      </c>
      <c r="C226" t="s">
        <v>33</v>
      </c>
      <c r="D226">
        <v>2</v>
      </c>
      <c r="E226" t="s">
        <v>34</v>
      </c>
      <c r="F226">
        <v>3</v>
      </c>
      <c r="G226">
        <v>1</v>
      </c>
      <c r="H226" t="s">
        <v>35</v>
      </c>
      <c r="I226">
        <v>4</v>
      </c>
      <c r="J226" t="s">
        <v>51</v>
      </c>
      <c r="K226">
        <v>2523</v>
      </c>
      <c r="L226">
        <v>0</v>
      </c>
      <c r="M226" t="s">
        <v>41</v>
      </c>
      <c r="N226">
        <v>14</v>
      </c>
      <c r="O226">
        <v>3</v>
      </c>
      <c r="P226">
        <v>1</v>
      </c>
      <c r="Q226">
        <v>3</v>
      </c>
      <c r="R226">
        <v>2</v>
      </c>
      <c r="S226">
        <v>2</v>
      </c>
      <c r="T226">
        <v>2</v>
      </c>
      <c r="U226">
        <v>1</v>
      </c>
      <c r="V226" t="s">
        <v>37</v>
      </c>
      <c r="W226" s="1" t="s">
        <v>172</v>
      </c>
      <c r="Y226" t="s">
        <v>54</v>
      </c>
      <c r="Z226" t="s">
        <v>40</v>
      </c>
      <c r="AA226">
        <v>4</v>
      </c>
      <c r="AB226">
        <v>0</v>
      </c>
      <c r="AC226" t="s">
        <v>31</v>
      </c>
      <c r="AD226" t="s">
        <v>67</v>
      </c>
      <c r="AE226" t="s">
        <v>60</v>
      </c>
      <c r="AF226" s="3">
        <v>308</v>
      </c>
      <c r="AG226" s="3">
        <v>90</v>
      </c>
      <c r="AH226">
        <v>80</v>
      </c>
      <c r="AI226">
        <v>4</v>
      </c>
      <c r="AJ226">
        <v>0</v>
      </c>
      <c r="AL226">
        <v>0</v>
      </c>
      <c r="AM226">
        <v>1</v>
      </c>
      <c r="AN226" t="s">
        <v>768</v>
      </c>
      <c r="AO226" t="s">
        <v>41</v>
      </c>
    </row>
    <row r="227" spans="1:41" x14ac:dyDescent="0.25">
      <c r="A227">
        <v>50</v>
      </c>
      <c r="B227" t="s">
        <v>66</v>
      </c>
      <c r="C227" t="s">
        <v>55</v>
      </c>
      <c r="D227">
        <v>12</v>
      </c>
      <c r="E227" t="s">
        <v>61</v>
      </c>
      <c r="F227">
        <v>3</v>
      </c>
      <c r="G227">
        <v>3</v>
      </c>
      <c r="H227" t="s">
        <v>70</v>
      </c>
      <c r="I227">
        <v>4</v>
      </c>
      <c r="J227" t="s">
        <v>36</v>
      </c>
      <c r="K227">
        <v>9208</v>
      </c>
      <c r="L227">
        <v>4</v>
      </c>
      <c r="M227" t="s">
        <v>41</v>
      </c>
      <c r="N227">
        <v>11</v>
      </c>
      <c r="O227">
        <v>3</v>
      </c>
      <c r="P227">
        <v>0</v>
      </c>
      <c r="Q227">
        <v>16</v>
      </c>
      <c r="R227">
        <v>3</v>
      </c>
      <c r="S227">
        <v>2</v>
      </c>
      <c r="T227">
        <v>2</v>
      </c>
      <c r="U227">
        <v>1</v>
      </c>
      <c r="V227" t="s">
        <v>72</v>
      </c>
      <c r="W227" s="1" t="s">
        <v>169</v>
      </c>
      <c r="Y227" t="s">
        <v>39</v>
      </c>
      <c r="Z227" t="s">
        <v>40</v>
      </c>
      <c r="AA227">
        <v>5</v>
      </c>
      <c r="AB227">
        <v>0</v>
      </c>
      <c r="AC227" t="s">
        <v>41</v>
      </c>
      <c r="AD227" t="s">
        <v>65</v>
      </c>
      <c r="AE227" t="s">
        <v>43</v>
      </c>
      <c r="AF227" s="3">
        <v>309</v>
      </c>
      <c r="AG227" s="3">
        <v>70</v>
      </c>
      <c r="AH227">
        <v>80</v>
      </c>
      <c r="AI227">
        <v>0</v>
      </c>
      <c r="AJ227">
        <v>0</v>
      </c>
      <c r="AL227">
        <v>0</v>
      </c>
      <c r="AM227">
        <v>1</v>
      </c>
      <c r="AN227" t="s">
        <v>768</v>
      </c>
      <c r="AO227" t="s">
        <v>41</v>
      </c>
    </row>
    <row r="228" spans="1:41" x14ac:dyDescent="0.25">
      <c r="A228">
        <v>31</v>
      </c>
      <c r="B228" t="s">
        <v>32</v>
      </c>
      <c r="C228" t="s">
        <v>55</v>
      </c>
      <c r="D228">
        <v>20</v>
      </c>
      <c r="E228" t="s">
        <v>61</v>
      </c>
      <c r="F228">
        <v>1</v>
      </c>
      <c r="G228">
        <v>2</v>
      </c>
      <c r="H228" t="s">
        <v>70</v>
      </c>
      <c r="I228">
        <v>3</v>
      </c>
      <c r="J228" t="s">
        <v>51</v>
      </c>
      <c r="K228">
        <v>4559</v>
      </c>
      <c r="L228">
        <v>3</v>
      </c>
      <c r="M228" t="s">
        <v>31</v>
      </c>
      <c r="N228">
        <v>11</v>
      </c>
      <c r="O228">
        <v>3</v>
      </c>
      <c r="P228">
        <v>1</v>
      </c>
      <c r="Q228">
        <v>4</v>
      </c>
      <c r="R228">
        <v>2</v>
      </c>
      <c r="S228">
        <v>2</v>
      </c>
      <c r="T228">
        <v>2</v>
      </c>
      <c r="U228">
        <v>2</v>
      </c>
      <c r="V228" t="s">
        <v>37</v>
      </c>
      <c r="W228" s="2">
        <v>43652</v>
      </c>
      <c r="Y228" t="s">
        <v>39</v>
      </c>
      <c r="Z228" t="s">
        <v>40</v>
      </c>
      <c r="AA228">
        <v>0</v>
      </c>
      <c r="AB228">
        <v>3</v>
      </c>
      <c r="AC228" t="s">
        <v>41</v>
      </c>
      <c r="AD228" t="s">
        <v>67</v>
      </c>
      <c r="AE228" t="s">
        <v>49</v>
      </c>
      <c r="AF228" s="3">
        <v>311</v>
      </c>
      <c r="AG228" s="3">
        <v>41</v>
      </c>
      <c r="AH228">
        <v>80</v>
      </c>
      <c r="AI228">
        <v>8</v>
      </c>
      <c r="AJ228">
        <v>0</v>
      </c>
      <c r="AL228">
        <v>0</v>
      </c>
      <c r="AM228">
        <v>1</v>
      </c>
      <c r="AN228" t="s">
        <v>768</v>
      </c>
      <c r="AO228" t="s">
        <v>41</v>
      </c>
    </row>
    <row r="229" spans="1:41" x14ac:dyDescent="0.25">
      <c r="A229">
        <v>25</v>
      </c>
      <c r="B229" t="s">
        <v>32</v>
      </c>
      <c r="C229" t="s">
        <v>55</v>
      </c>
      <c r="D229">
        <v>28</v>
      </c>
      <c r="E229" t="s">
        <v>34</v>
      </c>
      <c r="F229">
        <v>2</v>
      </c>
      <c r="G229">
        <v>2</v>
      </c>
      <c r="H229" t="s">
        <v>70</v>
      </c>
      <c r="I229">
        <v>3</v>
      </c>
      <c r="J229" t="s">
        <v>51</v>
      </c>
      <c r="K229">
        <v>8639</v>
      </c>
      <c r="L229">
        <v>2</v>
      </c>
      <c r="M229" t="s">
        <v>41</v>
      </c>
      <c r="N229">
        <v>18</v>
      </c>
      <c r="O229">
        <v>3</v>
      </c>
      <c r="P229">
        <v>0</v>
      </c>
      <c r="Q229">
        <v>6</v>
      </c>
      <c r="R229">
        <v>3</v>
      </c>
      <c r="S229">
        <v>2</v>
      </c>
      <c r="T229">
        <v>2</v>
      </c>
      <c r="U229">
        <v>2</v>
      </c>
      <c r="V229" t="s">
        <v>52</v>
      </c>
      <c r="W229" s="2">
        <v>43771</v>
      </c>
      <c r="Y229" t="s">
        <v>69</v>
      </c>
      <c r="Z229" t="s">
        <v>40</v>
      </c>
      <c r="AA229">
        <v>1</v>
      </c>
      <c r="AB229">
        <v>2</v>
      </c>
      <c r="AC229" t="s">
        <v>31</v>
      </c>
      <c r="AD229" t="s">
        <v>65</v>
      </c>
      <c r="AE229" t="s">
        <v>43</v>
      </c>
      <c r="AF229" s="3">
        <v>312</v>
      </c>
      <c r="AG229" s="3">
        <v>42</v>
      </c>
      <c r="AH229">
        <v>80</v>
      </c>
      <c r="AI229">
        <v>10</v>
      </c>
      <c r="AJ229">
        <v>0</v>
      </c>
      <c r="AL229">
        <v>0</v>
      </c>
      <c r="AM229">
        <v>1</v>
      </c>
      <c r="AN229" t="s">
        <v>768</v>
      </c>
      <c r="AO229" t="s">
        <v>41</v>
      </c>
    </row>
    <row r="230" spans="1:41" x14ac:dyDescent="0.25">
      <c r="A230">
        <v>22</v>
      </c>
      <c r="B230" t="s">
        <v>32</v>
      </c>
      <c r="C230" t="s">
        <v>33</v>
      </c>
      <c r="D230">
        <v>19</v>
      </c>
      <c r="E230" t="s">
        <v>34</v>
      </c>
      <c r="F230">
        <v>3</v>
      </c>
      <c r="G230">
        <v>1</v>
      </c>
      <c r="H230" t="s">
        <v>44</v>
      </c>
      <c r="I230">
        <v>4</v>
      </c>
      <c r="J230" t="s">
        <v>51</v>
      </c>
      <c r="K230">
        <v>2323</v>
      </c>
      <c r="L230">
        <v>1</v>
      </c>
      <c r="M230" t="s">
        <v>41</v>
      </c>
      <c r="N230">
        <v>24</v>
      </c>
      <c r="O230">
        <v>4</v>
      </c>
      <c r="P230">
        <v>2</v>
      </c>
      <c r="Q230">
        <v>2</v>
      </c>
      <c r="R230">
        <v>6</v>
      </c>
      <c r="S230">
        <v>2</v>
      </c>
      <c r="T230">
        <v>2</v>
      </c>
      <c r="U230">
        <v>2</v>
      </c>
      <c r="V230" t="s">
        <v>72</v>
      </c>
      <c r="W230" s="1" t="s">
        <v>173</v>
      </c>
      <c r="Y230" t="s">
        <v>69</v>
      </c>
      <c r="Z230" t="s">
        <v>47</v>
      </c>
      <c r="AA230">
        <v>5</v>
      </c>
      <c r="AB230">
        <v>0</v>
      </c>
      <c r="AC230" t="s">
        <v>31</v>
      </c>
      <c r="AD230" t="s">
        <v>67</v>
      </c>
      <c r="AE230" t="s">
        <v>49</v>
      </c>
      <c r="AF230" s="3">
        <v>314</v>
      </c>
      <c r="AG230" s="3">
        <v>92</v>
      </c>
      <c r="AH230">
        <v>80</v>
      </c>
      <c r="AI230">
        <v>7</v>
      </c>
      <c r="AJ230">
        <v>0</v>
      </c>
      <c r="AL230">
        <v>0</v>
      </c>
      <c r="AM230">
        <v>1</v>
      </c>
      <c r="AN230" t="s">
        <v>768</v>
      </c>
      <c r="AO230" t="s">
        <v>41</v>
      </c>
    </row>
    <row r="231" spans="1:41" x14ac:dyDescent="0.25">
      <c r="A231">
        <v>27</v>
      </c>
      <c r="B231" t="s">
        <v>81</v>
      </c>
      <c r="C231" t="s">
        <v>33</v>
      </c>
      <c r="D231">
        <v>9</v>
      </c>
      <c r="E231" t="s">
        <v>34</v>
      </c>
      <c r="F231">
        <v>3</v>
      </c>
      <c r="G231">
        <v>1</v>
      </c>
      <c r="H231" t="s">
        <v>44</v>
      </c>
      <c r="I231">
        <v>2</v>
      </c>
      <c r="J231" t="s">
        <v>57</v>
      </c>
      <c r="K231">
        <v>2024</v>
      </c>
      <c r="L231">
        <v>6</v>
      </c>
      <c r="M231" t="s">
        <v>41</v>
      </c>
      <c r="N231">
        <v>18</v>
      </c>
      <c r="O231">
        <v>3</v>
      </c>
      <c r="P231">
        <v>1</v>
      </c>
      <c r="Q231">
        <v>6</v>
      </c>
      <c r="R231">
        <v>1</v>
      </c>
      <c r="S231">
        <v>2</v>
      </c>
      <c r="T231">
        <v>2</v>
      </c>
      <c r="U231">
        <v>2</v>
      </c>
      <c r="V231" t="s">
        <v>52</v>
      </c>
      <c r="W231" s="1" t="s">
        <v>174</v>
      </c>
      <c r="Y231" t="s">
        <v>54</v>
      </c>
      <c r="Z231" t="s">
        <v>40</v>
      </c>
      <c r="AA231">
        <v>4</v>
      </c>
      <c r="AB231">
        <v>1</v>
      </c>
      <c r="AC231" t="s">
        <v>41</v>
      </c>
      <c r="AD231" t="s">
        <v>65</v>
      </c>
      <c r="AE231" t="s">
        <v>43</v>
      </c>
      <c r="AF231" s="3">
        <v>315</v>
      </c>
      <c r="AG231" s="3">
        <v>86</v>
      </c>
      <c r="AH231">
        <v>80</v>
      </c>
      <c r="AI231">
        <v>3</v>
      </c>
      <c r="AJ231">
        <v>1</v>
      </c>
      <c r="AK231">
        <v>1</v>
      </c>
      <c r="AL231">
        <v>1</v>
      </c>
      <c r="AM231">
        <v>0</v>
      </c>
      <c r="AN231" t="s">
        <v>767</v>
      </c>
      <c r="AO231" t="s">
        <v>31</v>
      </c>
    </row>
    <row r="232" spans="1:41" x14ac:dyDescent="0.25">
      <c r="A232">
        <v>56</v>
      </c>
      <c r="B232" t="s">
        <v>32</v>
      </c>
      <c r="C232" t="s">
        <v>33</v>
      </c>
      <c r="D232">
        <v>8</v>
      </c>
      <c r="E232" t="s">
        <v>61</v>
      </c>
      <c r="F232">
        <v>3</v>
      </c>
      <c r="G232">
        <v>1</v>
      </c>
      <c r="H232" t="s">
        <v>44</v>
      </c>
      <c r="I232">
        <v>1</v>
      </c>
      <c r="J232" t="s">
        <v>57</v>
      </c>
      <c r="K232">
        <v>4257</v>
      </c>
      <c r="L232">
        <v>4</v>
      </c>
      <c r="M232" t="s">
        <v>31</v>
      </c>
      <c r="N232">
        <v>18</v>
      </c>
      <c r="O232">
        <v>3</v>
      </c>
      <c r="P232">
        <v>1</v>
      </c>
      <c r="Q232">
        <v>19</v>
      </c>
      <c r="R232">
        <v>3</v>
      </c>
      <c r="S232">
        <v>2</v>
      </c>
      <c r="T232">
        <v>2</v>
      </c>
      <c r="U232">
        <v>2</v>
      </c>
      <c r="V232" t="s">
        <v>37</v>
      </c>
      <c r="W232" s="1" t="s">
        <v>175</v>
      </c>
      <c r="Y232" t="s">
        <v>54</v>
      </c>
      <c r="Z232" t="s">
        <v>40</v>
      </c>
      <c r="AA232">
        <v>1</v>
      </c>
      <c r="AB232">
        <v>1</v>
      </c>
      <c r="AC232" t="s">
        <v>41</v>
      </c>
      <c r="AD232" t="s">
        <v>48</v>
      </c>
      <c r="AE232" t="s">
        <v>49</v>
      </c>
      <c r="AF232" s="3">
        <v>316</v>
      </c>
      <c r="AG232" s="3">
        <v>89</v>
      </c>
      <c r="AH232">
        <v>80</v>
      </c>
      <c r="AI232">
        <v>2</v>
      </c>
      <c r="AJ232">
        <v>0</v>
      </c>
      <c r="AL232">
        <v>0</v>
      </c>
      <c r="AM232">
        <v>1</v>
      </c>
      <c r="AN232" t="s">
        <v>768</v>
      </c>
      <c r="AO232" t="s">
        <v>41</v>
      </c>
    </row>
    <row r="233" spans="1:41" x14ac:dyDescent="0.25">
      <c r="A233">
        <v>38</v>
      </c>
      <c r="B233" t="s">
        <v>32</v>
      </c>
      <c r="C233" t="s">
        <v>33</v>
      </c>
      <c r="D233">
        <v>9</v>
      </c>
      <c r="E233" t="s">
        <v>61</v>
      </c>
      <c r="F233">
        <v>3</v>
      </c>
      <c r="G233">
        <v>1</v>
      </c>
      <c r="H233" t="s">
        <v>35</v>
      </c>
      <c r="I233">
        <v>4</v>
      </c>
      <c r="J233" t="s">
        <v>36</v>
      </c>
      <c r="K233">
        <v>2288</v>
      </c>
      <c r="L233">
        <v>1</v>
      </c>
      <c r="M233" t="s">
        <v>41</v>
      </c>
      <c r="N233">
        <v>12</v>
      </c>
      <c r="O233">
        <v>3</v>
      </c>
      <c r="P233">
        <v>0</v>
      </c>
      <c r="Q233">
        <v>2</v>
      </c>
      <c r="R233">
        <v>3</v>
      </c>
      <c r="S233">
        <v>2</v>
      </c>
      <c r="T233">
        <v>2</v>
      </c>
      <c r="U233">
        <v>1</v>
      </c>
      <c r="V233" t="s">
        <v>52</v>
      </c>
      <c r="W233" s="1" t="s">
        <v>176</v>
      </c>
      <c r="Y233" t="s">
        <v>69</v>
      </c>
      <c r="Z233" t="s">
        <v>47</v>
      </c>
      <c r="AA233">
        <v>5</v>
      </c>
      <c r="AB233">
        <v>1</v>
      </c>
      <c r="AC233" t="s">
        <v>31</v>
      </c>
      <c r="AD233" t="s">
        <v>48</v>
      </c>
      <c r="AE233" t="s">
        <v>60</v>
      </c>
      <c r="AF233" s="3">
        <v>319</v>
      </c>
      <c r="AG233" s="3">
        <v>58</v>
      </c>
      <c r="AH233">
        <v>80</v>
      </c>
      <c r="AI233">
        <v>17</v>
      </c>
      <c r="AJ233">
        <v>0</v>
      </c>
      <c r="AL233">
        <v>0</v>
      </c>
      <c r="AM233">
        <v>1</v>
      </c>
      <c r="AN233" t="s">
        <v>768</v>
      </c>
      <c r="AO233" t="s">
        <v>41</v>
      </c>
    </row>
    <row r="234" spans="1:41" x14ac:dyDescent="0.25">
      <c r="A234">
        <v>27</v>
      </c>
      <c r="B234" t="s">
        <v>66</v>
      </c>
      <c r="C234" t="s">
        <v>33</v>
      </c>
      <c r="D234">
        <v>1</v>
      </c>
      <c r="E234" t="s">
        <v>34</v>
      </c>
      <c r="F234">
        <v>2</v>
      </c>
      <c r="G234">
        <v>2</v>
      </c>
      <c r="H234" t="s">
        <v>78</v>
      </c>
      <c r="I234">
        <v>1</v>
      </c>
      <c r="J234" t="s">
        <v>51</v>
      </c>
      <c r="K234">
        <v>4298</v>
      </c>
      <c r="L234">
        <v>5</v>
      </c>
      <c r="M234" t="s">
        <v>41</v>
      </c>
      <c r="N234">
        <v>19</v>
      </c>
      <c r="O234">
        <v>3</v>
      </c>
      <c r="P234">
        <v>1</v>
      </c>
      <c r="Q234">
        <v>6</v>
      </c>
      <c r="R234">
        <v>1</v>
      </c>
      <c r="S234">
        <v>2</v>
      </c>
      <c r="T234">
        <v>2</v>
      </c>
      <c r="U234">
        <v>0</v>
      </c>
      <c r="V234" t="s">
        <v>52</v>
      </c>
      <c r="W234" s="2">
        <v>43590</v>
      </c>
      <c r="Y234" t="s">
        <v>46</v>
      </c>
      <c r="Z234" t="s">
        <v>47</v>
      </c>
      <c r="AA234">
        <v>4</v>
      </c>
      <c r="AB234">
        <v>3</v>
      </c>
      <c r="AC234" t="s">
        <v>31</v>
      </c>
      <c r="AD234" t="s">
        <v>67</v>
      </c>
      <c r="AE234" t="s">
        <v>43</v>
      </c>
      <c r="AF234" s="3">
        <v>321</v>
      </c>
      <c r="AG234" s="3">
        <v>52</v>
      </c>
      <c r="AH234">
        <v>80</v>
      </c>
      <c r="AI234">
        <v>2</v>
      </c>
      <c r="AJ234">
        <v>0</v>
      </c>
      <c r="AL234">
        <v>0</v>
      </c>
      <c r="AM234">
        <v>1</v>
      </c>
      <c r="AN234" t="s">
        <v>768</v>
      </c>
      <c r="AO234" t="s">
        <v>41</v>
      </c>
    </row>
    <row r="235" spans="1:41" x14ac:dyDescent="0.25">
      <c r="A235">
        <v>52</v>
      </c>
      <c r="B235" t="s">
        <v>32</v>
      </c>
      <c r="C235" t="s">
        <v>33</v>
      </c>
      <c r="D235">
        <v>2</v>
      </c>
      <c r="E235" t="s">
        <v>61</v>
      </c>
      <c r="F235">
        <v>2</v>
      </c>
      <c r="G235">
        <v>1</v>
      </c>
      <c r="H235" t="s">
        <v>35</v>
      </c>
      <c r="I235">
        <v>4</v>
      </c>
      <c r="J235" t="s">
        <v>36</v>
      </c>
      <c r="K235">
        <v>3212</v>
      </c>
      <c r="L235">
        <v>7</v>
      </c>
      <c r="M235" t="s">
        <v>41</v>
      </c>
      <c r="N235">
        <v>15</v>
      </c>
      <c r="O235">
        <v>3</v>
      </c>
      <c r="P235">
        <v>0</v>
      </c>
      <c r="Q235">
        <v>6</v>
      </c>
      <c r="R235">
        <v>3</v>
      </c>
      <c r="S235">
        <v>2</v>
      </c>
      <c r="T235">
        <v>2</v>
      </c>
      <c r="U235">
        <v>2</v>
      </c>
      <c r="V235" t="s">
        <v>52</v>
      </c>
      <c r="W235" s="2">
        <v>43499</v>
      </c>
      <c r="Y235" t="s">
        <v>54</v>
      </c>
      <c r="Z235" t="s">
        <v>47</v>
      </c>
      <c r="AA235">
        <v>2</v>
      </c>
      <c r="AB235">
        <v>3</v>
      </c>
      <c r="AC235" t="s">
        <v>31</v>
      </c>
      <c r="AD235" t="s">
        <v>65</v>
      </c>
      <c r="AE235" t="s">
        <v>43</v>
      </c>
      <c r="AF235" s="3">
        <v>323</v>
      </c>
      <c r="AG235" s="3">
        <v>68</v>
      </c>
      <c r="AH235">
        <v>80</v>
      </c>
      <c r="AI235">
        <v>0</v>
      </c>
      <c r="AJ235">
        <v>0</v>
      </c>
      <c r="AL235">
        <v>0</v>
      </c>
      <c r="AM235">
        <v>1</v>
      </c>
      <c r="AN235" t="s">
        <v>768</v>
      </c>
      <c r="AO235" t="s">
        <v>41</v>
      </c>
    </row>
    <row r="236" spans="1:41" x14ac:dyDescent="0.25">
      <c r="A236">
        <v>59</v>
      </c>
      <c r="B236" t="s">
        <v>32</v>
      </c>
      <c r="C236" t="s">
        <v>120</v>
      </c>
      <c r="D236">
        <v>6</v>
      </c>
      <c r="E236" t="s">
        <v>34</v>
      </c>
      <c r="F236">
        <v>3</v>
      </c>
      <c r="G236">
        <v>1</v>
      </c>
      <c r="H236" t="s">
        <v>120</v>
      </c>
      <c r="I236">
        <v>3</v>
      </c>
      <c r="J236" t="s">
        <v>51</v>
      </c>
      <c r="K236">
        <v>2267</v>
      </c>
      <c r="L236">
        <v>8</v>
      </c>
      <c r="M236" t="s">
        <v>41</v>
      </c>
      <c r="N236">
        <v>17</v>
      </c>
      <c r="O236">
        <v>3</v>
      </c>
      <c r="P236">
        <v>0</v>
      </c>
      <c r="Q236">
        <v>7</v>
      </c>
      <c r="R236">
        <v>2</v>
      </c>
      <c r="S236">
        <v>2</v>
      </c>
      <c r="T236">
        <v>2</v>
      </c>
      <c r="U236">
        <v>2</v>
      </c>
      <c r="V236" t="s">
        <v>72</v>
      </c>
      <c r="W236" s="2">
        <v>43770</v>
      </c>
      <c r="Y236" t="s">
        <v>46</v>
      </c>
      <c r="Z236" t="s">
        <v>40</v>
      </c>
      <c r="AA236">
        <v>2</v>
      </c>
      <c r="AB236">
        <v>3</v>
      </c>
      <c r="AC236" t="s">
        <v>31</v>
      </c>
      <c r="AD236" t="s">
        <v>67</v>
      </c>
      <c r="AE236" t="s">
        <v>43</v>
      </c>
      <c r="AF236" s="3">
        <v>325</v>
      </c>
      <c r="AG236" s="3">
        <v>58</v>
      </c>
      <c r="AH236">
        <v>80</v>
      </c>
      <c r="AI236">
        <v>4</v>
      </c>
      <c r="AJ236">
        <v>1</v>
      </c>
      <c r="AK236">
        <v>1</v>
      </c>
      <c r="AL236">
        <v>1</v>
      </c>
      <c r="AM236">
        <v>0</v>
      </c>
      <c r="AN236" t="s">
        <v>767</v>
      </c>
      <c r="AO236" t="s">
        <v>31</v>
      </c>
    </row>
    <row r="237" spans="1:41" x14ac:dyDescent="0.25">
      <c r="A237">
        <v>31</v>
      </c>
      <c r="B237" t="s">
        <v>66</v>
      </c>
      <c r="C237" t="s">
        <v>33</v>
      </c>
      <c r="D237">
        <v>3</v>
      </c>
      <c r="E237" t="s">
        <v>34</v>
      </c>
      <c r="F237">
        <v>3</v>
      </c>
      <c r="G237">
        <v>3</v>
      </c>
      <c r="H237" t="s">
        <v>50</v>
      </c>
      <c r="I237">
        <v>3</v>
      </c>
      <c r="J237" t="s">
        <v>57</v>
      </c>
      <c r="K237">
        <v>13675</v>
      </c>
      <c r="L237">
        <v>9</v>
      </c>
      <c r="M237" t="s">
        <v>41</v>
      </c>
      <c r="N237">
        <v>12</v>
      </c>
      <c r="O237">
        <v>3</v>
      </c>
      <c r="P237">
        <v>1</v>
      </c>
      <c r="Q237">
        <v>9</v>
      </c>
      <c r="R237">
        <v>3</v>
      </c>
      <c r="S237">
        <v>2</v>
      </c>
      <c r="T237">
        <v>2</v>
      </c>
      <c r="U237">
        <v>2</v>
      </c>
      <c r="V237" t="s">
        <v>72</v>
      </c>
      <c r="W237" s="1" t="s">
        <v>177</v>
      </c>
      <c r="Y237" t="s">
        <v>54</v>
      </c>
      <c r="Z237" t="s">
        <v>47</v>
      </c>
      <c r="AA237">
        <v>1</v>
      </c>
      <c r="AB237">
        <v>3</v>
      </c>
      <c r="AC237" t="s">
        <v>41</v>
      </c>
      <c r="AD237" t="s">
        <v>65</v>
      </c>
      <c r="AE237" t="s">
        <v>43</v>
      </c>
      <c r="AF237" s="3">
        <v>327</v>
      </c>
      <c r="AG237" s="3">
        <v>80</v>
      </c>
      <c r="AH237">
        <v>80</v>
      </c>
      <c r="AI237">
        <v>13</v>
      </c>
      <c r="AJ237">
        <v>0</v>
      </c>
      <c r="AL237">
        <v>0</v>
      </c>
      <c r="AM237">
        <v>1</v>
      </c>
      <c r="AN237" t="s">
        <v>768</v>
      </c>
      <c r="AO237" t="s">
        <v>41</v>
      </c>
    </row>
    <row r="238" spans="1:41" x14ac:dyDescent="0.25">
      <c r="A238">
        <v>33</v>
      </c>
      <c r="B238" t="s">
        <v>32</v>
      </c>
      <c r="C238" t="s">
        <v>33</v>
      </c>
      <c r="D238">
        <v>5</v>
      </c>
      <c r="E238" t="s">
        <v>61</v>
      </c>
      <c r="F238">
        <v>2</v>
      </c>
      <c r="G238">
        <v>1</v>
      </c>
      <c r="H238" t="s">
        <v>44</v>
      </c>
      <c r="I238">
        <v>4</v>
      </c>
      <c r="J238" t="s">
        <v>51</v>
      </c>
      <c r="K238">
        <v>2911</v>
      </c>
      <c r="L238">
        <v>1</v>
      </c>
      <c r="M238" t="s">
        <v>41</v>
      </c>
      <c r="N238">
        <v>13</v>
      </c>
      <c r="O238">
        <v>3</v>
      </c>
      <c r="P238">
        <v>1</v>
      </c>
      <c r="Q238">
        <v>2</v>
      </c>
      <c r="R238">
        <v>2</v>
      </c>
      <c r="S238">
        <v>2</v>
      </c>
      <c r="T238">
        <v>0</v>
      </c>
      <c r="U238">
        <v>2</v>
      </c>
      <c r="V238" t="s">
        <v>52</v>
      </c>
      <c r="W238" s="2">
        <v>43652</v>
      </c>
      <c r="Y238" t="s">
        <v>63</v>
      </c>
      <c r="Z238" t="s">
        <v>47</v>
      </c>
      <c r="AA238">
        <v>4</v>
      </c>
      <c r="AB238">
        <v>2</v>
      </c>
      <c r="AC238" t="s">
        <v>31</v>
      </c>
      <c r="AD238" t="s">
        <v>48</v>
      </c>
      <c r="AE238" t="s">
        <v>49</v>
      </c>
      <c r="AF238" s="3">
        <v>328</v>
      </c>
      <c r="AG238" s="3">
        <v>39</v>
      </c>
      <c r="AH238">
        <v>80</v>
      </c>
      <c r="AI238">
        <v>7</v>
      </c>
      <c r="AJ238">
        <v>1</v>
      </c>
      <c r="AK238">
        <v>1</v>
      </c>
      <c r="AL238">
        <v>1</v>
      </c>
      <c r="AM238">
        <v>0</v>
      </c>
      <c r="AN238" t="s">
        <v>767</v>
      </c>
      <c r="AO238" t="s">
        <v>31</v>
      </c>
    </row>
    <row r="239" spans="1:41" x14ac:dyDescent="0.25">
      <c r="A239">
        <v>38</v>
      </c>
      <c r="B239" t="s">
        <v>32</v>
      </c>
      <c r="C239" t="s">
        <v>33</v>
      </c>
      <c r="D239">
        <v>23</v>
      </c>
      <c r="E239" t="s">
        <v>34</v>
      </c>
      <c r="F239">
        <v>3</v>
      </c>
      <c r="G239">
        <v>2</v>
      </c>
      <c r="H239" t="s">
        <v>89</v>
      </c>
      <c r="I239">
        <v>4</v>
      </c>
      <c r="J239" t="s">
        <v>57</v>
      </c>
      <c r="K239">
        <v>5745</v>
      </c>
      <c r="L239">
        <v>9</v>
      </c>
      <c r="M239" t="s">
        <v>41</v>
      </c>
      <c r="N239">
        <v>14</v>
      </c>
      <c r="O239">
        <v>3</v>
      </c>
      <c r="P239">
        <v>1</v>
      </c>
      <c r="Q239">
        <v>10</v>
      </c>
      <c r="R239">
        <v>2</v>
      </c>
      <c r="S239">
        <v>2</v>
      </c>
      <c r="T239">
        <v>1</v>
      </c>
      <c r="U239">
        <v>2</v>
      </c>
      <c r="V239" t="s">
        <v>72</v>
      </c>
      <c r="W239" s="1" t="s">
        <v>178</v>
      </c>
      <c r="Y239" t="s">
        <v>63</v>
      </c>
      <c r="Z239" t="s">
        <v>40</v>
      </c>
      <c r="AA239">
        <v>5</v>
      </c>
      <c r="AB239">
        <v>2</v>
      </c>
      <c r="AC239" t="s">
        <v>31</v>
      </c>
      <c r="AD239" t="s">
        <v>67</v>
      </c>
      <c r="AE239" t="s">
        <v>60</v>
      </c>
      <c r="AF239" s="3">
        <v>329</v>
      </c>
      <c r="AG239" s="3">
        <v>79</v>
      </c>
      <c r="AH239">
        <v>80</v>
      </c>
      <c r="AI239">
        <v>7</v>
      </c>
      <c r="AJ239">
        <v>0</v>
      </c>
      <c r="AL239">
        <v>0</v>
      </c>
      <c r="AM239">
        <v>1</v>
      </c>
      <c r="AN239" t="s">
        <v>768</v>
      </c>
      <c r="AO239" t="s">
        <v>41</v>
      </c>
    </row>
    <row r="240" spans="1:41" x14ac:dyDescent="0.25">
      <c r="A240">
        <v>31</v>
      </c>
      <c r="B240" t="s">
        <v>66</v>
      </c>
      <c r="C240" t="s">
        <v>55</v>
      </c>
      <c r="D240">
        <v>5</v>
      </c>
      <c r="E240" t="s">
        <v>61</v>
      </c>
      <c r="F240">
        <v>3</v>
      </c>
      <c r="G240">
        <v>1</v>
      </c>
      <c r="H240" t="s">
        <v>56</v>
      </c>
      <c r="I240">
        <v>2</v>
      </c>
      <c r="J240" t="s">
        <v>57</v>
      </c>
      <c r="K240">
        <v>2789</v>
      </c>
      <c r="L240">
        <v>1</v>
      </c>
      <c r="M240" t="s">
        <v>41</v>
      </c>
      <c r="N240">
        <v>11</v>
      </c>
      <c r="O240">
        <v>3</v>
      </c>
      <c r="P240">
        <v>1</v>
      </c>
      <c r="Q240">
        <v>2</v>
      </c>
      <c r="R240">
        <v>5</v>
      </c>
      <c r="S240">
        <v>2</v>
      </c>
      <c r="T240">
        <v>2</v>
      </c>
      <c r="U240">
        <v>2</v>
      </c>
      <c r="V240" t="s">
        <v>72</v>
      </c>
      <c r="W240" s="2">
        <v>43466</v>
      </c>
      <c r="Y240" t="s">
        <v>46</v>
      </c>
      <c r="Z240" t="s">
        <v>47</v>
      </c>
      <c r="AA240">
        <v>0</v>
      </c>
      <c r="AB240">
        <v>2</v>
      </c>
      <c r="AC240" t="s">
        <v>41</v>
      </c>
      <c r="AD240" t="s">
        <v>48</v>
      </c>
      <c r="AE240" t="s">
        <v>60</v>
      </c>
      <c r="AF240" s="3">
        <v>330</v>
      </c>
      <c r="AG240" s="3">
        <v>56</v>
      </c>
      <c r="AH240">
        <v>80</v>
      </c>
      <c r="AI240">
        <v>3</v>
      </c>
      <c r="AJ240">
        <v>0</v>
      </c>
      <c r="AL240">
        <v>0</v>
      </c>
      <c r="AM240">
        <v>1</v>
      </c>
      <c r="AN240" t="s">
        <v>768</v>
      </c>
      <c r="AO240" t="s">
        <v>41</v>
      </c>
    </row>
    <row r="241" spans="1:41" x14ac:dyDescent="0.25">
      <c r="A241">
        <v>31</v>
      </c>
      <c r="B241" t="s">
        <v>32</v>
      </c>
      <c r="C241" t="s">
        <v>120</v>
      </c>
      <c r="D241">
        <v>2</v>
      </c>
      <c r="E241" t="s">
        <v>34</v>
      </c>
      <c r="F241">
        <v>2</v>
      </c>
      <c r="G241">
        <v>2</v>
      </c>
      <c r="H241" t="s">
        <v>120</v>
      </c>
      <c r="I241">
        <v>1</v>
      </c>
      <c r="J241" t="s">
        <v>51</v>
      </c>
      <c r="K241">
        <v>6410</v>
      </c>
      <c r="L241">
        <v>3</v>
      </c>
      <c r="M241" t="s">
        <v>41</v>
      </c>
      <c r="N241">
        <v>12</v>
      </c>
      <c r="O241">
        <v>3</v>
      </c>
      <c r="P241">
        <v>0</v>
      </c>
      <c r="Q241">
        <v>9</v>
      </c>
      <c r="R241">
        <v>1</v>
      </c>
      <c r="S241">
        <v>2</v>
      </c>
      <c r="T241">
        <v>1</v>
      </c>
      <c r="U241">
        <v>0</v>
      </c>
      <c r="V241" t="s">
        <v>37</v>
      </c>
      <c r="W241" s="1" t="s">
        <v>166</v>
      </c>
      <c r="Y241" t="s">
        <v>39</v>
      </c>
      <c r="Z241" t="s">
        <v>40</v>
      </c>
      <c r="AA241">
        <v>1</v>
      </c>
      <c r="AB241">
        <v>1</v>
      </c>
      <c r="AC241" t="s">
        <v>31</v>
      </c>
      <c r="AD241" t="s">
        <v>65</v>
      </c>
      <c r="AE241" t="s">
        <v>43</v>
      </c>
      <c r="AF241" s="3">
        <v>331</v>
      </c>
      <c r="AG241" s="3">
        <v>62</v>
      </c>
      <c r="AH241">
        <v>80</v>
      </c>
      <c r="AI241">
        <v>2</v>
      </c>
      <c r="AJ241">
        <v>1</v>
      </c>
      <c r="AK241">
        <v>1</v>
      </c>
      <c r="AL241">
        <v>1</v>
      </c>
      <c r="AM241">
        <v>0</v>
      </c>
      <c r="AN241" t="s">
        <v>767</v>
      </c>
      <c r="AO241" t="s">
        <v>31</v>
      </c>
    </row>
    <row r="242" spans="1:41" x14ac:dyDescent="0.25">
      <c r="A242">
        <v>31</v>
      </c>
      <c r="B242" t="s">
        <v>32</v>
      </c>
      <c r="C242" t="s">
        <v>33</v>
      </c>
      <c r="D242">
        <v>2</v>
      </c>
      <c r="E242" t="s">
        <v>34</v>
      </c>
      <c r="F242">
        <v>3</v>
      </c>
      <c r="G242">
        <v>1</v>
      </c>
      <c r="H242" t="s">
        <v>44</v>
      </c>
      <c r="I242">
        <v>4</v>
      </c>
      <c r="J242" t="s">
        <v>57</v>
      </c>
      <c r="K242">
        <v>2695</v>
      </c>
      <c r="L242">
        <v>0</v>
      </c>
      <c r="M242" t="s">
        <v>31</v>
      </c>
      <c r="N242">
        <v>18</v>
      </c>
      <c r="O242">
        <v>3</v>
      </c>
      <c r="P242">
        <v>1</v>
      </c>
      <c r="Q242">
        <v>3</v>
      </c>
      <c r="R242">
        <v>2</v>
      </c>
      <c r="S242">
        <v>2</v>
      </c>
      <c r="T242">
        <v>2</v>
      </c>
      <c r="U242">
        <v>2</v>
      </c>
      <c r="V242" t="s">
        <v>37</v>
      </c>
      <c r="W242" s="2">
        <v>43680</v>
      </c>
      <c r="Y242" t="s">
        <v>63</v>
      </c>
      <c r="Z242" t="s">
        <v>47</v>
      </c>
      <c r="AA242">
        <v>2</v>
      </c>
      <c r="AB242">
        <v>3</v>
      </c>
      <c r="AC242" t="s">
        <v>31</v>
      </c>
      <c r="AD242" t="s">
        <v>42</v>
      </c>
      <c r="AE242" t="s">
        <v>49</v>
      </c>
      <c r="AF242" s="3">
        <v>332</v>
      </c>
      <c r="AG242" s="3">
        <v>96</v>
      </c>
      <c r="AH242">
        <v>80</v>
      </c>
      <c r="AI242">
        <v>2</v>
      </c>
      <c r="AJ242">
        <v>0</v>
      </c>
      <c r="AL242">
        <v>0</v>
      </c>
      <c r="AM242">
        <v>1</v>
      </c>
      <c r="AN242" t="s">
        <v>768</v>
      </c>
      <c r="AO242" t="s">
        <v>41</v>
      </c>
    </row>
    <row r="243" spans="1:41" x14ac:dyDescent="0.25">
      <c r="A243">
        <v>30</v>
      </c>
      <c r="B243" t="s">
        <v>81</v>
      </c>
      <c r="C243" t="s">
        <v>55</v>
      </c>
      <c r="D243">
        <v>25</v>
      </c>
      <c r="E243" t="s">
        <v>61</v>
      </c>
      <c r="F243">
        <v>3</v>
      </c>
      <c r="G243">
        <v>2</v>
      </c>
      <c r="H243" t="s">
        <v>70</v>
      </c>
      <c r="I243">
        <v>3</v>
      </c>
      <c r="J243" t="s">
        <v>51</v>
      </c>
      <c r="K243">
        <v>4736</v>
      </c>
      <c r="L243">
        <v>7</v>
      </c>
      <c r="M243" t="s">
        <v>31</v>
      </c>
      <c r="N243">
        <v>12</v>
      </c>
      <c r="O243">
        <v>3</v>
      </c>
      <c r="P243">
        <v>1</v>
      </c>
      <c r="Q243">
        <v>4</v>
      </c>
      <c r="R243">
        <v>2</v>
      </c>
      <c r="S243">
        <v>2</v>
      </c>
      <c r="T243">
        <v>2</v>
      </c>
      <c r="U243">
        <v>2</v>
      </c>
      <c r="V243" t="s">
        <v>52</v>
      </c>
      <c r="W243" s="1" t="s">
        <v>179</v>
      </c>
      <c r="Y243" t="s">
        <v>54</v>
      </c>
      <c r="Z243" t="s">
        <v>40</v>
      </c>
      <c r="AA243">
        <v>0</v>
      </c>
      <c r="AB243">
        <v>3</v>
      </c>
      <c r="AC243" t="s">
        <v>41</v>
      </c>
      <c r="AD243" t="s">
        <v>67</v>
      </c>
      <c r="AE243" t="s">
        <v>49</v>
      </c>
      <c r="AF243" s="3">
        <v>333</v>
      </c>
      <c r="AG243" s="3">
        <v>100</v>
      </c>
      <c r="AH243">
        <v>80</v>
      </c>
      <c r="AI243">
        <v>2</v>
      </c>
      <c r="AJ243">
        <v>0</v>
      </c>
      <c r="AL243">
        <v>0</v>
      </c>
      <c r="AM243">
        <v>1</v>
      </c>
      <c r="AN243" t="s">
        <v>768</v>
      </c>
      <c r="AO243" t="s">
        <v>41</v>
      </c>
    </row>
    <row r="244" spans="1:41" x14ac:dyDescent="0.25">
      <c r="A244">
        <v>31</v>
      </c>
      <c r="B244" t="s">
        <v>32</v>
      </c>
      <c r="C244" t="s">
        <v>33</v>
      </c>
      <c r="D244">
        <v>9</v>
      </c>
      <c r="E244" t="s">
        <v>34</v>
      </c>
      <c r="F244">
        <v>2</v>
      </c>
      <c r="G244">
        <v>1</v>
      </c>
      <c r="H244" t="s">
        <v>44</v>
      </c>
      <c r="I244">
        <v>2</v>
      </c>
      <c r="J244" t="s">
        <v>36</v>
      </c>
      <c r="K244">
        <v>2657</v>
      </c>
      <c r="L244">
        <v>0</v>
      </c>
      <c r="M244" t="s">
        <v>31</v>
      </c>
      <c r="N244">
        <v>16</v>
      </c>
      <c r="O244">
        <v>3</v>
      </c>
      <c r="P244">
        <v>0</v>
      </c>
      <c r="Q244">
        <v>3</v>
      </c>
      <c r="R244">
        <v>5</v>
      </c>
      <c r="S244">
        <v>2</v>
      </c>
      <c r="T244">
        <v>2</v>
      </c>
      <c r="U244">
        <v>2</v>
      </c>
      <c r="V244" t="s">
        <v>52</v>
      </c>
      <c r="W244" s="1" t="s">
        <v>167</v>
      </c>
      <c r="Y244" t="s">
        <v>39</v>
      </c>
      <c r="Z244" t="s">
        <v>47</v>
      </c>
      <c r="AA244">
        <v>5</v>
      </c>
      <c r="AB244">
        <v>2</v>
      </c>
      <c r="AC244" t="s">
        <v>31</v>
      </c>
      <c r="AD244" t="s">
        <v>48</v>
      </c>
      <c r="AE244" t="s">
        <v>49</v>
      </c>
      <c r="AF244" s="3">
        <v>334</v>
      </c>
      <c r="AG244" s="3">
        <v>36</v>
      </c>
      <c r="AH244">
        <v>80</v>
      </c>
      <c r="AI244">
        <v>0</v>
      </c>
      <c r="AJ244">
        <v>0</v>
      </c>
      <c r="AL244">
        <v>0</v>
      </c>
      <c r="AM244">
        <v>1</v>
      </c>
      <c r="AN244" t="s">
        <v>768</v>
      </c>
      <c r="AO244" t="s">
        <v>41</v>
      </c>
    </row>
    <row r="245" spans="1:41" x14ac:dyDescent="0.25">
      <c r="A245">
        <v>36</v>
      </c>
      <c r="B245" t="s">
        <v>32</v>
      </c>
      <c r="C245" t="s">
        <v>33</v>
      </c>
      <c r="D245">
        <v>2</v>
      </c>
      <c r="E245" t="s">
        <v>61</v>
      </c>
      <c r="F245">
        <v>3</v>
      </c>
      <c r="G245">
        <v>1</v>
      </c>
      <c r="H245" t="s">
        <v>44</v>
      </c>
      <c r="I245">
        <v>3</v>
      </c>
      <c r="J245" t="s">
        <v>51</v>
      </c>
      <c r="K245">
        <v>2543</v>
      </c>
      <c r="L245">
        <v>4</v>
      </c>
      <c r="M245" t="s">
        <v>41</v>
      </c>
      <c r="N245">
        <v>13</v>
      </c>
      <c r="O245">
        <v>3</v>
      </c>
      <c r="P245">
        <v>1</v>
      </c>
      <c r="Q245">
        <v>6</v>
      </c>
      <c r="R245">
        <v>3</v>
      </c>
      <c r="S245">
        <v>2</v>
      </c>
      <c r="T245">
        <v>2</v>
      </c>
      <c r="U245">
        <v>2</v>
      </c>
      <c r="V245" t="s">
        <v>52</v>
      </c>
      <c r="W245" s="1" t="s">
        <v>180</v>
      </c>
      <c r="Y245" t="s">
        <v>63</v>
      </c>
      <c r="Z245" t="s">
        <v>40</v>
      </c>
      <c r="AA245">
        <v>4</v>
      </c>
      <c r="AB245">
        <v>3</v>
      </c>
      <c r="AC245" t="s">
        <v>31</v>
      </c>
      <c r="AD245" t="s">
        <v>48</v>
      </c>
      <c r="AE245" t="s">
        <v>43</v>
      </c>
      <c r="AF245" s="3">
        <v>335</v>
      </c>
      <c r="AG245" s="3">
        <v>62</v>
      </c>
      <c r="AH245">
        <v>80</v>
      </c>
      <c r="AI245">
        <v>8</v>
      </c>
      <c r="AJ245">
        <v>0</v>
      </c>
      <c r="AL245">
        <v>0</v>
      </c>
      <c r="AM245">
        <v>1</v>
      </c>
      <c r="AN245" t="s">
        <v>768</v>
      </c>
      <c r="AO245" t="s">
        <v>41</v>
      </c>
    </row>
    <row r="246" spans="1:41" x14ac:dyDescent="0.25">
      <c r="A246">
        <v>22</v>
      </c>
      <c r="B246" t="s">
        <v>32</v>
      </c>
      <c r="C246" t="s">
        <v>33</v>
      </c>
      <c r="D246">
        <v>11</v>
      </c>
      <c r="E246" t="s">
        <v>61</v>
      </c>
      <c r="F246">
        <v>3</v>
      </c>
      <c r="G246">
        <v>1</v>
      </c>
      <c r="H246" t="s">
        <v>44</v>
      </c>
      <c r="I246">
        <v>2</v>
      </c>
      <c r="J246" t="s">
        <v>51</v>
      </c>
      <c r="K246">
        <v>2244</v>
      </c>
      <c r="L246">
        <v>1</v>
      </c>
      <c r="M246" t="s">
        <v>41</v>
      </c>
      <c r="N246">
        <v>13</v>
      </c>
      <c r="O246">
        <v>3</v>
      </c>
      <c r="P246">
        <v>1</v>
      </c>
      <c r="Q246">
        <v>2</v>
      </c>
      <c r="R246">
        <v>1</v>
      </c>
      <c r="S246">
        <v>2</v>
      </c>
      <c r="T246">
        <v>1</v>
      </c>
      <c r="U246">
        <v>2</v>
      </c>
      <c r="V246" t="s">
        <v>58</v>
      </c>
      <c r="W246" s="2">
        <v>43530</v>
      </c>
      <c r="Y246" t="s">
        <v>39</v>
      </c>
      <c r="Z246" t="s">
        <v>40</v>
      </c>
      <c r="AA246">
        <v>4</v>
      </c>
      <c r="AB246">
        <v>2</v>
      </c>
      <c r="AC246" t="s">
        <v>31</v>
      </c>
      <c r="AD246" t="s">
        <v>42</v>
      </c>
      <c r="AE246" t="s">
        <v>43</v>
      </c>
      <c r="AF246" s="3">
        <v>336</v>
      </c>
      <c r="AG246" s="3">
        <v>70</v>
      </c>
      <c r="AH246">
        <v>80</v>
      </c>
      <c r="AI246">
        <v>0</v>
      </c>
      <c r="AJ246">
        <v>0</v>
      </c>
      <c r="AL246">
        <v>0</v>
      </c>
      <c r="AM246">
        <v>1</v>
      </c>
      <c r="AN246" t="s">
        <v>768</v>
      </c>
      <c r="AO246" t="s">
        <v>41</v>
      </c>
    </row>
    <row r="247" spans="1:41" x14ac:dyDescent="0.25">
      <c r="A247">
        <v>25</v>
      </c>
      <c r="B247" t="s">
        <v>32</v>
      </c>
      <c r="C247" t="s">
        <v>33</v>
      </c>
      <c r="D247">
        <v>3</v>
      </c>
      <c r="E247" t="s">
        <v>34</v>
      </c>
      <c r="F247">
        <v>3</v>
      </c>
      <c r="G247">
        <v>1</v>
      </c>
      <c r="H247" t="s">
        <v>35</v>
      </c>
      <c r="I247">
        <v>1</v>
      </c>
      <c r="J247" t="s">
        <v>51</v>
      </c>
      <c r="K247">
        <v>4031</v>
      </c>
      <c r="L247">
        <v>5</v>
      </c>
      <c r="M247" t="s">
        <v>41</v>
      </c>
      <c r="N247">
        <v>13</v>
      </c>
      <c r="O247">
        <v>3</v>
      </c>
      <c r="P247">
        <v>1</v>
      </c>
      <c r="Q247">
        <v>6</v>
      </c>
      <c r="R247">
        <v>5</v>
      </c>
      <c r="S247">
        <v>2</v>
      </c>
      <c r="T247">
        <v>0</v>
      </c>
      <c r="U247">
        <v>2</v>
      </c>
      <c r="V247" t="s">
        <v>58</v>
      </c>
      <c r="W247" s="1" t="s">
        <v>181</v>
      </c>
      <c r="Y247" t="s">
        <v>46</v>
      </c>
      <c r="Z247" t="s">
        <v>40</v>
      </c>
      <c r="AA247">
        <v>2</v>
      </c>
      <c r="AB247">
        <v>1</v>
      </c>
      <c r="AC247" t="s">
        <v>41</v>
      </c>
      <c r="AD247" t="s">
        <v>48</v>
      </c>
      <c r="AE247" t="s">
        <v>43</v>
      </c>
      <c r="AF247" s="3">
        <v>337</v>
      </c>
      <c r="AG247" s="3">
        <v>73</v>
      </c>
      <c r="AH247">
        <v>80</v>
      </c>
      <c r="AI247">
        <v>2</v>
      </c>
      <c r="AJ247">
        <v>0</v>
      </c>
      <c r="AL247">
        <v>0</v>
      </c>
      <c r="AM247">
        <v>1</v>
      </c>
      <c r="AN247" t="s">
        <v>768</v>
      </c>
      <c r="AO247" t="s">
        <v>41</v>
      </c>
    </row>
    <row r="248" spans="1:41" x14ac:dyDescent="0.25">
      <c r="A248">
        <v>45</v>
      </c>
      <c r="B248" t="s">
        <v>32</v>
      </c>
      <c r="C248" t="s">
        <v>33</v>
      </c>
      <c r="D248">
        <v>10</v>
      </c>
      <c r="E248" t="s">
        <v>34</v>
      </c>
      <c r="F248">
        <v>3</v>
      </c>
      <c r="G248">
        <v>1</v>
      </c>
      <c r="H248" t="s">
        <v>44</v>
      </c>
      <c r="I248">
        <v>4</v>
      </c>
      <c r="J248" t="s">
        <v>51</v>
      </c>
      <c r="K248">
        <v>2654</v>
      </c>
      <c r="L248">
        <v>3</v>
      </c>
      <c r="M248" t="s">
        <v>41</v>
      </c>
      <c r="N248">
        <v>21</v>
      </c>
      <c r="O248">
        <v>4</v>
      </c>
      <c r="P248">
        <v>2</v>
      </c>
      <c r="Q248">
        <v>8</v>
      </c>
      <c r="R248">
        <v>3</v>
      </c>
      <c r="S248">
        <v>2</v>
      </c>
      <c r="T248">
        <v>0</v>
      </c>
      <c r="U248">
        <v>2</v>
      </c>
      <c r="V248" t="s">
        <v>52</v>
      </c>
      <c r="W248" s="2">
        <v>43741</v>
      </c>
      <c r="Y248" t="s">
        <v>69</v>
      </c>
      <c r="Z248" t="s">
        <v>47</v>
      </c>
      <c r="AA248">
        <v>2</v>
      </c>
      <c r="AB248">
        <v>2</v>
      </c>
      <c r="AC248" t="s">
        <v>31</v>
      </c>
      <c r="AD248" t="s">
        <v>67</v>
      </c>
      <c r="AE248" t="s">
        <v>60</v>
      </c>
      <c r="AF248" s="3">
        <v>338</v>
      </c>
      <c r="AG248" s="3">
        <v>63</v>
      </c>
      <c r="AH248">
        <v>80</v>
      </c>
      <c r="AI248">
        <v>2</v>
      </c>
      <c r="AJ248">
        <v>0</v>
      </c>
      <c r="AL248">
        <v>0</v>
      </c>
      <c r="AM248">
        <v>1</v>
      </c>
      <c r="AN248" t="s">
        <v>768</v>
      </c>
      <c r="AO248" t="s">
        <v>41</v>
      </c>
    </row>
    <row r="249" spans="1:41" x14ac:dyDescent="0.25">
      <c r="A249">
        <v>34</v>
      </c>
      <c r="B249" t="s">
        <v>66</v>
      </c>
      <c r="C249" t="s">
        <v>55</v>
      </c>
      <c r="D249">
        <v>6</v>
      </c>
      <c r="E249" t="s">
        <v>61</v>
      </c>
      <c r="F249">
        <v>1</v>
      </c>
      <c r="G249">
        <v>1</v>
      </c>
      <c r="H249" t="s">
        <v>56</v>
      </c>
      <c r="I249">
        <v>3</v>
      </c>
      <c r="J249" t="s">
        <v>57</v>
      </c>
      <c r="K249">
        <v>2351</v>
      </c>
      <c r="L249">
        <v>0</v>
      </c>
      <c r="M249" t="s">
        <v>41</v>
      </c>
      <c r="N249">
        <v>16</v>
      </c>
      <c r="O249">
        <v>3</v>
      </c>
      <c r="P249">
        <v>1</v>
      </c>
      <c r="Q249">
        <v>3</v>
      </c>
      <c r="R249">
        <v>3</v>
      </c>
      <c r="S249">
        <v>2</v>
      </c>
      <c r="T249">
        <v>1</v>
      </c>
      <c r="U249">
        <v>0</v>
      </c>
      <c r="V249" t="s">
        <v>58</v>
      </c>
      <c r="W249" s="1" t="s">
        <v>182</v>
      </c>
      <c r="Y249" t="s">
        <v>46</v>
      </c>
      <c r="Z249" t="s">
        <v>47</v>
      </c>
      <c r="AA249">
        <v>1</v>
      </c>
      <c r="AB249">
        <v>2</v>
      </c>
      <c r="AC249" t="s">
        <v>41</v>
      </c>
      <c r="AD249" t="s">
        <v>48</v>
      </c>
      <c r="AE249" t="s">
        <v>60</v>
      </c>
      <c r="AF249" s="3">
        <v>339</v>
      </c>
      <c r="AG249" s="3">
        <v>84</v>
      </c>
      <c r="AH249">
        <v>80</v>
      </c>
      <c r="AI249">
        <v>9</v>
      </c>
      <c r="AJ249">
        <v>0</v>
      </c>
      <c r="AL249">
        <v>0</v>
      </c>
      <c r="AM249">
        <v>1</v>
      </c>
      <c r="AN249" t="s">
        <v>768</v>
      </c>
      <c r="AO249" t="s">
        <v>41</v>
      </c>
    </row>
    <row r="250" spans="1:41" x14ac:dyDescent="0.25">
      <c r="A250">
        <v>29</v>
      </c>
      <c r="B250" t="s">
        <v>32</v>
      </c>
      <c r="C250" t="s">
        <v>33</v>
      </c>
      <c r="D250">
        <v>25</v>
      </c>
      <c r="E250" t="s">
        <v>61</v>
      </c>
      <c r="F250">
        <v>2</v>
      </c>
      <c r="G250">
        <v>1</v>
      </c>
      <c r="H250" t="s">
        <v>44</v>
      </c>
      <c r="I250">
        <v>2</v>
      </c>
      <c r="J250" t="s">
        <v>51</v>
      </c>
      <c r="K250">
        <v>2546</v>
      </c>
      <c r="L250">
        <v>5</v>
      </c>
      <c r="M250" t="s">
        <v>41</v>
      </c>
      <c r="N250">
        <v>16</v>
      </c>
      <c r="O250">
        <v>3</v>
      </c>
      <c r="P250">
        <v>0</v>
      </c>
      <c r="Q250">
        <v>6</v>
      </c>
      <c r="R250">
        <v>2</v>
      </c>
      <c r="S250">
        <v>2</v>
      </c>
      <c r="T250">
        <v>1</v>
      </c>
      <c r="U250">
        <v>1</v>
      </c>
      <c r="V250" t="s">
        <v>37</v>
      </c>
      <c r="W250" s="1" t="s">
        <v>168</v>
      </c>
      <c r="Y250" t="s">
        <v>54</v>
      </c>
      <c r="Z250" t="s">
        <v>47</v>
      </c>
      <c r="AA250">
        <v>4</v>
      </c>
      <c r="AB250">
        <v>3</v>
      </c>
      <c r="AC250" t="s">
        <v>31</v>
      </c>
      <c r="AD250" t="s">
        <v>65</v>
      </c>
      <c r="AE250" t="s">
        <v>60</v>
      </c>
      <c r="AF250" s="3">
        <v>340</v>
      </c>
      <c r="AG250" s="3">
        <v>83</v>
      </c>
      <c r="AH250">
        <v>80</v>
      </c>
      <c r="AI250">
        <v>1</v>
      </c>
      <c r="AJ250">
        <v>0</v>
      </c>
      <c r="AL250">
        <v>0</v>
      </c>
      <c r="AM250">
        <v>1</v>
      </c>
      <c r="AN250" t="s">
        <v>768</v>
      </c>
      <c r="AO250" t="s">
        <v>41</v>
      </c>
    </row>
    <row r="251" spans="1:41" x14ac:dyDescent="0.25">
      <c r="A251">
        <v>42</v>
      </c>
      <c r="B251" t="s">
        <v>66</v>
      </c>
      <c r="C251" t="s">
        <v>33</v>
      </c>
      <c r="D251">
        <v>5</v>
      </c>
      <c r="E251" t="s">
        <v>34</v>
      </c>
      <c r="F251">
        <v>3</v>
      </c>
      <c r="G251">
        <v>1</v>
      </c>
      <c r="H251" t="s">
        <v>35</v>
      </c>
      <c r="I251">
        <v>3</v>
      </c>
      <c r="J251" t="s">
        <v>51</v>
      </c>
      <c r="K251">
        <v>2093</v>
      </c>
      <c r="L251">
        <v>4</v>
      </c>
      <c r="M251" t="s">
        <v>41</v>
      </c>
      <c r="N251">
        <v>17</v>
      </c>
      <c r="O251">
        <v>3</v>
      </c>
      <c r="P251">
        <v>1</v>
      </c>
      <c r="Q251">
        <v>8</v>
      </c>
      <c r="R251">
        <v>4</v>
      </c>
      <c r="S251">
        <v>2</v>
      </c>
      <c r="T251">
        <v>2</v>
      </c>
      <c r="U251">
        <v>0</v>
      </c>
      <c r="V251" t="s">
        <v>52</v>
      </c>
      <c r="W251" s="1" t="s">
        <v>183</v>
      </c>
      <c r="Y251" t="s">
        <v>69</v>
      </c>
      <c r="Z251" t="s">
        <v>47</v>
      </c>
      <c r="AA251">
        <v>2</v>
      </c>
      <c r="AB251">
        <v>1</v>
      </c>
      <c r="AC251" t="s">
        <v>31</v>
      </c>
      <c r="AD251" t="s">
        <v>42</v>
      </c>
      <c r="AE251" t="s">
        <v>43</v>
      </c>
      <c r="AF251" s="3">
        <v>341</v>
      </c>
      <c r="AG251" s="3">
        <v>77</v>
      </c>
      <c r="AH251">
        <v>80</v>
      </c>
      <c r="AI251">
        <v>2</v>
      </c>
      <c r="AJ251">
        <v>0</v>
      </c>
      <c r="AL251">
        <v>0</v>
      </c>
      <c r="AM251">
        <v>1</v>
      </c>
      <c r="AN251" t="s">
        <v>768</v>
      </c>
      <c r="AO251" t="s">
        <v>41</v>
      </c>
    </row>
    <row r="252" spans="1:41" x14ac:dyDescent="0.25">
      <c r="A252">
        <v>22</v>
      </c>
      <c r="B252" t="s">
        <v>66</v>
      </c>
      <c r="C252" t="s">
        <v>33</v>
      </c>
      <c r="D252">
        <v>4</v>
      </c>
      <c r="E252" t="s">
        <v>34</v>
      </c>
      <c r="F252">
        <v>2</v>
      </c>
      <c r="G252">
        <v>1</v>
      </c>
      <c r="H252" t="s">
        <v>35</v>
      </c>
      <c r="I252">
        <v>3</v>
      </c>
      <c r="J252" t="s">
        <v>36</v>
      </c>
      <c r="K252">
        <v>3894</v>
      </c>
      <c r="L252">
        <v>5</v>
      </c>
      <c r="M252" t="s">
        <v>41</v>
      </c>
      <c r="N252">
        <v>16</v>
      </c>
      <c r="O252">
        <v>3</v>
      </c>
      <c r="P252">
        <v>0</v>
      </c>
      <c r="Q252">
        <v>4</v>
      </c>
      <c r="R252">
        <v>3</v>
      </c>
      <c r="S252">
        <v>2</v>
      </c>
      <c r="T252">
        <v>1</v>
      </c>
      <c r="U252">
        <v>2</v>
      </c>
      <c r="V252" t="s">
        <v>52</v>
      </c>
      <c r="W252" s="2">
        <v>43558</v>
      </c>
      <c r="Y252" t="s">
        <v>54</v>
      </c>
      <c r="Z252" t="s">
        <v>40</v>
      </c>
      <c r="AA252">
        <v>2</v>
      </c>
      <c r="AB252">
        <v>1</v>
      </c>
      <c r="AC252" t="s">
        <v>41</v>
      </c>
      <c r="AD252" t="s">
        <v>42</v>
      </c>
      <c r="AE252" t="s">
        <v>43</v>
      </c>
      <c r="AF252" s="3">
        <v>342</v>
      </c>
      <c r="AG252" s="3">
        <v>61</v>
      </c>
      <c r="AH252">
        <v>80</v>
      </c>
      <c r="AI252">
        <v>0</v>
      </c>
      <c r="AJ252">
        <v>1</v>
      </c>
      <c r="AK252">
        <v>1</v>
      </c>
      <c r="AL252">
        <v>1</v>
      </c>
      <c r="AM252">
        <v>0</v>
      </c>
      <c r="AN252" t="s">
        <v>767</v>
      </c>
      <c r="AO252" t="s">
        <v>31</v>
      </c>
    </row>
    <row r="253" spans="1:41" x14ac:dyDescent="0.25">
      <c r="A253">
        <v>46</v>
      </c>
      <c r="B253" t="s">
        <v>66</v>
      </c>
      <c r="C253" t="s">
        <v>33</v>
      </c>
      <c r="D253">
        <v>18</v>
      </c>
      <c r="E253" t="s">
        <v>61</v>
      </c>
      <c r="F253">
        <v>3</v>
      </c>
      <c r="G253">
        <v>3</v>
      </c>
      <c r="H253" t="s">
        <v>89</v>
      </c>
      <c r="I253">
        <v>3</v>
      </c>
      <c r="J253" t="s">
        <v>51</v>
      </c>
      <c r="K253">
        <v>10527</v>
      </c>
      <c r="L253">
        <v>5</v>
      </c>
      <c r="M253" t="s">
        <v>41</v>
      </c>
      <c r="N253">
        <v>11</v>
      </c>
      <c r="O253">
        <v>3</v>
      </c>
      <c r="P253">
        <v>0</v>
      </c>
      <c r="Q253">
        <v>28</v>
      </c>
      <c r="R253">
        <v>3</v>
      </c>
      <c r="S253">
        <v>2</v>
      </c>
      <c r="T253">
        <v>1</v>
      </c>
      <c r="U253">
        <v>2</v>
      </c>
      <c r="V253" t="s">
        <v>52</v>
      </c>
      <c r="W253" s="1" t="s">
        <v>175</v>
      </c>
      <c r="Y253" t="s">
        <v>63</v>
      </c>
      <c r="Z253" t="s">
        <v>47</v>
      </c>
      <c r="AA253">
        <v>1</v>
      </c>
      <c r="AB253">
        <v>0</v>
      </c>
      <c r="AC253" t="s">
        <v>31</v>
      </c>
      <c r="AD253" t="s">
        <v>65</v>
      </c>
      <c r="AE253" t="s">
        <v>43</v>
      </c>
      <c r="AF253" s="3">
        <v>343</v>
      </c>
      <c r="AG253" s="3">
        <v>64</v>
      </c>
      <c r="AH253">
        <v>80</v>
      </c>
      <c r="AI253">
        <v>6</v>
      </c>
      <c r="AJ253">
        <v>0</v>
      </c>
      <c r="AL253">
        <v>0</v>
      </c>
      <c r="AM253">
        <v>1</v>
      </c>
      <c r="AN253" t="s">
        <v>768</v>
      </c>
      <c r="AO253" t="s">
        <v>41</v>
      </c>
    </row>
    <row r="254" spans="1:41" x14ac:dyDescent="0.25">
      <c r="A254">
        <v>24</v>
      </c>
      <c r="B254" t="s">
        <v>66</v>
      </c>
      <c r="C254" t="s">
        <v>55</v>
      </c>
      <c r="D254">
        <v>24</v>
      </c>
      <c r="E254" t="s">
        <v>34</v>
      </c>
      <c r="F254">
        <v>3</v>
      </c>
      <c r="G254">
        <v>1</v>
      </c>
      <c r="H254" t="s">
        <v>56</v>
      </c>
      <c r="I254">
        <v>4</v>
      </c>
      <c r="J254" t="s">
        <v>51</v>
      </c>
      <c r="K254">
        <v>2400</v>
      </c>
      <c r="L254">
        <v>0</v>
      </c>
      <c r="M254" t="s">
        <v>41</v>
      </c>
      <c r="N254">
        <v>13</v>
      </c>
      <c r="O254">
        <v>3</v>
      </c>
      <c r="P254">
        <v>2</v>
      </c>
      <c r="Q254">
        <v>3</v>
      </c>
      <c r="R254">
        <v>3</v>
      </c>
      <c r="S254">
        <v>2</v>
      </c>
      <c r="T254">
        <v>2</v>
      </c>
      <c r="U254">
        <v>1</v>
      </c>
      <c r="V254" t="s">
        <v>58</v>
      </c>
      <c r="W254" s="2">
        <v>43557</v>
      </c>
      <c r="Y254" t="s">
        <v>63</v>
      </c>
      <c r="Z254" t="s">
        <v>40</v>
      </c>
      <c r="AA254">
        <v>2</v>
      </c>
      <c r="AB254">
        <v>3</v>
      </c>
      <c r="AC254" t="s">
        <v>41</v>
      </c>
      <c r="AD254" t="s">
        <v>67</v>
      </c>
      <c r="AE254" t="s">
        <v>60</v>
      </c>
      <c r="AF254" s="3">
        <v>346</v>
      </c>
      <c r="AG254" s="3">
        <v>60</v>
      </c>
      <c r="AH254">
        <v>80</v>
      </c>
      <c r="AI254">
        <v>5</v>
      </c>
      <c r="AJ254">
        <v>0</v>
      </c>
      <c r="AL254">
        <v>0</v>
      </c>
      <c r="AM254">
        <v>1</v>
      </c>
      <c r="AN254" t="s">
        <v>768</v>
      </c>
      <c r="AO254" t="s">
        <v>41</v>
      </c>
    </row>
    <row r="255" spans="1:41" x14ac:dyDescent="0.25">
      <c r="A255">
        <v>44</v>
      </c>
      <c r="B255" t="s">
        <v>32</v>
      </c>
      <c r="C255" t="s">
        <v>120</v>
      </c>
      <c r="D255">
        <v>1</v>
      </c>
      <c r="E255" t="s">
        <v>61</v>
      </c>
      <c r="F255">
        <v>2</v>
      </c>
      <c r="G255">
        <v>2</v>
      </c>
      <c r="H255" t="s">
        <v>120</v>
      </c>
      <c r="I255">
        <v>3</v>
      </c>
      <c r="J255" t="s">
        <v>36</v>
      </c>
      <c r="K255">
        <v>5985</v>
      </c>
      <c r="L255">
        <v>4</v>
      </c>
      <c r="M255" t="s">
        <v>41</v>
      </c>
      <c r="N255">
        <v>11</v>
      </c>
      <c r="O255">
        <v>3</v>
      </c>
      <c r="P255">
        <v>0</v>
      </c>
      <c r="Q255">
        <v>10</v>
      </c>
      <c r="R255">
        <v>1</v>
      </c>
      <c r="S255">
        <v>2</v>
      </c>
      <c r="T255">
        <v>0</v>
      </c>
      <c r="U255">
        <v>2</v>
      </c>
      <c r="V255" t="s">
        <v>72</v>
      </c>
      <c r="W255" s="2">
        <v>43803</v>
      </c>
      <c r="Y255" t="s">
        <v>69</v>
      </c>
      <c r="Z255" t="s">
        <v>40</v>
      </c>
      <c r="AA255">
        <v>0</v>
      </c>
      <c r="AB255">
        <v>0</v>
      </c>
      <c r="AC255" t="s">
        <v>41</v>
      </c>
      <c r="AD255" t="s">
        <v>42</v>
      </c>
      <c r="AE255" t="s">
        <v>49</v>
      </c>
      <c r="AF255" s="3">
        <v>347</v>
      </c>
      <c r="AG255" s="3">
        <v>82</v>
      </c>
      <c r="AH255">
        <v>80</v>
      </c>
      <c r="AI255">
        <v>2</v>
      </c>
      <c r="AJ255">
        <v>0</v>
      </c>
      <c r="AL255">
        <v>0</v>
      </c>
      <c r="AM255">
        <v>1</v>
      </c>
      <c r="AN255" t="s">
        <v>768</v>
      </c>
      <c r="AO255" t="s">
        <v>41</v>
      </c>
    </row>
    <row r="256" spans="1:41" x14ac:dyDescent="0.25">
      <c r="A256">
        <v>44</v>
      </c>
      <c r="B256" t="s">
        <v>32</v>
      </c>
      <c r="C256" t="s">
        <v>33</v>
      </c>
      <c r="D256">
        <v>3</v>
      </c>
      <c r="E256" t="s">
        <v>34</v>
      </c>
      <c r="F256">
        <v>3</v>
      </c>
      <c r="G256">
        <v>5</v>
      </c>
      <c r="H256" t="s">
        <v>75</v>
      </c>
      <c r="I256">
        <v>4</v>
      </c>
      <c r="J256" t="s">
        <v>51</v>
      </c>
      <c r="K256">
        <v>19513</v>
      </c>
      <c r="L256">
        <v>4</v>
      </c>
      <c r="M256" t="s">
        <v>31</v>
      </c>
      <c r="N256">
        <v>12</v>
      </c>
      <c r="O256">
        <v>3</v>
      </c>
      <c r="P256">
        <v>1</v>
      </c>
      <c r="Q256">
        <v>26</v>
      </c>
      <c r="R256">
        <v>2</v>
      </c>
      <c r="S256">
        <v>2</v>
      </c>
      <c r="T256">
        <v>0</v>
      </c>
      <c r="U256">
        <v>1</v>
      </c>
      <c r="V256" t="s">
        <v>52</v>
      </c>
      <c r="W256" s="2">
        <v>43466</v>
      </c>
      <c r="Y256" t="s">
        <v>69</v>
      </c>
      <c r="Z256" t="s">
        <v>40</v>
      </c>
      <c r="AA256">
        <v>2</v>
      </c>
      <c r="AB256">
        <v>2</v>
      </c>
      <c r="AC256" t="s">
        <v>41</v>
      </c>
      <c r="AD256" t="s">
        <v>48</v>
      </c>
      <c r="AE256" t="s">
        <v>60</v>
      </c>
      <c r="AF256" s="3">
        <v>349</v>
      </c>
      <c r="AG256" s="3">
        <v>45</v>
      </c>
      <c r="AH256">
        <v>80</v>
      </c>
      <c r="AI256">
        <v>2</v>
      </c>
      <c r="AJ256">
        <v>0</v>
      </c>
      <c r="AL256">
        <v>0</v>
      </c>
      <c r="AM256">
        <v>1</v>
      </c>
      <c r="AN256" t="s">
        <v>768</v>
      </c>
      <c r="AO256" t="s">
        <v>41</v>
      </c>
    </row>
    <row r="257" spans="1:41" x14ac:dyDescent="0.25">
      <c r="A257">
        <v>22</v>
      </c>
      <c r="B257" t="s">
        <v>32</v>
      </c>
      <c r="C257" t="s">
        <v>33</v>
      </c>
      <c r="D257">
        <v>6</v>
      </c>
      <c r="E257" t="s">
        <v>34</v>
      </c>
      <c r="F257">
        <v>3</v>
      </c>
      <c r="G257">
        <v>1</v>
      </c>
      <c r="H257" t="s">
        <v>44</v>
      </c>
      <c r="I257">
        <v>3</v>
      </c>
      <c r="J257" t="s">
        <v>51</v>
      </c>
      <c r="K257">
        <v>2773</v>
      </c>
      <c r="L257">
        <v>0</v>
      </c>
      <c r="M257" t="s">
        <v>41</v>
      </c>
      <c r="N257">
        <v>20</v>
      </c>
      <c r="O257">
        <v>4</v>
      </c>
      <c r="P257">
        <v>0</v>
      </c>
      <c r="Q257">
        <v>3</v>
      </c>
      <c r="R257">
        <v>3</v>
      </c>
      <c r="S257">
        <v>2</v>
      </c>
      <c r="T257">
        <v>2</v>
      </c>
      <c r="U257">
        <v>2</v>
      </c>
      <c r="V257" t="s">
        <v>72</v>
      </c>
      <c r="W257" s="1" t="s">
        <v>172</v>
      </c>
      <c r="Y257" t="s">
        <v>54</v>
      </c>
      <c r="Z257" t="s">
        <v>40</v>
      </c>
      <c r="AA257">
        <v>1</v>
      </c>
      <c r="AB257">
        <v>1</v>
      </c>
      <c r="AC257" t="s">
        <v>31</v>
      </c>
      <c r="AD257" t="s">
        <v>67</v>
      </c>
      <c r="AE257" t="s">
        <v>60</v>
      </c>
      <c r="AF257" s="3">
        <v>350</v>
      </c>
      <c r="AG257" s="3">
        <v>62</v>
      </c>
      <c r="AH257">
        <v>80</v>
      </c>
      <c r="AI257">
        <v>2</v>
      </c>
      <c r="AJ257">
        <v>0</v>
      </c>
      <c r="AL257">
        <v>0</v>
      </c>
      <c r="AM257">
        <v>1</v>
      </c>
      <c r="AN257" t="s">
        <v>768</v>
      </c>
      <c r="AO257" t="s">
        <v>41</v>
      </c>
    </row>
    <row r="258" spans="1:41" x14ac:dyDescent="0.25">
      <c r="A258">
        <v>48</v>
      </c>
      <c r="B258" t="s">
        <v>32</v>
      </c>
      <c r="C258" t="s">
        <v>55</v>
      </c>
      <c r="D258">
        <v>2</v>
      </c>
      <c r="E258" t="s">
        <v>34</v>
      </c>
      <c r="F258">
        <v>4</v>
      </c>
      <c r="G258">
        <v>2</v>
      </c>
      <c r="H258" t="s">
        <v>70</v>
      </c>
      <c r="I258">
        <v>2</v>
      </c>
      <c r="J258" t="s">
        <v>51</v>
      </c>
      <c r="K258">
        <v>8120</v>
      </c>
      <c r="L258">
        <v>3</v>
      </c>
      <c r="M258" t="s">
        <v>41</v>
      </c>
      <c r="N258">
        <v>12</v>
      </c>
      <c r="O258">
        <v>3</v>
      </c>
      <c r="P258">
        <v>0</v>
      </c>
      <c r="Q258">
        <v>12</v>
      </c>
      <c r="R258">
        <v>3</v>
      </c>
      <c r="S258">
        <v>2</v>
      </c>
      <c r="T258">
        <v>2</v>
      </c>
      <c r="U258">
        <v>2</v>
      </c>
      <c r="V258" t="s">
        <v>52</v>
      </c>
      <c r="W258" s="1" t="s">
        <v>184</v>
      </c>
      <c r="Y258" t="s">
        <v>39</v>
      </c>
      <c r="Z258" t="s">
        <v>40</v>
      </c>
      <c r="AA258">
        <v>4</v>
      </c>
      <c r="AB258">
        <v>1</v>
      </c>
      <c r="AC258" t="s">
        <v>41</v>
      </c>
      <c r="AD258" t="s">
        <v>67</v>
      </c>
      <c r="AE258" t="s">
        <v>49</v>
      </c>
      <c r="AF258" s="3">
        <v>351</v>
      </c>
      <c r="AG258" s="3">
        <v>56</v>
      </c>
      <c r="AH258">
        <v>80</v>
      </c>
      <c r="AI258">
        <v>6</v>
      </c>
      <c r="AJ258">
        <v>0</v>
      </c>
      <c r="AL258">
        <v>0</v>
      </c>
      <c r="AM258">
        <v>1</v>
      </c>
      <c r="AN258" t="s">
        <v>768</v>
      </c>
      <c r="AO258" t="s">
        <v>41</v>
      </c>
    </row>
    <row r="259" spans="1:41" x14ac:dyDescent="0.25">
      <c r="A259">
        <v>24</v>
      </c>
      <c r="B259" t="s">
        <v>32</v>
      </c>
      <c r="C259" t="s">
        <v>55</v>
      </c>
      <c r="D259">
        <v>3</v>
      </c>
      <c r="E259" t="s">
        <v>61</v>
      </c>
      <c r="F259">
        <v>3</v>
      </c>
      <c r="G259">
        <v>2</v>
      </c>
      <c r="H259" t="s">
        <v>70</v>
      </c>
      <c r="I259">
        <v>3</v>
      </c>
      <c r="J259" t="s">
        <v>36</v>
      </c>
      <c r="K259">
        <v>4577</v>
      </c>
      <c r="L259">
        <v>9</v>
      </c>
      <c r="M259" t="s">
        <v>41</v>
      </c>
      <c r="N259">
        <v>14</v>
      </c>
      <c r="O259">
        <v>3</v>
      </c>
      <c r="P259">
        <v>0</v>
      </c>
      <c r="Q259">
        <v>4</v>
      </c>
      <c r="R259">
        <v>3</v>
      </c>
      <c r="S259">
        <v>2</v>
      </c>
      <c r="T259">
        <v>2</v>
      </c>
      <c r="U259">
        <v>0</v>
      </c>
      <c r="V259" t="s">
        <v>72</v>
      </c>
      <c r="W259" s="2">
        <v>43468</v>
      </c>
      <c r="Y259" t="s">
        <v>39</v>
      </c>
      <c r="Z259" t="s">
        <v>40</v>
      </c>
      <c r="AA259">
        <v>3</v>
      </c>
      <c r="AB259">
        <v>0</v>
      </c>
      <c r="AC259" t="s">
        <v>41</v>
      </c>
      <c r="AD259" t="s">
        <v>42</v>
      </c>
      <c r="AE259" t="s">
        <v>43</v>
      </c>
      <c r="AF259" s="3">
        <v>352</v>
      </c>
      <c r="AG259" s="3">
        <v>49</v>
      </c>
      <c r="AH259">
        <v>80</v>
      </c>
      <c r="AI259">
        <v>7</v>
      </c>
      <c r="AJ259">
        <v>0</v>
      </c>
      <c r="AL259">
        <v>0</v>
      </c>
      <c r="AM259">
        <v>1</v>
      </c>
      <c r="AN259" t="s">
        <v>768</v>
      </c>
      <c r="AO259" t="s">
        <v>41</v>
      </c>
    </row>
    <row r="260" spans="1:41" x14ac:dyDescent="0.25">
      <c r="A260">
        <v>60</v>
      </c>
      <c r="B260" t="s">
        <v>32</v>
      </c>
      <c r="C260" t="s">
        <v>55</v>
      </c>
      <c r="D260">
        <v>16</v>
      </c>
      <c r="E260" t="s">
        <v>34</v>
      </c>
      <c r="F260">
        <v>3</v>
      </c>
      <c r="G260">
        <v>2</v>
      </c>
      <c r="H260" t="s">
        <v>70</v>
      </c>
      <c r="I260">
        <v>1</v>
      </c>
      <c r="J260" t="s">
        <v>36</v>
      </c>
      <c r="K260">
        <v>5405</v>
      </c>
      <c r="L260">
        <v>8</v>
      </c>
      <c r="M260" t="s">
        <v>41</v>
      </c>
      <c r="N260">
        <v>14</v>
      </c>
      <c r="O260">
        <v>3</v>
      </c>
      <c r="P260">
        <v>0</v>
      </c>
      <c r="Q260">
        <v>10</v>
      </c>
      <c r="R260">
        <v>1</v>
      </c>
      <c r="S260">
        <v>2</v>
      </c>
      <c r="T260">
        <v>2</v>
      </c>
      <c r="U260">
        <v>2</v>
      </c>
      <c r="V260" t="s">
        <v>58</v>
      </c>
      <c r="W260" s="2">
        <v>43709</v>
      </c>
      <c r="Y260" t="s">
        <v>46</v>
      </c>
      <c r="Z260" t="s">
        <v>47</v>
      </c>
      <c r="AA260">
        <v>1</v>
      </c>
      <c r="AB260">
        <v>1</v>
      </c>
      <c r="AC260" t="s">
        <v>31</v>
      </c>
      <c r="AD260" t="s">
        <v>65</v>
      </c>
      <c r="AE260" t="s">
        <v>60</v>
      </c>
      <c r="AF260" s="3">
        <v>353</v>
      </c>
      <c r="AG260" s="3">
        <v>96</v>
      </c>
      <c r="AH260">
        <v>80</v>
      </c>
      <c r="AI260">
        <v>0</v>
      </c>
      <c r="AJ260">
        <v>0</v>
      </c>
      <c r="AL260">
        <v>0</v>
      </c>
      <c r="AM260">
        <v>1</v>
      </c>
      <c r="AN260" t="s">
        <v>768</v>
      </c>
      <c r="AO260" t="s">
        <v>41</v>
      </c>
    </row>
    <row r="261" spans="1:41" x14ac:dyDescent="0.25">
      <c r="A261">
        <v>50</v>
      </c>
      <c r="B261" t="s">
        <v>32</v>
      </c>
      <c r="C261" t="s">
        <v>55</v>
      </c>
      <c r="D261">
        <v>8</v>
      </c>
      <c r="E261" t="s">
        <v>34</v>
      </c>
      <c r="F261">
        <v>3</v>
      </c>
      <c r="G261">
        <v>1</v>
      </c>
      <c r="H261" t="s">
        <v>56</v>
      </c>
      <c r="I261">
        <v>2</v>
      </c>
      <c r="J261" t="s">
        <v>51</v>
      </c>
      <c r="K261">
        <v>3875</v>
      </c>
      <c r="L261">
        <v>7</v>
      </c>
      <c r="M261" t="s">
        <v>41</v>
      </c>
      <c r="N261">
        <v>15</v>
      </c>
      <c r="O261">
        <v>3</v>
      </c>
      <c r="P261">
        <v>1</v>
      </c>
      <c r="Q261">
        <v>4</v>
      </c>
      <c r="R261">
        <v>2</v>
      </c>
      <c r="S261">
        <v>2</v>
      </c>
      <c r="T261">
        <v>2</v>
      </c>
      <c r="U261">
        <v>2</v>
      </c>
      <c r="V261" t="s">
        <v>37</v>
      </c>
      <c r="W261" s="1" t="s">
        <v>175</v>
      </c>
      <c r="Y261" t="s">
        <v>69</v>
      </c>
      <c r="Z261" t="s">
        <v>47</v>
      </c>
      <c r="AA261">
        <v>3</v>
      </c>
      <c r="AB261">
        <v>1</v>
      </c>
      <c r="AC261" t="s">
        <v>41</v>
      </c>
      <c r="AD261" t="s">
        <v>65</v>
      </c>
      <c r="AE261" t="s">
        <v>49</v>
      </c>
      <c r="AF261" s="3">
        <v>355</v>
      </c>
      <c r="AG261" s="3">
        <v>71</v>
      </c>
      <c r="AH261">
        <v>80</v>
      </c>
      <c r="AI261">
        <v>4</v>
      </c>
      <c r="AJ261">
        <v>1</v>
      </c>
      <c r="AK261">
        <v>1</v>
      </c>
      <c r="AL261">
        <v>1</v>
      </c>
      <c r="AM261">
        <v>0</v>
      </c>
      <c r="AN261" t="s">
        <v>767</v>
      </c>
      <c r="AO261" t="s">
        <v>31</v>
      </c>
    </row>
    <row r="262" spans="1:41" x14ac:dyDescent="0.25">
      <c r="A262">
        <v>42</v>
      </c>
      <c r="B262" t="s">
        <v>66</v>
      </c>
      <c r="C262" t="s">
        <v>33</v>
      </c>
      <c r="D262">
        <v>19</v>
      </c>
      <c r="E262" t="s">
        <v>34</v>
      </c>
      <c r="F262">
        <v>4</v>
      </c>
      <c r="G262">
        <v>1</v>
      </c>
      <c r="H262" t="s">
        <v>44</v>
      </c>
      <c r="I262">
        <v>3</v>
      </c>
      <c r="J262" t="s">
        <v>57</v>
      </c>
      <c r="K262">
        <v>2759</v>
      </c>
      <c r="L262">
        <v>6</v>
      </c>
      <c r="M262" t="s">
        <v>31</v>
      </c>
      <c r="N262">
        <v>12</v>
      </c>
      <c r="O262">
        <v>3</v>
      </c>
      <c r="P262">
        <v>0</v>
      </c>
      <c r="Q262">
        <v>7</v>
      </c>
      <c r="R262">
        <v>2</v>
      </c>
      <c r="S262">
        <v>2</v>
      </c>
      <c r="T262">
        <v>2</v>
      </c>
      <c r="U262">
        <v>2</v>
      </c>
      <c r="V262" t="s">
        <v>52</v>
      </c>
      <c r="W262" s="2">
        <v>43679</v>
      </c>
      <c r="Y262" t="s">
        <v>69</v>
      </c>
      <c r="Z262" t="s">
        <v>40</v>
      </c>
      <c r="AA262">
        <v>4</v>
      </c>
      <c r="AB262">
        <v>0</v>
      </c>
      <c r="AC262" t="s">
        <v>31</v>
      </c>
      <c r="AD262" t="s">
        <v>65</v>
      </c>
      <c r="AE262" t="s">
        <v>60</v>
      </c>
      <c r="AF262" s="3">
        <v>359</v>
      </c>
      <c r="AG262" s="3">
        <v>100</v>
      </c>
      <c r="AH262">
        <v>80</v>
      </c>
      <c r="AI262">
        <v>1</v>
      </c>
      <c r="AJ262">
        <v>0</v>
      </c>
      <c r="AL262">
        <v>0</v>
      </c>
      <c r="AM262">
        <v>1</v>
      </c>
      <c r="AN262" t="s">
        <v>768</v>
      </c>
      <c r="AO262" t="s">
        <v>41</v>
      </c>
    </row>
    <row r="263" spans="1:41" x14ac:dyDescent="0.25">
      <c r="A263">
        <v>43</v>
      </c>
      <c r="B263" t="s">
        <v>66</v>
      </c>
      <c r="C263" t="s">
        <v>55</v>
      </c>
      <c r="D263">
        <v>15</v>
      </c>
      <c r="E263" t="s">
        <v>34</v>
      </c>
      <c r="F263">
        <v>2</v>
      </c>
      <c r="G263">
        <v>2</v>
      </c>
      <c r="H263" t="s">
        <v>70</v>
      </c>
      <c r="I263">
        <v>4</v>
      </c>
      <c r="J263" t="s">
        <v>51</v>
      </c>
      <c r="K263">
        <v>6804</v>
      </c>
      <c r="L263">
        <v>3</v>
      </c>
      <c r="M263" t="s">
        <v>41</v>
      </c>
      <c r="N263">
        <v>18</v>
      </c>
      <c r="O263">
        <v>3</v>
      </c>
      <c r="P263">
        <v>1</v>
      </c>
      <c r="Q263">
        <v>7</v>
      </c>
      <c r="R263">
        <v>5</v>
      </c>
      <c r="S263">
        <v>2</v>
      </c>
      <c r="T263">
        <v>2</v>
      </c>
      <c r="U263">
        <v>2</v>
      </c>
      <c r="V263" t="s">
        <v>72</v>
      </c>
      <c r="W263" s="2">
        <v>43558</v>
      </c>
      <c r="Y263" t="s">
        <v>39</v>
      </c>
      <c r="Z263" t="s">
        <v>47</v>
      </c>
      <c r="AA263">
        <v>5</v>
      </c>
      <c r="AB263">
        <v>2</v>
      </c>
      <c r="AC263" t="s">
        <v>31</v>
      </c>
      <c r="AD263" t="s">
        <v>67</v>
      </c>
      <c r="AE263" t="s">
        <v>60</v>
      </c>
      <c r="AF263" s="3">
        <v>361</v>
      </c>
      <c r="AG263" s="3">
        <v>39</v>
      </c>
      <c r="AH263">
        <v>80</v>
      </c>
      <c r="AI263">
        <v>7</v>
      </c>
      <c r="AJ263">
        <v>0</v>
      </c>
      <c r="AL263">
        <v>0</v>
      </c>
      <c r="AM263">
        <v>1</v>
      </c>
      <c r="AN263" t="s">
        <v>768</v>
      </c>
      <c r="AO263" t="s">
        <v>41</v>
      </c>
    </row>
    <row r="264" spans="1:41" x14ac:dyDescent="0.25">
      <c r="A264">
        <v>29</v>
      </c>
      <c r="B264" t="s">
        <v>32</v>
      </c>
      <c r="C264" t="s">
        <v>55</v>
      </c>
      <c r="D264">
        <v>10</v>
      </c>
      <c r="E264" t="s">
        <v>34</v>
      </c>
      <c r="F264">
        <v>3</v>
      </c>
      <c r="G264">
        <v>1</v>
      </c>
      <c r="H264" t="s">
        <v>56</v>
      </c>
      <c r="I264">
        <v>2</v>
      </c>
      <c r="J264" t="s">
        <v>57</v>
      </c>
      <c r="K264">
        <v>2297</v>
      </c>
      <c r="L264">
        <v>1</v>
      </c>
      <c r="M264" t="s">
        <v>41</v>
      </c>
      <c r="N264">
        <v>14</v>
      </c>
      <c r="O264">
        <v>3</v>
      </c>
      <c r="P264">
        <v>2</v>
      </c>
      <c r="Q264">
        <v>2</v>
      </c>
      <c r="R264">
        <v>2</v>
      </c>
      <c r="S264">
        <v>2</v>
      </c>
      <c r="T264">
        <v>2</v>
      </c>
      <c r="U264">
        <v>2</v>
      </c>
      <c r="V264" t="s">
        <v>37</v>
      </c>
      <c r="W264" s="1" t="s">
        <v>185</v>
      </c>
      <c r="Y264" t="s">
        <v>69</v>
      </c>
      <c r="Z264" t="s">
        <v>47</v>
      </c>
      <c r="AA264">
        <v>5</v>
      </c>
      <c r="AB264">
        <v>2</v>
      </c>
      <c r="AC264" t="s">
        <v>41</v>
      </c>
      <c r="AD264" t="s">
        <v>67</v>
      </c>
      <c r="AE264" t="s">
        <v>60</v>
      </c>
      <c r="AF264" s="3">
        <v>362</v>
      </c>
      <c r="AG264" s="3">
        <v>84</v>
      </c>
      <c r="AH264">
        <v>80</v>
      </c>
      <c r="AI264">
        <v>2</v>
      </c>
      <c r="AJ264">
        <v>0</v>
      </c>
      <c r="AL264">
        <v>0</v>
      </c>
      <c r="AM264">
        <v>1</v>
      </c>
      <c r="AN264" t="s">
        <v>768</v>
      </c>
      <c r="AO264" t="s">
        <v>41</v>
      </c>
    </row>
    <row r="265" spans="1:41" x14ac:dyDescent="0.25">
      <c r="A265">
        <v>53</v>
      </c>
      <c r="B265" t="s">
        <v>32</v>
      </c>
      <c r="C265" t="s">
        <v>33</v>
      </c>
      <c r="D265">
        <v>6</v>
      </c>
      <c r="E265" t="s">
        <v>34</v>
      </c>
      <c r="F265">
        <v>3</v>
      </c>
      <c r="G265">
        <v>2</v>
      </c>
      <c r="H265" t="s">
        <v>35</v>
      </c>
      <c r="I265">
        <v>4</v>
      </c>
      <c r="J265" t="s">
        <v>36</v>
      </c>
      <c r="K265">
        <v>2450</v>
      </c>
      <c r="L265">
        <v>2</v>
      </c>
      <c r="M265" t="s">
        <v>41</v>
      </c>
      <c r="N265">
        <v>17</v>
      </c>
      <c r="O265">
        <v>3</v>
      </c>
      <c r="P265">
        <v>0</v>
      </c>
      <c r="Q265">
        <v>19</v>
      </c>
      <c r="R265">
        <v>4</v>
      </c>
      <c r="S265">
        <v>2</v>
      </c>
      <c r="T265">
        <v>2</v>
      </c>
      <c r="U265">
        <v>2</v>
      </c>
      <c r="V265" t="s">
        <v>58</v>
      </c>
      <c r="W265" s="1" t="s">
        <v>186</v>
      </c>
      <c r="Y265" t="s">
        <v>54</v>
      </c>
      <c r="Z265" t="s">
        <v>40</v>
      </c>
      <c r="AA265">
        <v>5</v>
      </c>
      <c r="AB265">
        <v>3</v>
      </c>
      <c r="AC265" t="s">
        <v>31</v>
      </c>
      <c r="AD265" t="s">
        <v>67</v>
      </c>
      <c r="AE265" t="s">
        <v>60</v>
      </c>
      <c r="AF265" s="3">
        <v>363</v>
      </c>
      <c r="AG265" s="3">
        <v>75</v>
      </c>
      <c r="AH265">
        <v>80</v>
      </c>
      <c r="AI265">
        <v>7</v>
      </c>
      <c r="AJ265">
        <v>0</v>
      </c>
      <c r="AL265">
        <v>0</v>
      </c>
      <c r="AM265">
        <v>1</v>
      </c>
      <c r="AN265" t="s">
        <v>768</v>
      </c>
      <c r="AO265" t="s">
        <v>41</v>
      </c>
    </row>
    <row r="266" spans="1:41" x14ac:dyDescent="0.25">
      <c r="A266">
        <v>23</v>
      </c>
      <c r="B266" t="s">
        <v>32</v>
      </c>
      <c r="C266" t="s">
        <v>33</v>
      </c>
      <c r="D266">
        <v>10</v>
      </c>
      <c r="E266" t="s">
        <v>34</v>
      </c>
      <c r="F266">
        <v>4</v>
      </c>
      <c r="G266">
        <v>1</v>
      </c>
      <c r="H266" t="s">
        <v>44</v>
      </c>
      <c r="I266">
        <v>3</v>
      </c>
      <c r="J266" t="s">
        <v>36</v>
      </c>
      <c r="K266">
        <v>3505</v>
      </c>
      <c r="L266">
        <v>1</v>
      </c>
      <c r="M266" t="s">
        <v>41</v>
      </c>
      <c r="N266">
        <v>18</v>
      </c>
      <c r="O266">
        <v>3</v>
      </c>
      <c r="P266">
        <v>0</v>
      </c>
      <c r="Q266">
        <v>2</v>
      </c>
      <c r="R266">
        <v>3</v>
      </c>
      <c r="S266">
        <v>2</v>
      </c>
      <c r="T266">
        <v>0</v>
      </c>
      <c r="U266">
        <v>2</v>
      </c>
      <c r="V266" t="s">
        <v>52</v>
      </c>
      <c r="W266" s="1" t="s">
        <v>187</v>
      </c>
      <c r="Y266" t="s">
        <v>63</v>
      </c>
      <c r="Z266" t="s">
        <v>40</v>
      </c>
      <c r="AA266">
        <v>2</v>
      </c>
      <c r="AB266">
        <v>0</v>
      </c>
      <c r="AC266" t="s">
        <v>41</v>
      </c>
      <c r="AD266" t="s">
        <v>48</v>
      </c>
      <c r="AE266" t="s">
        <v>43</v>
      </c>
      <c r="AF266" s="3">
        <v>364</v>
      </c>
      <c r="AG266" s="3">
        <v>79</v>
      </c>
      <c r="AH266">
        <v>80</v>
      </c>
      <c r="AI266">
        <v>0</v>
      </c>
      <c r="AJ266">
        <v>1</v>
      </c>
      <c r="AK266">
        <v>1</v>
      </c>
      <c r="AL266">
        <v>1</v>
      </c>
      <c r="AM266">
        <v>0</v>
      </c>
      <c r="AN266" t="s">
        <v>767</v>
      </c>
      <c r="AO266" t="s">
        <v>31</v>
      </c>
    </row>
    <row r="267" spans="1:41" x14ac:dyDescent="0.25">
      <c r="A267">
        <v>26</v>
      </c>
      <c r="B267" t="s">
        <v>66</v>
      </c>
      <c r="C267" t="s">
        <v>33</v>
      </c>
      <c r="D267">
        <v>1</v>
      </c>
      <c r="E267" t="s">
        <v>61</v>
      </c>
      <c r="F267">
        <v>1</v>
      </c>
      <c r="G267">
        <v>1</v>
      </c>
      <c r="H267" t="s">
        <v>35</v>
      </c>
      <c r="I267">
        <v>4</v>
      </c>
      <c r="J267" t="s">
        <v>57</v>
      </c>
      <c r="K267">
        <v>4364</v>
      </c>
      <c r="L267">
        <v>3</v>
      </c>
      <c r="M267" t="s">
        <v>41</v>
      </c>
      <c r="N267">
        <v>14</v>
      </c>
      <c r="O267">
        <v>3</v>
      </c>
      <c r="P267">
        <v>1</v>
      </c>
      <c r="Q267">
        <v>5</v>
      </c>
      <c r="R267">
        <v>2</v>
      </c>
      <c r="S267">
        <v>2</v>
      </c>
      <c r="T267">
        <v>2</v>
      </c>
      <c r="U267">
        <v>0</v>
      </c>
      <c r="V267" t="s">
        <v>58</v>
      </c>
      <c r="W267" s="1" t="s">
        <v>188</v>
      </c>
      <c r="Y267" t="s">
        <v>54</v>
      </c>
      <c r="Z267" t="s">
        <v>47</v>
      </c>
      <c r="AA267">
        <v>5</v>
      </c>
      <c r="AB267">
        <v>2</v>
      </c>
      <c r="AC267" t="s">
        <v>31</v>
      </c>
      <c r="AD267" t="s">
        <v>65</v>
      </c>
      <c r="AE267" t="s">
        <v>43</v>
      </c>
      <c r="AF267" s="3">
        <v>366</v>
      </c>
      <c r="AG267" s="3">
        <v>78</v>
      </c>
      <c r="AH267">
        <v>80</v>
      </c>
      <c r="AI267">
        <v>0</v>
      </c>
      <c r="AJ267">
        <v>0</v>
      </c>
      <c r="AL267">
        <v>0</v>
      </c>
      <c r="AM267">
        <v>1</v>
      </c>
      <c r="AN267" t="s">
        <v>768</v>
      </c>
      <c r="AO267" t="s">
        <v>41</v>
      </c>
    </row>
    <row r="268" spans="1:41" x14ac:dyDescent="0.25">
      <c r="A268">
        <v>30</v>
      </c>
      <c r="B268" t="s">
        <v>32</v>
      </c>
      <c r="C268" t="s">
        <v>33</v>
      </c>
      <c r="D268">
        <v>1</v>
      </c>
      <c r="E268" t="s">
        <v>34</v>
      </c>
      <c r="F268">
        <v>1</v>
      </c>
      <c r="G268">
        <v>1</v>
      </c>
      <c r="H268" t="s">
        <v>35</v>
      </c>
      <c r="I268">
        <v>3</v>
      </c>
      <c r="J268" t="s">
        <v>51</v>
      </c>
      <c r="K268">
        <v>3833</v>
      </c>
      <c r="L268">
        <v>3</v>
      </c>
      <c r="M268" t="s">
        <v>41</v>
      </c>
      <c r="N268">
        <v>21</v>
      </c>
      <c r="O268">
        <v>4</v>
      </c>
      <c r="P268">
        <v>2</v>
      </c>
      <c r="Q268">
        <v>7</v>
      </c>
      <c r="R268">
        <v>2</v>
      </c>
      <c r="S268">
        <v>2</v>
      </c>
      <c r="T268">
        <v>0</v>
      </c>
      <c r="U268">
        <v>2</v>
      </c>
      <c r="V268" t="s">
        <v>72</v>
      </c>
      <c r="W268" s="1" t="s">
        <v>189</v>
      </c>
      <c r="Y268" t="s">
        <v>69</v>
      </c>
      <c r="Z268" t="s">
        <v>40</v>
      </c>
      <c r="AA268">
        <v>0</v>
      </c>
      <c r="AB268">
        <v>2</v>
      </c>
      <c r="AC268" t="s">
        <v>31</v>
      </c>
      <c r="AD268" t="s">
        <v>48</v>
      </c>
      <c r="AE268" t="s">
        <v>60</v>
      </c>
      <c r="AF268" s="3">
        <v>367</v>
      </c>
      <c r="AG268" s="3">
        <v>64</v>
      </c>
      <c r="AH268">
        <v>80</v>
      </c>
      <c r="AI268">
        <v>0</v>
      </c>
      <c r="AJ268">
        <v>0</v>
      </c>
      <c r="AL268">
        <v>0</v>
      </c>
      <c r="AM268">
        <v>1</v>
      </c>
      <c r="AN268" t="s">
        <v>768</v>
      </c>
      <c r="AO268" t="s">
        <v>41</v>
      </c>
    </row>
    <row r="269" spans="1:41" x14ac:dyDescent="0.25">
      <c r="A269">
        <v>35</v>
      </c>
      <c r="B269" t="s">
        <v>32</v>
      </c>
      <c r="C269" t="s">
        <v>33</v>
      </c>
      <c r="D269">
        <v>1</v>
      </c>
      <c r="E269" t="s">
        <v>61</v>
      </c>
      <c r="F269">
        <v>4</v>
      </c>
      <c r="G269">
        <v>1</v>
      </c>
      <c r="H269" t="s">
        <v>44</v>
      </c>
      <c r="I269">
        <v>3</v>
      </c>
      <c r="J269" t="s">
        <v>36</v>
      </c>
      <c r="K269">
        <v>2506</v>
      </c>
      <c r="L269">
        <v>3</v>
      </c>
      <c r="M269" t="s">
        <v>41</v>
      </c>
      <c r="N269">
        <v>13</v>
      </c>
      <c r="O269">
        <v>3</v>
      </c>
      <c r="P269">
        <v>0</v>
      </c>
      <c r="Q269">
        <v>7</v>
      </c>
      <c r="R269">
        <v>0</v>
      </c>
      <c r="S269">
        <v>2</v>
      </c>
      <c r="T269">
        <v>2</v>
      </c>
      <c r="U269">
        <v>2</v>
      </c>
      <c r="V269" t="s">
        <v>58</v>
      </c>
      <c r="W269" s="2">
        <v>43800</v>
      </c>
      <c r="Y269" t="s">
        <v>46</v>
      </c>
      <c r="Z269" t="s">
        <v>40</v>
      </c>
      <c r="AA269">
        <v>3</v>
      </c>
      <c r="AB269">
        <v>3</v>
      </c>
      <c r="AC269" t="s">
        <v>31</v>
      </c>
      <c r="AD269" t="s">
        <v>48</v>
      </c>
      <c r="AE269" t="s">
        <v>49</v>
      </c>
      <c r="AF269" s="3">
        <v>369</v>
      </c>
      <c r="AG269" s="3">
        <v>85</v>
      </c>
      <c r="AH269">
        <v>80</v>
      </c>
      <c r="AI269">
        <v>3</v>
      </c>
      <c r="AJ269">
        <v>0</v>
      </c>
      <c r="AL269">
        <v>0</v>
      </c>
      <c r="AM269">
        <v>1</v>
      </c>
      <c r="AN269" t="s">
        <v>768</v>
      </c>
      <c r="AO269" t="s">
        <v>41</v>
      </c>
    </row>
    <row r="270" spans="1:41" x14ac:dyDescent="0.25">
      <c r="A270">
        <v>28</v>
      </c>
      <c r="B270" t="s">
        <v>32</v>
      </c>
      <c r="C270" t="s">
        <v>33</v>
      </c>
      <c r="D270">
        <v>2</v>
      </c>
      <c r="E270" t="s">
        <v>34</v>
      </c>
      <c r="F270">
        <v>3</v>
      </c>
      <c r="G270">
        <v>1</v>
      </c>
      <c r="H270" t="s">
        <v>44</v>
      </c>
      <c r="I270">
        <v>3</v>
      </c>
      <c r="J270" t="s">
        <v>36</v>
      </c>
      <c r="K270">
        <v>4382</v>
      </c>
      <c r="L270">
        <v>6</v>
      </c>
      <c r="M270" t="s">
        <v>41</v>
      </c>
      <c r="N270">
        <v>17</v>
      </c>
      <c r="O270">
        <v>3</v>
      </c>
      <c r="P270">
        <v>0</v>
      </c>
      <c r="Q270">
        <v>5</v>
      </c>
      <c r="R270">
        <v>3</v>
      </c>
      <c r="S270">
        <v>2</v>
      </c>
      <c r="T270">
        <v>2</v>
      </c>
      <c r="U270">
        <v>1</v>
      </c>
      <c r="V270" t="s">
        <v>58</v>
      </c>
      <c r="W270" s="1" t="s">
        <v>190</v>
      </c>
      <c r="Y270" t="s">
        <v>63</v>
      </c>
      <c r="Z270" t="s">
        <v>47</v>
      </c>
      <c r="AA270">
        <v>0</v>
      </c>
      <c r="AB270">
        <v>2</v>
      </c>
      <c r="AC270" t="s">
        <v>41</v>
      </c>
      <c r="AD270" t="s">
        <v>67</v>
      </c>
      <c r="AE270" t="s">
        <v>43</v>
      </c>
      <c r="AF270" s="3">
        <v>372</v>
      </c>
      <c r="AG270" s="3">
        <v>79</v>
      </c>
      <c r="AH270">
        <v>80</v>
      </c>
      <c r="AI270">
        <v>7</v>
      </c>
      <c r="AJ270">
        <v>0</v>
      </c>
      <c r="AL270">
        <v>0</v>
      </c>
      <c r="AM270">
        <v>1</v>
      </c>
      <c r="AN270" t="s">
        <v>768</v>
      </c>
      <c r="AO270" t="s">
        <v>41</v>
      </c>
    </row>
    <row r="271" spans="1:41" x14ac:dyDescent="0.25">
      <c r="A271">
        <v>22</v>
      </c>
      <c r="B271" t="s">
        <v>32</v>
      </c>
      <c r="C271" t="s">
        <v>33</v>
      </c>
      <c r="D271">
        <v>1</v>
      </c>
      <c r="E271" t="s">
        <v>34</v>
      </c>
      <c r="F271">
        <v>2</v>
      </c>
      <c r="G271">
        <v>2</v>
      </c>
      <c r="H271" t="s">
        <v>78</v>
      </c>
      <c r="I271">
        <v>4</v>
      </c>
      <c r="J271" t="s">
        <v>51</v>
      </c>
      <c r="K271">
        <v>4775</v>
      </c>
      <c r="L271">
        <v>6</v>
      </c>
      <c r="M271" t="s">
        <v>41</v>
      </c>
      <c r="N271">
        <v>22</v>
      </c>
      <c r="O271">
        <v>4</v>
      </c>
      <c r="P271">
        <v>2</v>
      </c>
      <c r="Q271">
        <v>4</v>
      </c>
      <c r="R271">
        <v>2</v>
      </c>
      <c r="S271">
        <v>2</v>
      </c>
      <c r="T271">
        <v>2</v>
      </c>
      <c r="U271">
        <v>2</v>
      </c>
      <c r="V271" t="s">
        <v>37</v>
      </c>
      <c r="W271" s="1" t="s">
        <v>191</v>
      </c>
      <c r="Y271" t="s">
        <v>63</v>
      </c>
      <c r="Z271" t="s">
        <v>40</v>
      </c>
      <c r="AA271">
        <v>3</v>
      </c>
      <c r="AB271">
        <v>2</v>
      </c>
      <c r="AC271" t="s">
        <v>31</v>
      </c>
      <c r="AD271" t="s">
        <v>65</v>
      </c>
      <c r="AE271" t="s">
        <v>43</v>
      </c>
      <c r="AF271" s="3">
        <v>373</v>
      </c>
      <c r="AG271" s="3">
        <v>47</v>
      </c>
      <c r="AH271">
        <v>80</v>
      </c>
      <c r="AI271">
        <v>13</v>
      </c>
      <c r="AJ271">
        <v>0</v>
      </c>
      <c r="AL271">
        <v>0</v>
      </c>
      <c r="AM271">
        <v>1</v>
      </c>
      <c r="AN271" t="s">
        <v>768</v>
      </c>
      <c r="AO271" t="s">
        <v>41</v>
      </c>
    </row>
    <row r="272" spans="1:41" x14ac:dyDescent="0.25">
      <c r="A272">
        <v>42</v>
      </c>
      <c r="B272" t="s">
        <v>66</v>
      </c>
      <c r="C272" t="s">
        <v>33</v>
      </c>
      <c r="D272">
        <v>2</v>
      </c>
      <c r="E272" t="s">
        <v>34</v>
      </c>
      <c r="F272">
        <v>3</v>
      </c>
      <c r="G272">
        <v>1</v>
      </c>
      <c r="H272" t="s">
        <v>44</v>
      </c>
      <c r="I272">
        <v>4</v>
      </c>
      <c r="J272" t="s">
        <v>36</v>
      </c>
      <c r="K272">
        <v>2515</v>
      </c>
      <c r="L272">
        <v>5</v>
      </c>
      <c r="M272" t="s">
        <v>31</v>
      </c>
      <c r="N272">
        <v>14</v>
      </c>
      <c r="O272">
        <v>3</v>
      </c>
      <c r="P272">
        <v>0</v>
      </c>
      <c r="Q272">
        <v>8</v>
      </c>
      <c r="R272">
        <v>2</v>
      </c>
      <c r="S272">
        <v>2</v>
      </c>
      <c r="T272">
        <v>2</v>
      </c>
      <c r="U272">
        <v>2</v>
      </c>
      <c r="V272" t="s">
        <v>72</v>
      </c>
      <c r="W272" s="2">
        <v>43800</v>
      </c>
      <c r="Y272" t="s">
        <v>39</v>
      </c>
      <c r="Z272" t="s">
        <v>47</v>
      </c>
      <c r="AA272">
        <v>1</v>
      </c>
      <c r="AB272">
        <v>3</v>
      </c>
      <c r="AC272" t="s">
        <v>41</v>
      </c>
      <c r="AD272" t="s">
        <v>48</v>
      </c>
      <c r="AE272" t="s">
        <v>43</v>
      </c>
      <c r="AF272" s="3">
        <v>374</v>
      </c>
      <c r="AG272" s="3">
        <v>81</v>
      </c>
      <c r="AH272">
        <v>80</v>
      </c>
      <c r="AI272">
        <v>10</v>
      </c>
      <c r="AJ272">
        <v>0</v>
      </c>
      <c r="AL272">
        <v>0</v>
      </c>
      <c r="AM272">
        <v>1</v>
      </c>
      <c r="AN272" t="s">
        <v>768</v>
      </c>
      <c r="AO272" t="s">
        <v>41</v>
      </c>
    </row>
    <row r="273" spans="1:41" x14ac:dyDescent="0.25">
      <c r="A273">
        <v>38</v>
      </c>
      <c r="B273" t="s">
        <v>32</v>
      </c>
      <c r="C273" t="s">
        <v>55</v>
      </c>
      <c r="D273">
        <v>9</v>
      </c>
      <c r="E273" t="s">
        <v>34</v>
      </c>
      <c r="F273">
        <v>2</v>
      </c>
      <c r="G273">
        <v>1</v>
      </c>
      <c r="H273" t="s">
        <v>56</v>
      </c>
      <c r="I273">
        <v>2</v>
      </c>
      <c r="J273" t="s">
        <v>51</v>
      </c>
      <c r="K273">
        <v>2899</v>
      </c>
      <c r="L273">
        <v>0</v>
      </c>
      <c r="M273" t="s">
        <v>41</v>
      </c>
      <c r="N273">
        <v>19</v>
      </c>
      <c r="O273">
        <v>3</v>
      </c>
      <c r="P273">
        <v>1</v>
      </c>
      <c r="Q273">
        <v>3</v>
      </c>
      <c r="R273">
        <v>3</v>
      </c>
      <c r="S273">
        <v>2</v>
      </c>
      <c r="T273">
        <v>1</v>
      </c>
      <c r="U273">
        <v>2</v>
      </c>
      <c r="V273" t="s">
        <v>37</v>
      </c>
      <c r="W273" s="1" t="s">
        <v>192</v>
      </c>
      <c r="Y273" t="s">
        <v>46</v>
      </c>
      <c r="Z273" t="s">
        <v>47</v>
      </c>
      <c r="AA273">
        <v>4</v>
      </c>
      <c r="AB273">
        <v>0</v>
      </c>
      <c r="AC273" t="s">
        <v>31</v>
      </c>
      <c r="AD273" t="s">
        <v>67</v>
      </c>
      <c r="AE273" t="s">
        <v>49</v>
      </c>
      <c r="AF273" s="3">
        <v>376</v>
      </c>
      <c r="AG273" s="3">
        <v>88</v>
      </c>
      <c r="AH273">
        <v>80</v>
      </c>
      <c r="AI273">
        <v>7</v>
      </c>
      <c r="AJ273">
        <v>1</v>
      </c>
      <c r="AK273">
        <v>1</v>
      </c>
      <c r="AL273">
        <v>1</v>
      </c>
      <c r="AM273">
        <v>0</v>
      </c>
      <c r="AN273" t="s">
        <v>767</v>
      </c>
      <c r="AO273" t="s">
        <v>31</v>
      </c>
    </row>
    <row r="274" spans="1:41" x14ac:dyDescent="0.25">
      <c r="A274">
        <v>53</v>
      </c>
      <c r="B274" t="s">
        <v>32</v>
      </c>
      <c r="C274" t="s">
        <v>55</v>
      </c>
      <c r="D274">
        <v>8</v>
      </c>
      <c r="E274" t="s">
        <v>34</v>
      </c>
      <c r="F274">
        <v>3</v>
      </c>
      <c r="G274">
        <v>4</v>
      </c>
      <c r="H274" t="s">
        <v>70</v>
      </c>
      <c r="I274">
        <v>4</v>
      </c>
      <c r="J274" t="s">
        <v>51</v>
      </c>
      <c r="K274">
        <v>11836</v>
      </c>
      <c r="L274">
        <v>5</v>
      </c>
      <c r="M274" t="s">
        <v>41</v>
      </c>
      <c r="N274">
        <v>14</v>
      </c>
      <c r="O274">
        <v>3</v>
      </c>
      <c r="P274">
        <v>1</v>
      </c>
      <c r="Q274">
        <v>28</v>
      </c>
      <c r="R274">
        <v>3</v>
      </c>
      <c r="S274">
        <v>2</v>
      </c>
      <c r="T274">
        <v>2</v>
      </c>
      <c r="U274">
        <v>2</v>
      </c>
      <c r="V274" t="s">
        <v>37</v>
      </c>
      <c r="W274" s="2">
        <v>43527</v>
      </c>
      <c r="Y274" t="s">
        <v>69</v>
      </c>
      <c r="Z274" t="s">
        <v>47</v>
      </c>
      <c r="AA274">
        <v>3</v>
      </c>
      <c r="AB274">
        <v>0</v>
      </c>
      <c r="AC274" t="s">
        <v>31</v>
      </c>
      <c r="AD274" t="s">
        <v>48</v>
      </c>
      <c r="AE274" t="s">
        <v>60</v>
      </c>
      <c r="AF274" s="3">
        <v>377</v>
      </c>
      <c r="AG274" s="3">
        <v>94</v>
      </c>
      <c r="AH274">
        <v>80</v>
      </c>
      <c r="AI274">
        <v>2</v>
      </c>
      <c r="AJ274">
        <v>0</v>
      </c>
      <c r="AL274">
        <v>0</v>
      </c>
      <c r="AM274">
        <v>1</v>
      </c>
      <c r="AN274" t="s">
        <v>768</v>
      </c>
      <c r="AO274" t="s">
        <v>41</v>
      </c>
    </row>
    <row r="275" spans="1:41" x14ac:dyDescent="0.25">
      <c r="A275">
        <v>20</v>
      </c>
      <c r="B275" t="s">
        <v>32</v>
      </c>
      <c r="C275" t="s">
        <v>55</v>
      </c>
      <c r="D275">
        <v>2</v>
      </c>
      <c r="E275" t="s">
        <v>61</v>
      </c>
      <c r="F275">
        <v>2</v>
      </c>
      <c r="G275">
        <v>1</v>
      </c>
      <c r="H275" t="s">
        <v>56</v>
      </c>
      <c r="I275">
        <v>3</v>
      </c>
      <c r="J275" t="s">
        <v>36</v>
      </c>
      <c r="K275">
        <v>2044</v>
      </c>
      <c r="L275">
        <v>1</v>
      </c>
      <c r="M275" t="s">
        <v>41</v>
      </c>
      <c r="N275">
        <v>13</v>
      </c>
      <c r="O275">
        <v>3</v>
      </c>
      <c r="P275">
        <v>0</v>
      </c>
      <c r="Q275">
        <v>2</v>
      </c>
      <c r="R275">
        <v>3</v>
      </c>
      <c r="S275">
        <v>2</v>
      </c>
      <c r="T275">
        <v>0</v>
      </c>
      <c r="U275">
        <v>2</v>
      </c>
      <c r="V275" t="s">
        <v>72</v>
      </c>
      <c r="W275" s="1" t="s">
        <v>193</v>
      </c>
      <c r="Y275" t="s">
        <v>39</v>
      </c>
      <c r="Z275" t="s">
        <v>47</v>
      </c>
      <c r="AA275">
        <v>5</v>
      </c>
      <c r="AB275">
        <v>3</v>
      </c>
      <c r="AC275" t="s">
        <v>31</v>
      </c>
      <c r="AD275" t="s">
        <v>67</v>
      </c>
      <c r="AE275" t="s">
        <v>60</v>
      </c>
      <c r="AF275" s="3">
        <v>378</v>
      </c>
      <c r="AG275" s="3">
        <v>98</v>
      </c>
      <c r="AH275">
        <v>80</v>
      </c>
      <c r="AI275">
        <v>4</v>
      </c>
      <c r="AJ275">
        <v>0</v>
      </c>
      <c r="AL275">
        <v>0</v>
      </c>
      <c r="AM275">
        <v>1</v>
      </c>
      <c r="AN275" t="s">
        <v>768</v>
      </c>
      <c r="AO275" t="s">
        <v>41</v>
      </c>
    </row>
    <row r="276" spans="1:41" x14ac:dyDescent="0.25">
      <c r="A276">
        <v>28</v>
      </c>
      <c r="B276" t="s">
        <v>32</v>
      </c>
      <c r="C276" t="s">
        <v>33</v>
      </c>
      <c r="D276">
        <v>9</v>
      </c>
      <c r="E276" t="s">
        <v>61</v>
      </c>
      <c r="F276">
        <v>3</v>
      </c>
      <c r="G276">
        <v>1</v>
      </c>
      <c r="H276" t="s">
        <v>44</v>
      </c>
      <c r="I276">
        <v>3</v>
      </c>
      <c r="J276" t="s">
        <v>57</v>
      </c>
      <c r="K276">
        <v>2377</v>
      </c>
      <c r="L276">
        <v>5</v>
      </c>
      <c r="M276" t="s">
        <v>41</v>
      </c>
      <c r="N276">
        <v>18</v>
      </c>
      <c r="O276">
        <v>3</v>
      </c>
      <c r="P276">
        <v>1</v>
      </c>
      <c r="Q276">
        <v>6</v>
      </c>
      <c r="R276">
        <v>2</v>
      </c>
      <c r="S276">
        <v>2</v>
      </c>
      <c r="T276">
        <v>2</v>
      </c>
      <c r="U276">
        <v>2</v>
      </c>
      <c r="V276" t="s">
        <v>37</v>
      </c>
      <c r="W276" s="1" t="s">
        <v>194</v>
      </c>
      <c r="Y276" t="s">
        <v>54</v>
      </c>
      <c r="Z276" t="s">
        <v>47</v>
      </c>
      <c r="AA276">
        <v>1</v>
      </c>
      <c r="AB276">
        <v>0</v>
      </c>
      <c r="AC276" t="s">
        <v>41</v>
      </c>
      <c r="AD276" t="s">
        <v>67</v>
      </c>
      <c r="AE276" t="s">
        <v>60</v>
      </c>
      <c r="AF276" s="3">
        <v>379</v>
      </c>
      <c r="AG276" s="3">
        <v>100</v>
      </c>
      <c r="AH276">
        <v>80</v>
      </c>
      <c r="AI276">
        <v>2</v>
      </c>
      <c r="AJ276">
        <v>0</v>
      </c>
      <c r="AL276">
        <v>0</v>
      </c>
      <c r="AM276">
        <v>1</v>
      </c>
      <c r="AN276" t="s">
        <v>768</v>
      </c>
      <c r="AO276" t="s">
        <v>41</v>
      </c>
    </row>
    <row r="277" spans="1:41" x14ac:dyDescent="0.25">
      <c r="A277">
        <v>39</v>
      </c>
      <c r="B277" t="s">
        <v>32</v>
      </c>
      <c r="C277" t="s">
        <v>33</v>
      </c>
      <c r="D277">
        <v>6</v>
      </c>
      <c r="E277" t="s">
        <v>34</v>
      </c>
      <c r="F277">
        <v>3</v>
      </c>
      <c r="G277">
        <v>1</v>
      </c>
      <c r="H277" t="s">
        <v>35</v>
      </c>
      <c r="I277">
        <v>1</v>
      </c>
      <c r="J277" t="s">
        <v>51</v>
      </c>
      <c r="K277">
        <v>2404</v>
      </c>
      <c r="L277">
        <v>7</v>
      </c>
      <c r="M277" t="s">
        <v>31</v>
      </c>
      <c r="N277">
        <v>21</v>
      </c>
      <c r="O277">
        <v>4</v>
      </c>
      <c r="P277">
        <v>0</v>
      </c>
      <c r="Q277">
        <v>8</v>
      </c>
      <c r="R277">
        <v>2</v>
      </c>
      <c r="S277">
        <v>2</v>
      </c>
      <c r="T277">
        <v>2</v>
      </c>
      <c r="U277">
        <v>2</v>
      </c>
      <c r="V277" t="s">
        <v>52</v>
      </c>
      <c r="W277" s="1" t="s">
        <v>195</v>
      </c>
      <c r="Y277" t="s">
        <v>39</v>
      </c>
      <c r="Z277" t="s">
        <v>47</v>
      </c>
      <c r="AA277">
        <v>0</v>
      </c>
      <c r="AB277">
        <v>3</v>
      </c>
      <c r="AC277" t="s">
        <v>31</v>
      </c>
      <c r="AD277" t="s">
        <v>67</v>
      </c>
      <c r="AE277" t="s">
        <v>60</v>
      </c>
      <c r="AF277" s="3">
        <v>380</v>
      </c>
      <c r="AG277" s="3">
        <v>80</v>
      </c>
      <c r="AH277">
        <v>80</v>
      </c>
      <c r="AI277">
        <v>2</v>
      </c>
      <c r="AJ277">
        <v>0</v>
      </c>
      <c r="AL277">
        <v>0</v>
      </c>
      <c r="AM277">
        <v>1</v>
      </c>
      <c r="AN277" t="s">
        <v>768</v>
      </c>
      <c r="AO277" t="s">
        <v>41</v>
      </c>
    </row>
    <row r="278" spans="1:41" x14ac:dyDescent="0.25">
      <c r="A278">
        <v>27</v>
      </c>
      <c r="B278" t="s">
        <v>32</v>
      </c>
      <c r="C278" t="s">
        <v>33</v>
      </c>
      <c r="D278">
        <v>16</v>
      </c>
      <c r="E278" t="s">
        <v>61</v>
      </c>
      <c r="F278">
        <v>3</v>
      </c>
      <c r="G278">
        <v>1</v>
      </c>
      <c r="H278" t="s">
        <v>35</v>
      </c>
      <c r="I278">
        <v>2</v>
      </c>
      <c r="J278" t="s">
        <v>51</v>
      </c>
      <c r="K278">
        <v>2811</v>
      </c>
      <c r="L278">
        <v>9</v>
      </c>
      <c r="M278" t="s">
        <v>41</v>
      </c>
      <c r="N278">
        <v>14</v>
      </c>
      <c r="O278">
        <v>3</v>
      </c>
      <c r="P278">
        <v>1</v>
      </c>
      <c r="Q278">
        <v>4</v>
      </c>
      <c r="R278">
        <v>2</v>
      </c>
      <c r="S278">
        <v>2</v>
      </c>
      <c r="T278">
        <v>2</v>
      </c>
      <c r="U278">
        <v>2</v>
      </c>
      <c r="V278" t="s">
        <v>37</v>
      </c>
      <c r="W278" s="1" t="s">
        <v>196</v>
      </c>
      <c r="Y278" t="s">
        <v>69</v>
      </c>
      <c r="Z278" t="s">
        <v>47</v>
      </c>
      <c r="AA278">
        <v>5</v>
      </c>
      <c r="AB278">
        <v>2</v>
      </c>
      <c r="AC278" t="s">
        <v>31</v>
      </c>
      <c r="AD278" t="s">
        <v>65</v>
      </c>
      <c r="AE278" t="s">
        <v>49</v>
      </c>
      <c r="AF278" s="3">
        <v>381</v>
      </c>
      <c r="AG278" s="3">
        <v>71</v>
      </c>
      <c r="AH278">
        <v>80</v>
      </c>
      <c r="AI278">
        <v>7</v>
      </c>
      <c r="AJ278">
        <v>0</v>
      </c>
      <c r="AL278">
        <v>0</v>
      </c>
      <c r="AM278">
        <v>1</v>
      </c>
      <c r="AN278" t="s">
        <v>768</v>
      </c>
      <c r="AO278" t="s">
        <v>41</v>
      </c>
    </row>
    <row r="279" spans="1:41" x14ac:dyDescent="0.25">
      <c r="A279">
        <v>38</v>
      </c>
      <c r="B279" t="s">
        <v>66</v>
      </c>
      <c r="C279" t="s">
        <v>33</v>
      </c>
      <c r="D279">
        <v>10</v>
      </c>
      <c r="E279" t="s">
        <v>34</v>
      </c>
      <c r="F279">
        <v>3</v>
      </c>
      <c r="G279">
        <v>1</v>
      </c>
      <c r="H279" t="s">
        <v>44</v>
      </c>
      <c r="I279">
        <v>3</v>
      </c>
      <c r="J279" t="s">
        <v>51</v>
      </c>
      <c r="K279">
        <v>2684</v>
      </c>
      <c r="L279">
        <v>0</v>
      </c>
      <c r="M279" t="s">
        <v>41</v>
      </c>
      <c r="N279">
        <v>17</v>
      </c>
      <c r="O279">
        <v>3</v>
      </c>
      <c r="P279">
        <v>1</v>
      </c>
      <c r="Q279">
        <v>3</v>
      </c>
      <c r="R279">
        <v>0</v>
      </c>
      <c r="S279">
        <v>2</v>
      </c>
      <c r="T279">
        <v>0</v>
      </c>
      <c r="U279">
        <v>2</v>
      </c>
      <c r="V279" t="s">
        <v>58</v>
      </c>
      <c r="W279" s="2">
        <v>43499</v>
      </c>
      <c r="Y279" t="s">
        <v>39</v>
      </c>
      <c r="Z279" t="s">
        <v>47</v>
      </c>
      <c r="AA279">
        <v>3</v>
      </c>
      <c r="AB279">
        <v>1</v>
      </c>
      <c r="AC279" t="s">
        <v>41</v>
      </c>
      <c r="AD279" t="s">
        <v>65</v>
      </c>
      <c r="AE279" t="s">
        <v>49</v>
      </c>
      <c r="AF279" s="3">
        <v>382</v>
      </c>
      <c r="AG279" s="3">
        <v>44</v>
      </c>
      <c r="AH279">
        <v>80</v>
      </c>
      <c r="AI279">
        <v>0</v>
      </c>
      <c r="AJ279">
        <v>0</v>
      </c>
      <c r="AL279">
        <v>0</v>
      </c>
      <c r="AM279">
        <v>1</v>
      </c>
      <c r="AN279" t="s">
        <v>768</v>
      </c>
      <c r="AO279" t="s">
        <v>41</v>
      </c>
    </row>
    <row r="280" spans="1:41" x14ac:dyDescent="0.25">
      <c r="A280">
        <v>48</v>
      </c>
      <c r="B280" t="s">
        <v>32</v>
      </c>
      <c r="C280" t="s">
        <v>33</v>
      </c>
      <c r="D280">
        <v>6</v>
      </c>
      <c r="E280" t="s">
        <v>34</v>
      </c>
      <c r="F280">
        <v>2</v>
      </c>
      <c r="G280">
        <v>2</v>
      </c>
      <c r="H280" t="s">
        <v>89</v>
      </c>
      <c r="I280">
        <v>3</v>
      </c>
      <c r="J280" t="s">
        <v>36</v>
      </c>
      <c r="K280">
        <v>4240</v>
      </c>
      <c r="L280">
        <v>2</v>
      </c>
      <c r="M280" t="s">
        <v>41</v>
      </c>
      <c r="N280">
        <v>13</v>
      </c>
      <c r="O280">
        <v>3</v>
      </c>
      <c r="P280">
        <v>0</v>
      </c>
      <c r="Q280">
        <v>19</v>
      </c>
      <c r="R280">
        <v>0</v>
      </c>
      <c r="S280">
        <v>2</v>
      </c>
      <c r="T280">
        <v>2</v>
      </c>
      <c r="U280">
        <v>2</v>
      </c>
      <c r="V280" t="s">
        <v>72</v>
      </c>
      <c r="W280" s="1" t="s">
        <v>197</v>
      </c>
      <c r="Y280" t="s">
        <v>39</v>
      </c>
      <c r="Z280" t="s">
        <v>47</v>
      </c>
      <c r="AA280">
        <v>2</v>
      </c>
      <c r="AB280">
        <v>3</v>
      </c>
      <c r="AC280" t="s">
        <v>41</v>
      </c>
      <c r="AD280" t="s">
        <v>67</v>
      </c>
      <c r="AE280" t="s">
        <v>60</v>
      </c>
      <c r="AF280" s="3">
        <v>384</v>
      </c>
      <c r="AG280" s="3">
        <v>84</v>
      </c>
      <c r="AH280">
        <v>80</v>
      </c>
      <c r="AI280">
        <v>5</v>
      </c>
      <c r="AJ280">
        <v>0</v>
      </c>
      <c r="AL280">
        <v>0</v>
      </c>
      <c r="AM280">
        <v>1</v>
      </c>
      <c r="AN280" t="s">
        <v>768</v>
      </c>
      <c r="AO280" t="s">
        <v>41</v>
      </c>
    </row>
    <row r="281" spans="1:41" x14ac:dyDescent="0.25">
      <c r="A281">
        <v>41</v>
      </c>
      <c r="B281" t="s">
        <v>32</v>
      </c>
      <c r="C281" t="s">
        <v>33</v>
      </c>
      <c r="D281">
        <v>7</v>
      </c>
      <c r="E281" t="s">
        <v>61</v>
      </c>
      <c r="F281">
        <v>3</v>
      </c>
      <c r="G281">
        <v>2</v>
      </c>
      <c r="H281" t="s">
        <v>78</v>
      </c>
      <c r="I281">
        <v>3</v>
      </c>
      <c r="J281" t="s">
        <v>36</v>
      </c>
      <c r="K281">
        <v>5003</v>
      </c>
      <c r="L281">
        <v>6</v>
      </c>
      <c r="M281" t="s">
        <v>41</v>
      </c>
      <c r="N281">
        <v>14</v>
      </c>
      <c r="O281">
        <v>3</v>
      </c>
      <c r="P281">
        <v>0</v>
      </c>
      <c r="Q281">
        <v>8</v>
      </c>
      <c r="R281">
        <v>6</v>
      </c>
      <c r="S281">
        <v>2</v>
      </c>
      <c r="T281">
        <v>2</v>
      </c>
      <c r="U281">
        <v>1</v>
      </c>
      <c r="V281" t="s">
        <v>37</v>
      </c>
      <c r="W281" s="2">
        <v>43712</v>
      </c>
      <c r="Y281" t="s">
        <v>54</v>
      </c>
      <c r="Z281" t="s">
        <v>47</v>
      </c>
      <c r="AA281">
        <v>4</v>
      </c>
      <c r="AB281">
        <v>2</v>
      </c>
      <c r="AC281" t="s">
        <v>41</v>
      </c>
      <c r="AD281" t="s">
        <v>42</v>
      </c>
      <c r="AE281" t="s">
        <v>49</v>
      </c>
      <c r="AF281" s="3">
        <v>385</v>
      </c>
      <c r="AG281" s="3">
        <v>96</v>
      </c>
      <c r="AH281">
        <v>80</v>
      </c>
      <c r="AI281">
        <v>4</v>
      </c>
      <c r="AJ281">
        <v>0</v>
      </c>
      <c r="AL281">
        <v>0</v>
      </c>
      <c r="AM281">
        <v>1</v>
      </c>
      <c r="AN281" t="s">
        <v>768</v>
      </c>
      <c r="AO281" t="s">
        <v>41</v>
      </c>
    </row>
    <row r="282" spans="1:41" x14ac:dyDescent="0.25">
      <c r="A282">
        <v>26</v>
      </c>
      <c r="B282" t="s">
        <v>81</v>
      </c>
      <c r="C282" t="s">
        <v>55</v>
      </c>
      <c r="D282">
        <v>29</v>
      </c>
      <c r="E282" t="s">
        <v>34</v>
      </c>
      <c r="F282">
        <v>1</v>
      </c>
      <c r="G282">
        <v>2</v>
      </c>
      <c r="H282" t="s">
        <v>70</v>
      </c>
      <c r="I282">
        <v>1</v>
      </c>
      <c r="J282" t="s">
        <v>36</v>
      </c>
      <c r="K282">
        <v>4969</v>
      </c>
      <c r="L282">
        <v>8</v>
      </c>
      <c r="M282" t="s">
        <v>41</v>
      </c>
      <c r="N282">
        <v>18</v>
      </c>
      <c r="O282">
        <v>3</v>
      </c>
      <c r="P282">
        <v>0</v>
      </c>
      <c r="Q282">
        <v>7</v>
      </c>
      <c r="R282">
        <v>6</v>
      </c>
      <c r="S282">
        <v>2</v>
      </c>
      <c r="T282">
        <v>2</v>
      </c>
      <c r="U282">
        <v>2</v>
      </c>
      <c r="V282" t="s">
        <v>37</v>
      </c>
      <c r="W282" s="2">
        <v>43770</v>
      </c>
      <c r="Y282" t="s">
        <v>54</v>
      </c>
      <c r="Z282" t="s">
        <v>40</v>
      </c>
      <c r="AA282">
        <v>5</v>
      </c>
      <c r="AB282">
        <v>0</v>
      </c>
      <c r="AC282" t="s">
        <v>31</v>
      </c>
      <c r="AD282" t="s">
        <v>65</v>
      </c>
      <c r="AE282" t="s">
        <v>43</v>
      </c>
      <c r="AF282" s="3">
        <v>386</v>
      </c>
      <c r="AG282" s="3">
        <v>45</v>
      </c>
      <c r="AH282">
        <v>80</v>
      </c>
      <c r="AI282">
        <v>3</v>
      </c>
      <c r="AJ282">
        <v>0</v>
      </c>
      <c r="AL282">
        <v>0</v>
      </c>
      <c r="AM282">
        <v>1</v>
      </c>
      <c r="AN282" t="s">
        <v>768</v>
      </c>
      <c r="AO282" t="s">
        <v>41</v>
      </c>
    </row>
    <row r="283" spans="1:41" x14ac:dyDescent="0.25">
      <c r="A283">
        <v>33</v>
      </c>
      <c r="B283" t="s">
        <v>81</v>
      </c>
      <c r="C283" t="s">
        <v>55</v>
      </c>
      <c r="D283">
        <v>8</v>
      </c>
      <c r="E283" t="s">
        <v>61</v>
      </c>
      <c r="F283">
        <v>2</v>
      </c>
      <c r="G283">
        <v>1</v>
      </c>
      <c r="H283" t="s">
        <v>56</v>
      </c>
      <c r="I283">
        <v>4</v>
      </c>
      <c r="J283" t="s">
        <v>36</v>
      </c>
      <c r="K283">
        <v>2342</v>
      </c>
      <c r="L283">
        <v>0</v>
      </c>
      <c r="M283" t="s">
        <v>41</v>
      </c>
      <c r="N283">
        <v>19</v>
      </c>
      <c r="O283">
        <v>3</v>
      </c>
      <c r="P283">
        <v>0</v>
      </c>
      <c r="Q283">
        <v>3</v>
      </c>
      <c r="R283">
        <v>2</v>
      </c>
      <c r="S283">
        <v>2</v>
      </c>
      <c r="T283">
        <v>2</v>
      </c>
      <c r="U283">
        <v>2</v>
      </c>
      <c r="V283" t="s">
        <v>52</v>
      </c>
      <c r="W283" s="1" t="s">
        <v>198</v>
      </c>
      <c r="Y283" t="s">
        <v>69</v>
      </c>
      <c r="Z283" t="s">
        <v>40</v>
      </c>
      <c r="AA283">
        <v>5</v>
      </c>
      <c r="AB283">
        <v>3</v>
      </c>
      <c r="AC283" t="s">
        <v>31</v>
      </c>
      <c r="AD283" t="s">
        <v>48</v>
      </c>
      <c r="AE283" t="s">
        <v>49</v>
      </c>
      <c r="AF283" s="3">
        <v>387</v>
      </c>
      <c r="AG283" s="3">
        <v>99</v>
      </c>
      <c r="AH283">
        <v>80</v>
      </c>
      <c r="AI283">
        <v>16</v>
      </c>
      <c r="AJ283">
        <v>0</v>
      </c>
      <c r="AL283">
        <v>0</v>
      </c>
      <c r="AM283">
        <v>1</v>
      </c>
      <c r="AN283" t="s">
        <v>768</v>
      </c>
      <c r="AO283" t="s">
        <v>41</v>
      </c>
    </row>
    <row r="284" spans="1:41" x14ac:dyDescent="0.25">
      <c r="A284">
        <v>38</v>
      </c>
      <c r="B284" t="s">
        <v>66</v>
      </c>
      <c r="C284" t="s">
        <v>33</v>
      </c>
      <c r="D284">
        <v>3</v>
      </c>
      <c r="E284" t="s">
        <v>34</v>
      </c>
      <c r="F284">
        <v>3</v>
      </c>
      <c r="G284">
        <v>1</v>
      </c>
      <c r="H284" t="s">
        <v>44</v>
      </c>
      <c r="I284">
        <v>3</v>
      </c>
      <c r="J284" t="s">
        <v>51</v>
      </c>
      <c r="K284">
        <v>2821</v>
      </c>
      <c r="L284">
        <v>3</v>
      </c>
      <c r="M284" t="s">
        <v>41</v>
      </c>
      <c r="N284">
        <v>16</v>
      </c>
      <c r="O284">
        <v>3</v>
      </c>
      <c r="P284">
        <v>1</v>
      </c>
      <c r="Q284">
        <v>8</v>
      </c>
      <c r="R284">
        <v>2</v>
      </c>
      <c r="S284">
        <v>2</v>
      </c>
      <c r="T284">
        <v>2</v>
      </c>
      <c r="U284">
        <v>2</v>
      </c>
      <c r="V284" t="s">
        <v>72</v>
      </c>
      <c r="W284" s="1" t="s">
        <v>174</v>
      </c>
      <c r="Y284" t="s">
        <v>69</v>
      </c>
      <c r="Z284" t="s">
        <v>47</v>
      </c>
      <c r="AA284">
        <v>4</v>
      </c>
      <c r="AB284">
        <v>1</v>
      </c>
      <c r="AC284" t="s">
        <v>41</v>
      </c>
      <c r="AD284" t="s">
        <v>48</v>
      </c>
      <c r="AE284" t="s">
        <v>60</v>
      </c>
      <c r="AF284" s="3">
        <v>388</v>
      </c>
      <c r="AG284" s="3">
        <v>44</v>
      </c>
      <c r="AH284">
        <v>80</v>
      </c>
      <c r="AI284">
        <v>7</v>
      </c>
      <c r="AJ284">
        <v>0</v>
      </c>
      <c r="AL284">
        <v>0</v>
      </c>
      <c r="AM284">
        <v>1</v>
      </c>
      <c r="AN284" t="s">
        <v>768</v>
      </c>
      <c r="AO284" t="s">
        <v>41</v>
      </c>
    </row>
    <row r="285" spans="1:41" x14ac:dyDescent="0.25">
      <c r="A285">
        <v>46</v>
      </c>
      <c r="B285" t="s">
        <v>32</v>
      </c>
      <c r="C285" t="s">
        <v>33</v>
      </c>
      <c r="D285">
        <v>1</v>
      </c>
      <c r="E285" t="s">
        <v>34</v>
      </c>
      <c r="F285">
        <v>3</v>
      </c>
      <c r="G285">
        <v>5</v>
      </c>
      <c r="H285" t="s">
        <v>50</v>
      </c>
      <c r="I285">
        <v>4</v>
      </c>
      <c r="J285" t="s">
        <v>57</v>
      </c>
      <c r="K285">
        <v>19627</v>
      </c>
      <c r="L285">
        <v>9</v>
      </c>
      <c r="M285" t="s">
        <v>41</v>
      </c>
      <c r="N285">
        <v>17</v>
      </c>
      <c r="O285">
        <v>3</v>
      </c>
      <c r="P285">
        <v>2</v>
      </c>
      <c r="Q285">
        <v>23</v>
      </c>
      <c r="R285">
        <v>0</v>
      </c>
      <c r="S285">
        <v>2</v>
      </c>
      <c r="T285">
        <v>2</v>
      </c>
      <c r="U285">
        <v>2</v>
      </c>
      <c r="V285" t="s">
        <v>72</v>
      </c>
      <c r="W285" s="1" t="s">
        <v>199</v>
      </c>
      <c r="Y285" t="s">
        <v>46</v>
      </c>
      <c r="Z285" t="s">
        <v>47</v>
      </c>
      <c r="AA285">
        <v>0</v>
      </c>
      <c r="AB285">
        <v>1</v>
      </c>
      <c r="AC285" t="s">
        <v>41</v>
      </c>
      <c r="AD285" t="s">
        <v>42</v>
      </c>
      <c r="AE285" t="s">
        <v>60</v>
      </c>
      <c r="AF285" s="3">
        <v>389</v>
      </c>
      <c r="AG285" s="3">
        <v>37</v>
      </c>
      <c r="AH285">
        <v>80</v>
      </c>
      <c r="AI285">
        <v>7</v>
      </c>
      <c r="AJ285">
        <v>0</v>
      </c>
      <c r="AL285">
        <v>0</v>
      </c>
      <c r="AM285">
        <v>1</v>
      </c>
      <c r="AN285" t="s">
        <v>768</v>
      </c>
      <c r="AO285" t="s">
        <v>41</v>
      </c>
    </row>
    <row r="286" spans="1:41" x14ac:dyDescent="0.25">
      <c r="A286">
        <v>20</v>
      </c>
      <c r="B286" t="s">
        <v>66</v>
      </c>
      <c r="C286" t="s">
        <v>55</v>
      </c>
      <c r="D286">
        <v>9</v>
      </c>
      <c r="E286" t="s">
        <v>61</v>
      </c>
      <c r="F286">
        <v>3</v>
      </c>
      <c r="G286">
        <v>1</v>
      </c>
      <c r="H286" t="s">
        <v>56</v>
      </c>
      <c r="I286">
        <v>4</v>
      </c>
      <c r="J286" t="s">
        <v>36</v>
      </c>
      <c r="K286">
        <v>2323</v>
      </c>
      <c r="L286">
        <v>1</v>
      </c>
      <c r="M286" t="s">
        <v>31</v>
      </c>
      <c r="N286">
        <v>14</v>
      </c>
      <c r="O286">
        <v>3</v>
      </c>
      <c r="P286">
        <v>0</v>
      </c>
      <c r="Q286">
        <v>2</v>
      </c>
      <c r="R286">
        <v>3</v>
      </c>
      <c r="S286">
        <v>2</v>
      </c>
      <c r="T286">
        <v>0</v>
      </c>
      <c r="U286">
        <v>2</v>
      </c>
      <c r="V286" t="s">
        <v>58</v>
      </c>
      <c r="W286" s="1" t="s">
        <v>200</v>
      </c>
      <c r="Y286" t="s">
        <v>69</v>
      </c>
      <c r="Z286" t="s">
        <v>47</v>
      </c>
      <c r="AA286">
        <v>1</v>
      </c>
      <c r="AB286">
        <v>2</v>
      </c>
      <c r="AC286" t="s">
        <v>41</v>
      </c>
      <c r="AD286" t="s">
        <v>48</v>
      </c>
      <c r="AE286" t="s">
        <v>49</v>
      </c>
      <c r="AF286" s="3">
        <v>390</v>
      </c>
      <c r="AG286" s="3">
        <v>60</v>
      </c>
      <c r="AH286">
        <v>80</v>
      </c>
      <c r="AI286">
        <v>3</v>
      </c>
      <c r="AJ286">
        <v>0</v>
      </c>
      <c r="AL286">
        <v>0</v>
      </c>
      <c r="AM286">
        <v>1</v>
      </c>
      <c r="AN286" t="s">
        <v>768</v>
      </c>
      <c r="AO286" t="s">
        <v>41</v>
      </c>
    </row>
    <row r="287" spans="1:41" x14ac:dyDescent="0.25">
      <c r="A287">
        <v>33</v>
      </c>
      <c r="B287" t="s">
        <v>32</v>
      </c>
      <c r="C287" t="s">
        <v>33</v>
      </c>
      <c r="D287">
        <v>25</v>
      </c>
      <c r="E287" t="s">
        <v>34</v>
      </c>
      <c r="F287">
        <v>2</v>
      </c>
      <c r="G287">
        <v>1</v>
      </c>
      <c r="H287" t="s">
        <v>44</v>
      </c>
      <c r="I287">
        <v>2</v>
      </c>
      <c r="J287" t="s">
        <v>36</v>
      </c>
      <c r="K287">
        <v>2313</v>
      </c>
      <c r="L287">
        <v>4</v>
      </c>
      <c r="M287" t="s">
        <v>31</v>
      </c>
      <c r="N287">
        <v>20</v>
      </c>
      <c r="O287">
        <v>4</v>
      </c>
      <c r="P287">
        <v>0</v>
      </c>
      <c r="Q287">
        <v>5</v>
      </c>
      <c r="R287">
        <v>0</v>
      </c>
      <c r="S287">
        <v>2</v>
      </c>
      <c r="T287">
        <v>2</v>
      </c>
      <c r="U287">
        <v>2</v>
      </c>
      <c r="V287" t="s">
        <v>37</v>
      </c>
      <c r="W287" s="2">
        <v>43586</v>
      </c>
      <c r="Y287" t="s">
        <v>54</v>
      </c>
      <c r="Z287" t="s">
        <v>47</v>
      </c>
      <c r="AA287">
        <v>2</v>
      </c>
      <c r="AB287">
        <v>1</v>
      </c>
      <c r="AC287" t="s">
        <v>41</v>
      </c>
      <c r="AD287" t="s">
        <v>42</v>
      </c>
      <c r="AE287" t="s">
        <v>43</v>
      </c>
      <c r="AF287" s="3">
        <v>391</v>
      </c>
      <c r="AG287" s="3">
        <v>42</v>
      </c>
      <c r="AH287">
        <v>80</v>
      </c>
      <c r="AI287">
        <v>12</v>
      </c>
      <c r="AJ287">
        <v>0</v>
      </c>
      <c r="AL287">
        <v>0</v>
      </c>
      <c r="AM287">
        <v>1</v>
      </c>
      <c r="AN287" t="s">
        <v>768</v>
      </c>
      <c r="AO287" t="s">
        <v>41</v>
      </c>
    </row>
    <row r="288" spans="1:41" x14ac:dyDescent="0.25">
      <c r="A288">
        <v>21</v>
      </c>
      <c r="B288" t="s">
        <v>32</v>
      </c>
      <c r="C288" t="s">
        <v>33</v>
      </c>
      <c r="D288">
        <v>1</v>
      </c>
      <c r="E288" t="s">
        <v>61</v>
      </c>
      <c r="F288">
        <v>2</v>
      </c>
      <c r="G288">
        <v>1</v>
      </c>
      <c r="H288" t="s">
        <v>44</v>
      </c>
      <c r="I288">
        <v>2</v>
      </c>
      <c r="J288" t="s">
        <v>36</v>
      </c>
      <c r="K288">
        <v>2070</v>
      </c>
      <c r="L288">
        <v>1</v>
      </c>
      <c r="M288" t="s">
        <v>31</v>
      </c>
      <c r="N288">
        <v>11</v>
      </c>
      <c r="O288">
        <v>3</v>
      </c>
      <c r="P288">
        <v>0</v>
      </c>
      <c r="Q288">
        <v>2</v>
      </c>
      <c r="R288">
        <v>6</v>
      </c>
      <c r="S288">
        <v>2</v>
      </c>
      <c r="T288">
        <v>2</v>
      </c>
      <c r="U288">
        <v>2</v>
      </c>
      <c r="V288" t="s">
        <v>72</v>
      </c>
      <c r="W288" s="2">
        <v>43621</v>
      </c>
      <c r="Y288" t="s">
        <v>39</v>
      </c>
      <c r="Z288" t="s">
        <v>47</v>
      </c>
      <c r="AA288">
        <v>4</v>
      </c>
      <c r="AB288">
        <v>2</v>
      </c>
      <c r="AC288" t="s">
        <v>31</v>
      </c>
      <c r="AD288" t="s">
        <v>48</v>
      </c>
      <c r="AE288" t="s">
        <v>43</v>
      </c>
      <c r="AF288" s="3">
        <v>392</v>
      </c>
      <c r="AG288" s="3">
        <v>43</v>
      </c>
      <c r="AH288">
        <v>80</v>
      </c>
      <c r="AI288">
        <v>0</v>
      </c>
      <c r="AJ288">
        <v>1</v>
      </c>
      <c r="AK288">
        <v>1</v>
      </c>
      <c r="AL288">
        <v>1</v>
      </c>
      <c r="AM288">
        <v>0</v>
      </c>
      <c r="AN288" t="s">
        <v>767</v>
      </c>
      <c r="AO288" t="s">
        <v>31</v>
      </c>
    </row>
    <row r="289" spans="1:41" x14ac:dyDescent="0.25">
      <c r="A289">
        <v>31</v>
      </c>
      <c r="B289" t="s">
        <v>66</v>
      </c>
      <c r="C289" t="s">
        <v>55</v>
      </c>
      <c r="D289">
        <v>20</v>
      </c>
      <c r="E289" t="s">
        <v>34</v>
      </c>
      <c r="F289">
        <v>4</v>
      </c>
      <c r="G289">
        <v>1</v>
      </c>
      <c r="H289" t="s">
        <v>56</v>
      </c>
      <c r="I289">
        <v>4</v>
      </c>
      <c r="J289" t="s">
        <v>51</v>
      </c>
      <c r="K289">
        <v>2791</v>
      </c>
      <c r="L289">
        <v>0</v>
      </c>
      <c r="M289" t="s">
        <v>41</v>
      </c>
      <c r="N289">
        <v>12</v>
      </c>
      <c r="O289">
        <v>3</v>
      </c>
      <c r="P289">
        <v>1</v>
      </c>
      <c r="Q289">
        <v>3</v>
      </c>
      <c r="R289">
        <v>4</v>
      </c>
      <c r="S289">
        <v>2</v>
      </c>
      <c r="T289">
        <v>2</v>
      </c>
      <c r="U289">
        <v>2</v>
      </c>
      <c r="V289" t="s">
        <v>72</v>
      </c>
      <c r="W289" s="1" t="s">
        <v>201</v>
      </c>
      <c r="Y289" t="s">
        <v>46</v>
      </c>
      <c r="Z289" t="s">
        <v>47</v>
      </c>
      <c r="AA289">
        <v>5</v>
      </c>
      <c r="AB289">
        <v>2</v>
      </c>
      <c r="AC289" t="s">
        <v>41</v>
      </c>
      <c r="AD289" t="s">
        <v>42</v>
      </c>
      <c r="AE289" t="s">
        <v>60</v>
      </c>
      <c r="AF289" s="3">
        <v>393</v>
      </c>
      <c r="AG289" s="3">
        <v>82</v>
      </c>
      <c r="AH289">
        <v>80</v>
      </c>
      <c r="AI289">
        <v>2</v>
      </c>
      <c r="AJ289">
        <v>0</v>
      </c>
      <c r="AL289">
        <v>0</v>
      </c>
      <c r="AM289">
        <v>1</v>
      </c>
      <c r="AN289" t="s">
        <v>768</v>
      </c>
      <c r="AO289" t="s">
        <v>41</v>
      </c>
    </row>
    <row r="290" spans="1:41" x14ac:dyDescent="0.25">
      <c r="A290">
        <v>31</v>
      </c>
      <c r="B290" t="s">
        <v>66</v>
      </c>
      <c r="C290" t="s">
        <v>33</v>
      </c>
      <c r="D290">
        <v>15</v>
      </c>
      <c r="E290" t="s">
        <v>34</v>
      </c>
      <c r="F290">
        <v>3</v>
      </c>
      <c r="G290">
        <v>1</v>
      </c>
      <c r="H290" t="s">
        <v>35</v>
      </c>
      <c r="I290">
        <v>3</v>
      </c>
      <c r="J290" t="s">
        <v>51</v>
      </c>
      <c r="K290">
        <v>2610</v>
      </c>
      <c r="L290">
        <v>1</v>
      </c>
      <c r="M290" t="s">
        <v>41</v>
      </c>
      <c r="N290">
        <v>12</v>
      </c>
      <c r="O290">
        <v>3</v>
      </c>
      <c r="P290">
        <v>1</v>
      </c>
      <c r="Q290">
        <v>2</v>
      </c>
      <c r="R290">
        <v>5</v>
      </c>
      <c r="S290">
        <v>2</v>
      </c>
      <c r="T290">
        <v>2</v>
      </c>
      <c r="U290">
        <v>2</v>
      </c>
      <c r="V290" t="s">
        <v>37</v>
      </c>
      <c r="W290" s="1" t="s">
        <v>202</v>
      </c>
      <c r="Y290" t="s">
        <v>54</v>
      </c>
      <c r="Z290" t="s">
        <v>47</v>
      </c>
      <c r="AA290">
        <v>3</v>
      </c>
      <c r="AB290">
        <v>3</v>
      </c>
      <c r="AC290" t="s">
        <v>41</v>
      </c>
      <c r="AD290" t="s">
        <v>65</v>
      </c>
      <c r="AE290" t="s">
        <v>60</v>
      </c>
      <c r="AF290" s="3">
        <v>394</v>
      </c>
      <c r="AG290" s="3">
        <v>45</v>
      </c>
      <c r="AH290">
        <v>80</v>
      </c>
      <c r="AI290">
        <v>2</v>
      </c>
      <c r="AJ290">
        <v>1</v>
      </c>
      <c r="AK290">
        <v>1</v>
      </c>
      <c r="AL290">
        <v>1</v>
      </c>
      <c r="AM290">
        <v>0</v>
      </c>
      <c r="AN290" t="s">
        <v>767</v>
      </c>
      <c r="AO290" t="s">
        <v>31</v>
      </c>
    </row>
    <row r="291" spans="1:41" x14ac:dyDescent="0.25">
      <c r="A291">
        <v>35</v>
      </c>
      <c r="B291" t="s">
        <v>66</v>
      </c>
      <c r="C291" t="s">
        <v>33</v>
      </c>
      <c r="D291">
        <v>4</v>
      </c>
      <c r="E291" t="s">
        <v>34</v>
      </c>
      <c r="F291">
        <v>2</v>
      </c>
      <c r="G291">
        <v>1</v>
      </c>
      <c r="H291" t="s">
        <v>35</v>
      </c>
      <c r="I291">
        <v>4</v>
      </c>
      <c r="J291" t="s">
        <v>51</v>
      </c>
      <c r="K291">
        <v>2376</v>
      </c>
      <c r="L291">
        <v>1</v>
      </c>
      <c r="M291" t="s">
        <v>41</v>
      </c>
      <c r="N291">
        <v>13</v>
      </c>
      <c r="O291">
        <v>3</v>
      </c>
      <c r="P291">
        <v>1</v>
      </c>
      <c r="Q291">
        <v>2</v>
      </c>
      <c r="R291">
        <v>2</v>
      </c>
      <c r="S291">
        <v>2</v>
      </c>
      <c r="T291">
        <v>2</v>
      </c>
      <c r="U291">
        <v>2</v>
      </c>
      <c r="V291" t="s">
        <v>72</v>
      </c>
      <c r="W291" s="2">
        <v>43772</v>
      </c>
      <c r="Y291" t="s">
        <v>54</v>
      </c>
      <c r="Z291" t="s">
        <v>47</v>
      </c>
      <c r="AA291">
        <v>5</v>
      </c>
      <c r="AB291">
        <v>2</v>
      </c>
      <c r="AC291" t="s">
        <v>41</v>
      </c>
      <c r="AD291" t="s">
        <v>48</v>
      </c>
      <c r="AE291" t="s">
        <v>60</v>
      </c>
      <c r="AF291" s="3">
        <v>395</v>
      </c>
      <c r="AG291" s="3">
        <v>66</v>
      </c>
      <c r="AH291">
        <v>80</v>
      </c>
      <c r="AI291">
        <v>3</v>
      </c>
      <c r="AJ291">
        <v>0</v>
      </c>
      <c r="AL291">
        <v>0</v>
      </c>
      <c r="AM291">
        <v>1</v>
      </c>
      <c r="AN291" t="s">
        <v>768</v>
      </c>
      <c r="AO291" t="s">
        <v>41</v>
      </c>
    </row>
    <row r="292" spans="1:41" x14ac:dyDescent="0.25">
      <c r="A292">
        <v>20</v>
      </c>
      <c r="B292" t="s">
        <v>32</v>
      </c>
      <c r="C292" t="s">
        <v>33</v>
      </c>
      <c r="D292">
        <v>3</v>
      </c>
      <c r="E292" t="s">
        <v>34</v>
      </c>
      <c r="F292">
        <v>2</v>
      </c>
      <c r="G292">
        <v>1</v>
      </c>
      <c r="H292" t="s">
        <v>35</v>
      </c>
      <c r="I292">
        <v>3</v>
      </c>
      <c r="J292" t="s">
        <v>36</v>
      </c>
      <c r="K292">
        <v>3033</v>
      </c>
      <c r="L292">
        <v>1</v>
      </c>
      <c r="M292" t="s">
        <v>41</v>
      </c>
      <c r="N292">
        <v>12</v>
      </c>
      <c r="O292">
        <v>3</v>
      </c>
      <c r="P292">
        <v>0</v>
      </c>
      <c r="Q292">
        <v>2</v>
      </c>
      <c r="R292">
        <v>2</v>
      </c>
      <c r="S292">
        <v>2</v>
      </c>
      <c r="T292">
        <v>1</v>
      </c>
      <c r="U292">
        <v>2</v>
      </c>
      <c r="V292" t="s">
        <v>37</v>
      </c>
      <c r="W292" s="1" t="s">
        <v>203</v>
      </c>
      <c r="Y292" t="s">
        <v>39</v>
      </c>
      <c r="Z292" t="s">
        <v>47</v>
      </c>
      <c r="AA292">
        <v>1</v>
      </c>
      <c r="AB292">
        <v>0</v>
      </c>
      <c r="AC292" t="s">
        <v>41</v>
      </c>
      <c r="AD292" t="s">
        <v>67</v>
      </c>
      <c r="AE292" t="s">
        <v>43</v>
      </c>
      <c r="AF292" s="3">
        <v>396</v>
      </c>
      <c r="AG292" s="3">
        <v>35</v>
      </c>
      <c r="AH292">
        <v>80</v>
      </c>
      <c r="AI292">
        <v>2</v>
      </c>
      <c r="AJ292">
        <v>0</v>
      </c>
      <c r="AL292">
        <v>0</v>
      </c>
      <c r="AM292">
        <v>1</v>
      </c>
      <c r="AN292" t="s">
        <v>768</v>
      </c>
      <c r="AO292" t="s">
        <v>41</v>
      </c>
    </row>
    <row r="293" spans="1:41" x14ac:dyDescent="0.25">
      <c r="A293">
        <v>50</v>
      </c>
      <c r="B293" t="s">
        <v>66</v>
      </c>
      <c r="C293" t="s">
        <v>33</v>
      </c>
      <c r="D293">
        <v>2</v>
      </c>
      <c r="E293" t="s">
        <v>61</v>
      </c>
      <c r="F293">
        <v>3</v>
      </c>
      <c r="G293">
        <v>4</v>
      </c>
      <c r="H293" t="s">
        <v>75</v>
      </c>
      <c r="I293">
        <v>1</v>
      </c>
      <c r="J293" t="s">
        <v>51</v>
      </c>
      <c r="K293">
        <v>17856</v>
      </c>
      <c r="L293">
        <v>2</v>
      </c>
      <c r="M293" t="s">
        <v>41</v>
      </c>
      <c r="N293">
        <v>22</v>
      </c>
      <c r="O293">
        <v>4</v>
      </c>
      <c r="P293">
        <v>1</v>
      </c>
      <c r="Q293">
        <v>32</v>
      </c>
      <c r="R293">
        <v>3</v>
      </c>
      <c r="S293">
        <v>2</v>
      </c>
      <c r="T293">
        <v>2</v>
      </c>
      <c r="U293">
        <v>2</v>
      </c>
      <c r="V293" t="s">
        <v>58</v>
      </c>
      <c r="W293" s="1" t="s">
        <v>193</v>
      </c>
      <c r="Y293" t="s">
        <v>39</v>
      </c>
      <c r="Z293" t="s">
        <v>47</v>
      </c>
      <c r="AA293">
        <v>4</v>
      </c>
      <c r="AB293">
        <v>0</v>
      </c>
      <c r="AC293" t="s">
        <v>41</v>
      </c>
      <c r="AD293" t="s">
        <v>65</v>
      </c>
      <c r="AE293" t="s">
        <v>49</v>
      </c>
      <c r="AF293" s="3">
        <v>397</v>
      </c>
      <c r="AG293" s="3">
        <v>30</v>
      </c>
      <c r="AH293">
        <v>80</v>
      </c>
      <c r="AI293">
        <v>0</v>
      </c>
      <c r="AJ293">
        <v>0</v>
      </c>
      <c r="AL293">
        <v>0</v>
      </c>
      <c r="AM293">
        <v>1</v>
      </c>
      <c r="AN293" t="s">
        <v>768</v>
      </c>
      <c r="AO293" t="s">
        <v>41</v>
      </c>
    </row>
    <row r="294" spans="1:41" x14ac:dyDescent="0.25">
      <c r="A294">
        <v>20</v>
      </c>
      <c r="B294" t="s">
        <v>32</v>
      </c>
      <c r="C294" t="s">
        <v>55</v>
      </c>
      <c r="D294">
        <v>21</v>
      </c>
      <c r="E294" t="s">
        <v>34</v>
      </c>
      <c r="F294">
        <v>4</v>
      </c>
      <c r="G294">
        <v>1</v>
      </c>
      <c r="H294" t="s">
        <v>56</v>
      </c>
      <c r="I294">
        <v>4</v>
      </c>
      <c r="J294" t="s">
        <v>36</v>
      </c>
      <c r="K294">
        <v>2678</v>
      </c>
      <c r="L294">
        <v>1</v>
      </c>
      <c r="M294" t="s">
        <v>41</v>
      </c>
      <c r="N294">
        <v>17</v>
      </c>
      <c r="O294">
        <v>3</v>
      </c>
      <c r="P294">
        <v>0</v>
      </c>
      <c r="Q294">
        <v>2</v>
      </c>
      <c r="R294">
        <v>2</v>
      </c>
      <c r="S294">
        <v>2</v>
      </c>
      <c r="T294">
        <v>2</v>
      </c>
      <c r="U294">
        <v>2</v>
      </c>
      <c r="V294" t="s">
        <v>37</v>
      </c>
      <c r="W294" s="2">
        <v>43801</v>
      </c>
      <c r="Y294" t="s">
        <v>39</v>
      </c>
      <c r="Z294" t="s">
        <v>47</v>
      </c>
      <c r="AA294">
        <v>1</v>
      </c>
      <c r="AB294">
        <v>1</v>
      </c>
      <c r="AC294" t="s">
        <v>31</v>
      </c>
      <c r="AD294" t="s">
        <v>48</v>
      </c>
      <c r="AE294" t="s">
        <v>43</v>
      </c>
      <c r="AF294" s="3">
        <v>399</v>
      </c>
      <c r="AG294" s="3">
        <v>84</v>
      </c>
      <c r="AH294">
        <v>80</v>
      </c>
      <c r="AI294">
        <v>2</v>
      </c>
      <c r="AJ294">
        <v>0</v>
      </c>
      <c r="AL294">
        <v>0</v>
      </c>
      <c r="AM294">
        <v>1</v>
      </c>
      <c r="AN294" t="s">
        <v>768</v>
      </c>
      <c r="AO294" t="s">
        <v>41</v>
      </c>
    </row>
    <row r="295" spans="1:41" x14ac:dyDescent="0.25">
      <c r="A295">
        <v>32</v>
      </c>
      <c r="B295" t="s">
        <v>66</v>
      </c>
      <c r="C295" t="s">
        <v>33</v>
      </c>
      <c r="D295">
        <v>13</v>
      </c>
      <c r="E295" t="s">
        <v>61</v>
      </c>
      <c r="F295">
        <v>2</v>
      </c>
      <c r="G295">
        <v>1</v>
      </c>
      <c r="H295" t="s">
        <v>35</v>
      </c>
      <c r="I295">
        <v>2</v>
      </c>
      <c r="J295" t="s">
        <v>51</v>
      </c>
      <c r="K295">
        <v>2743</v>
      </c>
      <c r="L295">
        <v>1</v>
      </c>
      <c r="M295" t="s">
        <v>41</v>
      </c>
      <c r="N295">
        <v>20</v>
      </c>
      <c r="O295">
        <v>4</v>
      </c>
      <c r="P295">
        <v>1</v>
      </c>
      <c r="Q295">
        <v>2</v>
      </c>
      <c r="R295">
        <v>2</v>
      </c>
      <c r="S295">
        <v>2</v>
      </c>
      <c r="T295">
        <v>2</v>
      </c>
      <c r="U295">
        <v>2</v>
      </c>
      <c r="V295" t="s">
        <v>58</v>
      </c>
      <c r="W295" s="2">
        <v>43800</v>
      </c>
      <c r="Y295" t="s">
        <v>46</v>
      </c>
      <c r="Z295" t="s">
        <v>47</v>
      </c>
      <c r="AA295">
        <v>4</v>
      </c>
      <c r="AB295">
        <v>3</v>
      </c>
      <c r="AC295" t="s">
        <v>41</v>
      </c>
      <c r="AD295" t="s">
        <v>48</v>
      </c>
      <c r="AE295" t="s">
        <v>60</v>
      </c>
      <c r="AF295" s="3">
        <v>401</v>
      </c>
      <c r="AG295" s="3">
        <v>48</v>
      </c>
      <c r="AH295">
        <v>80</v>
      </c>
      <c r="AI295">
        <v>7</v>
      </c>
      <c r="AJ295">
        <v>1</v>
      </c>
      <c r="AK295">
        <v>1</v>
      </c>
      <c r="AL295">
        <v>1</v>
      </c>
      <c r="AM295">
        <v>0</v>
      </c>
      <c r="AN295" t="s">
        <v>767</v>
      </c>
      <c r="AO295" t="s">
        <v>31</v>
      </c>
    </row>
    <row r="296" spans="1:41" x14ac:dyDescent="0.25">
      <c r="A296">
        <v>21</v>
      </c>
      <c r="B296" t="s">
        <v>66</v>
      </c>
      <c r="C296" t="s">
        <v>33</v>
      </c>
      <c r="D296">
        <v>10</v>
      </c>
      <c r="E296" t="s">
        <v>61</v>
      </c>
      <c r="F296">
        <v>2</v>
      </c>
      <c r="G296">
        <v>1</v>
      </c>
      <c r="H296" t="s">
        <v>35</v>
      </c>
      <c r="I296">
        <v>3</v>
      </c>
      <c r="J296" t="s">
        <v>36</v>
      </c>
      <c r="K296">
        <v>2625</v>
      </c>
      <c r="L296">
        <v>1</v>
      </c>
      <c r="M296" t="s">
        <v>41</v>
      </c>
      <c r="N296">
        <v>20</v>
      </c>
      <c r="O296">
        <v>4</v>
      </c>
      <c r="P296">
        <v>0</v>
      </c>
      <c r="Q296">
        <v>2</v>
      </c>
      <c r="R296">
        <v>2</v>
      </c>
      <c r="S296">
        <v>2</v>
      </c>
      <c r="T296">
        <v>2</v>
      </c>
      <c r="U296">
        <v>2</v>
      </c>
      <c r="V296" t="s">
        <v>58</v>
      </c>
      <c r="W296" s="2">
        <v>43803</v>
      </c>
      <c r="Y296" t="s">
        <v>63</v>
      </c>
      <c r="Z296" t="s">
        <v>40</v>
      </c>
      <c r="AA296">
        <v>1</v>
      </c>
      <c r="AB296">
        <v>0</v>
      </c>
      <c r="AC296" t="s">
        <v>41</v>
      </c>
      <c r="AD296" t="s">
        <v>67</v>
      </c>
      <c r="AE296" t="s">
        <v>60</v>
      </c>
      <c r="AF296" s="3">
        <v>403</v>
      </c>
      <c r="AG296" s="3">
        <v>53</v>
      </c>
      <c r="AH296">
        <v>80</v>
      </c>
      <c r="AI296">
        <v>2</v>
      </c>
      <c r="AJ296">
        <v>0</v>
      </c>
      <c r="AL296">
        <v>0</v>
      </c>
      <c r="AM296">
        <v>1</v>
      </c>
      <c r="AN296" t="s">
        <v>768</v>
      </c>
      <c r="AO296" t="s">
        <v>41</v>
      </c>
    </row>
    <row r="297" spans="1:41" x14ac:dyDescent="0.25">
      <c r="A297">
        <v>28</v>
      </c>
      <c r="B297" t="s">
        <v>66</v>
      </c>
      <c r="C297" t="s">
        <v>33</v>
      </c>
      <c r="D297">
        <v>2</v>
      </c>
      <c r="E297" t="s">
        <v>34</v>
      </c>
      <c r="F297">
        <v>2</v>
      </c>
      <c r="G297">
        <v>1</v>
      </c>
      <c r="H297" t="s">
        <v>35</v>
      </c>
      <c r="I297">
        <v>4</v>
      </c>
      <c r="J297" t="s">
        <v>51</v>
      </c>
      <c r="K297">
        <v>3867</v>
      </c>
      <c r="L297">
        <v>1</v>
      </c>
      <c r="M297" t="s">
        <v>31</v>
      </c>
      <c r="N297">
        <v>12</v>
      </c>
      <c r="O297">
        <v>3</v>
      </c>
      <c r="P297">
        <v>1</v>
      </c>
      <c r="Q297">
        <v>2</v>
      </c>
      <c r="R297">
        <v>2</v>
      </c>
      <c r="S297">
        <v>2</v>
      </c>
      <c r="T297">
        <v>2</v>
      </c>
      <c r="U297">
        <v>2</v>
      </c>
      <c r="V297" t="s">
        <v>37</v>
      </c>
      <c r="W297" s="1" t="s">
        <v>194</v>
      </c>
      <c r="Y297" t="s">
        <v>46</v>
      </c>
      <c r="Z297" t="s">
        <v>40</v>
      </c>
      <c r="AA297">
        <v>3</v>
      </c>
      <c r="AB297">
        <v>0</v>
      </c>
      <c r="AC297" t="s">
        <v>41</v>
      </c>
      <c r="AD297" t="s">
        <v>42</v>
      </c>
      <c r="AE297" t="s">
        <v>43</v>
      </c>
      <c r="AF297" s="3">
        <v>404</v>
      </c>
      <c r="AG297" s="3">
        <v>77</v>
      </c>
      <c r="AH297">
        <v>80</v>
      </c>
      <c r="AI297">
        <v>4</v>
      </c>
      <c r="AJ297">
        <v>0</v>
      </c>
      <c r="AL297">
        <v>0</v>
      </c>
      <c r="AM297">
        <v>1</v>
      </c>
      <c r="AN297" t="s">
        <v>768</v>
      </c>
      <c r="AO297" t="s">
        <v>41</v>
      </c>
    </row>
    <row r="298" spans="1:41" x14ac:dyDescent="0.25">
      <c r="A298">
        <v>25</v>
      </c>
      <c r="B298" t="s">
        <v>32</v>
      </c>
      <c r="C298" t="s">
        <v>33</v>
      </c>
      <c r="D298">
        <v>1</v>
      </c>
      <c r="E298" t="s">
        <v>61</v>
      </c>
      <c r="F298">
        <v>3</v>
      </c>
      <c r="G298">
        <v>1</v>
      </c>
      <c r="H298" t="s">
        <v>44</v>
      </c>
      <c r="I298">
        <v>2</v>
      </c>
      <c r="J298" t="s">
        <v>36</v>
      </c>
      <c r="K298">
        <v>2096</v>
      </c>
      <c r="L298">
        <v>1</v>
      </c>
      <c r="M298" t="s">
        <v>41</v>
      </c>
      <c r="N298">
        <v>18</v>
      </c>
      <c r="O298">
        <v>3</v>
      </c>
      <c r="P298">
        <v>0</v>
      </c>
      <c r="Q298">
        <v>2</v>
      </c>
      <c r="R298">
        <v>3</v>
      </c>
      <c r="S298">
        <v>2</v>
      </c>
      <c r="T298">
        <v>2</v>
      </c>
      <c r="U298">
        <v>1</v>
      </c>
      <c r="V298" t="s">
        <v>58</v>
      </c>
      <c r="W298" s="1" t="s">
        <v>204</v>
      </c>
      <c r="Y298" t="s">
        <v>46</v>
      </c>
      <c r="Z298" t="s">
        <v>47</v>
      </c>
      <c r="AA298">
        <v>2</v>
      </c>
      <c r="AB298">
        <v>2</v>
      </c>
      <c r="AC298" t="s">
        <v>31</v>
      </c>
      <c r="AD298" t="s">
        <v>48</v>
      </c>
      <c r="AE298" t="s">
        <v>60</v>
      </c>
      <c r="AF298" s="3">
        <v>405</v>
      </c>
      <c r="AG298" s="3">
        <v>54</v>
      </c>
      <c r="AH298">
        <v>80</v>
      </c>
      <c r="AI298">
        <v>0</v>
      </c>
      <c r="AJ298">
        <v>1</v>
      </c>
      <c r="AK298">
        <v>1</v>
      </c>
      <c r="AL298">
        <v>1</v>
      </c>
      <c r="AM298">
        <v>0</v>
      </c>
      <c r="AN298" t="s">
        <v>767</v>
      </c>
      <c r="AO298" t="s">
        <v>31</v>
      </c>
    </row>
    <row r="299" spans="1:41" x14ac:dyDescent="0.25">
      <c r="A299">
        <v>58</v>
      </c>
      <c r="B299" t="s">
        <v>32</v>
      </c>
      <c r="C299" t="s">
        <v>33</v>
      </c>
      <c r="D299">
        <v>23</v>
      </c>
      <c r="E299" t="s">
        <v>34</v>
      </c>
      <c r="F299">
        <v>3</v>
      </c>
      <c r="G299">
        <v>1</v>
      </c>
      <c r="H299" t="s">
        <v>44</v>
      </c>
      <c r="I299">
        <v>3</v>
      </c>
      <c r="J299" t="s">
        <v>57</v>
      </c>
      <c r="K299">
        <v>2372</v>
      </c>
      <c r="L299">
        <v>1</v>
      </c>
      <c r="M299" t="s">
        <v>41</v>
      </c>
      <c r="N299">
        <v>12</v>
      </c>
      <c r="O299">
        <v>3</v>
      </c>
      <c r="P299">
        <v>2</v>
      </c>
      <c r="Q299">
        <v>2</v>
      </c>
      <c r="R299">
        <v>3</v>
      </c>
      <c r="S299">
        <v>2</v>
      </c>
      <c r="T299">
        <v>2</v>
      </c>
      <c r="U299">
        <v>2</v>
      </c>
      <c r="V299" t="s">
        <v>37</v>
      </c>
      <c r="W299" s="1" t="s">
        <v>205</v>
      </c>
      <c r="Y299" t="s">
        <v>63</v>
      </c>
      <c r="Z299" t="s">
        <v>40</v>
      </c>
      <c r="AA299">
        <v>3</v>
      </c>
      <c r="AB299">
        <v>1</v>
      </c>
      <c r="AC299" t="s">
        <v>31</v>
      </c>
      <c r="AD299" t="s">
        <v>48</v>
      </c>
      <c r="AE299" t="s">
        <v>60</v>
      </c>
      <c r="AF299" s="3">
        <v>406</v>
      </c>
      <c r="AG299" s="3">
        <v>96</v>
      </c>
      <c r="AH299">
        <v>80</v>
      </c>
      <c r="AI299">
        <v>9</v>
      </c>
      <c r="AJ299">
        <v>0</v>
      </c>
      <c r="AL299">
        <v>0</v>
      </c>
      <c r="AM299">
        <v>1</v>
      </c>
      <c r="AN299" t="s">
        <v>768</v>
      </c>
      <c r="AO299" t="s">
        <v>41</v>
      </c>
    </row>
    <row r="300" spans="1:41" x14ac:dyDescent="0.25">
      <c r="A300">
        <v>35</v>
      </c>
      <c r="B300" t="s">
        <v>66</v>
      </c>
      <c r="C300" t="s">
        <v>33</v>
      </c>
      <c r="D300">
        <v>18</v>
      </c>
      <c r="E300" t="s">
        <v>34</v>
      </c>
      <c r="F300">
        <v>3</v>
      </c>
      <c r="G300">
        <v>3</v>
      </c>
      <c r="H300" t="s">
        <v>78</v>
      </c>
      <c r="I300">
        <v>4</v>
      </c>
      <c r="J300" t="s">
        <v>36</v>
      </c>
      <c r="K300">
        <v>9362</v>
      </c>
      <c r="L300">
        <v>2</v>
      </c>
      <c r="M300" t="s">
        <v>41</v>
      </c>
      <c r="N300">
        <v>11</v>
      </c>
      <c r="O300">
        <v>3</v>
      </c>
      <c r="P300">
        <v>0</v>
      </c>
      <c r="Q300">
        <v>10</v>
      </c>
      <c r="R300">
        <v>2</v>
      </c>
      <c r="S300">
        <v>2</v>
      </c>
      <c r="T300">
        <v>2</v>
      </c>
      <c r="U300">
        <v>2</v>
      </c>
      <c r="V300" t="s">
        <v>52</v>
      </c>
      <c r="W300" s="1" t="s">
        <v>205</v>
      </c>
      <c r="Y300" t="s">
        <v>46</v>
      </c>
      <c r="Z300" t="s">
        <v>47</v>
      </c>
      <c r="AA300">
        <v>3</v>
      </c>
      <c r="AB300">
        <v>3</v>
      </c>
      <c r="AC300" t="s">
        <v>31</v>
      </c>
      <c r="AD300" t="s">
        <v>48</v>
      </c>
      <c r="AE300" t="s">
        <v>49</v>
      </c>
      <c r="AF300" s="3">
        <v>407</v>
      </c>
      <c r="AG300" s="3">
        <v>81</v>
      </c>
      <c r="AH300">
        <v>80</v>
      </c>
      <c r="AI300">
        <v>0</v>
      </c>
      <c r="AJ300">
        <v>0</v>
      </c>
      <c r="AL300">
        <v>0</v>
      </c>
      <c r="AM300">
        <v>1</v>
      </c>
      <c r="AN300" t="s">
        <v>768</v>
      </c>
      <c r="AO300" t="s">
        <v>41</v>
      </c>
    </row>
    <row r="301" spans="1:41" x14ac:dyDescent="0.25">
      <c r="A301">
        <v>31</v>
      </c>
      <c r="B301" t="s">
        <v>66</v>
      </c>
      <c r="C301" t="s">
        <v>33</v>
      </c>
      <c r="D301">
        <v>2</v>
      </c>
      <c r="E301" t="s">
        <v>34</v>
      </c>
      <c r="F301">
        <v>3</v>
      </c>
      <c r="G301">
        <v>1</v>
      </c>
      <c r="H301" t="s">
        <v>35</v>
      </c>
      <c r="I301">
        <v>4</v>
      </c>
      <c r="J301" t="s">
        <v>51</v>
      </c>
      <c r="K301">
        <v>3722</v>
      </c>
      <c r="L301">
        <v>6</v>
      </c>
      <c r="M301" t="s">
        <v>31</v>
      </c>
      <c r="N301">
        <v>13</v>
      </c>
      <c r="O301">
        <v>3</v>
      </c>
      <c r="P301">
        <v>1</v>
      </c>
      <c r="Q301">
        <v>7</v>
      </c>
      <c r="R301">
        <v>2</v>
      </c>
      <c r="S301">
        <v>2</v>
      </c>
      <c r="T301">
        <v>2</v>
      </c>
      <c r="U301">
        <v>2</v>
      </c>
      <c r="V301" t="s">
        <v>72</v>
      </c>
      <c r="W301" s="1" t="s">
        <v>203</v>
      </c>
      <c r="Y301" t="s">
        <v>39</v>
      </c>
      <c r="Z301" t="s">
        <v>47</v>
      </c>
      <c r="AA301">
        <v>0</v>
      </c>
      <c r="AB301">
        <v>0</v>
      </c>
      <c r="AC301" t="s">
        <v>31</v>
      </c>
      <c r="AD301" t="s">
        <v>65</v>
      </c>
      <c r="AE301" t="s">
        <v>60</v>
      </c>
      <c r="AF301" s="3">
        <v>408</v>
      </c>
      <c r="AG301" s="3">
        <v>84</v>
      </c>
      <c r="AH301">
        <v>80</v>
      </c>
      <c r="AI301">
        <v>1</v>
      </c>
      <c r="AJ301">
        <v>0</v>
      </c>
      <c r="AL301">
        <v>0</v>
      </c>
      <c r="AM301">
        <v>1</v>
      </c>
      <c r="AN301" t="s">
        <v>768</v>
      </c>
      <c r="AO301" t="s">
        <v>41</v>
      </c>
    </row>
    <row r="302" spans="1:41" x14ac:dyDescent="0.25">
      <c r="A302">
        <v>48</v>
      </c>
      <c r="B302" t="s">
        <v>32</v>
      </c>
      <c r="C302" t="s">
        <v>55</v>
      </c>
      <c r="D302">
        <v>7</v>
      </c>
      <c r="E302" t="s">
        <v>34</v>
      </c>
      <c r="F302">
        <v>3</v>
      </c>
      <c r="G302">
        <v>2</v>
      </c>
      <c r="H302" t="s">
        <v>70</v>
      </c>
      <c r="I302">
        <v>1</v>
      </c>
      <c r="J302" t="s">
        <v>57</v>
      </c>
      <c r="K302">
        <v>5486</v>
      </c>
      <c r="L302">
        <v>4</v>
      </c>
      <c r="M302" t="s">
        <v>41</v>
      </c>
      <c r="N302">
        <v>11</v>
      </c>
      <c r="O302">
        <v>3</v>
      </c>
      <c r="P302">
        <v>3</v>
      </c>
      <c r="Q302">
        <v>15</v>
      </c>
      <c r="R302">
        <v>3</v>
      </c>
      <c r="S302">
        <v>2</v>
      </c>
      <c r="T302">
        <v>2</v>
      </c>
      <c r="U302">
        <v>2</v>
      </c>
      <c r="V302" t="s">
        <v>37</v>
      </c>
      <c r="W302" s="1" t="s">
        <v>206</v>
      </c>
      <c r="Y302" t="s">
        <v>69</v>
      </c>
      <c r="Z302" t="s">
        <v>40</v>
      </c>
      <c r="AA302">
        <v>4</v>
      </c>
      <c r="AB302">
        <v>3</v>
      </c>
      <c r="AC302" t="s">
        <v>31</v>
      </c>
      <c r="AD302" t="s">
        <v>67</v>
      </c>
      <c r="AE302" t="s">
        <v>60</v>
      </c>
      <c r="AF302" s="3">
        <v>410</v>
      </c>
      <c r="AG302" s="3">
        <v>88</v>
      </c>
      <c r="AH302">
        <v>80</v>
      </c>
      <c r="AI302">
        <v>10</v>
      </c>
      <c r="AJ302">
        <v>0</v>
      </c>
      <c r="AL302">
        <v>0</v>
      </c>
      <c r="AM302">
        <v>1</v>
      </c>
      <c r="AN302" t="s">
        <v>768</v>
      </c>
      <c r="AO302" t="s">
        <v>41</v>
      </c>
    </row>
    <row r="303" spans="1:41" x14ac:dyDescent="0.25">
      <c r="A303">
        <v>34</v>
      </c>
      <c r="B303" t="s">
        <v>32</v>
      </c>
      <c r="C303" t="s">
        <v>120</v>
      </c>
      <c r="D303">
        <v>9</v>
      </c>
      <c r="E303" t="s">
        <v>61</v>
      </c>
      <c r="F303">
        <v>3</v>
      </c>
      <c r="G303">
        <v>1</v>
      </c>
      <c r="H303" t="s">
        <v>120</v>
      </c>
      <c r="I303">
        <v>3</v>
      </c>
      <c r="J303" t="s">
        <v>51</v>
      </c>
      <c r="K303">
        <v>2742</v>
      </c>
      <c r="L303">
        <v>1</v>
      </c>
      <c r="M303" t="s">
        <v>41</v>
      </c>
      <c r="N303">
        <v>15</v>
      </c>
      <c r="O303">
        <v>3</v>
      </c>
      <c r="P303">
        <v>0</v>
      </c>
      <c r="Q303">
        <v>2</v>
      </c>
      <c r="R303">
        <v>0</v>
      </c>
      <c r="S303">
        <v>2</v>
      </c>
      <c r="T303">
        <v>2</v>
      </c>
      <c r="U303">
        <v>2</v>
      </c>
      <c r="V303" t="s">
        <v>58</v>
      </c>
      <c r="W303" s="2">
        <v>43618</v>
      </c>
      <c r="Y303" t="s">
        <v>69</v>
      </c>
      <c r="Z303" t="s">
        <v>40</v>
      </c>
      <c r="AA303">
        <v>0</v>
      </c>
      <c r="AB303">
        <v>0</v>
      </c>
      <c r="AC303" t="s">
        <v>41</v>
      </c>
      <c r="AD303" t="s">
        <v>42</v>
      </c>
      <c r="AE303" t="s">
        <v>43</v>
      </c>
      <c r="AF303" s="3">
        <v>411</v>
      </c>
      <c r="AG303" s="3">
        <v>69</v>
      </c>
      <c r="AH303">
        <v>80</v>
      </c>
      <c r="AI303">
        <v>0</v>
      </c>
      <c r="AJ303">
        <v>0</v>
      </c>
      <c r="AL303">
        <v>0</v>
      </c>
      <c r="AM303">
        <v>1</v>
      </c>
      <c r="AN303" t="s">
        <v>768</v>
      </c>
      <c r="AO303" t="s">
        <v>41</v>
      </c>
    </row>
    <row r="304" spans="1:41" x14ac:dyDescent="0.25">
      <c r="A304">
        <v>30</v>
      </c>
      <c r="B304" t="s">
        <v>32</v>
      </c>
      <c r="C304" t="s">
        <v>55</v>
      </c>
      <c r="D304">
        <v>16</v>
      </c>
      <c r="E304" t="s">
        <v>34</v>
      </c>
      <c r="F304">
        <v>3</v>
      </c>
      <c r="G304">
        <v>2</v>
      </c>
      <c r="H304" t="s">
        <v>70</v>
      </c>
      <c r="I304">
        <v>3</v>
      </c>
      <c r="J304" t="s">
        <v>51</v>
      </c>
      <c r="K304">
        <v>5301</v>
      </c>
      <c r="L304">
        <v>8</v>
      </c>
      <c r="M304" t="s">
        <v>41</v>
      </c>
      <c r="N304">
        <v>15</v>
      </c>
      <c r="O304">
        <v>3</v>
      </c>
      <c r="P304">
        <v>2</v>
      </c>
      <c r="Q304">
        <v>4</v>
      </c>
      <c r="R304">
        <v>2</v>
      </c>
      <c r="S304">
        <v>2</v>
      </c>
      <c r="T304">
        <v>2</v>
      </c>
      <c r="U304">
        <v>2</v>
      </c>
      <c r="V304" t="s">
        <v>37</v>
      </c>
      <c r="W304" s="2">
        <v>43805</v>
      </c>
      <c r="Y304" t="s">
        <v>54</v>
      </c>
      <c r="Z304" t="s">
        <v>40</v>
      </c>
      <c r="AA304">
        <v>2</v>
      </c>
      <c r="AB304">
        <v>3</v>
      </c>
      <c r="AC304" t="s">
        <v>31</v>
      </c>
      <c r="AD304" t="s">
        <v>65</v>
      </c>
      <c r="AE304" t="s">
        <v>60</v>
      </c>
      <c r="AF304" s="3">
        <v>412</v>
      </c>
      <c r="AG304" s="3">
        <v>68</v>
      </c>
      <c r="AH304">
        <v>80</v>
      </c>
      <c r="AI304">
        <v>3</v>
      </c>
      <c r="AJ304">
        <v>0</v>
      </c>
      <c r="AL304">
        <v>0</v>
      </c>
      <c r="AM304">
        <v>1</v>
      </c>
      <c r="AN304" t="s">
        <v>768</v>
      </c>
      <c r="AO304" t="s">
        <v>41</v>
      </c>
    </row>
    <row r="305" spans="1:41" x14ac:dyDescent="0.25">
      <c r="A305">
        <v>44</v>
      </c>
      <c r="B305" t="s">
        <v>66</v>
      </c>
      <c r="C305" t="s">
        <v>33</v>
      </c>
      <c r="D305">
        <v>2</v>
      </c>
      <c r="E305" t="s">
        <v>34</v>
      </c>
      <c r="F305">
        <v>3</v>
      </c>
      <c r="G305">
        <v>3</v>
      </c>
      <c r="H305" t="s">
        <v>78</v>
      </c>
      <c r="I305">
        <v>3</v>
      </c>
      <c r="J305" t="s">
        <v>36</v>
      </c>
      <c r="K305">
        <v>10209</v>
      </c>
      <c r="L305">
        <v>5</v>
      </c>
      <c r="M305" t="s">
        <v>31</v>
      </c>
      <c r="N305">
        <v>18</v>
      </c>
      <c r="O305">
        <v>3</v>
      </c>
      <c r="P305">
        <v>0</v>
      </c>
      <c r="Q305">
        <v>16</v>
      </c>
      <c r="R305">
        <v>2</v>
      </c>
      <c r="S305">
        <v>2</v>
      </c>
      <c r="T305">
        <v>2</v>
      </c>
      <c r="U305">
        <v>2</v>
      </c>
      <c r="V305" t="s">
        <v>37</v>
      </c>
      <c r="W305" s="1" t="s">
        <v>206</v>
      </c>
      <c r="Y305" t="s">
        <v>39</v>
      </c>
      <c r="Z305" t="s">
        <v>40</v>
      </c>
      <c r="AA305">
        <v>5</v>
      </c>
      <c r="AB305">
        <v>2</v>
      </c>
      <c r="AC305" t="s">
        <v>31</v>
      </c>
      <c r="AD305" t="s">
        <v>48</v>
      </c>
      <c r="AE305" t="s">
        <v>43</v>
      </c>
      <c r="AF305" s="3">
        <v>416</v>
      </c>
      <c r="AG305" s="3">
        <v>100</v>
      </c>
      <c r="AH305">
        <v>80</v>
      </c>
      <c r="AI305">
        <v>7</v>
      </c>
      <c r="AJ305">
        <v>0</v>
      </c>
      <c r="AL305">
        <v>0</v>
      </c>
      <c r="AM305">
        <v>1</v>
      </c>
      <c r="AN305" t="s">
        <v>768</v>
      </c>
      <c r="AO305" t="s">
        <v>41</v>
      </c>
    </row>
    <row r="306" spans="1:41" x14ac:dyDescent="0.25">
      <c r="A306">
        <v>39</v>
      </c>
      <c r="B306" t="s">
        <v>32</v>
      </c>
      <c r="C306" t="s">
        <v>33</v>
      </c>
      <c r="D306">
        <v>6</v>
      </c>
      <c r="E306" t="s">
        <v>61</v>
      </c>
      <c r="F306">
        <v>3</v>
      </c>
      <c r="G306">
        <v>3</v>
      </c>
      <c r="H306" t="s">
        <v>78</v>
      </c>
      <c r="I306">
        <v>2</v>
      </c>
      <c r="J306" t="s">
        <v>36</v>
      </c>
      <c r="K306">
        <v>8376</v>
      </c>
      <c r="L306">
        <v>4</v>
      </c>
      <c r="M306" t="s">
        <v>41</v>
      </c>
      <c r="N306">
        <v>18</v>
      </c>
      <c r="O306">
        <v>3</v>
      </c>
      <c r="P306">
        <v>0</v>
      </c>
      <c r="Q306">
        <v>9</v>
      </c>
      <c r="R306">
        <v>3</v>
      </c>
      <c r="S306">
        <v>2</v>
      </c>
      <c r="T306">
        <v>2</v>
      </c>
      <c r="U306">
        <v>2</v>
      </c>
      <c r="V306" t="s">
        <v>72</v>
      </c>
      <c r="W306" s="1" t="s">
        <v>201</v>
      </c>
      <c r="Y306" t="s">
        <v>63</v>
      </c>
      <c r="Z306" t="s">
        <v>40</v>
      </c>
      <c r="AA306">
        <v>0</v>
      </c>
      <c r="AB306">
        <v>3</v>
      </c>
      <c r="AC306" t="s">
        <v>31</v>
      </c>
      <c r="AD306" t="s">
        <v>42</v>
      </c>
      <c r="AE306" t="s">
        <v>60</v>
      </c>
      <c r="AF306" s="3">
        <v>417</v>
      </c>
      <c r="AG306" s="3">
        <v>48</v>
      </c>
      <c r="AH306">
        <v>80</v>
      </c>
      <c r="AI306">
        <v>10</v>
      </c>
      <c r="AJ306">
        <v>0</v>
      </c>
      <c r="AL306">
        <v>0</v>
      </c>
      <c r="AM306">
        <v>1</v>
      </c>
      <c r="AN306" t="s">
        <v>768</v>
      </c>
      <c r="AO306" t="s">
        <v>41</v>
      </c>
    </row>
    <row r="307" spans="1:41" x14ac:dyDescent="0.25">
      <c r="A307">
        <v>40</v>
      </c>
      <c r="B307" t="s">
        <v>81</v>
      </c>
      <c r="C307" t="s">
        <v>33</v>
      </c>
      <c r="D307">
        <v>8</v>
      </c>
      <c r="E307" t="s">
        <v>34</v>
      </c>
      <c r="F307">
        <v>3</v>
      </c>
      <c r="G307">
        <v>2</v>
      </c>
      <c r="H307" t="s">
        <v>89</v>
      </c>
      <c r="I307">
        <v>4</v>
      </c>
      <c r="J307" t="s">
        <v>57</v>
      </c>
      <c r="K307">
        <v>4069</v>
      </c>
      <c r="L307">
        <v>3</v>
      </c>
      <c r="M307" t="s">
        <v>31</v>
      </c>
      <c r="N307">
        <v>18</v>
      </c>
      <c r="O307">
        <v>3</v>
      </c>
      <c r="P307">
        <v>0</v>
      </c>
      <c r="Q307">
        <v>8</v>
      </c>
      <c r="R307">
        <v>2</v>
      </c>
      <c r="S307">
        <v>2</v>
      </c>
      <c r="T307">
        <v>2</v>
      </c>
      <c r="U307">
        <v>2</v>
      </c>
      <c r="V307" t="s">
        <v>52</v>
      </c>
      <c r="W307" s="2">
        <v>43619</v>
      </c>
      <c r="Y307" t="s">
        <v>46</v>
      </c>
      <c r="Z307" t="s">
        <v>40</v>
      </c>
      <c r="AA307">
        <v>4</v>
      </c>
      <c r="AB307">
        <v>1</v>
      </c>
      <c r="AC307" t="s">
        <v>41</v>
      </c>
      <c r="AD307" t="s">
        <v>42</v>
      </c>
      <c r="AE307" t="s">
        <v>60</v>
      </c>
      <c r="AF307" s="3">
        <v>419</v>
      </c>
      <c r="AG307" s="3">
        <v>47</v>
      </c>
      <c r="AH307">
        <v>80</v>
      </c>
      <c r="AI307">
        <v>8</v>
      </c>
      <c r="AJ307">
        <v>0</v>
      </c>
      <c r="AL307">
        <v>0</v>
      </c>
      <c r="AM307">
        <v>1</v>
      </c>
      <c r="AN307" t="s">
        <v>768</v>
      </c>
      <c r="AO307" t="s">
        <v>41</v>
      </c>
    </row>
    <row r="308" spans="1:41" x14ac:dyDescent="0.25">
      <c r="A308">
        <v>33</v>
      </c>
      <c r="B308" t="s">
        <v>32</v>
      </c>
      <c r="C308" t="s">
        <v>55</v>
      </c>
      <c r="D308">
        <v>8</v>
      </c>
      <c r="E308" t="s">
        <v>34</v>
      </c>
      <c r="F308">
        <v>3</v>
      </c>
      <c r="G308">
        <v>2</v>
      </c>
      <c r="H308" t="s">
        <v>70</v>
      </c>
      <c r="I308">
        <v>1</v>
      </c>
      <c r="J308" t="s">
        <v>51</v>
      </c>
      <c r="K308">
        <v>6392</v>
      </c>
      <c r="L308">
        <v>2</v>
      </c>
      <c r="M308" t="s">
        <v>41</v>
      </c>
      <c r="N308">
        <v>13</v>
      </c>
      <c r="O308">
        <v>3</v>
      </c>
      <c r="P308">
        <v>1</v>
      </c>
      <c r="Q308">
        <v>8</v>
      </c>
      <c r="R308">
        <v>6</v>
      </c>
      <c r="S308">
        <v>2</v>
      </c>
      <c r="T308">
        <v>2</v>
      </c>
      <c r="U308">
        <v>2</v>
      </c>
      <c r="V308" t="s">
        <v>72</v>
      </c>
      <c r="W308" s="1" t="s">
        <v>207</v>
      </c>
      <c r="Y308" t="s">
        <v>54</v>
      </c>
      <c r="Z308" t="s">
        <v>40</v>
      </c>
      <c r="AA308">
        <v>4</v>
      </c>
      <c r="AB308">
        <v>1</v>
      </c>
      <c r="AC308" t="s">
        <v>41</v>
      </c>
      <c r="AD308" t="s">
        <v>67</v>
      </c>
      <c r="AE308" t="s">
        <v>60</v>
      </c>
      <c r="AF308" s="3">
        <v>420</v>
      </c>
      <c r="AG308" s="3">
        <v>91</v>
      </c>
      <c r="AH308">
        <v>80</v>
      </c>
      <c r="AI308">
        <v>8</v>
      </c>
      <c r="AJ308">
        <v>0</v>
      </c>
      <c r="AL308">
        <v>0</v>
      </c>
      <c r="AM308">
        <v>1</v>
      </c>
      <c r="AN308" t="s">
        <v>768</v>
      </c>
      <c r="AO308" t="s">
        <v>41</v>
      </c>
    </row>
    <row r="309" spans="1:41" x14ac:dyDescent="0.25">
      <c r="A309">
        <v>34</v>
      </c>
      <c r="B309" t="s">
        <v>32</v>
      </c>
      <c r="C309" t="s">
        <v>33</v>
      </c>
      <c r="D309">
        <v>1</v>
      </c>
      <c r="E309" t="s">
        <v>34</v>
      </c>
      <c r="F309">
        <v>3</v>
      </c>
      <c r="G309">
        <v>2</v>
      </c>
      <c r="H309" t="s">
        <v>44</v>
      </c>
      <c r="I309">
        <v>4</v>
      </c>
      <c r="J309" t="s">
        <v>51</v>
      </c>
      <c r="K309">
        <v>5484</v>
      </c>
      <c r="L309">
        <v>9</v>
      </c>
      <c r="M309" t="s">
        <v>41</v>
      </c>
      <c r="N309">
        <v>17</v>
      </c>
      <c r="O309">
        <v>3</v>
      </c>
      <c r="P309">
        <v>1</v>
      </c>
      <c r="Q309">
        <v>9</v>
      </c>
      <c r="R309">
        <v>3</v>
      </c>
      <c r="S309">
        <v>2</v>
      </c>
      <c r="T309">
        <v>2</v>
      </c>
      <c r="U309">
        <v>1</v>
      </c>
      <c r="V309" t="s">
        <v>37</v>
      </c>
      <c r="W309" s="1" t="s">
        <v>208</v>
      </c>
      <c r="Y309" t="s">
        <v>39</v>
      </c>
      <c r="Z309" t="s">
        <v>40</v>
      </c>
      <c r="AA309">
        <v>0</v>
      </c>
      <c r="AB309">
        <v>2</v>
      </c>
      <c r="AC309" t="s">
        <v>31</v>
      </c>
      <c r="AD309" t="s">
        <v>42</v>
      </c>
      <c r="AE309" t="s">
        <v>60</v>
      </c>
      <c r="AF309" s="3">
        <v>421</v>
      </c>
      <c r="AG309" s="3">
        <v>81</v>
      </c>
      <c r="AH309">
        <v>80</v>
      </c>
      <c r="AI309">
        <v>8</v>
      </c>
      <c r="AJ309">
        <v>0</v>
      </c>
      <c r="AL309">
        <v>0</v>
      </c>
      <c r="AM309">
        <v>1</v>
      </c>
      <c r="AN309" t="s">
        <v>768</v>
      </c>
      <c r="AO309" t="s">
        <v>41</v>
      </c>
    </row>
    <row r="310" spans="1:41" x14ac:dyDescent="0.25">
      <c r="A310">
        <v>23</v>
      </c>
      <c r="B310" t="s">
        <v>32</v>
      </c>
      <c r="C310" t="s">
        <v>33</v>
      </c>
      <c r="D310">
        <v>10</v>
      </c>
      <c r="E310" t="s">
        <v>34</v>
      </c>
      <c r="F310">
        <v>4</v>
      </c>
      <c r="G310">
        <v>1</v>
      </c>
      <c r="H310" t="s">
        <v>44</v>
      </c>
      <c r="I310">
        <v>3</v>
      </c>
      <c r="J310" t="s">
        <v>51</v>
      </c>
      <c r="K310">
        <v>2073</v>
      </c>
      <c r="L310">
        <v>2</v>
      </c>
      <c r="M310" t="s">
        <v>41</v>
      </c>
      <c r="N310">
        <v>16</v>
      </c>
      <c r="O310">
        <v>3</v>
      </c>
      <c r="P310">
        <v>1</v>
      </c>
      <c r="Q310">
        <v>4</v>
      </c>
      <c r="R310">
        <v>2</v>
      </c>
      <c r="S310">
        <v>2</v>
      </c>
      <c r="T310">
        <v>2</v>
      </c>
      <c r="U310">
        <v>2</v>
      </c>
      <c r="V310" t="s">
        <v>37</v>
      </c>
      <c r="W310" s="1" t="s">
        <v>209</v>
      </c>
      <c r="Y310" t="s">
        <v>63</v>
      </c>
      <c r="Z310" t="s">
        <v>40</v>
      </c>
      <c r="AA310">
        <v>0</v>
      </c>
      <c r="AB310">
        <v>2</v>
      </c>
      <c r="AC310" t="s">
        <v>41</v>
      </c>
      <c r="AD310" t="s">
        <v>48</v>
      </c>
      <c r="AE310" t="s">
        <v>60</v>
      </c>
      <c r="AF310" s="3">
        <v>422</v>
      </c>
      <c r="AG310" s="3">
        <v>32</v>
      </c>
      <c r="AH310">
        <v>80</v>
      </c>
      <c r="AI310">
        <v>3</v>
      </c>
      <c r="AJ310">
        <v>0</v>
      </c>
      <c r="AL310">
        <v>0</v>
      </c>
      <c r="AM310">
        <v>1</v>
      </c>
      <c r="AN310" t="s">
        <v>768</v>
      </c>
      <c r="AO310" t="s">
        <v>41</v>
      </c>
    </row>
    <row r="311" spans="1:41" x14ac:dyDescent="0.25">
      <c r="A311">
        <v>21</v>
      </c>
      <c r="B311" t="s">
        <v>32</v>
      </c>
      <c r="C311" t="s">
        <v>33</v>
      </c>
      <c r="D311">
        <v>5</v>
      </c>
      <c r="E311" t="s">
        <v>34</v>
      </c>
      <c r="F311">
        <v>3</v>
      </c>
      <c r="G311">
        <v>1</v>
      </c>
      <c r="H311" t="s">
        <v>44</v>
      </c>
      <c r="I311">
        <v>4</v>
      </c>
      <c r="J311" t="s">
        <v>36</v>
      </c>
      <c r="K311">
        <v>3117</v>
      </c>
      <c r="L311">
        <v>1</v>
      </c>
      <c r="M311" t="s">
        <v>41</v>
      </c>
      <c r="N311">
        <v>18</v>
      </c>
      <c r="O311">
        <v>3</v>
      </c>
      <c r="P311">
        <v>0</v>
      </c>
      <c r="Q311">
        <v>3</v>
      </c>
      <c r="R311">
        <v>2</v>
      </c>
      <c r="S311">
        <v>2</v>
      </c>
      <c r="T311">
        <v>2</v>
      </c>
      <c r="U311">
        <v>2</v>
      </c>
      <c r="V311" t="s">
        <v>37</v>
      </c>
      <c r="W311" s="2">
        <v>43678</v>
      </c>
      <c r="Y311" t="s">
        <v>63</v>
      </c>
      <c r="Z311" t="s">
        <v>40</v>
      </c>
      <c r="AA311">
        <v>4</v>
      </c>
      <c r="AB311">
        <v>0</v>
      </c>
      <c r="AC311" t="s">
        <v>41</v>
      </c>
      <c r="AD311" t="s">
        <v>48</v>
      </c>
      <c r="AE311" t="s">
        <v>60</v>
      </c>
      <c r="AF311" s="3">
        <v>423</v>
      </c>
      <c r="AG311" s="3">
        <v>86</v>
      </c>
      <c r="AH311">
        <v>80</v>
      </c>
      <c r="AI311">
        <v>2</v>
      </c>
      <c r="AJ311">
        <v>0</v>
      </c>
      <c r="AL311">
        <v>0</v>
      </c>
      <c r="AM311">
        <v>1</v>
      </c>
      <c r="AN311" t="s">
        <v>768</v>
      </c>
      <c r="AO311" t="s">
        <v>41</v>
      </c>
    </row>
    <row r="312" spans="1:41" x14ac:dyDescent="0.25">
      <c r="A312">
        <v>48</v>
      </c>
      <c r="B312" t="s">
        <v>66</v>
      </c>
      <c r="C312" t="s">
        <v>33</v>
      </c>
      <c r="D312">
        <v>4</v>
      </c>
      <c r="E312" t="s">
        <v>34</v>
      </c>
      <c r="F312">
        <v>2</v>
      </c>
      <c r="G312">
        <v>4</v>
      </c>
      <c r="H312" t="s">
        <v>75</v>
      </c>
      <c r="I312">
        <v>4</v>
      </c>
      <c r="J312" t="s">
        <v>51</v>
      </c>
      <c r="K312">
        <v>15202</v>
      </c>
      <c r="L312">
        <v>2</v>
      </c>
      <c r="M312" t="s">
        <v>41</v>
      </c>
      <c r="N312">
        <v>25</v>
      </c>
      <c r="O312">
        <v>4</v>
      </c>
      <c r="P312">
        <v>1</v>
      </c>
      <c r="Q312">
        <v>23</v>
      </c>
      <c r="R312">
        <v>3</v>
      </c>
      <c r="S312">
        <v>2</v>
      </c>
      <c r="T312">
        <v>2</v>
      </c>
      <c r="U312">
        <v>2</v>
      </c>
      <c r="V312" t="s">
        <v>52</v>
      </c>
      <c r="W312" s="2">
        <v>43681</v>
      </c>
      <c r="Y312" t="s">
        <v>63</v>
      </c>
      <c r="Z312" t="s">
        <v>47</v>
      </c>
      <c r="AA312">
        <v>0</v>
      </c>
      <c r="AB312">
        <v>1</v>
      </c>
      <c r="AC312" t="s">
        <v>41</v>
      </c>
      <c r="AD312" t="s">
        <v>67</v>
      </c>
      <c r="AE312" t="s">
        <v>60</v>
      </c>
      <c r="AF312" s="3">
        <v>424</v>
      </c>
      <c r="AG312" s="3">
        <v>62</v>
      </c>
      <c r="AH312">
        <v>80</v>
      </c>
      <c r="AI312">
        <v>2</v>
      </c>
      <c r="AJ312">
        <v>0</v>
      </c>
      <c r="AL312">
        <v>0</v>
      </c>
      <c r="AM312">
        <v>1</v>
      </c>
      <c r="AN312" t="s">
        <v>768</v>
      </c>
      <c r="AO312" t="s">
        <v>41</v>
      </c>
    </row>
    <row r="313" spans="1:41" x14ac:dyDescent="0.25">
      <c r="A313">
        <v>35</v>
      </c>
      <c r="B313" t="s">
        <v>32</v>
      </c>
      <c r="C313" t="s">
        <v>55</v>
      </c>
      <c r="D313">
        <v>15</v>
      </c>
      <c r="E313" t="s">
        <v>34</v>
      </c>
      <c r="F313">
        <v>1</v>
      </c>
      <c r="G313">
        <v>2</v>
      </c>
      <c r="H313" t="s">
        <v>70</v>
      </c>
      <c r="I313">
        <v>4</v>
      </c>
      <c r="J313" t="s">
        <v>57</v>
      </c>
      <c r="K313">
        <v>5440</v>
      </c>
      <c r="L313">
        <v>6</v>
      </c>
      <c r="M313" t="s">
        <v>31</v>
      </c>
      <c r="N313">
        <v>14</v>
      </c>
      <c r="O313">
        <v>3</v>
      </c>
      <c r="P313">
        <v>2</v>
      </c>
      <c r="Q313">
        <v>7</v>
      </c>
      <c r="R313">
        <v>2</v>
      </c>
      <c r="S313">
        <v>2</v>
      </c>
      <c r="T313">
        <v>2</v>
      </c>
      <c r="U313">
        <v>2</v>
      </c>
      <c r="V313" t="s">
        <v>37</v>
      </c>
      <c r="W313" s="1" t="s">
        <v>210</v>
      </c>
      <c r="Y313" t="s">
        <v>63</v>
      </c>
      <c r="Z313" t="s">
        <v>40</v>
      </c>
      <c r="AA313">
        <v>1</v>
      </c>
      <c r="AB313">
        <v>2</v>
      </c>
      <c r="AC313" t="s">
        <v>41</v>
      </c>
      <c r="AD313" t="s">
        <v>42</v>
      </c>
      <c r="AE313" t="s">
        <v>49</v>
      </c>
      <c r="AF313" s="3">
        <v>425</v>
      </c>
      <c r="AG313" s="3">
        <v>97</v>
      </c>
      <c r="AH313">
        <v>80</v>
      </c>
      <c r="AI313">
        <v>9</v>
      </c>
      <c r="AJ313">
        <v>0</v>
      </c>
      <c r="AL313">
        <v>0</v>
      </c>
      <c r="AM313">
        <v>1</v>
      </c>
      <c r="AN313" t="s">
        <v>768</v>
      </c>
      <c r="AO313" t="s">
        <v>41</v>
      </c>
    </row>
    <row r="314" spans="1:41" x14ac:dyDescent="0.25">
      <c r="A314">
        <v>20</v>
      </c>
      <c r="B314" t="s">
        <v>32</v>
      </c>
      <c r="C314" t="s">
        <v>55</v>
      </c>
      <c r="D314">
        <v>2</v>
      </c>
      <c r="E314" t="s">
        <v>61</v>
      </c>
      <c r="F314">
        <v>3</v>
      </c>
      <c r="G314">
        <v>1</v>
      </c>
      <c r="H314" t="s">
        <v>56</v>
      </c>
      <c r="I314">
        <v>3</v>
      </c>
      <c r="J314" t="s">
        <v>36</v>
      </c>
      <c r="K314">
        <v>2783</v>
      </c>
      <c r="L314">
        <v>1</v>
      </c>
      <c r="M314" t="s">
        <v>41</v>
      </c>
      <c r="N314">
        <v>19</v>
      </c>
      <c r="O314">
        <v>3</v>
      </c>
      <c r="P314">
        <v>0</v>
      </c>
      <c r="Q314">
        <v>2</v>
      </c>
      <c r="R314">
        <v>3</v>
      </c>
      <c r="S314">
        <v>2</v>
      </c>
      <c r="T314">
        <v>2</v>
      </c>
      <c r="U314">
        <v>2</v>
      </c>
      <c r="V314" t="s">
        <v>72</v>
      </c>
      <c r="W314" s="2">
        <v>43679</v>
      </c>
      <c r="Y314" t="s">
        <v>54</v>
      </c>
      <c r="Z314" t="s">
        <v>40</v>
      </c>
      <c r="AA314">
        <v>1</v>
      </c>
      <c r="AB314">
        <v>1</v>
      </c>
      <c r="AC314" t="s">
        <v>41</v>
      </c>
      <c r="AD314" t="s">
        <v>65</v>
      </c>
      <c r="AE314" t="s">
        <v>49</v>
      </c>
      <c r="AF314" s="3">
        <v>426</v>
      </c>
      <c r="AG314" s="3">
        <v>32</v>
      </c>
      <c r="AH314">
        <v>80</v>
      </c>
      <c r="AI314">
        <v>2</v>
      </c>
      <c r="AJ314">
        <v>0</v>
      </c>
      <c r="AL314">
        <v>0</v>
      </c>
      <c r="AM314">
        <v>1</v>
      </c>
      <c r="AN314" t="s">
        <v>768</v>
      </c>
      <c r="AO314" t="s">
        <v>41</v>
      </c>
    </row>
    <row r="315" spans="1:41" x14ac:dyDescent="0.25">
      <c r="A315">
        <v>49</v>
      </c>
      <c r="B315" t="s">
        <v>32</v>
      </c>
      <c r="C315" t="s">
        <v>33</v>
      </c>
      <c r="D315">
        <v>16</v>
      </c>
      <c r="E315" t="s">
        <v>61</v>
      </c>
      <c r="F315">
        <v>3</v>
      </c>
      <c r="G315">
        <v>1</v>
      </c>
      <c r="H315" t="s">
        <v>35</v>
      </c>
      <c r="I315">
        <v>1</v>
      </c>
      <c r="J315" t="s">
        <v>57</v>
      </c>
      <c r="K315">
        <v>2587</v>
      </c>
      <c r="L315">
        <v>4</v>
      </c>
      <c r="M315" t="s">
        <v>31</v>
      </c>
      <c r="N315">
        <v>16</v>
      </c>
      <c r="O315">
        <v>3</v>
      </c>
      <c r="P315">
        <v>1</v>
      </c>
      <c r="Q315">
        <v>17</v>
      </c>
      <c r="R315">
        <v>2</v>
      </c>
      <c r="S315">
        <v>2</v>
      </c>
      <c r="T315">
        <v>2</v>
      </c>
      <c r="U315">
        <v>2</v>
      </c>
      <c r="V315" t="s">
        <v>52</v>
      </c>
      <c r="W315" s="2">
        <v>43651</v>
      </c>
      <c r="Y315" t="s">
        <v>46</v>
      </c>
      <c r="Z315" t="s">
        <v>47</v>
      </c>
      <c r="AA315">
        <v>5</v>
      </c>
      <c r="AB315">
        <v>1</v>
      </c>
      <c r="AC315" t="s">
        <v>41</v>
      </c>
      <c r="AD315" t="s">
        <v>48</v>
      </c>
      <c r="AE315" t="s">
        <v>49</v>
      </c>
      <c r="AF315" s="3">
        <v>428</v>
      </c>
      <c r="AG315" s="3">
        <v>74</v>
      </c>
      <c r="AH315">
        <v>80</v>
      </c>
      <c r="AI315">
        <v>6</v>
      </c>
      <c r="AJ315">
        <v>0</v>
      </c>
      <c r="AL315">
        <v>0</v>
      </c>
      <c r="AM315">
        <v>1</v>
      </c>
      <c r="AN315" t="s">
        <v>768</v>
      </c>
      <c r="AO315" t="s">
        <v>41</v>
      </c>
    </row>
    <row r="316" spans="1:41" x14ac:dyDescent="0.25">
      <c r="A316">
        <v>41</v>
      </c>
      <c r="B316" t="s">
        <v>32</v>
      </c>
      <c r="C316" t="s">
        <v>55</v>
      </c>
      <c r="D316">
        <v>23</v>
      </c>
      <c r="E316" t="s">
        <v>34</v>
      </c>
      <c r="F316">
        <v>3</v>
      </c>
      <c r="G316">
        <v>3</v>
      </c>
      <c r="H316" t="s">
        <v>70</v>
      </c>
      <c r="I316">
        <v>3</v>
      </c>
      <c r="J316" t="s">
        <v>36</v>
      </c>
      <c r="K316">
        <v>7082</v>
      </c>
      <c r="L316">
        <v>3</v>
      </c>
      <c r="M316" t="s">
        <v>31</v>
      </c>
      <c r="N316">
        <v>16</v>
      </c>
      <c r="O316">
        <v>3</v>
      </c>
      <c r="P316">
        <v>0</v>
      </c>
      <c r="Q316">
        <v>21</v>
      </c>
      <c r="R316">
        <v>2</v>
      </c>
      <c r="S316">
        <v>2</v>
      </c>
      <c r="T316">
        <v>0</v>
      </c>
      <c r="U316">
        <v>2</v>
      </c>
      <c r="V316" t="s">
        <v>72</v>
      </c>
      <c r="W316" s="1" t="s">
        <v>196</v>
      </c>
      <c r="Y316" t="s">
        <v>46</v>
      </c>
      <c r="Z316" t="s">
        <v>47</v>
      </c>
      <c r="AA316">
        <v>0</v>
      </c>
      <c r="AB316">
        <v>2</v>
      </c>
      <c r="AC316" t="s">
        <v>31</v>
      </c>
      <c r="AD316" t="s">
        <v>65</v>
      </c>
      <c r="AE316" t="s">
        <v>43</v>
      </c>
      <c r="AF316" s="3">
        <v>429</v>
      </c>
      <c r="AG316" s="3">
        <v>99</v>
      </c>
      <c r="AH316">
        <v>80</v>
      </c>
      <c r="AI316">
        <v>9</v>
      </c>
      <c r="AJ316">
        <v>0</v>
      </c>
      <c r="AL316">
        <v>0</v>
      </c>
      <c r="AM316">
        <v>1</v>
      </c>
      <c r="AN316" t="s">
        <v>768</v>
      </c>
      <c r="AO316" t="s">
        <v>41</v>
      </c>
    </row>
    <row r="317" spans="1:41" x14ac:dyDescent="0.25">
      <c r="A317">
        <v>20</v>
      </c>
      <c r="B317" t="s">
        <v>32</v>
      </c>
      <c r="C317" t="s">
        <v>55</v>
      </c>
      <c r="D317">
        <v>9</v>
      </c>
      <c r="E317" t="s">
        <v>34</v>
      </c>
      <c r="F317">
        <v>3</v>
      </c>
      <c r="G317">
        <v>1</v>
      </c>
      <c r="H317" t="s">
        <v>56</v>
      </c>
      <c r="I317">
        <v>1</v>
      </c>
      <c r="J317" t="s">
        <v>36</v>
      </c>
      <c r="K317">
        <v>2728</v>
      </c>
      <c r="L317">
        <v>1</v>
      </c>
      <c r="M317" t="s">
        <v>41</v>
      </c>
      <c r="N317">
        <v>11</v>
      </c>
      <c r="O317">
        <v>3</v>
      </c>
      <c r="P317">
        <v>0</v>
      </c>
      <c r="Q317">
        <v>2</v>
      </c>
      <c r="R317">
        <v>3</v>
      </c>
      <c r="S317">
        <v>2</v>
      </c>
      <c r="T317">
        <v>0</v>
      </c>
      <c r="U317">
        <v>2</v>
      </c>
      <c r="V317" t="s">
        <v>37</v>
      </c>
      <c r="W317" s="1" t="s">
        <v>205</v>
      </c>
      <c r="Y317" t="s">
        <v>39</v>
      </c>
      <c r="Z317" t="s">
        <v>40</v>
      </c>
      <c r="AA317">
        <v>0</v>
      </c>
      <c r="AB317">
        <v>0</v>
      </c>
      <c r="AC317" t="s">
        <v>41</v>
      </c>
      <c r="AD317" t="s">
        <v>67</v>
      </c>
      <c r="AE317" t="s">
        <v>43</v>
      </c>
      <c r="AF317" s="3">
        <v>430</v>
      </c>
      <c r="AG317" s="3">
        <v>33</v>
      </c>
      <c r="AH317">
        <v>80</v>
      </c>
      <c r="AI317">
        <v>7</v>
      </c>
      <c r="AJ317">
        <v>0</v>
      </c>
      <c r="AL317">
        <v>0</v>
      </c>
      <c r="AM317">
        <v>1</v>
      </c>
      <c r="AN317" t="s">
        <v>768</v>
      </c>
      <c r="AO317" t="s">
        <v>41</v>
      </c>
    </row>
    <row r="318" spans="1:41" x14ac:dyDescent="0.25">
      <c r="A318">
        <v>44</v>
      </c>
      <c r="B318" t="s">
        <v>32</v>
      </c>
      <c r="C318" t="s">
        <v>120</v>
      </c>
      <c r="D318">
        <v>1</v>
      </c>
      <c r="E318" t="s">
        <v>61</v>
      </c>
      <c r="F318">
        <v>3</v>
      </c>
      <c r="G318">
        <v>1</v>
      </c>
      <c r="H318" t="s">
        <v>120</v>
      </c>
      <c r="I318">
        <v>4</v>
      </c>
      <c r="J318" t="s">
        <v>57</v>
      </c>
      <c r="K318">
        <v>3195</v>
      </c>
      <c r="L318">
        <v>4</v>
      </c>
      <c r="M318" t="s">
        <v>31</v>
      </c>
      <c r="N318">
        <v>18</v>
      </c>
      <c r="O318">
        <v>3</v>
      </c>
      <c r="P318">
        <v>3</v>
      </c>
      <c r="Q318">
        <v>8</v>
      </c>
      <c r="R318">
        <v>2</v>
      </c>
      <c r="S318">
        <v>2</v>
      </c>
      <c r="T318">
        <v>2</v>
      </c>
      <c r="U318">
        <v>2</v>
      </c>
      <c r="V318" t="s">
        <v>72</v>
      </c>
      <c r="W318" s="2">
        <v>43803</v>
      </c>
      <c r="Y318" t="s">
        <v>46</v>
      </c>
      <c r="Z318" t="s">
        <v>47</v>
      </c>
      <c r="AA318">
        <v>4</v>
      </c>
      <c r="AB318">
        <v>3</v>
      </c>
      <c r="AC318" t="s">
        <v>31</v>
      </c>
      <c r="AD318" t="s">
        <v>48</v>
      </c>
      <c r="AE318" t="s">
        <v>60</v>
      </c>
      <c r="AF318" s="3">
        <v>431</v>
      </c>
      <c r="AG318" s="3">
        <v>90</v>
      </c>
      <c r="AH318">
        <v>80</v>
      </c>
      <c r="AI318">
        <v>1</v>
      </c>
      <c r="AJ318">
        <v>0</v>
      </c>
      <c r="AL318">
        <v>0</v>
      </c>
      <c r="AM318">
        <v>1</v>
      </c>
      <c r="AN318" t="s">
        <v>768</v>
      </c>
      <c r="AO318" t="s">
        <v>41</v>
      </c>
    </row>
    <row r="319" spans="1:41" x14ac:dyDescent="0.25">
      <c r="A319">
        <v>36</v>
      </c>
      <c r="B319" t="s">
        <v>32</v>
      </c>
      <c r="C319" t="s">
        <v>55</v>
      </c>
      <c r="D319">
        <v>13</v>
      </c>
      <c r="E319" t="s">
        <v>34</v>
      </c>
      <c r="F319">
        <v>2</v>
      </c>
      <c r="G319">
        <v>2</v>
      </c>
      <c r="H319" t="s">
        <v>70</v>
      </c>
      <c r="I319">
        <v>1</v>
      </c>
      <c r="J319" t="s">
        <v>57</v>
      </c>
      <c r="K319">
        <v>6134</v>
      </c>
      <c r="L319">
        <v>5</v>
      </c>
      <c r="M319" t="s">
        <v>31</v>
      </c>
      <c r="N319">
        <v>13</v>
      </c>
      <c r="O319">
        <v>3</v>
      </c>
      <c r="P319">
        <v>3</v>
      </c>
      <c r="Q319">
        <v>16</v>
      </c>
      <c r="R319">
        <v>3</v>
      </c>
      <c r="S319">
        <v>2</v>
      </c>
      <c r="T319">
        <v>2</v>
      </c>
      <c r="U319">
        <v>2</v>
      </c>
      <c r="V319" t="s">
        <v>58</v>
      </c>
      <c r="W319" s="2">
        <v>43802</v>
      </c>
      <c r="Y319" t="s">
        <v>46</v>
      </c>
      <c r="Z319" t="s">
        <v>47</v>
      </c>
      <c r="AA319">
        <v>4</v>
      </c>
      <c r="AB319">
        <v>0</v>
      </c>
      <c r="AC319" t="s">
        <v>41</v>
      </c>
      <c r="AD319" t="s">
        <v>48</v>
      </c>
      <c r="AE319" t="s">
        <v>49</v>
      </c>
      <c r="AF319" s="3">
        <v>433</v>
      </c>
      <c r="AG319" s="3">
        <v>85</v>
      </c>
      <c r="AH319">
        <v>80</v>
      </c>
      <c r="AI319">
        <v>2</v>
      </c>
      <c r="AJ319">
        <v>1</v>
      </c>
      <c r="AK319">
        <v>1</v>
      </c>
      <c r="AL319">
        <v>1</v>
      </c>
      <c r="AM319">
        <v>0</v>
      </c>
      <c r="AN319" t="s">
        <v>767</v>
      </c>
      <c r="AO319" t="s">
        <v>31</v>
      </c>
    </row>
    <row r="320" spans="1:41" x14ac:dyDescent="0.25">
      <c r="A320">
        <v>24</v>
      </c>
      <c r="B320" t="s">
        <v>66</v>
      </c>
      <c r="C320" t="s">
        <v>120</v>
      </c>
      <c r="D320">
        <v>10</v>
      </c>
      <c r="E320" t="s">
        <v>34</v>
      </c>
      <c r="F320">
        <v>3</v>
      </c>
      <c r="G320">
        <v>1</v>
      </c>
      <c r="H320" t="s">
        <v>120</v>
      </c>
      <c r="I320">
        <v>4</v>
      </c>
      <c r="J320" t="s">
        <v>51</v>
      </c>
      <c r="K320">
        <v>2145</v>
      </c>
      <c r="L320">
        <v>0</v>
      </c>
      <c r="M320" t="s">
        <v>41</v>
      </c>
      <c r="N320">
        <v>14</v>
      </c>
      <c r="O320">
        <v>3</v>
      </c>
      <c r="P320">
        <v>1</v>
      </c>
      <c r="Q320">
        <v>3</v>
      </c>
      <c r="R320">
        <v>2</v>
      </c>
      <c r="S320">
        <v>2</v>
      </c>
      <c r="T320">
        <v>2</v>
      </c>
      <c r="U320">
        <v>1</v>
      </c>
      <c r="V320" t="s">
        <v>37</v>
      </c>
      <c r="W320" s="1" t="s">
        <v>211</v>
      </c>
      <c r="Y320" t="s">
        <v>63</v>
      </c>
      <c r="Z320" t="s">
        <v>40</v>
      </c>
      <c r="AA320">
        <v>2</v>
      </c>
      <c r="AB320">
        <v>3</v>
      </c>
      <c r="AC320" t="s">
        <v>41</v>
      </c>
      <c r="AD320" t="s">
        <v>67</v>
      </c>
      <c r="AE320" t="s">
        <v>60</v>
      </c>
      <c r="AF320" s="3">
        <v>434</v>
      </c>
      <c r="AG320" s="3">
        <v>85</v>
      </c>
      <c r="AH320">
        <v>80</v>
      </c>
      <c r="AI320">
        <v>3</v>
      </c>
      <c r="AJ320">
        <v>0</v>
      </c>
      <c r="AL320">
        <v>0</v>
      </c>
      <c r="AM320">
        <v>1</v>
      </c>
      <c r="AN320" t="s">
        <v>768</v>
      </c>
      <c r="AO320" t="s">
        <v>41</v>
      </c>
    </row>
    <row r="321" spans="1:41" x14ac:dyDescent="0.25">
      <c r="A321">
        <v>29</v>
      </c>
      <c r="B321" t="s">
        <v>32</v>
      </c>
      <c r="C321" t="s">
        <v>55</v>
      </c>
      <c r="D321">
        <v>9</v>
      </c>
      <c r="E321" t="s">
        <v>61</v>
      </c>
      <c r="F321">
        <v>1</v>
      </c>
      <c r="G321">
        <v>1</v>
      </c>
      <c r="H321" t="s">
        <v>56</v>
      </c>
      <c r="I321">
        <v>2</v>
      </c>
      <c r="J321" t="s">
        <v>36</v>
      </c>
      <c r="K321">
        <v>2760</v>
      </c>
      <c r="L321">
        <v>1</v>
      </c>
      <c r="M321" t="s">
        <v>41</v>
      </c>
      <c r="N321">
        <v>13</v>
      </c>
      <c r="O321">
        <v>3</v>
      </c>
      <c r="P321">
        <v>0</v>
      </c>
      <c r="Q321">
        <v>2</v>
      </c>
      <c r="R321">
        <v>3</v>
      </c>
      <c r="S321">
        <v>2</v>
      </c>
      <c r="T321">
        <v>2</v>
      </c>
      <c r="U321">
        <v>2</v>
      </c>
      <c r="V321" t="s">
        <v>72</v>
      </c>
      <c r="W321" s="1" t="s">
        <v>212</v>
      </c>
      <c r="Y321" t="s">
        <v>54</v>
      </c>
      <c r="Z321" t="s">
        <v>47</v>
      </c>
      <c r="AA321">
        <v>5</v>
      </c>
      <c r="AB321">
        <v>1</v>
      </c>
      <c r="AC321" t="s">
        <v>31</v>
      </c>
      <c r="AD321" t="s">
        <v>67</v>
      </c>
      <c r="AE321" t="s">
        <v>49</v>
      </c>
      <c r="AF321" s="3">
        <v>436</v>
      </c>
      <c r="AG321" s="3">
        <v>65</v>
      </c>
      <c r="AH321">
        <v>80</v>
      </c>
      <c r="AI321">
        <v>12</v>
      </c>
      <c r="AJ321">
        <v>0</v>
      </c>
      <c r="AL321">
        <v>0</v>
      </c>
      <c r="AM321">
        <v>1</v>
      </c>
      <c r="AN321" t="s">
        <v>768</v>
      </c>
      <c r="AO321" t="s">
        <v>41</v>
      </c>
    </row>
    <row r="322" spans="1:41" x14ac:dyDescent="0.25">
      <c r="A322">
        <v>34</v>
      </c>
      <c r="B322" t="s">
        <v>32</v>
      </c>
      <c r="C322" t="s">
        <v>55</v>
      </c>
      <c r="D322">
        <v>3</v>
      </c>
      <c r="E322" t="s">
        <v>61</v>
      </c>
      <c r="F322">
        <v>1</v>
      </c>
      <c r="G322">
        <v>2</v>
      </c>
      <c r="H322" t="s">
        <v>70</v>
      </c>
      <c r="I322">
        <v>4</v>
      </c>
      <c r="J322" t="s">
        <v>36</v>
      </c>
      <c r="K322">
        <v>6029</v>
      </c>
      <c r="L322">
        <v>5</v>
      </c>
      <c r="M322" t="s">
        <v>41</v>
      </c>
      <c r="N322">
        <v>12</v>
      </c>
      <c r="O322">
        <v>3</v>
      </c>
      <c r="P322">
        <v>0</v>
      </c>
      <c r="Q322">
        <v>6</v>
      </c>
      <c r="R322">
        <v>3</v>
      </c>
      <c r="S322">
        <v>2</v>
      </c>
      <c r="T322">
        <v>2</v>
      </c>
      <c r="U322">
        <v>2</v>
      </c>
      <c r="V322" t="s">
        <v>52</v>
      </c>
      <c r="W322" s="2">
        <v>43502</v>
      </c>
      <c r="Y322" t="s">
        <v>54</v>
      </c>
      <c r="Z322" t="s">
        <v>47</v>
      </c>
      <c r="AA322">
        <v>1</v>
      </c>
      <c r="AB322">
        <v>1</v>
      </c>
      <c r="AC322" t="s">
        <v>41</v>
      </c>
      <c r="AD322" t="s">
        <v>48</v>
      </c>
      <c r="AE322" t="s">
        <v>60</v>
      </c>
      <c r="AF322" s="3">
        <v>437</v>
      </c>
      <c r="AG322" s="3">
        <v>74</v>
      </c>
      <c r="AH322">
        <v>80</v>
      </c>
      <c r="AI322">
        <v>4</v>
      </c>
      <c r="AJ322">
        <v>0</v>
      </c>
      <c r="AL322">
        <v>0</v>
      </c>
      <c r="AM322">
        <v>1</v>
      </c>
      <c r="AN322" t="s">
        <v>768</v>
      </c>
      <c r="AO322" t="s">
        <v>41</v>
      </c>
    </row>
    <row r="323" spans="1:41" x14ac:dyDescent="0.25">
      <c r="A323">
        <v>51</v>
      </c>
      <c r="B323" t="s">
        <v>32</v>
      </c>
      <c r="C323" t="s">
        <v>33</v>
      </c>
      <c r="D323">
        <v>3</v>
      </c>
      <c r="E323" t="s">
        <v>61</v>
      </c>
      <c r="F323">
        <v>3</v>
      </c>
      <c r="G323">
        <v>3</v>
      </c>
      <c r="H323" t="s">
        <v>75</v>
      </c>
      <c r="I323">
        <v>3</v>
      </c>
      <c r="J323" t="s">
        <v>51</v>
      </c>
      <c r="K323">
        <v>13116</v>
      </c>
      <c r="L323">
        <v>2</v>
      </c>
      <c r="M323" t="s">
        <v>41</v>
      </c>
      <c r="N323">
        <v>11</v>
      </c>
      <c r="O323">
        <v>3</v>
      </c>
      <c r="P323">
        <v>0</v>
      </c>
      <c r="Q323">
        <v>15</v>
      </c>
      <c r="R323">
        <v>2</v>
      </c>
      <c r="S323">
        <v>2</v>
      </c>
      <c r="T323">
        <v>2</v>
      </c>
      <c r="U323">
        <v>2</v>
      </c>
      <c r="V323" t="s">
        <v>52</v>
      </c>
      <c r="W323" s="2">
        <v>43497</v>
      </c>
      <c r="Y323" t="s">
        <v>63</v>
      </c>
      <c r="Z323" t="s">
        <v>40</v>
      </c>
      <c r="AA323">
        <v>1</v>
      </c>
      <c r="AB323">
        <v>2</v>
      </c>
      <c r="AC323" t="s">
        <v>31</v>
      </c>
      <c r="AD323" t="s">
        <v>42</v>
      </c>
      <c r="AE323" t="s">
        <v>60</v>
      </c>
      <c r="AF323" s="3">
        <v>438</v>
      </c>
      <c r="AG323" s="3">
        <v>73</v>
      </c>
      <c r="AH323">
        <v>80</v>
      </c>
      <c r="AI323">
        <v>7</v>
      </c>
      <c r="AJ323">
        <v>0</v>
      </c>
      <c r="AL323">
        <v>0</v>
      </c>
      <c r="AM323">
        <v>1</v>
      </c>
      <c r="AN323" t="s">
        <v>768</v>
      </c>
      <c r="AO323" t="s">
        <v>41</v>
      </c>
    </row>
    <row r="324" spans="1:41" x14ac:dyDescent="0.25">
      <c r="A324">
        <v>46</v>
      </c>
      <c r="B324" t="s">
        <v>32</v>
      </c>
      <c r="C324" t="s">
        <v>33</v>
      </c>
      <c r="D324">
        <v>2</v>
      </c>
      <c r="E324" t="s">
        <v>34</v>
      </c>
      <c r="F324">
        <v>3</v>
      </c>
      <c r="G324">
        <v>5</v>
      </c>
      <c r="H324" t="s">
        <v>50</v>
      </c>
      <c r="I324">
        <v>4</v>
      </c>
      <c r="J324" t="s">
        <v>57</v>
      </c>
      <c r="K324">
        <v>19328</v>
      </c>
      <c r="L324">
        <v>7</v>
      </c>
      <c r="M324" t="s">
        <v>31</v>
      </c>
      <c r="N324">
        <v>17</v>
      </c>
      <c r="O324">
        <v>3</v>
      </c>
      <c r="P324">
        <v>1</v>
      </c>
      <c r="Q324">
        <v>24</v>
      </c>
      <c r="R324">
        <v>3</v>
      </c>
      <c r="S324">
        <v>2</v>
      </c>
      <c r="T324">
        <v>2</v>
      </c>
      <c r="U324">
        <v>2</v>
      </c>
      <c r="V324" t="s">
        <v>58</v>
      </c>
      <c r="W324" s="1" t="s">
        <v>166</v>
      </c>
      <c r="Y324" t="s">
        <v>69</v>
      </c>
      <c r="Z324" t="s">
        <v>47</v>
      </c>
      <c r="AA324">
        <v>3</v>
      </c>
      <c r="AB324">
        <v>0</v>
      </c>
      <c r="AC324" t="s">
        <v>41</v>
      </c>
      <c r="AD324" t="s">
        <v>48</v>
      </c>
      <c r="AE324" t="s">
        <v>43</v>
      </c>
      <c r="AF324" s="3">
        <v>439</v>
      </c>
      <c r="AG324" s="3">
        <v>74</v>
      </c>
      <c r="AH324">
        <v>80</v>
      </c>
      <c r="AI324">
        <v>7</v>
      </c>
      <c r="AJ324">
        <v>0</v>
      </c>
      <c r="AL324">
        <v>0</v>
      </c>
      <c r="AM324">
        <v>1</v>
      </c>
      <c r="AN324" t="s">
        <v>768</v>
      </c>
      <c r="AO324" t="s">
        <v>41</v>
      </c>
    </row>
    <row r="325" spans="1:41" x14ac:dyDescent="0.25">
      <c r="A325">
        <v>46</v>
      </c>
      <c r="B325" t="s">
        <v>81</v>
      </c>
      <c r="C325" t="s">
        <v>55</v>
      </c>
      <c r="D325">
        <v>26</v>
      </c>
      <c r="E325" t="s">
        <v>34</v>
      </c>
      <c r="F325">
        <v>2</v>
      </c>
      <c r="G325">
        <v>2</v>
      </c>
      <c r="H325" t="s">
        <v>70</v>
      </c>
      <c r="I325">
        <v>2</v>
      </c>
      <c r="J325" t="s">
        <v>36</v>
      </c>
      <c r="K325">
        <v>7991</v>
      </c>
      <c r="L325">
        <v>8</v>
      </c>
      <c r="M325" t="s">
        <v>41</v>
      </c>
      <c r="N325">
        <v>15</v>
      </c>
      <c r="O325">
        <v>3</v>
      </c>
      <c r="P325">
        <v>0</v>
      </c>
      <c r="Q325">
        <v>6</v>
      </c>
      <c r="R325">
        <v>3</v>
      </c>
      <c r="S325">
        <v>2</v>
      </c>
      <c r="T325">
        <v>2</v>
      </c>
      <c r="U325">
        <v>2</v>
      </c>
      <c r="V325" t="s">
        <v>37</v>
      </c>
      <c r="W325" s="1" t="s">
        <v>187</v>
      </c>
      <c r="Y325" t="s">
        <v>54</v>
      </c>
      <c r="Z325" t="s">
        <v>40</v>
      </c>
      <c r="AA325">
        <v>5</v>
      </c>
      <c r="AB325">
        <v>0</v>
      </c>
      <c r="AC325" t="s">
        <v>41</v>
      </c>
      <c r="AD325" t="s">
        <v>65</v>
      </c>
      <c r="AE325" t="s">
        <v>43</v>
      </c>
      <c r="AF325" s="3">
        <v>440</v>
      </c>
      <c r="AG325" s="3">
        <v>84</v>
      </c>
      <c r="AH325">
        <v>80</v>
      </c>
      <c r="AI325">
        <v>2</v>
      </c>
      <c r="AJ325">
        <v>1</v>
      </c>
      <c r="AK325">
        <v>1</v>
      </c>
      <c r="AL325">
        <v>1</v>
      </c>
      <c r="AM325">
        <v>0</v>
      </c>
      <c r="AN325" t="s">
        <v>767</v>
      </c>
      <c r="AO325" t="s">
        <v>31</v>
      </c>
    </row>
    <row r="326" spans="1:41" x14ac:dyDescent="0.25">
      <c r="A326">
        <v>39</v>
      </c>
      <c r="B326" t="s">
        <v>66</v>
      </c>
      <c r="C326" t="s">
        <v>55</v>
      </c>
      <c r="D326">
        <v>20</v>
      </c>
      <c r="E326" t="s">
        <v>34</v>
      </c>
      <c r="F326">
        <v>3</v>
      </c>
      <c r="G326">
        <v>2</v>
      </c>
      <c r="H326" t="s">
        <v>70</v>
      </c>
      <c r="I326">
        <v>4</v>
      </c>
      <c r="J326" t="s">
        <v>57</v>
      </c>
      <c r="K326">
        <v>4127</v>
      </c>
      <c r="L326">
        <v>2</v>
      </c>
      <c r="M326" t="s">
        <v>41</v>
      </c>
      <c r="N326">
        <v>18</v>
      </c>
      <c r="O326">
        <v>3</v>
      </c>
      <c r="P326">
        <v>1</v>
      </c>
      <c r="Q326">
        <v>7</v>
      </c>
      <c r="R326">
        <v>6</v>
      </c>
      <c r="S326">
        <v>2</v>
      </c>
      <c r="T326">
        <v>2</v>
      </c>
      <c r="U326">
        <v>2</v>
      </c>
      <c r="V326" t="s">
        <v>58</v>
      </c>
      <c r="W326" s="2">
        <v>43741</v>
      </c>
      <c r="Y326" t="s">
        <v>54</v>
      </c>
      <c r="Z326" t="s">
        <v>47</v>
      </c>
      <c r="AA326">
        <v>2</v>
      </c>
      <c r="AB326">
        <v>1</v>
      </c>
      <c r="AC326" t="s">
        <v>41</v>
      </c>
      <c r="AD326" t="s">
        <v>65</v>
      </c>
      <c r="AE326" t="s">
        <v>43</v>
      </c>
      <c r="AF326" s="3">
        <v>441</v>
      </c>
      <c r="AG326" s="3">
        <v>64</v>
      </c>
      <c r="AH326">
        <v>80</v>
      </c>
      <c r="AI326">
        <v>8</v>
      </c>
      <c r="AJ326">
        <v>0</v>
      </c>
      <c r="AL326">
        <v>0</v>
      </c>
      <c r="AM326">
        <v>1</v>
      </c>
      <c r="AN326" t="s">
        <v>768</v>
      </c>
      <c r="AO326" t="s">
        <v>41</v>
      </c>
    </row>
    <row r="327" spans="1:41" x14ac:dyDescent="0.25">
      <c r="A327">
        <v>58</v>
      </c>
      <c r="B327" t="s">
        <v>66</v>
      </c>
      <c r="C327" t="s">
        <v>33</v>
      </c>
      <c r="D327">
        <v>15</v>
      </c>
      <c r="E327" t="s">
        <v>34</v>
      </c>
      <c r="F327">
        <v>3</v>
      </c>
      <c r="G327">
        <v>4</v>
      </c>
      <c r="H327" t="s">
        <v>50</v>
      </c>
      <c r="I327">
        <v>3</v>
      </c>
      <c r="J327" t="s">
        <v>51</v>
      </c>
      <c r="K327">
        <v>15787</v>
      </c>
      <c r="L327">
        <v>2</v>
      </c>
      <c r="M327" t="s">
        <v>31</v>
      </c>
      <c r="N327">
        <v>14</v>
      </c>
      <c r="O327">
        <v>3</v>
      </c>
      <c r="P327">
        <v>0</v>
      </c>
      <c r="Q327">
        <v>23</v>
      </c>
      <c r="R327">
        <v>3</v>
      </c>
      <c r="S327">
        <v>2</v>
      </c>
      <c r="T327">
        <v>2</v>
      </c>
      <c r="U327">
        <v>2</v>
      </c>
      <c r="V327" t="s">
        <v>72</v>
      </c>
      <c r="W327" s="1" t="s">
        <v>199</v>
      </c>
      <c r="Y327" t="s">
        <v>54</v>
      </c>
      <c r="Z327" t="s">
        <v>47</v>
      </c>
      <c r="AA327">
        <v>0</v>
      </c>
      <c r="AB327">
        <v>2</v>
      </c>
      <c r="AC327" t="s">
        <v>41</v>
      </c>
      <c r="AD327" t="s">
        <v>67</v>
      </c>
      <c r="AE327" t="s">
        <v>60</v>
      </c>
      <c r="AF327" s="3">
        <v>442</v>
      </c>
      <c r="AG327" s="3">
        <v>48</v>
      </c>
      <c r="AH327">
        <v>80</v>
      </c>
      <c r="AI327">
        <v>9</v>
      </c>
      <c r="AJ327">
        <v>0</v>
      </c>
      <c r="AL327">
        <v>0</v>
      </c>
      <c r="AM327">
        <v>1</v>
      </c>
      <c r="AN327" t="s">
        <v>768</v>
      </c>
      <c r="AO327" t="s">
        <v>41</v>
      </c>
    </row>
    <row r="328" spans="1:41" x14ac:dyDescent="0.25">
      <c r="A328">
        <v>29</v>
      </c>
      <c r="B328" t="s">
        <v>32</v>
      </c>
      <c r="C328" t="s">
        <v>120</v>
      </c>
      <c r="D328">
        <v>13</v>
      </c>
      <c r="E328" t="s">
        <v>34</v>
      </c>
      <c r="F328">
        <v>2</v>
      </c>
      <c r="G328">
        <v>1</v>
      </c>
      <c r="H328" t="s">
        <v>120</v>
      </c>
      <c r="I328">
        <v>1</v>
      </c>
      <c r="J328" t="s">
        <v>57</v>
      </c>
      <c r="K328">
        <v>2335</v>
      </c>
      <c r="L328">
        <v>4</v>
      </c>
      <c r="M328" t="s">
        <v>31</v>
      </c>
      <c r="N328">
        <v>15</v>
      </c>
      <c r="O328">
        <v>3</v>
      </c>
      <c r="P328">
        <v>3</v>
      </c>
      <c r="Q328">
        <v>4</v>
      </c>
      <c r="R328">
        <v>3</v>
      </c>
      <c r="S328">
        <v>2</v>
      </c>
      <c r="T328">
        <v>2</v>
      </c>
      <c r="U328">
        <v>0</v>
      </c>
      <c r="V328" t="s">
        <v>72</v>
      </c>
      <c r="W328" s="2">
        <v>43620</v>
      </c>
      <c r="Y328" t="s">
        <v>46</v>
      </c>
      <c r="Z328" t="s">
        <v>47</v>
      </c>
      <c r="AA328">
        <v>3</v>
      </c>
      <c r="AB328">
        <v>0</v>
      </c>
      <c r="AC328" t="s">
        <v>31</v>
      </c>
      <c r="AD328" t="s">
        <v>65</v>
      </c>
      <c r="AE328" t="s">
        <v>60</v>
      </c>
      <c r="AF328" s="3">
        <v>444</v>
      </c>
      <c r="AG328" s="3">
        <v>54</v>
      </c>
      <c r="AH328">
        <v>80</v>
      </c>
      <c r="AI328">
        <v>9</v>
      </c>
      <c r="AJ328">
        <v>0</v>
      </c>
      <c r="AL328">
        <v>0</v>
      </c>
      <c r="AM328">
        <v>1</v>
      </c>
      <c r="AN328" t="s">
        <v>768</v>
      </c>
      <c r="AO328" t="s">
        <v>41</v>
      </c>
    </row>
    <row r="329" spans="1:41" x14ac:dyDescent="0.25">
      <c r="A329">
        <v>47</v>
      </c>
      <c r="B329" t="s">
        <v>32</v>
      </c>
      <c r="C329" t="s">
        <v>33</v>
      </c>
      <c r="D329">
        <v>9</v>
      </c>
      <c r="E329" t="s">
        <v>61</v>
      </c>
      <c r="F329">
        <v>3</v>
      </c>
      <c r="G329">
        <v>1</v>
      </c>
      <c r="H329" t="s">
        <v>35</v>
      </c>
      <c r="I329">
        <v>3</v>
      </c>
      <c r="J329" t="s">
        <v>36</v>
      </c>
      <c r="K329">
        <v>2105</v>
      </c>
      <c r="L329">
        <v>4</v>
      </c>
      <c r="M329" t="s">
        <v>41</v>
      </c>
      <c r="N329">
        <v>12</v>
      </c>
      <c r="O329">
        <v>3</v>
      </c>
      <c r="P329">
        <v>0</v>
      </c>
      <c r="Q329">
        <v>7</v>
      </c>
      <c r="R329">
        <v>2</v>
      </c>
      <c r="S329">
        <v>2</v>
      </c>
      <c r="T329">
        <v>2</v>
      </c>
      <c r="U329">
        <v>0</v>
      </c>
      <c r="V329" t="s">
        <v>72</v>
      </c>
      <c r="W329" s="2">
        <v>43586</v>
      </c>
      <c r="Y329" t="s">
        <v>63</v>
      </c>
      <c r="Z329" t="s">
        <v>47</v>
      </c>
      <c r="AA329">
        <v>1</v>
      </c>
      <c r="AB329">
        <v>1</v>
      </c>
      <c r="AC329" t="s">
        <v>31</v>
      </c>
      <c r="AD329" t="s">
        <v>48</v>
      </c>
      <c r="AE329" t="s">
        <v>43</v>
      </c>
      <c r="AF329" s="3">
        <v>445</v>
      </c>
      <c r="AG329" s="3">
        <v>41</v>
      </c>
      <c r="AH329">
        <v>80</v>
      </c>
      <c r="AI329">
        <v>0</v>
      </c>
      <c r="AJ329">
        <v>1</v>
      </c>
      <c r="AK329">
        <v>1</v>
      </c>
      <c r="AL329">
        <v>1</v>
      </c>
      <c r="AM329">
        <v>0</v>
      </c>
      <c r="AN329" t="s">
        <v>767</v>
      </c>
      <c r="AO329" t="s">
        <v>31</v>
      </c>
    </row>
    <row r="330" spans="1:41" x14ac:dyDescent="0.25">
      <c r="A330">
        <v>32</v>
      </c>
      <c r="B330" t="s">
        <v>32</v>
      </c>
      <c r="C330" t="s">
        <v>55</v>
      </c>
      <c r="D330">
        <v>2</v>
      </c>
      <c r="E330" t="s">
        <v>34</v>
      </c>
      <c r="F330">
        <v>2</v>
      </c>
      <c r="G330">
        <v>2</v>
      </c>
      <c r="H330" t="s">
        <v>70</v>
      </c>
      <c r="I330">
        <v>2</v>
      </c>
      <c r="J330" t="s">
        <v>36</v>
      </c>
      <c r="K330">
        <v>9907</v>
      </c>
      <c r="L330">
        <v>7</v>
      </c>
      <c r="M330" t="s">
        <v>31</v>
      </c>
      <c r="N330">
        <v>12</v>
      </c>
      <c r="O330">
        <v>3</v>
      </c>
      <c r="P330">
        <v>0</v>
      </c>
      <c r="Q330">
        <v>7</v>
      </c>
      <c r="R330">
        <v>3</v>
      </c>
      <c r="S330">
        <v>2</v>
      </c>
      <c r="T330">
        <v>2</v>
      </c>
      <c r="U330">
        <v>2</v>
      </c>
      <c r="V330" t="s">
        <v>52</v>
      </c>
      <c r="W330" s="1" t="s">
        <v>213</v>
      </c>
      <c r="Y330" t="s">
        <v>63</v>
      </c>
      <c r="Z330" t="s">
        <v>40</v>
      </c>
      <c r="AA330">
        <v>5</v>
      </c>
      <c r="AB330">
        <v>3</v>
      </c>
      <c r="AC330" t="s">
        <v>41</v>
      </c>
      <c r="AD330" t="s">
        <v>48</v>
      </c>
      <c r="AE330" t="s">
        <v>49</v>
      </c>
      <c r="AF330" s="3">
        <v>446</v>
      </c>
      <c r="AG330" s="3">
        <v>46</v>
      </c>
      <c r="AH330">
        <v>80</v>
      </c>
      <c r="AI330">
        <v>7</v>
      </c>
      <c r="AJ330">
        <v>0</v>
      </c>
      <c r="AL330">
        <v>0</v>
      </c>
      <c r="AM330">
        <v>1</v>
      </c>
      <c r="AN330" t="s">
        <v>768</v>
      </c>
      <c r="AO330" t="s">
        <v>41</v>
      </c>
    </row>
    <row r="331" spans="1:41" x14ac:dyDescent="0.25">
      <c r="A331">
        <v>39</v>
      </c>
      <c r="B331" t="s">
        <v>32</v>
      </c>
      <c r="C331" t="s">
        <v>33</v>
      </c>
      <c r="D331">
        <v>19</v>
      </c>
      <c r="E331" t="s">
        <v>34</v>
      </c>
      <c r="F331">
        <v>3</v>
      </c>
      <c r="G331">
        <v>2</v>
      </c>
      <c r="H331" t="s">
        <v>44</v>
      </c>
      <c r="I331">
        <v>4</v>
      </c>
      <c r="J331" t="s">
        <v>57</v>
      </c>
      <c r="K331">
        <v>3902</v>
      </c>
      <c r="L331">
        <v>8</v>
      </c>
      <c r="M331" t="s">
        <v>41</v>
      </c>
      <c r="N331">
        <v>14</v>
      </c>
      <c r="O331">
        <v>3</v>
      </c>
      <c r="P331">
        <v>3</v>
      </c>
      <c r="Q331">
        <v>7</v>
      </c>
      <c r="R331">
        <v>2</v>
      </c>
      <c r="S331">
        <v>2</v>
      </c>
      <c r="T331">
        <v>2</v>
      </c>
      <c r="U331">
        <v>2</v>
      </c>
      <c r="V331" t="s">
        <v>37</v>
      </c>
      <c r="W331" s="2">
        <v>43772</v>
      </c>
      <c r="Y331" t="s">
        <v>39</v>
      </c>
      <c r="Z331" t="s">
        <v>40</v>
      </c>
      <c r="AA331">
        <v>1</v>
      </c>
      <c r="AB331">
        <v>2</v>
      </c>
      <c r="AC331" t="s">
        <v>31</v>
      </c>
      <c r="AD331" t="s">
        <v>65</v>
      </c>
      <c r="AE331" t="s">
        <v>49</v>
      </c>
      <c r="AF331" s="3">
        <v>447</v>
      </c>
      <c r="AG331" s="3">
        <v>42</v>
      </c>
      <c r="AH331">
        <v>80</v>
      </c>
      <c r="AI331">
        <v>2</v>
      </c>
      <c r="AJ331">
        <v>0</v>
      </c>
      <c r="AL331">
        <v>0</v>
      </c>
      <c r="AM331">
        <v>1</v>
      </c>
      <c r="AN331" t="s">
        <v>768</v>
      </c>
      <c r="AO331" t="s">
        <v>41</v>
      </c>
    </row>
    <row r="332" spans="1:41" x14ac:dyDescent="0.25">
      <c r="A332">
        <v>44</v>
      </c>
      <c r="B332" t="s">
        <v>32</v>
      </c>
      <c r="C332" t="s">
        <v>33</v>
      </c>
      <c r="D332">
        <v>1</v>
      </c>
      <c r="E332" t="s">
        <v>34</v>
      </c>
      <c r="F332">
        <v>4</v>
      </c>
      <c r="G332">
        <v>2</v>
      </c>
      <c r="H332" t="s">
        <v>89</v>
      </c>
      <c r="I332">
        <v>1</v>
      </c>
      <c r="J332" t="s">
        <v>51</v>
      </c>
      <c r="K332">
        <v>5033</v>
      </c>
      <c r="L332">
        <v>2</v>
      </c>
      <c r="M332" t="s">
        <v>41</v>
      </c>
      <c r="N332">
        <v>15</v>
      </c>
      <c r="O332">
        <v>3</v>
      </c>
      <c r="P332">
        <v>1</v>
      </c>
      <c r="Q332">
        <v>10</v>
      </c>
      <c r="R332">
        <v>5</v>
      </c>
      <c r="S332">
        <v>2</v>
      </c>
      <c r="T332">
        <v>2</v>
      </c>
      <c r="U332">
        <v>2</v>
      </c>
      <c r="V332" t="s">
        <v>58</v>
      </c>
      <c r="W332" s="1" t="s">
        <v>172</v>
      </c>
      <c r="Y332" t="s">
        <v>46</v>
      </c>
      <c r="Z332" t="s">
        <v>47</v>
      </c>
      <c r="AA332">
        <v>0</v>
      </c>
      <c r="AB332">
        <v>2</v>
      </c>
      <c r="AC332" t="s">
        <v>41</v>
      </c>
      <c r="AD332" t="s">
        <v>67</v>
      </c>
      <c r="AE332" t="s">
        <v>60</v>
      </c>
      <c r="AF332" s="3">
        <v>448</v>
      </c>
      <c r="AG332" s="3">
        <v>82</v>
      </c>
      <c r="AH332">
        <v>80</v>
      </c>
      <c r="AI332">
        <v>7</v>
      </c>
      <c r="AJ332">
        <v>0</v>
      </c>
      <c r="AL332">
        <v>0</v>
      </c>
      <c r="AM332">
        <v>1</v>
      </c>
      <c r="AN332" t="s">
        <v>768</v>
      </c>
      <c r="AO332" t="s">
        <v>41</v>
      </c>
    </row>
    <row r="333" spans="1:41" x14ac:dyDescent="0.25">
      <c r="A333">
        <v>31</v>
      </c>
      <c r="B333" t="s">
        <v>32</v>
      </c>
      <c r="C333" t="s">
        <v>33</v>
      </c>
      <c r="D333">
        <v>4</v>
      </c>
      <c r="E333" t="s">
        <v>61</v>
      </c>
      <c r="F333">
        <v>4</v>
      </c>
      <c r="G333">
        <v>1</v>
      </c>
      <c r="H333" t="s">
        <v>35</v>
      </c>
      <c r="I333">
        <v>3</v>
      </c>
      <c r="J333" t="s">
        <v>57</v>
      </c>
      <c r="K333">
        <v>3978</v>
      </c>
      <c r="L333">
        <v>8</v>
      </c>
      <c r="M333" t="s">
        <v>41</v>
      </c>
      <c r="N333">
        <v>12</v>
      </c>
      <c r="O333">
        <v>3</v>
      </c>
      <c r="P333">
        <v>1</v>
      </c>
      <c r="Q333">
        <v>4</v>
      </c>
      <c r="R333">
        <v>0</v>
      </c>
      <c r="S333">
        <v>2</v>
      </c>
      <c r="T333">
        <v>2</v>
      </c>
      <c r="U333">
        <v>2</v>
      </c>
      <c r="V333" t="s">
        <v>52</v>
      </c>
      <c r="W333" s="2">
        <v>43619</v>
      </c>
      <c r="Y333" t="s">
        <v>54</v>
      </c>
      <c r="Z333" t="s">
        <v>40</v>
      </c>
      <c r="AA333">
        <v>4</v>
      </c>
      <c r="AB333">
        <v>2</v>
      </c>
      <c r="AC333" t="s">
        <v>31</v>
      </c>
      <c r="AD333" t="s">
        <v>48</v>
      </c>
      <c r="AE333" t="s">
        <v>60</v>
      </c>
      <c r="AF333" s="3">
        <v>449</v>
      </c>
      <c r="AG333" s="3">
        <v>73</v>
      </c>
      <c r="AH333">
        <v>80</v>
      </c>
      <c r="AI333">
        <v>4</v>
      </c>
      <c r="AJ333">
        <v>0</v>
      </c>
      <c r="AL333">
        <v>0</v>
      </c>
      <c r="AM333">
        <v>1</v>
      </c>
      <c r="AN333" t="s">
        <v>768</v>
      </c>
      <c r="AO333" t="s">
        <v>41</v>
      </c>
    </row>
    <row r="334" spans="1:41" x14ac:dyDescent="0.25">
      <c r="A334">
        <v>28</v>
      </c>
      <c r="B334" t="s">
        <v>32</v>
      </c>
      <c r="C334" t="s">
        <v>55</v>
      </c>
      <c r="D334">
        <v>13</v>
      </c>
      <c r="E334" t="s">
        <v>61</v>
      </c>
      <c r="F334">
        <v>3</v>
      </c>
      <c r="G334">
        <v>2</v>
      </c>
      <c r="H334" t="s">
        <v>70</v>
      </c>
      <c r="I334">
        <v>3</v>
      </c>
      <c r="J334" t="s">
        <v>36</v>
      </c>
      <c r="K334">
        <v>9854</v>
      </c>
      <c r="L334">
        <v>3</v>
      </c>
      <c r="M334" t="s">
        <v>31</v>
      </c>
      <c r="N334">
        <v>11</v>
      </c>
      <c r="O334">
        <v>3</v>
      </c>
      <c r="P334">
        <v>0</v>
      </c>
      <c r="Q334">
        <v>6</v>
      </c>
      <c r="R334">
        <v>0</v>
      </c>
      <c r="S334">
        <v>2</v>
      </c>
      <c r="T334">
        <v>2</v>
      </c>
      <c r="U334">
        <v>2</v>
      </c>
      <c r="V334" t="s">
        <v>72</v>
      </c>
      <c r="W334" s="1" t="s">
        <v>214</v>
      </c>
      <c r="Y334" t="s">
        <v>46</v>
      </c>
      <c r="Z334" t="s">
        <v>40</v>
      </c>
      <c r="AA334">
        <v>4</v>
      </c>
      <c r="AB334">
        <v>2</v>
      </c>
      <c r="AC334" t="s">
        <v>31</v>
      </c>
      <c r="AD334" t="s">
        <v>67</v>
      </c>
      <c r="AE334" t="s">
        <v>49</v>
      </c>
      <c r="AF334" s="3">
        <v>450</v>
      </c>
      <c r="AG334" s="3">
        <v>31</v>
      </c>
      <c r="AH334">
        <v>80</v>
      </c>
      <c r="AI334">
        <v>3</v>
      </c>
      <c r="AJ334">
        <v>0</v>
      </c>
      <c r="AL334">
        <v>0</v>
      </c>
      <c r="AM334">
        <v>1</v>
      </c>
      <c r="AN334" t="s">
        <v>768</v>
      </c>
      <c r="AO334" t="s">
        <v>41</v>
      </c>
    </row>
    <row r="335" spans="1:41" x14ac:dyDescent="0.25">
      <c r="A335">
        <v>53</v>
      </c>
      <c r="B335" t="s">
        <v>32</v>
      </c>
      <c r="C335" t="s">
        <v>55</v>
      </c>
      <c r="D335">
        <v>24</v>
      </c>
      <c r="E335" t="s">
        <v>34</v>
      </c>
      <c r="F335">
        <v>3</v>
      </c>
      <c r="G335">
        <v>3</v>
      </c>
      <c r="H335" t="s">
        <v>70</v>
      </c>
      <c r="I335">
        <v>1</v>
      </c>
      <c r="J335" t="s">
        <v>36</v>
      </c>
      <c r="K335">
        <v>10448</v>
      </c>
      <c r="L335">
        <v>6</v>
      </c>
      <c r="M335" t="s">
        <v>31</v>
      </c>
      <c r="N335">
        <v>13</v>
      </c>
      <c r="O335">
        <v>3</v>
      </c>
      <c r="P335">
        <v>0</v>
      </c>
      <c r="Q335">
        <v>15</v>
      </c>
      <c r="R335">
        <v>2</v>
      </c>
      <c r="S335">
        <v>2</v>
      </c>
      <c r="T335">
        <v>2</v>
      </c>
      <c r="U335">
        <v>2</v>
      </c>
      <c r="V335" t="s">
        <v>72</v>
      </c>
      <c r="W335" s="2">
        <v>43713</v>
      </c>
      <c r="Y335" t="s">
        <v>69</v>
      </c>
      <c r="Z335" t="s">
        <v>40</v>
      </c>
      <c r="AA335">
        <v>5</v>
      </c>
      <c r="AB335">
        <v>0</v>
      </c>
      <c r="AC335" t="s">
        <v>31</v>
      </c>
      <c r="AD335" t="s">
        <v>65</v>
      </c>
      <c r="AE335" t="s">
        <v>43</v>
      </c>
      <c r="AF335" s="3">
        <v>451</v>
      </c>
      <c r="AG335" s="3">
        <v>43</v>
      </c>
      <c r="AH335">
        <v>80</v>
      </c>
      <c r="AI335">
        <v>0</v>
      </c>
      <c r="AJ335">
        <v>0</v>
      </c>
      <c r="AL335">
        <v>0</v>
      </c>
      <c r="AM335">
        <v>1</v>
      </c>
      <c r="AN335" t="s">
        <v>768</v>
      </c>
      <c r="AO335" t="s">
        <v>41</v>
      </c>
    </row>
    <row r="336" spans="1:41" x14ac:dyDescent="0.25">
      <c r="A336">
        <v>25</v>
      </c>
      <c r="B336" t="s">
        <v>32</v>
      </c>
      <c r="C336" t="s">
        <v>120</v>
      </c>
      <c r="D336">
        <v>2</v>
      </c>
      <c r="E336" t="s">
        <v>61</v>
      </c>
      <c r="F336">
        <v>3</v>
      </c>
      <c r="G336">
        <v>1</v>
      </c>
      <c r="H336" t="s">
        <v>120</v>
      </c>
      <c r="I336">
        <v>2</v>
      </c>
      <c r="J336" t="s">
        <v>51</v>
      </c>
      <c r="K336">
        <v>2187</v>
      </c>
      <c r="L336">
        <v>4</v>
      </c>
      <c r="M336" t="s">
        <v>41</v>
      </c>
      <c r="N336">
        <v>14</v>
      </c>
      <c r="O336">
        <v>3</v>
      </c>
      <c r="P336">
        <v>0</v>
      </c>
      <c r="Q336">
        <v>6</v>
      </c>
      <c r="R336">
        <v>3</v>
      </c>
      <c r="S336">
        <v>2</v>
      </c>
      <c r="T336">
        <v>1</v>
      </c>
      <c r="U336">
        <v>2</v>
      </c>
      <c r="V336" t="s">
        <v>37</v>
      </c>
      <c r="W336" s="1" t="s">
        <v>215</v>
      </c>
      <c r="Y336" t="s">
        <v>39</v>
      </c>
      <c r="Z336" t="s">
        <v>40</v>
      </c>
      <c r="AA336">
        <v>3</v>
      </c>
      <c r="AB336">
        <v>0</v>
      </c>
      <c r="AC336" t="s">
        <v>41</v>
      </c>
      <c r="AD336" t="s">
        <v>67</v>
      </c>
      <c r="AE336" t="s">
        <v>49</v>
      </c>
      <c r="AF336" s="3">
        <v>452</v>
      </c>
      <c r="AG336" s="3">
        <v>75</v>
      </c>
      <c r="AH336">
        <v>80</v>
      </c>
      <c r="AI336">
        <v>9</v>
      </c>
      <c r="AJ336">
        <v>0</v>
      </c>
      <c r="AL336">
        <v>0</v>
      </c>
      <c r="AM336">
        <v>1</v>
      </c>
      <c r="AN336" t="s">
        <v>768</v>
      </c>
      <c r="AO336" t="s">
        <v>41</v>
      </c>
    </row>
    <row r="337" spans="1:41" x14ac:dyDescent="0.25">
      <c r="A337">
        <v>25</v>
      </c>
      <c r="B337" t="s">
        <v>32</v>
      </c>
      <c r="C337" t="s">
        <v>33</v>
      </c>
      <c r="D337">
        <v>2</v>
      </c>
      <c r="E337" t="s">
        <v>34</v>
      </c>
      <c r="F337">
        <v>3</v>
      </c>
      <c r="G337">
        <v>1</v>
      </c>
      <c r="H337" t="s">
        <v>35</v>
      </c>
      <c r="I337">
        <v>3</v>
      </c>
      <c r="J337" t="s">
        <v>57</v>
      </c>
      <c r="K337">
        <v>3977</v>
      </c>
      <c r="L337">
        <v>6</v>
      </c>
      <c r="M337" t="s">
        <v>31</v>
      </c>
      <c r="N337">
        <v>19</v>
      </c>
      <c r="O337">
        <v>3</v>
      </c>
      <c r="P337">
        <v>1</v>
      </c>
      <c r="Q337">
        <v>7</v>
      </c>
      <c r="R337">
        <v>2</v>
      </c>
      <c r="S337">
        <v>2</v>
      </c>
      <c r="T337">
        <v>0</v>
      </c>
      <c r="U337">
        <v>2</v>
      </c>
      <c r="V337" t="s">
        <v>72</v>
      </c>
      <c r="W337" s="1" t="s">
        <v>196</v>
      </c>
      <c r="Y337" t="s">
        <v>54</v>
      </c>
      <c r="Z337" t="s">
        <v>47</v>
      </c>
      <c r="AA337">
        <v>2</v>
      </c>
      <c r="AB337">
        <v>2</v>
      </c>
      <c r="AC337" t="s">
        <v>31</v>
      </c>
      <c r="AD337" t="s">
        <v>42</v>
      </c>
      <c r="AE337" t="s">
        <v>43</v>
      </c>
      <c r="AF337" s="3">
        <v>453</v>
      </c>
      <c r="AG337" s="3">
        <v>57</v>
      </c>
      <c r="AH337">
        <v>80</v>
      </c>
      <c r="AI337">
        <v>3</v>
      </c>
      <c r="AJ337">
        <v>0</v>
      </c>
      <c r="AL337">
        <v>0</v>
      </c>
      <c r="AM337">
        <v>1</v>
      </c>
      <c r="AN337" t="s">
        <v>768</v>
      </c>
      <c r="AO337" t="s">
        <v>41</v>
      </c>
    </row>
    <row r="338" spans="1:41" x14ac:dyDescent="0.25">
      <c r="A338">
        <v>31</v>
      </c>
      <c r="B338" t="s">
        <v>32</v>
      </c>
      <c r="C338" t="s">
        <v>55</v>
      </c>
      <c r="D338">
        <v>2</v>
      </c>
      <c r="E338" t="s">
        <v>34</v>
      </c>
      <c r="F338">
        <v>3</v>
      </c>
      <c r="G338">
        <v>1</v>
      </c>
      <c r="H338" t="s">
        <v>56</v>
      </c>
      <c r="I338">
        <v>3</v>
      </c>
      <c r="J338" t="s">
        <v>51</v>
      </c>
      <c r="K338">
        <v>3067</v>
      </c>
      <c r="L338">
        <v>0</v>
      </c>
      <c r="M338" t="s">
        <v>41</v>
      </c>
      <c r="N338">
        <v>19</v>
      </c>
      <c r="O338">
        <v>3</v>
      </c>
      <c r="P338">
        <v>1</v>
      </c>
      <c r="Q338">
        <v>3</v>
      </c>
      <c r="R338">
        <v>1</v>
      </c>
      <c r="S338">
        <v>2</v>
      </c>
      <c r="T338">
        <v>1</v>
      </c>
      <c r="U338">
        <v>2</v>
      </c>
      <c r="V338" t="s">
        <v>72</v>
      </c>
      <c r="W338" s="1" t="s">
        <v>216</v>
      </c>
      <c r="Y338" t="s">
        <v>46</v>
      </c>
      <c r="Z338" t="s">
        <v>47</v>
      </c>
      <c r="AA338">
        <v>0</v>
      </c>
      <c r="AB338">
        <v>2</v>
      </c>
      <c r="AC338" t="s">
        <v>41</v>
      </c>
      <c r="AD338" t="s">
        <v>48</v>
      </c>
      <c r="AE338" t="s">
        <v>60</v>
      </c>
      <c r="AF338" s="3">
        <v>454</v>
      </c>
      <c r="AG338" s="3">
        <v>77</v>
      </c>
      <c r="AH338">
        <v>80</v>
      </c>
      <c r="AI338">
        <v>7</v>
      </c>
      <c r="AJ338">
        <v>1</v>
      </c>
      <c r="AK338">
        <v>1</v>
      </c>
      <c r="AL338">
        <v>1</v>
      </c>
      <c r="AM338">
        <v>0</v>
      </c>
      <c r="AN338" t="s">
        <v>767</v>
      </c>
      <c r="AO338" t="s">
        <v>31</v>
      </c>
    </row>
    <row r="339" spans="1:41" x14ac:dyDescent="0.25">
      <c r="A339">
        <v>35</v>
      </c>
      <c r="B339" t="s">
        <v>32</v>
      </c>
      <c r="C339" t="s">
        <v>33</v>
      </c>
      <c r="D339">
        <v>11</v>
      </c>
      <c r="E339" t="s">
        <v>34</v>
      </c>
      <c r="F339">
        <v>3</v>
      </c>
      <c r="G339">
        <v>1</v>
      </c>
      <c r="H339" t="s">
        <v>35</v>
      </c>
      <c r="I339">
        <v>3</v>
      </c>
      <c r="J339" t="s">
        <v>51</v>
      </c>
      <c r="K339">
        <v>2660</v>
      </c>
      <c r="L339">
        <v>7</v>
      </c>
      <c r="M339" t="s">
        <v>31</v>
      </c>
      <c r="N339">
        <v>11</v>
      </c>
      <c r="O339">
        <v>3</v>
      </c>
      <c r="P339">
        <v>1</v>
      </c>
      <c r="Q339">
        <v>5</v>
      </c>
      <c r="R339">
        <v>3</v>
      </c>
      <c r="S339">
        <v>2</v>
      </c>
      <c r="T339">
        <v>2</v>
      </c>
      <c r="U339">
        <v>2</v>
      </c>
      <c r="V339" t="s">
        <v>58</v>
      </c>
      <c r="W339" s="2">
        <v>43589</v>
      </c>
      <c r="Y339" t="s">
        <v>69</v>
      </c>
      <c r="Z339" t="s">
        <v>40</v>
      </c>
      <c r="AA339">
        <v>2</v>
      </c>
      <c r="AB339">
        <v>1</v>
      </c>
      <c r="AC339" t="s">
        <v>41</v>
      </c>
      <c r="AD339" t="s">
        <v>65</v>
      </c>
      <c r="AE339" t="s">
        <v>49</v>
      </c>
      <c r="AF339" s="3">
        <v>455</v>
      </c>
      <c r="AG339" s="3">
        <v>30</v>
      </c>
      <c r="AH339">
        <v>80</v>
      </c>
      <c r="AI339">
        <v>2</v>
      </c>
      <c r="AJ339">
        <v>0</v>
      </c>
      <c r="AL339">
        <v>0</v>
      </c>
      <c r="AM339">
        <v>1</v>
      </c>
      <c r="AN339" t="s">
        <v>768</v>
      </c>
      <c r="AO339" t="s">
        <v>41</v>
      </c>
    </row>
    <row r="340" spans="1:41" x14ac:dyDescent="0.25">
      <c r="A340">
        <v>32</v>
      </c>
      <c r="B340" t="s">
        <v>32</v>
      </c>
      <c r="C340" t="s">
        <v>55</v>
      </c>
      <c r="D340">
        <v>1</v>
      </c>
      <c r="E340" t="s">
        <v>34</v>
      </c>
      <c r="F340">
        <v>2</v>
      </c>
      <c r="G340">
        <v>1</v>
      </c>
      <c r="H340" t="s">
        <v>56</v>
      </c>
      <c r="I340">
        <v>2</v>
      </c>
      <c r="J340" t="s">
        <v>51</v>
      </c>
      <c r="K340">
        <v>2269</v>
      </c>
      <c r="L340">
        <v>0</v>
      </c>
      <c r="M340" t="s">
        <v>41</v>
      </c>
      <c r="N340">
        <v>14</v>
      </c>
      <c r="O340">
        <v>3</v>
      </c>
      <c r="P340">
        <v>1</v>
      </c>
      <c r="Q340">
        <v>3</v>
      </c>
      <c r="R340">
        <v>2</v>
      </c>
      <c r="S340">
        <v>2</v>
      </c>
      <c r="T340">
        <v>2</v>
      </c>
      <c r="U340">
        <v>2</v>
      </c>
      <c r="V340" t="s">
        <v>37</v>
      </c>
      <c r="W340" s="1" t="s">
        <v>187</v>
      </c>
      <c r="Y340" t="s">
        <v>69</v>
      </c>
      <c r="Z340" t="s">
        <v>47</v>
      </c>
      <c r="AA340">
        <v>3</v>
      </c>
      <c r="AB340">
        <v>2</v>
      </c>
      <c r="AC340" t="s">
        <v>41</v>
      </c>
      <c r="AD340" t="s">
        <v>67</v>
      </c>
      <c r="AE340" t="s">
        <v>49</v>
      </c>
      <c r="AF340" s="3">
        <v>456</v>
      </c>
      <c r="AG340" s="3">
        <v>30</v>
      </c>
      <c r="AH340">
        <v>80</v>
      </c>
      <c r="AI340">
        <v>9</v>
      </c>
      <c r="AJ340">
        <v>0</v>
      </c>
      <c r="AL340">
        <v>0</v>
      </c>
      <c r="AM340">
        <v>1</v>
      </c>
      <c r="AN340" t="s">
        <v>768</v>
      </c>
      <c r="AO340" t="s">
        <v>41</v>
      </c>
    </row>
    <row r="341" spans="1:41" x14ac:dyDescent="0.25">
      <c r="A341">
        <v>21</v>
      </c>
      <c r="B341" t="s">
        <v>32</v>
      </c>
      <c r="C341" t="s">
        <v>55</v>
      </c>
      <c r="D341">
        <v>5</v>
      </c>
      <c r="E341" t="s">
        <v>34</v>
      </c>
      <c r="F341">
        <v>3</v>
      </c>
      <c r="G341">
        <v>1</v>
      </c>
      <c r="H341" t="s">
        <v>56</v>
      </c>
      <c r="I341">
        <v>1</v>
      </c>
      <c r="J341" t="s">
        <v>36</v>
      </c>
      <c r="K341">
        <v>2380</v>
      </c>
      <c r="L341">
        <v>1</v>
      </c>
      <c r="M341" t="s">
        <v>31</v>
      </c>
      <c r="N341">
        <v>11</v>
      </c>
      <c r="O341">
        <v>3</v>
      </c>
      <c r="P341">
        <v>0</v>
      </c>
      <c r="Q341">
        <v>2</v>
      </c>
      <c r="R341">
        <v>6</v>
      </c>
      <c r="S341">
        <v>2</v>
      </c>
      <c r="T341">
        <v>1</v>
      </c>
      <c r="U341">
        <v>2</v>
      </c>
      <c r="V341" t="s">
        <v>72</v>
      </c>
      <c r="W341" s="2">
        <v>43498</v>
      </c>
      <c r="Y341" t="s">
        <v>69</v>
      </c>
      <c r="Z341" t="s">
        <v>40</v>
      </c>
      <c r="AA341">
        <v>4</v>
      </c>
      <c r="AB341">
        <v>2</v>
      </c>
      <c r="AC341" t="s">
        <v>31</v>
      </c>
      <c r="AD341" t="s">
        <v>48</v>
      </c>
      <c r="AE341" t="s">
        <v>49</v>
      </c>
      <c r="AF341" s="3">
        <v>458</v>
      </c>
      <c r="AG341" s="3">
        <v>56</v>
      </c>
      <c r="AH341">
        <v>80</v>
      </c>
      <c r="AI341">
        <v>7</v>
      </c>
      <c r="AJ341">
        <v>0</v>
      </c>
      <c r="AL341">
        <v>0</v>
      </c>
      <c r="AM341">
        <v>1</v>
      </c>
      <c r="AN341" t="s">
        <v>768</v>
      </c>
      <c r="AO341" t="s">
        <v>41</v>
      </c>
    </row>
    <row r="342" spans="1:41" x14ac:dyDescent="0.25">
      <c r="A342">
        <v>29</v>
      </c>
      <c r="B342" t="s">
        <v>32</v>
      </c>
      <c r="C342" t="s">
        <v>33</v>
      </c>
      <c r="D342">
        <v>1</v>
      </c>
      <c r="E342" t="s">
        <v>34</v>
      </c>
      <c r="F342">
        <v>3</v>
      </c>
      <c r="G342">
        <v>1</v>
      </c>
      <c r="H342" t="s">
        <v>44</v>
      </c>
      <c r="I342">
        <v>4</v>
      </c>
      <c r="J342" t="s">
        <v>51</v>
      </c>
      <c r="K342">
        <v>4787</v>
      </c>
      <c r="L342">
        <v>9</v>
      </c>
      <c r="M342" t="s">
        <v>31</v>
      </c>
      <c r="N342">
        <v>14</v>
      </c>
      <c r="O342">
        <v>3</v>
      </c>
      <c r="P342">
        <v>3</v>
      </c>
      <c r="Q342">
        <v>4</v>
      </c>
      <c r="R342">
        <v>3</v>
      </c>
      <c r="S342">
        <v>2</v>
      </c>
      <c r="T342">
        <v>2</v>
      </c>
      <c r="U342">
        <v>2</v>
      </c>
      <c r="V342" t="s">
        <v>58</v>
      </c>
      <c r="W342" s="1" t="s">
        <v>180</v>
      </c>
      <c r="Y342" t="s">
        <v>39</v>
      </c>
      <c r="Z342" t="s">
        <v>40</v>
      </c>
      <c r="AA342">
        <v>0</v>
      </c>
      <c r="AB342">
        <v>0</v>
      </c>
      <c r="AC342" t="s">
        <v>31</v>
      </c>
      <c r="AD342" t="s">
        <v>48</v>
      </c>
      <c r="AE342" t="s">
        <v>49</v>
      </c>
      <c r="AF342" s="3">
        <v>460</v>
      </c>
      <c r="AG342" s="3">
        <v>61</v>
      </c>
      <c r="AH342">
        <v>80</v>
      </c>
      <c r="AI342">
        <v>2</v>
      </c>
      <c r="AJ342">
        <v>0</v>
      </c>
      <c r="AL342">
        <v>0</v>
      </c>
      <c r="AM342">
        <v>1</v>
      </c>
      <c r="AN342" t="s">
        <v>768</v>
      </c>
      <c r="AO342" t="s">
        <v>41</v>
      </c>
    </row>
    <row r="343" spans="1:41" x14ac:dyDescent="0.25">
      <c r="A343">
        <v>40</v>
      </c>
      <c r="B343" t="s">
        <v>32</v>
      </c>
      <c r="C343" t="s">
        <v>33</v>
      </c>
      <c r="D343">
        <v>2</v>
      </c>
      <c r="E343" t="s">
        <v>34</v>
      </c>
      <c r="F343">
        <v>2</v>
      </c>
      <c r="G343">
        <v>1</v>
      </c>
      <c r="H343" t="s">
        <v>44</v>
      </c>
      <c r="I343">
        <v>3</v>
      </c>
      <c r="J343" t="s">
        <v>36</v>
      </c>
      <c r="K343">
        <v>2809</v>
      </c>
      <c r="L343">
        <v>2</v>
      </c>
      <c r="M343" t="s">
        <v>41</v>
      </c>
      <c r="N343">
        <v>14</v>
      </c>
      <c r="O343">
        <v>3</v>
      </c>
      <c r="P343">
        <v>0</v>
      </c>
      <c r="Q343">
        <v>8</v>
      </c>
      <c r="R343">
        <v>2</v>
      </c>
      <c r="S343">
        <v>2</v>
      </c>
      <c r="T343">
        <v>2</v>
      </c>
      <c r="U343">
        <v>2</v>
      </c>
      <c r="V343" t="s">
        <v>58</v>
      </c>
      <c r="W343" s="1" t="s">
        <v>217</v>
      </c>
      <c r="Y343" t="s">
        <v>69</v>
      </c>
      <c r="Z343" t="s">
        <v>40</v>
      </c>
      <c r="AA343">
        <v>4</v>
      </c>
      <c r="AB343">
        <v>2</v>
      </c>
      <c r="AC343" t="s">
        <v>31</v>
      </c>
      <c r="AD343" t="s">
        <v>67</v>
      </c>
      <c r="AE343" t="s">
        <v>49</v>
      </c>
      <c r="AF343" s="3">
        <v>461</v>
      </c>
      <c r="AG343" s="3">
        <v>92</v>
      </c>
      <c r="AH343">
        <v>80</v>
      </c>
      <c r="AI343">
        <v>10</v>
      </c>
      <c r="AJ343">
        <v>0</v>
      </c>
      <c r="AL343">
        <v>0</v>
      </c>
      <c r="AM343">
        <v>1</v>
      </c>
      <c r="AN343" t="s">
        <v>768</v>
      </c>
      <c r="AO343" t="s">
        <v>41</v>
      </c>
    </row>
    <row r="344" spans="1:41" x14ac:dyDescent="0.25">
      <c r="A344">
        <v>38</v>
      </c>
      <c r="B344" t="s">
        <v>32</v>
      </c>
      <c r="C344" t="s">
        <v>33</v>
      </c>
      <c r="D344">
        <v>2</v>
      </c>
      <c r="E344" t="s">
        <v>34</v>
      </c>
      <c r="F344">
        <v>3</v>
      </c>
      <c r="G344">
        <v>1</v>
      </c>
      <c r="H344" t="s">
        <v>44</v>
      </c>
      <c r="I344">
        <v>4</v>
      </c>
      <c r="J344" t="s">
        <v>36</v>
      </c>
      <c r="K344">
        <v>3944</v>
      </c>
      <c r="L344">
        <v>5</v>
      </c>
      <c r="M344" t="s">
        <v>31</v>
      </c>
      <c r="N344">
        <v>11</v>
      </c>
      <c r="O344">
        <v>3</v>
      </c>
      <c r="P344">
        <v>0</v>
      </c>
      <c r="Q344">
        <v>6</v>
      </c>
      <c r="R344">
        <v>3</v>
      </c>
      <c r="S344">
        <v>3</v>
      </c>
      <c r="T344">
        <v>1</v>
      </c>
      <c r="U344">
        <v>2</v>
      </c>
      <c r="V344" t="s">
        <v>52</v>
      </c>
      <c r="W344" s="1" t="s">
        <v>218</v>
      </c>
      <c r="Y344" t="s">
        <v>46</v>
      </c>
      <c r="Z344" t="s">
        <v>40</v>
      </c>
      <c r="AA344">
        <v>3</v>
      </c>
      <c r="AB344">
        <v>1</v>
      </c>
      <c r="AC344" t="s">
        <v>31</v>
      </c>
      <c r="AD344" t="s">
        <v>42</v>
      </c>
      <c r="AE344" t="s">
        <v>49</v>
      </c>
      <c r="AF344" s="3">
        <v>462</v>
      </c>
      <c r="AG344" s="3">
        <v>39</v>
      </c>
      <c r="AH344">
        <v>80</v>
      </c>
      <c r="AI344">
        <v>9</v>
      </c>
      <c r="AJ344">
        <v>0</v>
      </c>
      <c r="AL344">
        <v>0</v>
      </c>
      <c r="AM344">
        <v>1</v>
      </c>
      <c r="AN344" t="s">
        <v>768</v>
      </c>
      <c r="AO344" t="s">
        <v>41</v>
      </c>
    </row>
    <row r="345" spans="1:41" x14ac:dyDescent="0.25">
      <c r="A345">
        <v>50</v>
      </c>
      <c r="B345" t="s">
        <v>32</v>
      </c>
      <c r="C345" t="s">
        <v>55</v>
      </c>
      <c r="D345">
        <v>3</v>
      </c>
      <c r="E345" t="s">
        <v>34</v>
      </c>
      <c r="F345">
        <v>2</v>
      </c>
      <c r="G345">
        <v>1</v>
      </c>
      <c r="H345" t="s">
        <v>56</v>
      </c>
      <c r="I345">
        <v>3</v>
      </c>
      <c r="J345" t="s">
        <v>51</v>
      </c>
      <c r="K345">
        <v>2683</v>
      </c>
      <c r="L345">
        <v>1</v>
      </c>
      <c r="M345" t="s">
        <v>31</v>
      </c>
      <c r="N345">
        <v>14</v>
      </c>
      <c r="O345">
        <v>3</v>
      </c>
      <c r="P345">
        <v>0</v>
      </c>
      <c r="Q345">
        <v>3</v>
      </c>
      <c r="R345">
        <v>2</v>
      </c>
      <c r="S345">
        <v>3</v>
      </c>
      <c r="T345">
        <v>0</v>
      </c>
      <c r="U345">
        <v>2</v>
      </c>
      <c r="V345" t="s">
        <v>58</v>
      </c>
      <c r="W345" s="1" t="s">
        <v>219</v>
      </c>
      <c r="Y345" t="s">
        <v>63</v>
      </c>
      <c r="Z345" t="s">
        <v>47</v>
      </c>
      <c r="AA345">
        <v>3</v>
      </c>
      <c r="AB345">
        <v>0</v>
      </c>
      <c r="AC345" t="s">
        <v>31</v>
      </c>
      <c r="AD345" t="s">
        <v>67</v>
      </c>
      <c r="AE345" t="s">
        <v>43</v>
      </c>
      <c r="AF345" s="3">
        <v>463</v>
      </c>
      <c r="AG345" s="3">
        <v>39</v>
      </c>
      <c r="AH345">
        <v>80</v>
      </c>
      <c r="AI345">
        <v>7</v>
      </c>
      <c r="AJ345">
        <v>0</v>
      </c>
      <c r="AL345">
        <v>0</v>
      </c>
      <c r="AM345">
        <v>1</v>
      </c>
      <c r="AN345" t="s">
        <v>768</v>
      </c>
      <c r="AO345" t="s">
        <v>41</v>
      </c>
    </row>
    <row r="346" spans="1:41" x14ac:dyDescent="0.25">
      <c r="A346">
        <v>35</v>
      </c>
      <c r="B346" t="s">
        <v>66</v>
      </c>
      <c r="C346" t="s">
        <v>33</v>
      </c>
      <c r="D346">
        <v>1</v>
      </c>
      <c r="E346" t="s">
        <v>34</v>
      </c>
      <c r="F346">
        <v>3</v>
      </c>
      <c r="G346">
        <v>1</v>
      </c>
      <c r="H346" t="s">
        <v>44</v>
      </c>
      <c r="I346">
        <v>1</v>
      </c>
      <c r="J346" t="s">
        <v>51</v>
      </c>
      <c r="K346">
        <v>2194</v>
      </c>
      <c r="L346">
        <v>4</v>
      </c>
      <c r="M346" t="s">
        <v>41</v>
      </c>
      <c r="N346">
        <v>13</v>
      </c>
      <c r="O346">
        <v>3</v>
      </c>
      <c r="P346">
        <v>1</v>
      </c>
      <c r="Q346">
        <v>5</v>
      </c>
      <c r="R346">
        <v>2</v>
      </c>
      <c r="S346">
        <v>3</v>
      </c>
      <c r="T346">
        <v>1</v>
      </c>
      <c r="U346">
        <v>2</v>
      </c>
      <c r="V346" t="s">
        <v>37</v>
      </c>
      <c r="W346" s="2">
        <v>43132</v>
      </c>
      <c r="Y346" t="s">
        <v>46</v>
      </c>
      <c r="Z346" t="s">
        <v>47</v>
      </c>
      <c r="AA346">
        <v>2</v>
      </c>
      <c r="AB346">
        <v>3</v>
      </c>
      <c r="AC346" t="s">
        <v>31</v>
      </c>
      <c r="AD346" t="s">
        <v>48</v>
      </c>
      <c r="AE346" t="s">
        <v>60</v>
      </c>
      <c r="AF346" s="3">
        <v>464</v>
      </c>
      <c r="AG346" s="3">
        <v>62</v>
      </c>
      <c r="AH346">
        <v>80</v>
      </c>
      <c r="AI346">
        <v>6</v>
      </c>
      <c r="AJ346">
        <v>0</v>
      </c>
      <c r="AL346">
        <v>0</v>
      </c>
      <c r="AM346">
        <v>1</v>
      </c>
      <c r="AN346" t="s">
        <v>768</v>
      </c>
      <c r="AO346" t="s">
        <v>41</v>
      </c>
    </row>
    <row r="347" spans="1:41" x14ac:dyDescent="0.25">
      <c r="A347">
        <v>24</v>
      </c>
      <c r="B347" t="s">
        <v>32</v>
      </c>
      <c r="C347" t="s">
        <v>55</v>
      </c>
      <c r="D347">
        <v>3</v>
      </c>
      <c r="E347" t="s">
        <v>61</v>
      </c>
      <c r="F347">
        <v>3</v>
      </c>
      <c r="G347">
        <v>2</v>
      </c>
      <c r="H347" t="s">
        <v>70</v>
      </c>
      <c r="I347">
        <v>3</v>
      </c>
      <c r="J347" t="s">
        <v>51</v>
      </c>
      <c r="K347">
        <v>4999</v>
      </c>
      <c r="L347">
        <v>0</v>
      </c>
      <c r="M347" t="s">
        <v>41</v>
      </c>
      <c r="N347">
        <v>21</v>
      </c>
      <c r="O347">
        <v>4</v>
      </c>
      <c r="P347">
        <v>1</v>
      </c>
      <c r="Q347">
        <v>4</v>
      </c>
      <c r="R347">
        <v>2</v>
      </c>
      <c r="S347">
        <v>3</v>
      </c>
      <c r="T347">
        <v>0</v>
      </c>
      <c r="U347">
        <v>2</v>
      </c>
      <c r="V347" t="s">
        <v>37</v>
      </c>
      <c r="W347" s="1" t="s">
        <v>220</v>
      </c>
      <c r="Y347" t="s">
        <v>54</v>
      </c>
      <c r="Z347" t="s">
        <v>40</v>
      </c>
      <c r="AA347">
        <v>1</v>
      </c>
      <c r="AB347">
        <v>1</v>
      </c>
      <c r="AC347" t="s">
        <v>41</v>
      </c>
      <c r="AD347" t="s">
        <v>48</v>
      </c>
      <c r="AE347" t="s">
        <v>60</v>
      </c>
      <c r="AF347" s="3">
        <v>465</v>
      </c>
      <c r="AG347" s="3">
        <v>83</v>
      </c>
      <c r="AH347">
        <v>80</v>
      </c>
      <c r="AI347">
        <v>2</v>
      </c>
      <c r="AJ347">
        <v>0</v>
      </c>
      <c r="AL347">
        <v>0</v>
      </c>
      <c r="AM347">
        <v>1</v>
      </c>
      <c r="AN347" t="s">
        <v>768</v>
      </c>
      <c r="AO347" t="s">
        <v>41</v>
      </c>
    </row>
    <row r="348" spans="1:41" x14ac:dyDescent="0.25">
      <c r="A348">
        <v>44</v>
      </c>
      <c r="B348" t="s">
        <v>81</v>
      </c>
      <c r="C348" t="s">
        <v>33</v>
      </c>
      <c r="D348">
        <v>23</v>
      </c>
      <c r="E348" t="s">
        <v>34</v>
      </c>
      <c r="F348">
        <v>3</v>
      </c>
      <c r="G348">
        <v>2</v>
      </c>
      <c r="H348" t="s">
        <v>35</v>
      </c>
      <c r="I348">
        <v>2</v>
      </c>
      <c r="J348" t="s">
        <v>51</v>
      </c>
      <c r="K348">
        <v>2042</v>
      </c>
      <c r="L348">
        <v>4</v>
      </c>
      <c r="M348" t="s">
        <v>41</v>
      </c>
      <c r="N348">
        <v>12</v>
      </c>
      <c r="O348">
        <v>3</v>
      </c>
      <c r="P348">
        <v>1</v>
      </c>
      <c r="Q348">
        <v>17</v>
      </c>
      <c r="R348">
        <v>3</v>
      </c>
      <c r="S348">
        <v>3</v>
      </c>
      <c r="T348">
        <v>1</v>
      </c>
      <c r="U348">
        <v>2</v>
      </c>
      <c r="V348" t="s">
        <v>37</v>
      </c>
      <c r="W348" s="1" t="s">
        <v>221</v>
      </c>
      <c r="Y348" t="s">
        <v>54</v>
      </c>
      <c r="Z348" t="s">
        <v>47</v>
      </c>
      <c r="AA348">
        <v>5</v>
      </c>
      <c r="AB348">
        <v>0</v>
      </c>
      <c r="AC348" t="s">
        <v>31</v>
      </c>
      <c r="AD348" t="s">
        <v>42</v>
      </c>
      <c r="AE348" t="s">
        <v>60</v>
      </c>
      <c r="AF348" s="3">
        <v>466</v>
      </c>
      <c r="AG348" s="3">
        <v>95</v>
      </c>
      <c r="AH348">
        <v>80</v>
      </c>
      <c r="AI348">
        <v>4</v>
      </c>
      <c r="AJ348">
        <v>0</v>
      </c>
      <c r="AL348">
        <v>0</v>
      </c>
      <c r="AM348">
        <v>1</v>
      </c>
      <c r="AN348" t="s">
        <v>768</v>
      </c>
      <c r="AO348" t="s">
        <v>41</v>
      </c>
    </row>
    <row r="349" spans="1:41" x14ac:dyDescent="0.25">
      <c r="A349">
        <v>37</v>
      </c>
      <c r="B349" t="s">
        <v>32</v>
      </c>
      <c r="C349" t="s">
        <v>120</v>
      </c>
      <c r="D349">
        <v>6</v>
      </c>
      <c r="E349" t="s">
        <v>34</v>
      </c>
      <c r="F349">
        <v>3</v>
      </c>
      <c r="G349">
        <v>1</v>
      </c>
      <c r="H349" t="s">
        <v>120</v>
      </c>
      <c r="I349">
        <v>1</v>
      </c>
      <c r="J349" t="s">
        <v>57</v>
      </c>
      <c r="K349">
        <v>2073</v>
      </c>
      <c r="L349">
        <v>4</v>
      </c>
      <c r="M349" t="s">
        <v>31</v>
      </c>
      <c r="N349">
        <v>22</v>
      </c>
      <c r="O349">
        <v>4</v>
      </c>
      <c r="P349">
        <v>0</v>
      </c>
      <c r="Q349">
        <v>7</v>
      </c>
      <c r="R349">
        <v>3</v>
      </c>
      <c r="S349">
        <v>3</v>
      </c>
      <c r="T349">
        <v>0</v>
      </c>
      <c r="U349">
        <v>2</v>
      </c>
      <c r="V349" t="s">
        <v>58</v>
      </c>
      <c r="W349" s="1" t="s">
        <v>222</v>
      </c>
      <c r="Y349" t="s">
        <v>69</v>
      </c>
      <c r="Z349" t="s">
        <v>47</v>
      </c>
      <c r="AA349">
        <v>1</v>
      </c>
      <c r="AB349">
        <v>0</v>
      </c>
      <c r="AC349" t="s">
        <v>31</v>
      </c>
      <c r="AD349" t="s">
        <v>65</v>
      </c>
      <c r="AE349" t="s">
        <v>60</v>
      </c>
      <c r="AF349" s="3">
        <v>467</v>
      </c>
      <c r="AG349" s="3">
        <v>99</v>
      </c>
      <c r="AH349">
        <v>80</v>
      </c>
      <c r="AI349">
        <v>0</v>
      </c>
      <c r="AJ349">
        <v>0</v>
      </c>
      <c r="AL349">
        <v>0</v>
      </c>
      <c r="AM349">
        <v>1</v>
      </c>
      <c r="AN349" t="s">
        <v>768</v>
      </c>
      <c r="AO349" t="s">
        <v>41</v>
      </c>
    </row>
    <row r="350" spans="1:41" x14ac:dyDescent="0.25">
      <c r="A350">
        <v>59</v>
      </c>
      <c r="B350" t="s">
        <v>81</v>
      </c>
      <c r="C350" t="s">
        <v>120</v>
      </c>
      <c r="D350">
        <v>2</v>
      </c>
      <c r="E350" t="s">
        <v>61</v>
      </c>
      <c r="F350">
        <v>2</v>
      </c>
      <c r="G350">
        <v>5</v>
      </c>
      <c r="H350" t="s">
        <v>75</v>
      </c>
      <c r="I350">
        <v>4</v>
      </c>
      <c r="J350" t="s">
        <v>51</v>
      </c>
      <c r="K350">
        <v>18844</v>
      </c>
      <c r="L350">
        <v>9</v>
      </c>
      <c r="M350" t="s">
        <v>41</v>
      </c>
      <c r="N350">
        <v>21</v>
      </c>
      <c r="O350">
        <v>4</v>
      </c>
      <c r="P350">
        <v>1</v>
      </c>
      <c r="Q350">
        <v>30</v>
      </c>
      <c r="R350">
        <v>3</v>
      </c>
      <c r="S350">
        <v>3</v>
      </c>
      <c r="T350">
        <v>2</v>
      </c>
      <c r="U350">
        <v>2</v>
      </c>
      <c r="V350" t="s">
        <v>72</v>
      </c>
      <c r="W350" s="2">
        <v>43137</v>
      </c>
      <c r="Y350" t="s">
        <v>54</v>
      </c>
      <c r="Z350" t="s">
        <v>40</v>
      </c>
      <c r="AA350">
        <v>4</v>
      </c>
      <c r="AB350">
        <v>2</v>
      </c>
      <c r="AC350" t="s">
        <v>41</v>
      </c>
      <c r="AD350" t="s">
        <v>65</v>
      </c>
      <c r="AE350" t="s">
        <v>49</v>
      </c>
      <c r="AF350" s="3">
        <v>468</v>
      </c>
      <c r="AG350" s="3">
        <v>44</v>
      </c>
      <c r="AH350">
        <v>80</v>
      </c>
      <c r="AI350">
        <v>0</v>
      </c>
      <c r="AJ350">
        <v>0</v>
      </c>
      <c r="AL350">
        <v>0</v>
      </c>
      <c r="AM350">
        <v>1</v>
      </c>
      <c r="AN350" t="s">
        <v>768</v>
      </c>
      <c r="AO350" t="s">
        <v>41</v>
      </c>
    </row>
    <row r="351" spans="1:41" x14ac:dyDescent="0.25">
      <c r="A351">
        <v>43</v>
      </c>
      <c r="B351" t="s">
        <v>66</v>
      </c>
      <c r="C351" t="s">
        <v>33</v>
      </c>
      <c r="D351">
        <v>28</v>
      </c>
      <c r="E351" t="s">
        <v>61</v>
      </c>
      <c r="F351">
        <v>4</v>
      </c>
      <c r="G351">
        <v>1</v>
      </c>
      <c r="H351" t="s">
        <v>44</v>
      </c>
      <c r="I351">
        <v>3</v>
      </c>
      <c r="J351" t="s">
        <v>36</v>
      </c>
      <c r="K351">
        <v>4739</v>
      </c>
      <c r="L351">
        <v>4</v>
      </c>
      <c r="M351" t="s">
        <v>41</v>
      </c>
      <c r="N351">
        <v>12</v>
      </c>
      <c r="O351">
        <v>3</v>
      </c>
      <c r="P351">
        <v>0</v>
      </c>
      <c r="Q351">
        <v>18</v>
      </c>
      <c r="R351">
        <v>2</v>
      </c>
      <c r="S351">
        <v>3</v>
      </c>
      <c r="T351">
        <v>1</v>
      </c>
      <c r="U351">
        <v>2</v>
      </c>
      <c r="V351" t="s">
        <v>52</v>
      </c>
      <c r="W351" s="1" t="s">
        <v>223</v>
      </c>
      <c r="Y351" t="s">
        <v>63</v>
      </c>
      <c r="Z351" t="s">
        <v>40</v>
      </c>
      <c r="AA351">
        <v>2</v>
      </c>
      <c r="AB351">
        <v>2</v>
      </c>
      <c r="AC351" t="s">
        <v>41</v>
      </c>
      <c r="AD351" t="s">
        <v>65</v>
      </c>
      <c r="AE351" t="s">
        <v>60</v>
      </c>
      <c r="AF351" s="3">
        <v>469</v>
      </c>
      <c r="AG351" s="3">
        <v>61</v>
      </c>
      <c r="AH351">
        <v>80</v>
      </c>
      <c r="AI351">
        <v>3</v>
      </c>
      <c r="AJ351">
        <v>0</v>
      </c>
      <c r="AL351">
        <v>0</v>
      </c>
      <c r="AM351">
        <v>1</v>
      </c>
      <c r="AN351" t="s">
        <v>768</v>
      </c>
      <c r="AO351" t="s">
        <v>41</v>
      </c>
    </row>
    <row r="352" spans="1:41" x14ac:dyDescent="0.25">
      <c r="A352">
        <v>36</v>
      </c>
      <c r="B352" t="s">
        <v>32</v>
      </c>
      <c r="C352" t="s">
        <v>33</v>
      </c>
      <c r="D352">
        <v>6</v>
      </c>
      <c r="E352" t="s">
        <v>34</v>
      </c>
      <c r="F352">
        <v>3</v>
      </c>
      <c r="G352">
        <v>2</v>
      </c>
      <c r="H352" t="s">
        <v>78</v>
      </c>
      <c r="I352">
        <v>2</v>
      </c>
      <c r="J352" t="s">
        <v>57</v>
      </c>
      <c r="K352">
        <v>4941</v>
      </c>
      <c r="L352">
        <v>6</v>
      </c>
      <c r="M352" t="s">
        <v>41</v>
      </c>
      <c r="N352">
        <v>20</v>
      </c>
      <c r="O352">
        <v>4</v>
      </c>
      <c r="P352">
        <v>2</v>
      </c>
      <c r="Q352">
        <v>7</v>
      </c>
      <c r="R352">
        <v>0</v>
      </c>
      <c r="S352">
        <v>3</v>
      </c>
      <c r="T352">
        <v>0</v>
      </c>
      <c r="U352">
        <v>1</v>
      </c>
      <c r="V352" t="s">
        <v>37</v>
      </c>
      <c r="W352" s="1" t="s">
        <v>224</v>
      </c>
      <c r="Y352" t="s">
        <v>63</v>
      </c>
      <c r="Z352" t="s">
        <v>40</v>
      </c>
      <c r="AA352">
        <v>0</v>
      </c>
      <c r="AB352">
        <v>2</v>
      </c>
      <c r="AC352" t="s">
        <v>41</v>
      </c>
      <c r="AD352" t="s">
        <v>42</v>
      </c>
      <c r="AE352" t="s">
        <v>60</v>
      </c>
      <c r="AF352" s="3">
        <v>470</v>
      </c>
      <c r="AG352" s="3">
        <v>52</v>
      </c>
      <c r="AH352">
        <v>80</v>
      </c>
      <c r="AI352">
        <v>2</v>
      </c>
      <c r="AJ352">
        <v>0</v>
      </c>
      <c r="AL352">
        <v>0</v>
      </c>
      <c r="AM352">
        <v>1</v>
      </c>
      <c r="AN352" t="s">
        <v>768</v>
      </c>
      <c r="AO352" t="s">
        <v>41</v>
      </c>
    </row>
    <row r="353" spans="1:41" x14ac:dyDescent="0.25">
      <c r="A353">
        <v>38</v>
      </c>
      <c r="B353" t="s">
        <v>32</v>
      </c>
      <c r="C353" t="s">
        <v>33</v>
      </c>
      <c r="D353">
        <v>3</v>
      </c>
      <c r="E353" t="s">
        <v>61</v>
      </c>
      <c r="F353">
        <v>3</v>
      </c>
      <c r="G353">
        <v>2</v>
      </c>
      <c r="H353" t="s">
        <v>44</v>
      </c>
      <c r="I353">
        <v>3</v>
      </c>
      <c r="J353" t="s">
        <v>36</v>
      </c>
      <c r="K353">
        <v>4317</v>
      </c>
      <c r="L353">
        <v>3</v>
      </c>
      <c r="M353" t="s">
        <v>31</v>
      </c>
      <c r="N353">
        <v>20</v>
      </c>
      <c r="O353">
        <v>4</v>
      </c>
      <c r="P353">
        <v>0</v>
      </c>
      <c r="Q353">
        <v>19</v>
      </c>
      <c r="R353">
        <v>2</v>
      </c>
      <c r="S353">
        <v>3</v>
      </c>
      <c r="T353">
        <v>2</v>
      </c>
      <c r="U353">
        <v>2</v>
      </c>
      <c r="V353" t="s">
        <v>72</v>
      </c>
      <c r="W353" s="1" t="s">
        <v>225</v>
      </c>
      <c r="Y353" t="s">
        <v>39</v>
      </c>
      <c r="Z353" t="s">
        <v>47</v>
      </c>
      <c r="AA353">
        <v>5</v>
      </c>
      <c r="AB353">
        <v>0</v>
      </c>
      <c r="AC353" t="s">
        <v>31</v>
      </c>
      <c r="AD353" t="s">
        <v>42</v>
      </c>
      <c r="AE353" t="s">
        <v>60</v>
      </c>
      <c r="AF353" s="3">
        <v>471</v>
      </c>
      <c r="AG353" s="3">
        <v>75</v>
      </c>
      <c r="AH353">
        <v>80</v>
      </c>
      <c r="AI353">
        <v>0</v>
      </c>
      <c r="AJ353">
        <v>0</v>
      </c>
      <c r="AL353">
        <v>0</v>
      </c>
      <c r="AM353">
        <v>1</v>
      </c>
      <c r="AN353" t="s">
        <v>768</v>
      </c>
      <c r="AO353" t="s">
        <v>41</v>
      </c>
    </row>
    <row r="354" spans="1:41" x14ac:dyDescent="0.25">
      <c r="A354">
        <v>30</v>
      </c>
      <c r="B354" t="s">
        <v>32</v>
      </c>
      <c r="C354" t="s">
        <v>33</v>
      </c>
      <c r="D354">
        <v>5</v>
      </c>
      <c r="E354" t="s">
        <v>61</v>
      </c>
      <c r="F354">
        <v>3</v>
      </c>
      <c r="G354">
        <v>1</v>
      </c>
      <c r="H354" t="s">
        <v>44</v>
      </c>
      <c r="I354">
        <v>1</v>
      </c>
      <c r="J354" t="s">
        <v>57</v>
      </c>
      <c r="K354">
        <v>3204</v>
      </c>
      <c r="L354">
        <v>5</v>
      </c>
      <c r="M354" t="s">
        <v>41</v>
      </c>
      <c r="N354">
        <v>14</v>
      </c>
      <c r="O354">
        <v>3</v>
      </c>
      <c r="P354">
        <v>1</v>
      </c>
      <c r="Q354">
        <v>8</v>
      </c>
      <c r="R354">
        <v>3</v>
      </c>
      <c r="S354">
        <v>3</v>
      </c>
      <c r="T354">
        <v>2</v>
      </c>
      <c r="U354">
        <v>2</v>
      </c>
      <c r="V354" t="s">
        <v>72</v>
      </c>
      <c r="W354" s="1" t="s">
        <v>226</v>
      </c>
      <c r="Y354" t="s">
        <v>54</v>
      </c>
      <c r="Z354" t="s">
        <v>40</v>
      </c>
      <c r="AA354">
        <v>0</v>
      </c>
      <c r="AB354">
        <v>2</v>
      </c>
      <c r="AC354" t="s">
        <v>41</v>
      </c>
      <c r="AD354" t="s">
        <v>67</v>
      </c>
      <c r="AE354" t="s">
        <v>60</v>
      </c>
      <c r="AF354" s="3">
        <v>473</v>
      </c>
      <c r="AG354" s="3">
        <v>91</v>
      </c>
      <c r="AH354">
        <v>80</v>
      </c>
      <c r="AI354">
        <v>0</v>
      </c>
      <c r="AJ354">
        <v>0</v>
      </c>
      <c r="AL354">
        <v>0</v>
      </c>
      <c r="AM354">
        <v>1</v>
      </c>
      <c r="AN354" t="s">
        <v>768</v>
      </c>
      <c r="AO354" t="s">
        <v>41</v>
      </c>
    </row>
    <row r="355" spans="1:41" x14ac:dyDescent="0.25">
      <c r="A355">
        <v>33</v>
      </c>
      <c r="B355" t="s">
        <v>32</v>
      </c>
      <c r="C355" t="s">
        <v>33</v>
      </c>
      <c r="D355">
        <v>2</v>
      </c>
      <c r="E355" t="s">
        <v>34</v>
      </c>
      <c r="F355">
        <v>3</v>
      </c>
      <c r="G355">
        <v>1</v>
      </c>
      <c r="H355" t="s">
        <v>44</v>
      </c>
      <c r="I355">
        <v>4</v>
      </c>
      <c r="J355" t="s">
        <v>36</v>
      </c>
      <c r="K355">
        <v>2500</v>
      </c>
      <c r="L355">
        <v>0</v>
      </c>
      <c r="M355" t="s">
        <v>41</v>
      </c>
      <c r="N355">
        <v>14</v>
      </c>
      <c r="O355">
        <v>3</v>
      </c>
      <c r="P355">
        <v>0</v>
      </c>
      <c r="Q355">
        <v>4</v>
      </c>
      <c r="R355">
        <v>2</v>
      </c>
      <c r="S355">
        <v>3</v>
      </c>
      <c r="T355">
        <v>0</v>
      </c>
      <c r="U355">
        <v>2</v>
      </c>
      <c r="V355" t="s">
        <v>37</v>
      </c>
      <c r="W355" s="2">
        <v>43191</v>
      </c>
      <c r="Y355" t="s">
        <v>46</v>
      </c>
      <c r="Z355" t="s">
        <v>40</v>
      </c>
      <c r="AA355">
        <v>0</v>
      </c>
      <c r="AB355">
        <v>0</v>
      </c>
      <c r="AC355" t="s">
        <v>41</v>
      </c>
      <c r="AD355" t="s">
        <v>48</v>
      </c>
      <c r="AE355" t="s">
        <v>43</v>
      </c>
      <c r="AF355" s="3">
        <v>474</v>
      </c>
      <c r="AG355" s="3">
        <v>51</v>
      </c>
      <c r="AH355">
        <v>80</v>
      </c>
      <c r="AI355">
        <v>7</v>
      </c>
      <c r="AJ355">
        <v>0</v>
      </c>
      <c r="AL355">
        <v>0</v>
      </c>
      <c r="AM355">
        <v>1</v>
      </c>
      <c r="AN355" t="s">
        <v>768</v>
      </c>
      <c r="AO355" t="s">
        <v>41</v>
      </c>
    </row>
    <row r="356" spans="1:41" x14ac:dyDescent="0.25">
      <c r="A356">
        <v>34</v>
      </c>
      <c r="B356" t="s">
        <v>32</v>
      </c>
      <c r="C356" t="s">
        <v>33</v>
      </c>
      <c r="D356">
        <v>27</v>
      </c>
      <c r="E356" t="s">
        <v>61</v>
      </c>
      <c r="F356">
        <v>3</v>
      </c>
      <c r="G356">
        <v>1</v>
      </c>
      <c r="H356" t="s">
        <v>44</v>
      </c>
      <c r="I356">
        <v>2</v>
      </c>
      <c r="J356" t="s">
        <v>36</v>
      </c>
      <c r="K356">
        <v>2311</v>
      </c>
      <c r="L356">
        <v>2</v>
      </c>
      <c r="M356" t="s">
        <v>41</v>
      </c>
      <c r="N356">
        <v>15</v>
      </c>
      <c r="O356">
        <v>3</v>
      </c>
      <c r="P356">
        <v>0</v>
      </c>
      <c r="Q356">
        <v>9</v>
      </c>
      <c r="R356">
        <v>3</v>
      </c>
      <c r="S356">
        <v>3</v>
      </c>
      <c r="T356">
        <v>1</v>
      </c>
      <c r="U356">
        <v>2</v>
      </c>
      <c r="V356" t="s">
        <v>58</v>
      </c>
      <c r="W356" s="1" t="s">
        <v>227</v>
      </c>
      <c r="Y356" t="s">
        <v>39</v>
      </c>
      <c r="Z356" t="s">
        <v>40</v>
      </c>
      <c r="AA356">
        <v>5</v>
      </c>
      <c r="AB356">
        <v>3</v>
      </c>
      <c r="AC356" t="s">
        <v>41</v>
      </c>
      <c r="AD356" t="s">
        <v>65</v>
      </c>
      <c r="AE356" t="s">
        <v>60</v>
      </c>
      <c r="AF356" s="3">
        <v>475</v>
      </c>
      <c r="AG356" s="3">
        <v>85</v>
      </c>
      <c r="AH356">
        <v>80</v>
      </c>
      <c r="AI356">
        <v>2</v>
      </c>
      <c r="AJ356">
        <v>0</v>
      </c>
      <c r="AL356">
        <v>0</v>
      </c>
      <c r="AM356">
        <v>1</v>
      </c>
      <c r="AN356" t="s">
        <v>768</v>
      </c>
      <c r="AO356" t="s">
        <v>41</v>
      </c>
    </row>
    <row r="357" spans="1:41" x14ac:dyDescent="0.25">
      <c r="A357">
        <v>50</v>
      </c>
      <c r="B357" t="s">
        <v>32</v>
      </c>
      <c r="C357" t="s">
        <v>33</v>
      </c>
      <c r="D357">
        <v>1</v>
      </c>
      <c r="E357" t="s">
        <v>34</v>
      </c>
      <c r="F357">
        <v>2</v>
      </c>
      <c r="G357">
        <v>1</v>
      </c>
      <c r="H357" t="s">
        <v>35</v>
      </c>
      <c r="I357">
        <v>3</v>
      </c>
      <c r="J357" t="s">
        <v>51</v>
      </c>
      <c r="K357">
        <v>3690</v>
      </c>
      <c r="L357">
        <v>2</v>
      </c>
      <c r="M357" t="s">
        <v>41</v>
      </c>
      <c r="N357">
        <v>15</v>
      </c>
      <c r="O357">
        <v>3</v>
      </c>
      <c r="P357">
        <v>1</v>
      </c>
      <c r="Q357">
        <v>5</v>
      </c>
      <c r="R357">
        <v>2</v>
      </c>
      <c r="S357">
        <v>3</v>
      </c>
      <c r="T357">
        <v>0</v>
      </c>
      <c r="U357">
        <v>2</v>
      </c>
      <c r="V357" t="s">
        <v>72</v>
      </c>
      <c r="W357" s="2">
        <v>43314</v>
      </c>
      <c r="Y357" t="s">
        <v>54</v>
      </c>
      <c r="Z357" t="s">
        <v>47</v>
      </c>
      <c r="AA357">
        <v>5</v>
      </c>
      <c r="AB357">
        <v>2</v>
      </c>
      <c r="AC357" t="s">
        <v>31</v>
      </c>
      <c r="AD357" t="s">
        <v>48</v>
      </c>
      <c r="AE357" t="s">
        <v>49</v>
      </c>
      <c r="AF357" s="3">
        <v>476</v>
      </c>
      <c r="AG357" s="3">
        <v>57</v>
      </c>
      <c r="AH357">
        <v>80</v>
      </c>
      <c r="AI357">
        <v>7</v>
      </c>
      <c r="AJ357">
        <v>0</v>
      </c>
      <c r="AL357">
        <v>0</v>
      </c>
      <c r="AM357">
        <v>1</v>
      </c>
      <c r="AN357" t="s">
        <v>768</v>
      </c>
      <c r="AO357" t="s">
        <v>41</v>
      </c>
    </row>
    <row r="358" spans="1:41" x14ac:dyDescent="0.25">
      <c r="A358">
        <v>40</v>
      </c>
      <c r="B358" t="s">
        <v>81</v>
      </c>
      <c r="C358" t="s">
        <v>33</v>
      </c>
      <c r="D358">
        <v>9</v>
      </c>
      <c r="E358" t="s">
        <v>34</v>
      </c>
      <c r="F358">
        <v>2</v>
      </c>
      <c r="G358">
        <v>2</v>
      </c>
      <c r="H358" t="s">
        <v>89</v>
      </c>
      <c r="I358">
        <v>4</v>
      </c>
      <c r="J358" t="s">
        <v>51</v>
      </c>
      <c r="K358">
        <v>4876</v>
      </c>
      <c r="L358">
        <v>9</v>
      </c>
      <c r="M358" t="s">
        <v>41</v>
      </c>
      <c r="N358">
        <v>14</v>
      </c>
      <c r="O358">
        <v>3</v>
      </c>
      <c r="P358">
        <v>1</v>
      </c>
      <c r="Q358">
        <v>5</v>
      </c>
      <c r="R358">
        <v>5</v>
      </c>
      <c r="S358">
        <v>3</v>
      </c>
      <c r="T358">
        <v>0</v>
      </c>
      <c r="U358">
        <v>2</v>
      </c>
      <c r="V358" t="s">
        <v>72</v>
      </c>
      <c r="W358" s="2">
        <v>43284</v>
      </c>
      <c r="Y358" t="s">
        <v>39</v>
      </c>
      <c r="Z358" t="s">
        <v>40</v>
      </c>
      <c r="AA358">
        <v>3</v>
      </c>
      <c r="AB358">
        <v>1</v>
      </c>
      <c r="AC358" t="s">
        <v>31</v>
      </c>
      <c r="AD358" t="s">
        <v>42</v>
      </c>
      <c r="AE358" t="s">
        <v>60</v>
      </c>
      <c r="AF358" s="3">
        <v>477</v>
      </c>
      <c r="AG358" s="3">
        <v>98</v>
      </c>
      <c r="AH358">
        <v>80</v>
      </c>
      <c r="AI358">
        <v>0</v>
      </c>
      <c r="AJ358">
        <v>0</v>
      </c>
      <c r="AL358">
        <v>0</v>
      </c>
      <c r="AM358">
        <v>1</v>
      </c>
      <c r="AN358" t="s">
        <v>768</v>
      </c>
      <c r="AO358" t="s">
        <v>41</v>
      </c>
    </row>
    <row r="359" spans="1:41" x14ac:dyDescent="0.25">
      <c r="A359">
        <v>33</v>
      </c>
      <c r="B359" t="s">
        <v>32</v>
      </c>
      <c r="C359" t="s">
        <v>33</v>
      </c>
      <c r="D359">
        <v>4</v>
      </c>
      <c r="E359" t="s">
        <v>61</v>
      </c>
      <c r="F359">
        <v>2</v>
      </c>
      <c r="G359">
        <v>1</v>
      </c>
      <c r="H359" t="s">
        <v>44</v>
      </c>
      <c r="I359">
        <v>2</v>
      </c>
      <c r="J359" t="s">
        <v>51</v>
      </c>
      <c r="K359">
        <v>2622</v>
      </c>
      <c r="L359">
        <v>6</v>
      </c>
      <c r="M359" t="s">
        <v>41</v>
      </c>
      <c r="N359">
        <v>21</v>
      </c>
      <c r="O359">
        <v>4</v>
      </c>
      <c r="P359">
        <v>0</v>
      </c>
      <c r="Q359">
        <v>7</v>
      </c>
      <c r="R359">
        <v>3</v>
      </c>
      <c r="S359">
        <v>3</v>
      </c>
      <c r="T359">
        <v>1</v>
      </c>
      <c r="U359">
        <v>1</v>
      </c>
      <c r="V359" t="s">
        <v>52</v>
      </c>
      <c r="W359" s="2">
        <v>43224</v>
      </c>
      <c r="Y359" t="s">
        <v>54</v>
      </c>
      <c r="Z359" t="s">
        <v>47</v>
      </c>
      <c r="AA359">
        <v>1</v>
      </c>
      <c r="AB359">
        <v>1</v>
      </c>
      <c r="AC359" t="s">
        <v>31</v>
      </c>
      <c r="AD359" t="s">
        <v>48</v>
      </c>
      <c r="AE359" t="s">
        <v>43</v>
      </c>
      <c r="AF359" s="3">
        <v>478</v>
      </c>
      <c r="AG359" s="3">
        <v>99</v>
      </c>
      <c r="AH359">
        <v>80</v>
      </c>
      <c r="AI359">
        <v>2</v>
      </c>
      <c r="AJ359">
        <v>1</v>
      </c>
      <c r="AK359">
        <v>1</v>
      </c>
      <c r="AL359">
        <v>1</v>
      </c>
      <c r="AM359">
        <v>0</v>
      </c>
      <c r="AN359" t="s">
        <v>767</v>
      </c>
      <c r="AO359" t="s">
        <v>31</v>
      </c>
    </row>
    <row r="360" spans="1:41" x14ac:dyDescent="0.25">
      <c r="A360">
        <v>32</v>
      </c>
      <c r="B360" t="s">
        <v>32</v>
      </c>
      <c r="C360" t="s">
        <v>33</v>
      </c>
      <c r="D360">
        <v>1</v>
      </c>
      <c r="E360" t="s">
        <v>34</v>
      </c>
      <c r="F360">
        <v>2</v>
      </c>
      <c r="G360">
        <v>1</v>
      </c>
      <c r="H360" t="s">
        <v>35</v>
      </c>
      <c r="I360">
        <v>3</v>
      </c>
      <c r="J360" t="s">
        <v>36</v>
      </c>
      <c r="K360">
        <v>3730</v>
      </c>
      <c r="L360">
        <v>0</v>
      </c>
      <c r="M360" t="s">
        <v>31</v>
      </c>
      <c r="N360">
        <v>14</v>
      </c>
      <c r="O360">
        <v>3</v>
      </c>
      <c r="P360">
        <v>0</v>
      </c>
      <c r="Q360">
        <v>4</v>
      </c>
      <c r="R360">
        <v>2</v>
      </c>
      <c r="S360">
        <v>3</v>
      </c>
      <c r="T360">
        <v>1</v>
      </c>
      <c r="U360">
        <v>2</v>
      </c>
      <c r="V360" t="s">
        <v>58</v>
      </c>
      <c r="W360" s="1" t="s">
        <v>228</v>
      </c>
      <c r="Y360" t="s">
        <v>69</v>
      </c>
      <c r="Z360" t="s">
        <v>40</v>
      </c>
      <c r="AA360">
        <v>0</v>
      </c>
      <c r="AB360">
        <v>1</v>
      </c>
      <c r="AC360" t="s">
        <v>31</v>
      </c>
      <c r="AD360" t="s">
        <v>42</v>
      </c>
      <c r="AE360" t="s">
        <v>60</v>
      </c>
      <c r="AF360" s="3">
        <v>479</v>
      </c>
      <c r="AG360" s="3">
        <v>45</v>
      </c>
      <c r="AH360">
        <v>80</v>
      </c>
      <c r="AI360">
        <v>0</v>
      </c>
      <c r="AJ360">
        <v>0</v>
      </c>
      <c r="AL360">
        <v>0</v>
      </c>
      <c r="AM360">
        <v>1</v>
      </c>
      <c r="AN360" t="s">
        <v>768</v>
      </c>
      <c r="AO360" t="s">
        <v>41</v>
      </c>
    </row>
    <row r="361" spans="1:41" x14ac:dyDescent="0.25">
      <c r="A361">
        <v>39</v>
      </c>
      <c r="B361" t="s">
        <v>32</v>
      </c>
      <c r="C361" t="s">
        <v>33</v>
      </c>
      <c r="D361">
        <v>1</v>
      </c>
      <c r="E361" t="s">
        <v>61</v>
      </c>
      <c r="F361">
        <v>3</v>
      </c>
      <c r="G361">
        <v>1</v>
      </c>
      <c r="H361" t="s">
        <v>35</v>
      </c>
      <c r="I361">
        <v>3</v>
      </c>
      <c r="J361" t="s">
        <v>57</v>
      </c>
      <c r="K361">
        <v>2232</v>
      </c>
      <c r="L361">
        <v>7</v>
      </c>
      <c r="M361" t="s">
        <v>41</v>
      </c>
      <c r="N361">
        <v>14</v>
      </c>
      <c r="O361">
        <v>3</v>
      </c>
      <c r="P361">
        <v>3</v>
      </c>
      <c r="Q361">
        <v>7</v>
      </c>
      <c r="R361">
        <v>1</v>
      </c>
      <c r="S361">
        <v>3</v>
      </c>
      <c r="T361">
        <v>1</v>
      </c>
      <c r="U361">
        <v>2</v>
      </c>
      <c r="V361" t="s">
        <v>58</v>
      </c>
      <c r="W361" s="1" t="s">
        <v>229</v>
      </c>
      <c r="Y361" t="s">
        <v>69</v>
      </c>
      <c r="Z361" t="s">
        <v>40</v>
      </c>
      <c r="AA361">
        <v>5</v>
      </c>
      <c r="AB361">
        <v>2</v>
      </c>
      <c r="AC361" t="s">
        <v>31</v>
      </c>
      <c r="AD361" t="s">
        <v>48</v>
      </c>
      <c r="AE361" t="s">
        <v>43</v>
      </c>
      <c r="AF361" s="3">
        <v>481</v>
      </c>
      <c r="AG361" s="3">
        <v>48</v>
      </c>
      <c r="AH361">
        <v>80</v>
      </c>
      <c r="AI361">
        <v>9</v>
      </c>
      <c r="AJ361">
        <v>0</v>
      </c>
      <c r="AL361">
        <v>0</v>
      </c>
      <c r="AM361">
        <v>1</v>
      </c>
      <c r="AN361" t="s">
        <v>768</v>
      </c>
      <c r="AO361" t="s">
        <v>41</v>
      </c>
    </row>
    <row r="362" spans="1:41" x14ac:dyDescent="0.25">
      <c r="A362">
        <v>32</v>
      </c>
      <c r="B362" t="s">
        <v>81</v>
      </c>
      <c r="C362" t="s">
        <v>55</v>
      </c>
      <c r="D362">
        <v>26</v>
      </c>
      <c r="E362" t="s">
        <v>34</v>
      </c>
      <c r="F362">
        <v>3</v>
      </c>
      <c r="G362">
        <v>2</v>
      </c>
      <c r="H362" t="s">
        <v>70</v>
      </c>
      <c r="I362">
        <v>4</v>
      </c>
      <c r="J362" t="s">
        <v>51</v>
      </c>
      <c r="K362">
        <v>4465</v>
      </c>
      <c r="L362">
        <v>0</v>
      </c>
      <c r="M362" t="s">
        <v>41</v>
      </c>
      <c r="N362">
        <v>18</v>
      </c>
      <c r="O362">
        <v>3</v>
      </c>
      <c r="P362">
        <v>0</v>
      </c>
      <c r="Q362">
        <v>4</v>
      </c>
      <c r="R362">
        <v>2</v>
      </c>
      <c r="S362">
        <v>3</v>
      </c>
      <c r="T362">
        <v>2</v>
      </c>
      <c r="U362">
        <v>2</v>
      </c>
      <c r="V362" t="s">
        <v>52</v>
      </c>
      <c r="W362" s="2">
        <v>43438</v>
      </c>
      <c r="Y362" t="s">
        <v>39</v>
      </c>
      <c r="Z362" t="s">
        <v>40</v>
      </c>
      <c r="AA362">
        <v>3</v>
      </c>
      <c r="AB362">
        <v>1</v>
      </c>
      <c r="AC362" t="s">
        <v>41</v>
      </c>
      <c r="AD362" t="s">
        <v>65</v>
      </c>
      <c r="AE362" t="s">
        <v>49</v>
      </c>
      <c r="AF362" s="3">
        <v>482</v>
      </c>
      <c r="AG362" s="3">
        <v>88</v>
      </c>
      <c r="AH362">
        <v>80</v>
      </c>
      <c r="AI362">
        <v>2</v>
      </c>
      <c r="AJ362">
        <v>0</v>
      </c>
      <c r="AL362">
        <v>0</v>
      </c>
      <c r="AM362">
        <v>1</v>
      </c>
      <c r="AN362" t="s">
        <v>768</v>
      </c>
      <c r="AO362" t="s">
        <v>41</v>
      </c>
    </row>
    <row r="363" spans="1:41" x14ac:dyDescent="0.25">
      <c r="A363">
        <v>37</v>
      </c>
      <c r="B363" t="s">
        <v>32</v>
      </c>
      <c r="C363" t="s">
        <v>33</v>
      </c>
      <c r="D363">
        <v>1</v>
      </c>
      <c r="E363" t="s">
        <v>61</v>
      </c>
      <c r="F363">
        <v>2</v>
      </c>
      <c r="G363">
        <v>1</v>
      </c>
      <c r="H363" t="s">
        <v>44</v>
      </c>
      <c r="I363">
        <v>1</v>
      </c>
      <c r="J363" t="s">
        <v>51</v>
      </c>
      <c r="K363">
        <v>3920</v>
      </c>
      <c r="L363">
        <v>2</v>
      </c>
      <c r="M363" t="s">
        <v>41</v>
      </c>
      <c r="N363">
        <v>14</v>
      </c>
      <c r="O363">
        <v>3</v>
      </c>
      <c r="P363">
        <v>1</v>
      </c>
      <c r="Q363">
        <v>17</v>
      </c>
      <c r="R363">
        <v>2</v>
      </c>
      <c r="S363">
        <v>3</v>
      </c>
      <c r="T363">
        <v>0</v>
      </c>
      <c r="U363">
        <v>2</v>
      </c>
      <c r="V363" t="s">
        <v>58</v>
      </c>
      <c r="W363" s="1" t="s">
        <v>230</v>
      </c>
      <c r="Y363" t="s">
        <v>69</v>
      </c>
      <c r="Z363" t="s">
        <v>47</v>
      </c>
      <c r="AA363">
        <v>5</v>
      </c>
      <c r="AB363">
        <v>1</v>
      </c>
      <c r="AC363" t="s">
        <v>31</v>
      </c>
      <c r="AD363" t="s">
        <v>48</v>
      </c>
      <c r="AE363" t="s">
        <v>49</v>
      </c>
      <c r="AF363" s="3">
        <v>483</v>
      </c>
      <c r="AG363" s="3">
        <v>46</v>
      </c>
      <c r="AH363">
        <v>80</v>
      </c>
      <c r="AI363">
        <v>7</v>
      </c>
      <c r="AJ363">
        <v>0</v>
      </c>
      <c r="AL363">
        <v>0</v>
      </c>
      <c r="AM363">
        <v>1</v>
      </c>
      <c r="AN363" t="s">
        <v>768</v>
      </c>
      <c r="AO363" t="s">
        <v>41</v>
      </c>
    </row>
    <row r="364" spans="1:41" x14ac:dyDescent="0.25">
      <c r="A364">
        <v>45</v>
      </c>
      <c r="B364" t="s">
        <v>66</v>
      </c>
      <c r="C364" t="s">
        <v>33</v>
      </c>
      <c r="D364">
        <v>7</v>
      </c>
      <c r="E364" t="s">
        <v>34</v>
      </c>
      <c r="F364">
        <v>4</v>
      </c>
      <c r="G364">
        <v>2</v>
      </c>
      <c r="H364" t="s">
        <v>78</v>
      </c>
      <c r="I364">
        <v>3</v>
      </c>
      <c r="J364" t="s">
        <v>51</v>
      </c>
      <c r="K364">
        <v>6434</v>
      </c>
      <c r="L364">
        <v>4</v>
      </c>
      <c r="M364" t="s">
        <v>41</v>
      </c>
      <c r="N364">
        <v>17</v>
      </c>
      <c r="O364">
        <v>3</v>
      </c>
      <c r="P364">
        <v>1</v>
      </c>
      <c r="Q364">
        <v>9</v>
      </c>
      <c r="R364">
        <v>1</v>
      </c>
      <c r="S364">
        <v>3</v>
      </c>
      <c r="T364">
        <v>0</v>
      </c>
      <c r="U364">
        <v>2</v>
      </c>
      <c r="V364" t="s">
        <v>52</v>
      </c>
      <c r="W364" s="1" t="s">
        <v>231</v>
      </c>
      <c r="Y364" t="s">
        <v>54</v>
      </c>
      <c r="Z364" t="s">
        <v>40</v>
      </c>
      <c r="AA364">
        <v>1</v>
      </c>
      <c r="AB364">
        <v>3</v>
      </c>
      <c r="AC364" t="s">
        <v>41</v>
      </c>
      <c r="AD364" t="s">
        <v>42</v>
      </c>
      <c r="AE364" t="s">
        <v>60</v>
      </c>
      <c r="AF364" s="3">
        <v>484</v>
      </c>
      <c r="AG364" s="3">
        <v>39</v>
      </c>
      <c r="AH364">
        <v>80</v>
      </c>
      <c r="AI364">
        <v>2</v>
      </c>
      <c r="AJ364">
        <v>0</v>
      </c>
      <c r="AL364">
        <v>0</v>
      </c>
      <c r="AM364">
        <v>1</v>
      </c>
      <c r="AN364" t="s">
        <v>768</v>
      </c>
      <c r="AO364" t="s">
        <v>41</v>
      </c>
    </row>
    <row r="365" spans="1:41" x14ac:dyDescent="0.25">
      <c r="A365">
        <v>42</v>
      </c>
      <c r="B365" t="s">
        <v>32</v>
      </c>
      <c r="C365" t="s">
        <v>33</v>
      </c>
      <c r="D365">
        <v>17</v>
      </c>
      <c r="E365" t="s">
        <v>61</v>
      </c>
      <c r="F365">
        <v>4</v>
      </c>
      <c r="G365">
        <v>2</v>
      </c>
      <c r="H365" t="s">
        <v>44</v>
      </c>
      <c r="I365">
        <v>1</v>
      </c>
      <c r="J365" t="s">
        <v>36</v>
      </c>
      <c r="K365">
        <v>6545</v>
      </c>
      <c r="L365">
        <v>3</v>
      </c>
      <c r="M365" t="s">
        <v>31</v>
      </c>
      <c r="N365">
        <v>13</v>
      </c>
      <c r="O365">
        <v>3</v>
      </c>
      <c r="P365">
        <v>0</v>
      </c>
      <c r="Q365">
        <v>10</v>
      </c>
      <c r="R365">
        <v>1</v>
      </c>
      <c r="S365">
        <v>3</v>
      </c>
      <c r="T365">
        <v>0</v>
      </c>
      <c r="U365">
        <v>2</v>
      </c>
      <c r="V365" t="s">
        <v>52</v>
      </c>
      <c r="W365" s="1" t="s">
        <v>232</v>
      </c>
      <c r="Y365" t="s">
        <v>69</v>
      </c>
      <c r="Z365" t="s">
        <v>40</v>
      </c>
      <c r="AA365">
        <v>3</v>
      </c>
      <c r="AB365">
        <v>1</v>
      </c>
      <c r="AC365" t="s">
        <v>41</v>
      </c>
      <c r="AD365" t="s">
        <v>48</v>
      </c>
      <c r="AE365" t="s">
        <v>43</v>
      </c>
      <c r="AF365" s="3">
        <v>485</v>
      </c>
      <c r="AG365" s="3">
        <v>34</v>
      </c>
      <c r="AH365">
        <v>80</v>
      </c>
      <c r="AI365">
        <v>0</v>
      </c>
      <c r="AJ365">
        <v>1</v>
      </c>
      <c r="AK365">
        <v>1</v>
      </c>
      <c r="AL365">
        <v>1</v>
      </c>
      <c r="AM365">
        <v>0</v>
      </c>
      <c r="AN365" t="s">
        <v>767</v>
      </c>
      <c r="AO365" t="s">
        <v>31</v>
      </c>
    </row>
    <row r="366" spans="1:41" x14ac:dyDescent="0.25">
      <c r="A366">
        <v>29</v>
      </c>
      <c r="B366" t="s">
        <v>32</v>
      </c>
      <c r="C366" t="s">
        <v>55</v>
      </c>
      <c r="D366">
        <v>20</v>
      </c>
      <c r="E366" t="s">
        <v>34</v>
      </c>
      <c r="F366">
        <v>3</v>
      </c>
      <c r="G366">
        <v>2</v>
      </c>
      <c r="H366" t="s">
        <v>70</v>
      </c>
      <c r="I366">
        <v>4</v>
      </c>
      <c r="J366" t="s">
        <v>57</v>
      </c>
      <c r="K366">
        <v>6931</v>
      </c>
      <c r="L366">
        <v>2</v>
      </c>
      <c r="M366" t="s">
        <v>41</v>
      </c>
      <c r="N366">
        <v>14</v>
      </c>
      <c r="O366">
        <v>3</v>
      </c>
      <c r="P366">
        <v>1</v>
      </c>
      <c r="Q366">
        <v>10</v>
      </c>
      <c r="R366">
        <v>2</v>
      </c>
      <c r="S366">
        <v>3</v>
      </c>
      <c r="T366">
        <v>0</v>
      </c>
      <c r="U366">
        <v>2</v>
      </c>
      <c r="V366" t="s">
        <v>37</v>
      </c>
      <c r="W366" s="1" t="s">
        <v>220</v>
      </c>
      <c r="Y366" t="s">
        <v>69</v>
      </c>
      <c r="Z366" t="s">
        <v>40</v>
      </c>
      <c r="AA366">
        <v>4</v>
      </c>
      <c r="AB366">
        <v>2</v>
      </c>
      <c r="AC366" t="s">
        <v>31</v>
      </c>
      <c r="AD366" t="s">
        <v>48</v>
      </c>
      <c r="AE366" t="s">
        <v>43</v>
      </c>
      <c r="AF366" s="3">
        <v>486</v>
      </c>
      <c r="AG366" s="3">
        <v>98</v>
      </c>
      <c r="AH366">
        <v>80</v>
      </c>
      <c r="AI366">
        <v>4</v>
      </c>
      <c r="AJ366">
        <v>0</v>
      </c>
      <c r="AL366">
        <v>0</v>
      </c>
      <c r="AM366">
        <v>1</v>
      </c>
      <c r="AN366" t="s">
        <v>768</v>
      </c>
      <c r="AO366" t="s">
        <v>41</v>
      </c>
    </row>
    <row r="367" spans="1:41" x14ac:dyDescent="0.25">
      <c r="A367">
        <v>21</v>
      </c>
      <c r="B367" t="s">
        <v>32</v>
      </c>
      <c r="C367" t="s">
        <v>33</v>
      </c>
      <c r="D367">
        <v>3</v>
      </c>
      <c r="E367" t="s">
        <v>34</v>
      </c>
      <c r="F367">
        <v>2</v>
      </c>
      <c r="G367">
        <v>1</v>
      </c>
      <c r="H367" t="s">
        <v>44</v>
      </c>
      <c r="I367">
        <v>3</v>
      </c>
      <c r="J367" t="s">
        <v>36</v>
      </c>
      <c r="K367">
        <v>3230</v>
      </c>
      <c r="L367">
        <v>1</v>
      </c>
      <c r="M367" t="s">
        <v>41</v>
      </c>
      <c r="N367">
        <v>17</v>
      </c>
      <c r="O367">
        <v>3</v>
      </c>
      <c r="P367">
        <v>0</v>
      </c>
      <c r="Q367">
        <v>3</v>
      </c>
      <c r="R367">
        <v>4</v>
      </c>
      <c r="S367">
        <v>3</v>
      </c>
      <c r="T367">
        <v>1</v>
      </c>
      <c r="U367">
        <v>0</v>
      </c>
      <c r="V367" t="s">
        <v>37</v>
      </c>
      <c r="W367" s="1" t="s">
        <v>233</v>
      </c>
      <c r="Y367" t="s">
        <v>54</v>
      </c>
      <c r="Z367" t="s">
        <v>47</v>
      </c>
      <c r="AA367">
        <v>2</v>
      </c>
      <c r="AB367">
        <v>0</v>
      </c>
      <c r="AC367" t="s">
        <v>41</v>
      </c>
      <c r="AD367" t="s">
        <v>65</v>
      </c>
      <c r="AE367" t="s">
        <v>49</v>
      </c>
      <c r="AF367" s="3">
        <v>487</v>
      </c>
      <c r="AG367" s="3">
        <v>30</v>
      </c>
      <c r="AH367">
        <v>80</v>
      </c>
      <c r="AI367">
        <v>0</v>
      </c>
      <c r="AJ367">
        <v>0</v>
      </c>
      <c r="AL367">
        <v>0</v>
      </c>
      <c r="AM367">
        <v>1</v>
      </c>
      <c r="AN367" t="s">
        <v>768</v>
      </c>
      <c r="AO367" t="s">
        <v>41</v>
      </c>
    </row>
    <row r="368" spans="1:41" x14ac:dyDescent="0.25">
      <c r="A368">
        <v>26</v>
      </c>
      <c r="B368" t="s">
        <v>32</v>
      </c>
      <c r="C368" t="s">
        <v>33</v>
      </c>
      <c r="D368">
        <v>16</v>
      </c>
      <c r="E368" t="s">
        <v>34</v>
      </c>
      <c r="F368">
        <v>3</v>
      </c>
      <c r="G368">
        <v>1</v>
      </c>
      <c r="H368" t="s">
        <v>35</v>
      </c>
      <c r="I368">
        <v>2</v>
      </c>
      <c r="J368" t="s">
        <v>57</v>
      </c>
      <c r="K368">
        <v>2373</v>
      </c>
      <c r="L368">
        <v>2</v>
      </c>
      <c r="M368" t="s">
        <v>31</v>
      </c>
      <c r="N368">
        <v>13</v>
      </c>
      <c r="O368">
        <v>3</v>
      </c>
      <c r="P368">
        <v>1</v>
      </c>
      <c r="Q368">
        <v>5</v>
      </c>
      <c r="R368">
        <v>2</v>
      </c>
      <c r="S368">
        <v>3</v>
      </c>
      <c r="T368">
        <v>0</v>
      </c>
      <c r="U368">
        <v>2</v>
      </c>
      <c r="V368" t="s">
        <v>72</v>
      </c>
      <c r="W368" s="2">
        <v>43378</v>
      </c>
      <c r="Y368" t="s">
        <v>39</v>
      </c>
      <c r="Z368" t="s">
        <v>40</v>
      </c>
      <c r="AA368">
        <v>2</v>
      </c>
      <c r="AB368">
        <v>2</v>
      </c>
      <c r="AC368" t="s">
        <v>31</v>
      </c>
      <c r="AD368" t="s">
        <v>67</v>
      </c>
      <c r="AE368" t="s">
        <v>43</v>
      </c>
      <c r="AF368" s="3">
        <v>488</v>
      </c>
      <c r="AG368" s="3">
        <v>56</v>
      </c>
      <c r="AH368">
        <v>80</v>
      </c>
      <c r="AI368">
        <v>7</v>
      </c>
      <c r="AJ368">
        <v>1</v>
      </c>
      <c r="AK368">
        <v>1</v>
      </c>
      <c r="AL368">
        <v>1</v>
      </c>
      <c r="AM368">
        <v>0</v>
      </c>
      <c r="AN368" t="s">
        <v>767</v>
      </c>
      <c r="AO368" t="s">
        <v>31</v>
      </c>
    </row>
    <row r="369" spans="1:41" x14ac:dyDescent="0.25">
      <c r="A369">
        <v>49</v>
      </c>
      <c r="B369" t="s">
        <v>66</v>
      </c>
      <c r="C369" t="s">
        <v>33</v>
      </c>
      <c r="D369">
        <v>10</v>
      </c>
      <c r="E369" t="s">
        <v>61</v>
      </c>
      <c r="F369">
        <v>3</v>
      </c>
      <c r="G369">
        <v>5</v>
      </c>
      <c r="H369" t="s">
        <v>50</v>
      </c>
      <c r="I369">
        <v>1</v>
      </c>
      <c r="J369" t="s">
        <v>36</v>
      </c>
      <c r="K369">
        <v>18665</v>
      </c>
      <c r="L369">
        <v>9</v>
      </c>
      <c r="M369" t="s">
        <v>31</v>
      </c>
      <c r="N369">
        <v>11</v>
      </c>
      <c r="O369">
        <v>3</v>
      </c>
      <c r="P369">
        <v>0</v>
      </c>
      <c r="Q369">
        <v>22</v>
      </c>
      <c r="R369">
        <v>4</v>
      </c>
      <c r="S369">
        <v>3</v>
      </c>
      <c r="T369">
        <v>1</v>
      </c>
      <c r="U369">
        <v>2</v>
      </c>
      <c r="V369" t="s">
        <v>37</v>
      </c>
      <c r="W369" s="1" t="s">
        <v>234</v>
      </c>
      <c r="Y369" t="s">
        <v>54</v>
      </c>
      <c r="Z369" t="s">
        <v>47</v>
      </c>
      <c r="AA369">
        <v>3</v>
      </c>
      <c r="AB369">
        <v>2</v>
      </c>
      <c r="AC369" t="s">
        <v>41</v>
      </c>
      <c r="AD369" t="s">
        <v>67</v>
      </c>
      <c r="AE369" t="s">
        <v>60</v>
      </c>
      <c r="AF369" s="3">
        <v>491</v>
      </c>
      <c r="AG369" s="3">
        <v>100</v>
      </c>
      <c r="AH369">
        <v>80</v>
      </c>
      <c r="AI369">
        <v>3</v>
      </c>
      <c r="AJ369">
        <v>0</v>
      </c>
      <c r="AL369">
        <v>0</v>
      </c>
      <c r="AM369">
        <v>1</v>
      </c>
      <c r="AN369" t="s">
        <v>768</v>
      </c>
      <c r="AO369" t="s">
        <v>41</v>
      </c>
    </row>
    <row r="370" spans="1:41" x14ac:dyDescent="0.25">
      <c r="A370">
        <v>28</v>
      </c>
      <c r="B370" t="s">
        <v>32</v>
      </c>
      <c r="C370" t="s">
        <v>33</v>
      </c>
      <c r="D370">
        <v>2</v>
      </c>
      <c r="E370" t="s">
        <v>34</v>
      </c>
      <c r="F370">
        <v>1</v>
      </c>
      <c r="G370">
        <v>1</v>
      </c>
      <c r="H370" t="s">
        <v>44</v>
      </c>
      <c r="I370">
        <v>4</v>
      </c>
      <c r="J370" t="s">
        <v>51</v>
      </c>
      <c r="K370">
        <v>3464</v>
      </c>
      <c r="L370">
        <v>5</v>
      </c>
      <c r="M370" t="s">
        <v>31</v>
      </c>
      <c r="N370">
        <v>13</v>
      </c>
      <c r="O370">
        <v>3</v>
      </c>
      <c r="P370">
        <v>0</v>
      </c>
      <c r="Q370">
        <v>5</v>
      </c>
      <c r="R370">
        <v>4</v>
      </c>
      <c r="S370">
        <v>3</v>
      </c>
      <c r="T370">
        <v>2</v>
      </c>
      <c r="U370">
        <v>2</v>
      </c>
      <c r="V370" t="s">
        <v>72</v>
      </c>
      <c r="W370" s="1" t="s">
        <v>235</v>
      </c>
      <c r="Y370" t="s">
        <v>39</v>
      </c>
      <c r="Z370" t="s">
        <v>40</v>
      </c>
      <c r="AA370">
        <v>2</v>
      </c>
      <c r="AB370">
        <v>3</v>
      </c>
      <c r="AC370" t="s">
        <v>31</v>
      </c>
      <c r="AD370" t="s">
        <v>48</v>
      </c>
      <c r="AE370" t="s">
        <v>60</v>
      </c>
      <c r="AF370" s="3">
        <v>492</v>
      </c>
      <c r="AG370" s="3">
        <v>68</v>
      </c>
      <c r="AH370">
        <v>80</v>
      </c>
      <c r="AI370">
        <v>4</v>
      </c>
      <c r="AJ370">
        <v>1</v>
      </c>
      <c r="AK370">
        <v>1</v>
      </c>
      <c r="AL370">
        <v>1</v>
      </c>
      <c r="AM370">
        <v>0</v>
      </c>
      <c r="AN370" t="s">
        <v>767</v>
      </c>
      <c r="AO370" t="s">
        <v>31</v>
      </c>
    </row>
    <row r="371" spans="1:41" x14ac:dyDescent="0.25">
      <c r="A371">
        <v>47</v>
      </c>
      <c r="B371" t="s">
        <v>32</v>
      </c>
      <c r="C371" t="s">
        <v>33</v>
      </c>
      <c r="D371">
        <v>5</v>
      </c>
      <c r="E371" t="s">
        <v>34</v>
      </c>
      <c r="F371">
        <v>3</v>
      </c>
      <c r="G371">
        <v>5</v>
      </c>
      <c r="H371" t="s">
        <v>50</v>
      </c>
      <c r="I371">
        <v>3</v>
      </c>
      <c r="J371" t="s">
        <v>51</v>
      </c>
      <c r="K371">
        <v>18300</v>
      </c>
      <c r="L371">
        <v>4</v>
      </c>
      <c r="M371" t="s">
        <v>41</v>
      </c>
      <c r="N371">
        <v>11</v>
      </c>
      <c r="O371">
        <v>3</v>
      </c>
      <c r="P371">
        <v>1</v>
      </c>
      <c r="Q371">
        <v>21</v>
      </c>
      <c r="R371">
        <v>2</v>
      </c>
      <c r="S371">
        <v>3</v>
      </c>
      <c r="T371">
        <v>1</v>
      </c>
      <c r="U371">
        <v>1</v>
      </c>
      <c r="V371" t="s">
        <v>72</v>
      </c>
      <c r="W371" s="1" t="s">
        <v>236</v>
      </c>
      <c r="Y371" t="s">
        <v>46</v>
      </c>
      <c r="Z371" t="s">
        <v>47</v>
      </c>
      <c r="AA371">
        <v>1</v>
      </c>
      <c r="AB371">
        <v>2</v>
      </c>
      <c r="AC371" t="s">
        <v>41</v>
      </c>
      <c r="AD371" t="s">
        <v>67</v>
      </c>
      <c r="AE371" t="s">
        <v>60</v>
      </c>
      <c r="AF371" s="3">
        <v>493</v>
      </c>
      <c r="AG371" s="3">
        <v>42</v>
      </c>
      <c r="AH371">
        <v>80</v>
      </c>
      <c r="AI371">
        <v>2</v>
      </c>
      <c r="AJ371">
        <v>0</v>
      </c>
      <c r="AL371">
        <v>0</v>
      </c>
      <c r="AM371">
        <v>1</v>
      </c>
      <c r="AN371" t="s">
        <v>768</v>
      </c>
      <c r="AO371" t="s">
        <v>41</v>
      </c>
    </row>
    <row r="372" spans="1:41" x14ac:dyDescent="0.25">
      <c r="A372">
        <v>29</v>
      </c>
      <c r="B372" t="s">
        <v>32</v>
      </c>
      <c r="C372" t="s">
        <v>33</v>
      </c>
      <c r="D372">
        <v>9</v>
      </c>
      <c r="E372" t="s">
        <v>34</v>
      </c>
      <c r="F372">
        <v>2</v>
      </c>
      <c r="G372">
        <v>1</v>
      </c>
      <c r="H372" t="s">
        <v>35</v>
      </c>
      <c r="I372">
        <v>4</v>
      </c>
      <c r="J372" t="s">
        <v>36</v>
      </c>
      <c r="K372">
        <v>3983</v>
      </c>
      <c r="L372">
        <v>0</v>
      </c>
      <c r="M372" t="s">
        <v>41</v>
      </c>
      <c r="N372">
        <v>17</v>
      </c>
      <c r="O372">
        <v>3</v>
      </c>
      <c r="P372">
        <v>0</v>
      </c>
      <c r="Q372">
        <v>4</v>
      </c>
      <c r="R372">
        <v>2</v>
      </c>
      <c r="S372">
        <v>3</v>
      </c>
      <c r="T372">
        <v>2</v>
      </c>
      <c r="U372">
        <v>2</v>
      </c>
      <c r="V372" t="s">
        <v>58</v>
      </c>
      <c r="W372" s="1" t="s">
        <v>236</v>
      </c>
      <c r="Y372" t="s">
        <v>54</v>
      </c>
      <c r="Z372" t="s">
        <v>47</v>
      </c>
      <c r="AA372">
        <v>1</v>
      </c>
      <c r="AB372">
        <v>0</v>
      </c>
      <c r="AC372" t="s">
        <v>31</v>
      </c>
      <c r="AD372" t="s">
        <v>42</v>
      </c>
      <c r="AE372" t="s">
        <v>49</v>
      </c>
      <c r="AF372" s="3">
        <v>494</v>
      </c>
      <c r="AG372" s="3">
        <v>90</v>
      </c>
      <c r="AH372">
        <v>80</v>
      </c>
      <c r="AI372">
        <v>0</v>
      </c>
      <c r="AJ372">
        <v>1</v>
      </c>
      <c r="AK372">
        <v>1</v>
      </c>
      <c r="AL372">
        <v>1</v>
      </c>
      <c r="AM372">
        <v>0</v>
      </c>
      <c r="AN372" t="s">
        <v>767</v>
      </c>
      <c r="AO372" t="s">
        <v>31</v>
      </c>
    </row>
    <row r="373" spans="1:41" x14ac:dyDescent="0.25">
      <c r="A373">
        <v>42</v>
      </c>
      <c r="B373" t="s">
        <v>32</v>
      </c>
      <c r="C373" t="s">
        <v>120</v>
      </c>
      <c r="D373">
        <v>2</v>
      </c>
      <c r="E373" t="s">
        <v>34</v>
      </c>
      <c r="F373">
        <v>3</v>
      </c>
      <c r="G373">
        <v>1</v>
      </c>
      <c r="H373" t="s">
        <v>120</v>
      </c>
      <c r="I373">
        <v>3</v>
      </c>
      <c r="J373" t="s">
        <v>57</v>
      </c>
      <c r="K373">
        <v>2696</v>
      </c>
      <c r="L373">
        <v>0</v>
      </c>
      <c r="M373" t="s">
        <v>31</v>
      </c>
      <c r="N373">
        <v>11</v>
      </c>
      <c r="O373">
        <v>3</v>
      </c>
      <c r="P373">
        <v>1</v>
      </c>
      <c r="Q373">
        <v>4</v>
      </c>
      <c r="R373">
        <v>5</v>
      </c>
      <c r="S373">
        <v>3</v>
      </c>
      <c r="T373">
        <v>1</v>
      </c>
      <c r="U373">
        <v>0</v>
      </c>
      <c r="V373" t="s">
        <v>37</v>
      </c>
      <c r="W373" s="2">
        <v>43344</v>
      </c>
      <c r="Y373" t="s">
        <v>46</v>
      </c>
      <c r="Z373" t="s">
        <v>40</v>
      </c>
      <c r="AA373">
        <v>4</v>
      </c>
      <c r="AB373">
        <v>2</v>
      </c>
      <c r="AC373" t="s">
        <v>41</v>
      </c>
      <c r="AD373" t="s">
        <v>42</v>
      </c>
      <c r="AE373" t="s">
        <v>43</v>
      </c>
      <c r="AF373" s="3">
        <v>495</v>
      </c>
      <c r="AG373" s="3">
        <v>54</v>
      </c>
      <c r="AH373">
        <v>80</v>
      </c>
      <c r="AI373">
        <v>2</v>
      </c>
      <c r="AJ373">
        <v>0</v>
      </c>
      <c r="AL373">
        <v>0</v>
      </c>
      <c r="AM373">
        <v>1</v>
      </c>
      <c r="AN373" t="s">
        <v>768</v>
      </c>
      <c r="AO373" t="s">
        <v>41</v>
      </c>
    </row>
    <row r="374" spans="1:41" x14ac:dyDescent="0.25">
      <c r="A374">
        <v>21</v>
      </c>
      <c r="B374" t="s">
        <v>66</v>
      </c>
      <c r="C374" t="s">
        <v>55</v>
      </c>
      <c r="D374">
        <v>1</v>
      </c>
      <c r="E374" t="s">
        <v>61</v>
      </c>
      <c r="F374">
        <v>2</v>
      </c>
      <c r="G374">
        <v>1</v>
      </c>
      <c r="H374" t="s">
        <v>56</v>
      </c>
      <c r="I374">
        <v>2</v>
      </c>
      <c r="J374" t="s">
        <v>36</v>
      </c>
      <c r="K374">
        <v>2174</v>
      </c>
      <c r="L374">
        <v>1</v>
      </c>
      <c r="M374" t="s">
        <v>31</v>
      </c>
      <c r="N374">
        <v>11</v>
      </c>
      <c r="O374">
        <v>3</v>
      </c>
      <c r="P374">
        <v>0</v>
      </c>
      <c r="Q374">
        <v>3</v>
      </c>
      <c r="R374">
        <v>3</v>
      </c>
      <c r="S374">
        <v>3</v>
      </c>
      <c r="T374">
        <v>1</v>
      </c>
      <c r="U374">
        <v>2</v>
      </c>
      <c r="V374" t="s">
        <v>58</v>
      </c>
      <c r="W374" s="1" t="s">
        <v>237</v>
      </c>
      <c r="Y374" t="s">
        <v>69</v>
      </c>
      <c r="Z374" t="s">
        <v>47</v>
      </c>
      <c r="AA374">
        <v>3</v>
      </c>
      <c r="AB374">
        <v>1</v>
      </c>
      <c r="AC374" t="s">
        <v>41</v>
      </c>
      <c r="AD374" t="s">
        <v>42</v>
      </c>
      <c r="AE374" t="s">
        <v>49</v>
      </c>
      <c r="AF374" s="3">
        <v>496</v>
      </c>
      <c r="AG374" s="3">
        <v>97</v>
      </c>
      <c r="AH374">
        <v>80</v>
      </c>
      <c r="AI374">
        <v>1</v>
      </c>
      <c r="AJ374">
        <v>0</v>
      </c>
      <c r="AL374">
        <v>0</v>
      </c>
      <c r="AM374">
        <v>1</v>
      </c>
      <c r="AN374" t="s">
        <v>768</v>
      </c>
      <c r="AO374" t="s">
        <v>41</v>
      </c>
    </row>
    <row r="375" spans="1:41" x14ac:dyDescent="0.25">
      <c r="A375">
        <v>57</v>
      </c>
      <c r="B375" t="s">
        <v>32</v>
      </c>
      <c r="C375" t="s">
        <v>33</v>
      </c>
      <c r="D375">
        <v>1</v>
      </c>
      <c r="E375" t="s">
        <v>34</v>
      </c>
      <c r="F375">
        <v>3</v>
      </c>
      <c r="G375">
        <v>2</v>
      </c>
      <c r="H375" t="s">
        <v>89</v>
      </c>
      <c r="I375">
        <v>3</v>
      </c>
      <c r="J375" t="s">
        <v>51</v>
      </c>
      <c r="K375">
        <v>6755</v>
      </c>
      <c r="L375">
        <v>2</v>
      </c>
      <c r="M375" t="s">
        <v>41</v>
      </c>
      <c r="N375">
        <v>11</v>
      </c>
      <c r="O375">
        <v>3</v>
      </c>
      <c r="P375">
        <v>0</v>
      </c>
      <c r="Q375">
        <v>15</v>
      </c>
      <c r="R375">
        <v>2</v>
      </c>
      <c r="S375">
        <v>3</v>
      </c>
      <c r="T375">
        <v>1</v>
      </c>
      <c r="U375">
        <v>2</v>
      </c>
      <c r="V375" t="s">
        <v>37</v>
      </c>
      <c r="W375" s="2">
        <v>43192</v>
      </c>
      <c r="Y375" t="s">
        <v>46</v>
      </c>
      <c r="Z375" t="s">
        <v>47</v>
      </c>
      <c r="AA375">
        <v>4</v>
      </c>
      <c r="AB375">
        <v>1</v>
      </c>
      <c r="AC375" t="s">
        <v>31</v>
      </c>
      <c r="AD375" t="s">
        <v>42</v>
      </c>
      <c r="AE375" t="s">
        <v>43</v>
      </c>
      <c r="AF375" s="3">
        <v>497</v>
      </c>
      <c r="AG375" s="3">
        <v>82</v>
      </c>
      <c r="AH375">
        <v>80</v>
      </c>
      <c r="AI375">
        <v>2</v>
      </c>
      <c r="AJ375">
        <v>0</v>
      </c>
      <c r="AL375">
        <v>0</v>
      </c>
      <c r="AM375">
        <v>1</v>
      </c>
      <c r="AN375" t="s">
        <v>768</v>
      </c>
      <c r="AO375" t="s">
        <v>41</v>
      </c>
    </row>
    <row r="376" spans="1:41" x14ac:dyDescent="0.25">
      <c r="A376">
        <v>21</v>
      </c>
      <c r="B376" t="s">
        <v>81</v>
      </c>
      <c r="C376" t="s">
        <v>55</v>
      </c>
      <c r="D376">
        <v>9</v>
      </c>
      <c r="E376" t="s">
        <v>34</v>
      </c>
      <c r="F376">
        <v>3</v>
      </c>
      <c r="G376">
        <v>1</v>
      </c>
      <c r="H376" t="s">
        <v>56</v>
      </c>
      <c r="I376">
        <v>4</v>
      </c>
      <c r="J376" t="s">
        <v>36</v>
      </c>
      <c r="K376">
        <v>2610</v>
      </c>
      <c r="L376">
        <v>1</v>
      </c>
      <c r="M376" t="s">
        <v>41</v>
      </c>
      <c r="N376">
        <v>24</v>
      </c>
      <c r="O376">
        <v>4</v>
      </c>
      <c r="P376">
        <v>0</v>
      </c>
      <c r="Q376">
        <v>3</v>
      </c>
      <c r="R376">
        <v>3</v>
      </c>
      <c r="S376">
        <v>3</v>
      </c>
      <c r="T376">
        <v>2</v>
      </c>
      <c r="U376">
        <v>2</v>
      </c>
      <c r="V376" t="s">
        <v>37</v>
      </c>
      <c r="W376" s="2">
        <v>43105</v>
      </c>
      <c r="Y376" t="s">
        <v>54</v>
      </c>
      <c r="Z376" t="s">
        <v>40</v>
      </c>
      <c r="AA376">
        <v>3</v>
      </c>
      <c r="AB376">
        <v>2</v>
      </c>
      <c r="AC376" t="s">
        <v>41</v>
      </c>
      <c r="AD376" t="s">
        <v>65</v>
      </c>
      <c r="AE376" t="s">
        <v>43</v>
      </c>
      <c r="AF376" s="3">
        <v>498</v>
      </c>
      <c r="AG376" s="3">
        <v>92</v>
      </c>
      <c r="AH376">
        <v>80</v>
      </c>
      <c r="AI376">
        <v>5</v>
      </c>
      <c r="AJ376">
        <v>0</v>
      </c>
      <c r="AL376">
        <v>0</v>
      </c>
      <c r="AM376">
        <v>1</v>
      </c>
      <c r="AN376" t="s">
        <v>768</v>
      </c>
      <c r="AO376" t="s">
        <v>41</v>
      </c>
    </row>
    <row r="377" spans="1:41" x14ac:dyDescent="0.25">
      <c r="A377">
        <v>29</v>
      </c>
      <c r="B377" t="s">
        <v>32</v>
      </c>
      <c r="C377" t="s">
        <v>33</v>
      </c>
      <c r="D377">
        <v>23</v>
      </c>
      <c r="E377" t="s">
        <v>34</v>
      </c>
      <c r="F377">
        <v>3</v>
      </c>
      <c r="G377">
        <v>1</v>
      </c>
      <c r="H377" t="s">
        <v>44</v>
      </c>
      <c r="I377">
        <v>4</v>
      </c>
      <c r="J377" t="s">
        <v>36</v>
      </c>
      <c r="K377">
        <v>2201</v>
      </c>
      <c r="L377">
        <v>9</v>
      </c>
      <c r="M377" t="s">
        <v>41</v>
      </c>
      <c r="N377">
        <v>16</v>
      </c>
      <c r="O377">
        <v>3</v>
      </c>
      <c r="P377">
        <v>0</v>
      </c>
      <c r="Q377">
        <v>6</v>
      </c>
      <c r="R377">
        <v>4</v>
      </c>
      <c r="S377">
        <v>3</v>
      </c>
      <c r="T377">
        <v>1</v>
      </c>
      <c r="U377">
        <v>2</v>
      </c>
      <c r="V377" t="s">
        <v>52</v>
      </c>
      <c r="W377" s="1" t="s">
        <v>223</v>
      </c>
      <c r="Y377" t="s">
        <v>54</v>
      </c>
      <c r="Z377" t="s">
        <v>47</v>
      </c>
      <c r="AA377">
        <v>3</v>
      </c>
      <c r="AB377">
        <v>0</v>
      </c>
      <c r="AC377" t="s">
        <v>31</v>
      </c>
      <c r="AD377" t="s">
        <v>48</v>
      </c>
      <c r="AE377" t="s">
        <v>60</v>
      </c>
      <c r="AF377" s="3">
        <v>499</v>
      </c>
      <c r="AG377" s="3">
        <v>31</v>
      </c>
      <c r="AH377">
        <v>80</v>
      </c>
      <c r="AI377">
        <v>2</v>
      </c>
      <c r="AJ377">
        <v>0</v>
      </c>
      <c r="AL377">
        <v>0</v>
      </c>
      <c r="AM377">
        <v>1</v>
      </c>
      <c r="AN377" t="s">
        <v>768</v>
      </c>
      <c r="AO377" t="s">
        <v>41</v>
      </c>
    </row>
    <row r="378" spans="1:41" x14ac:dyDescent="0.25">
      <c r="A378">
        <v>34</v>
      </c>
      <c r="B378" t="s">
        <v>81</v>
      </c>
      <c r="C378" t="s">
        <v>55</v>
      </c>
      <c r="D378">
        <v>4</v>
      </c>
      <c r="E378" t="s">
        <v>61</v>
      </c>
      <c r="F378">
        <v>3</v>
      </c>
      <c r="G378">
        <v>2</v>
      </c>
      <c r="H378" t="s">
        <v>70</v>
      </c>
      <c r="I378">
        <v>3</v>
      </c>
      <c r="J378" t="s">
        <v>51</v>
      </c>
      <c r="K378">
        <v>6538</v>
      </c>
      <c r="L378">
        <v>9</v>
      </c>
      <c r="M378" t="s">
        <v>41</v>
      </c>
      <c r="N378">
        <v>15</v>
      </c>
      <c r="O378">
        <v>3</v>
      </c>
      <c r="P378">
        <v>1</v>
      </c>
      <c r="Q378">
        <v>6</v>
      </c>
      <c r="R378">
        <v>3</v>
      </c>
      <c r="S378">
        <v>3</v>
      </c>
      <c r="T378">
        <v>1</v>
      </c>
      <c r="U378">
        <v>2</v>
      </c>
      <c r="V378" t="s">
        <v>58</v>
      </c>
      <c r="W378" s="2">
        <v>43164</v>
      </c>
      <c r="Y378" t="s">
        <v>46</v>
      </c>
      <c r="Z378" t="s">
        <v>40</v>
      </c>
      <c r="AA378">
        <v>4</v>
      </c>
      <c r="AB378">
        <v>2</v>
      </c>
      <c r="AC378" t="s">
        <v>31</v>
      </c>
      <c r="AD378" t="s">
        <v>42</v>
      </c>
      <c r="AE378" t="s">
        <v>43</v>
      </c>
      <c r="AF378" s="3">
        <v>500</v>
      </c>
      <c r="AG378" s="3">
        <v>87</v>
      </c>
      <c r="AH378">
        <v>80</v>
      </c>
      <c r="AI378">
        <v>7</v>
      </c>
      <c r="AJ378">
        <v>0</v>
      </c>
      <c r="AL378">
        <v>0</v>
      </c>
      <c r="AM378">
        <v>1</v>
      </c>
      <c r="AN378" t="s">
        <v>768</v>
      </c>
      <c r="AO378" t="s">
        <v>41</v>
      </c>
    </row>
    <row r="379" spans="1:41" x14ac:dyDescent="0.25">
      <c r="A379">
        <v>43</v>
      </c>
      <c r="B379" t="s">
        <v>66</v>
      </c>
      <c r="C379" t="s">
        <v>33</v>
      </c>
      <c r="D379">
        <v>21</v>
      </c>
      <c r="E379" t="s">
        <v>34</v>
      </c>
      <c r="F379">
        <v>3</v>
      </c>
      <c r="G379">
        <v>1</v>
      </c>
      <c r="H379" t="s">
        <v>35</v>
      </c>
      <c r="I379">
        <v>4</v>
      </c>
      <c r="J379" t="s">
        <v>51</v>
      </c>
      <c r="K379">
        <v>2258</v>
      </c>
      <c r="L379">
        <v>7</v>
      </c>
      <c r="M379" t="s">
        <v>41</v>
      </c>
      <c r="N379">
        <v>20</v>
      </c>
      <c r="O379">
        <v>4</v>
      </c>
      <c r="P379">
        <v>1</v>
      </c>
      <c r="Q379">
        <v>8</v>
      </c>
      <c r="R379">
        <v>1</v>
      </c>
      <c r="S379">
        <v>3</v>
      </c>
      <c r="T379">
        <v>1</v>
      </c>
      <c r="U379">
        <v>2</v>
      </c>
      <c r="V379" t="s">
        <v>52</v>
      </c>
      <c r="W379" s="1" t="s">
        <v>238</v>
      </c>
      <c r="Y379" t="s">
        <v>54</v>
      </c>
      <c r="Z379" t="s">
        <v>47</v>
      </c>
      <c r="AA379">
        <v>3</v>
      </c>
      <c r="AB379">
        <v>1</v>
      </c>
      <c r="AC379" t="s">
        <v>41</v>
      </c>
      <c r="AD379" t="s">
        <v>65</v>
      </c>
      <c r="AE379" t="s">
        <v>43</v>
      </c>
      <c r="AF379" s="3">
        <v>501</v>
      </c>
      <c r="AG379" s="3">
        <v>96</v>
      </c>
      <c r="AH379">
        <v>80</v>
      </c>
      <c r="AI379">
        <v>2</v>
      </c>
      <c r="AJ379">
        <v>0</v>
      </c>
      <c r="AL379">
        <v>0</v>
      </c>
      <c r="AM379">
        <v>1</v>
      </c>
      <c r="AN379" t="s">
        <v>768</v>
      </c>
      <c r="AO379" t="s">
        <v>41</v>
      </c>
    </row>
    <row r="380" spans="1:41" x14ac:dyDescent="0.25">
      <c r="A380">
        <v>26</v>
      </c>
      <c r="B380" t="s">
        <v>32</v>
      </c>
      <c r="C380" t="s">
        <v>33</v>
      </c>
      <c r="D380">
        <v>23</v>
      </c>
      <c r="E380" t="s">
        <v>61</v>
      </c>
      <c r="F380">
        <v>3</v>
      </c>
      <c r="G380">
        <v>1</v>
      </c>
      <c r="H380" t="s">
        <v>44</v>
      </c>
      <c r="I380">
        <v>4</v>
      </c>
      <c r="J380" t="s">
        <v>57</v>
      </c>
      <c r="K380">
        <v>2886</v>
      </c>
      <c r="L380">
        <v>1</v>
      </c>
      <c r="M380" t="s">
        <v>41</v>
      </c>
      <c r="N380">
        <v>22</v>
      </c>
      <c r="O380">
        <v>4</v>
      </c>
      <c r="P380">
        <v>2</v>
      </c>
      <c r="Q380">
        <v>3</v>
      </c>
      <c r="R380">
        <v>3</v>
      </c>
      <c r="S380">
        <v>3</v>
      </c>
      <c r="T380">
        <v>0</v>
      </c>
      <c r="U380">
        <v>2</v>
      </c>
      <c r="V380" t="s">
        <v>58</v>
      </c>
      <c r="W380" s="2">
        <v>43287</v>
      </c>
      <c r="Y380" t="s">
        <v>39</v>
      </c>
      <c r="Z380" t="s">
        <v>40</v>
      </c>
      <c r="AA380">
        <v>2</v>
      </c>
      <c r="AB380">
        <v>2</v>
      </c>
      <c r="AC380" t="s">
        <v>41</v>
      </c>
      <c r="AD380" t="s">
        <v>48</v>
      </c>
      <c r="AE380" t="s">
        <v>43</v>
      </c>
      <c r="AF380" s="3">
        <v>502</v>
      </c>
      <c r="AG380" s="3">
        <v>67</v>
      </c>
      <c r="AH380">
        <v>80</v>
      </c>
      <c r="AI380">
        <v>2</v>
      </c>
      <c r="AJ380">
        <v>1</v>
      </c>
      <c r="AK380">
        <v>1</v>
      </c>
      <c r="AL380">
        <v>1</v>
      </c>
      <c r="AM380">
        <v>0</v>
      </c>
      <c r="AN380" t="s">
        <v>767</v>
      </c>
      <c r="AO380" t="s">
        <v>31</v>
      </c>
    </row>
    <row r="381" spans="1:41" x14ac:dyDescent="0.25">
      <c r="A381">
        <v>46</v>
      </c>
      <c r="B381" t="s">
        <v>32</v>
      </c>
      <c r="C381" t="s">
        <v>33</v>
      </c>
      <c r="D381">
        <v>2</v>
      </c>
      <c r="E381" t="s">
        <v>34</v>
      </c>
      <c r="F381">
        <v>3</v>
      </c>
      <c r="G381">
        <v>4</v>
      </c>
      <c r="H381" t="s">
        <v>50</v>
      </c>
      <c r="I381">
        <v>3</v>
      </c>
      <c r="J381" t="s">
        <v>51</v>
      </c>
      <c r="K381">
        <v>17861</v>
      </c>
      <c r="L381">
        <v>6</v>
      </c>
      <c r="M381" t="s">
        <v>41</v>
      </c>
      <c r="N381">
        <v>13</v>
      </c>
      <c r="O381">
        <v>3</v>
      </c>
      <c r="P381">
        <v>0</v>
      </c>
      <c r="Q381">
        <v>26</v>
      </c>
      <c r="R381">
        <v>2</v>
      </c>
      <c r="S381">
        <v>3</v>
      </c>
      <c r="T381">
        <v>0</v>
      </c>
      <c r="U381">
        <v>1</v>
      </c>
      <c r="V381" t="s">
        <v>52</v>
      </c>
      <c r="W381" s="1" t="s">
        <v>221</v>
      </c>
      <c r="Y381" t="s">
        <v>63</v>
      </c>
      <c r="Z381" t="s">
        <v>47</v>
      </c>
      <c r="AA381">
        <v>2</v>
      </c>
      <c r="AB381">
        <v>0</v>
      </c>
      <c r="AC381" t="s">
        <v>41</v>
      </c>
      <c r="AD381" t="s">
        <v>48</v>
      </c>
      <c r="AE381" t="s">
        <v>43</v>
      </c>
      <c r="AF381" s="3">
        <v>505</v>
      </c>
      <c r="AG381" s="3">
        <v>97</v>
      </c>
      <c r="AH381">
        <v>80</v>
      </c>
      <c r="AI381">
        <v>4</v>
      </c>
      <c r="AJ381">
        <v>0</v>
      </c>
      <c r="AL381">
        <v>0</v>
      </c>
      <c r="AM381">
        <v>1</v>
      </c>
      <c r="AN381" t="s">
        <v>768</v>
      </c>
      <c r="AO381" t="s">
        <v>41</v>
      </c>
    </row>
    <row r="382" spans="1:41" x14ac:dyDescent="0.25">
      <c r="A382">
        <v>46</v>
      </c>
      <c r="B382" t="s">
        <v>32</v>
      </c>
      <c r="C382" t="s">
        <v>55</v>
      </c>
      <c r="D382">
        <v>10</v>
      </c>
      <c r="E382" t="s">
        <v>61</v>
      </c>
      <c r="F382">
        <v>2</v>
      </c>
      <c r="G382">
        <v>3</v>
      </c>
      <c r="H382" t="s">
        <v>70</v>
      </c>
      <c r="I382">
        <v>4</v>
      </c>
      <c r="J382" t="s">
        <v>51</v>
      </c>
      <c r="K382">
        <v>9071</v>
      </c>
      <c r="L382">
        <v>2</v>
      </c>
      <c r="M382" t="s">
        <v>31</v>
      </c>
      <c r="N382">
        <v>19</v>
      </c>
      <c r="O382">
        <v>3</v>
      </c>
      <c r="P382">
        <v>1</v>
      </c>
      <c r="Q382">
        <v>15</v>
      </c>
      <c r="R382">
        <v>3</v>
      </c>
      <c r="S382">
        <v>3</v>
      </c>
      <c r="T382">
        <v>1</v>
      </c>
      <c r="U382">
        <v>2</v>
      </c>
      <c r="V382" t="s">
        <v>72</v>
      </c>
      <c r="W382" s="2">
        <v>43376</v>
      </c>
      <c r="Y382" t="s">
        <v>46</v>
      </c>
      <c r="Z382" t="s">
        <v>47</v>
      </c>
      <c r="AA382">
        <v>0</v>
      </c>
      <c r="AB382">
        <v>1</v>
      </c>
      <c r="AC382" t="s">
        <v>31</v>
      </c>
      <c r="AD382" t="s">
        <v>67</v>
      </c>
      <c r="AE382" t="s">
        <v>43</v>
      </c>
      <c r="AF382" s="3">
        <v>507</v>
      </c>
      <c r="AG382" s="3">
        <v>77</v>
      </c>
      <c r="AH382">
        <v>80</v>
      </c>
      <c r="AI382">
        <v>2</v>
      </c>
      <c r="AJ382">
        <v>0</v>
      </c>
      <c r="AL382">
        <v>0</v>
      </c>
      <c r="AM382">
        <v>1</v>
      </c>
      <c r="AN382" t="s">
        <v>768</v>
      </c>
      <c r="AO382" t="s">
        <v>41</v>
      </c>
    </row>
    <row r="383" spans="1:41" x14ac:dyDescent="0.25">
      <c r="A383">
        <v>30</v>
      </c>
      <c r="B383" t="s">
        <v>32</v>
      </c>
      <c r="C383" t="s">
        <v>55</v>
      </c>
      <c r="D383">
        <v>7</v>
      </c>
      <c r="E383" t="s">
        <v>34</v>
      </c>
      <c r="F383">
        <v>3</v>
      </c>
      <c r="G383">
        <v>1</v>
      </c>
      <c r="H383" t="s">
        <v>56</v>
      </c>
      <c r="I383">
        <v>2</v>
      </c>
      <c r="J383" t="s">
        <v>36</v>
      </c>
      <c r="K383">
        <v>2983</v>
      </c>
      <c r="L383">
        <v>0</v>
      </c>
      <c r="M383" t="s">
        <v>41</v>
      </c>
      <c r="N383">
        <v>14</v>
      </c>
      <c r="O383">
        <v>3</v>
      </c>
      <c r="P383">
        <v>0</v>
      </c>
      <c r="Q383">
        <v>4</v>
      </c>
      <c r="R383">
        <v>3</v>
      </c>
      <c r="S383">
        <v>3</v>
      </c>
      <c r="T383">
        <v>1</v>
      </c>
      <c r="U383">
        <v>2</v>
      </c>
      <c r="V383" t="s">
        <v>52</v>
      </c>
      <c r="W383" s="2">
        <v>43106</v>
      </c>
      <c r="Y383" t="s">
        <v>54</v>
      </c>
      <c r="Z383" t="s">
        <v>40</v>
      </c>
      <c r="AA383">
        <v>2</v>
      </c>
      <c r="AB383">
        <v>0</v>
      </c>
      <c r="AC383" t="s">
        <v>41</v>
      </c>
      <c r="AD383" t="s">
        <v>67</v>
      </c>
      <c r="AE383" t="s">
        <v>43</v>
      </c>
      <c r="AF383" s="3">
        <v>508</v>
      </c>
      <c r="AG383" s="3">
        <v>72</v>
      </c>
      <c r="AH383">
        <v>80</v>
      </c>
      <c r="AI383">
        <v>0</v>
      </c>
      <c r="AJ383">
        <v>0</v>
      </c>
      <c r="AL383">
        <v>0</v>
      </c>
      <c r="AM383">
        <v>1</v>
      </c>
      <c r="AN383" t="s">
        <v>768</v>
      </c>
      <c r="AO383" t="s">
        <v>41</v>
      </c>
    </row>
    <row r="384" spans="1:41" x14ac:dyDescent="0.25">
      <c r="A384">
        <v>34</v>
      </c>
      <c r="B384" t="s">
        <v>66</v>
      </c>
      <c r="C384" t="s">
        <v>120</v>
      </c>
      <c r="D384">
        <v>23</v>
      </c>
      <c r="E384" t="s">
        <v>61</v>
      </c>
      <c r="F384">
        <v>3</v>
      </c>
      <c r="G384">
        <v>3</v>
      </c>
      <c r="H384" t="s">
        <v>120</v>
      </c>
      <c r="I384">
        <v>1</v>
      </c>
      <c r="J384" t="s">
        <v>57</v>
      </c>
      <c r="K384">
        <v>9950</v>
      </c>
      <c r="L384">
        <v>9</v>
      </c>
      <c r="M384" t="s">
        <v>31</v>
      </c>
      <c r="N384">
        <v>15</v>
      </c>
      <c r="O384">
        <v>3</v>
      </c>
      <c r="P384">
        <v>3</v>
      </c>
      <c r="Q384">
        <v>11</v>
      </c>
      <c r="R384">
        <v>2</v>
      </c>
      <c r="S384">
        <v>3</v>
      </c>
      <c r="T384">
        <v>0</v>
      </c>
      <c r="U384">
        <v>2</v>
      </c>
      <c r="V384" t="s">
        <v>58</v>
      </c>
      <c r="W384" s="2">
        <v>43314</v>
      </c>
      <c r="Y384" t="s">
        <v>46</v>
      </c>
      <c r="Z384" t="s">
        <v>47</v>
      </c>
      <c r="AA384">
        <v>0</v>
      </c>
      <c r="AB384">
        <v>2</v>
      </c>
      <c r="AC384" t="s">
        <v>41</v>
      </c>
      <c r="AD384" t="s">
        <v>65</v>
      </c>
      <c r="AE384" t="s">
        <v>60</v>
      </c>
      <c r="AF384" s="3">
        <v>510</v>
      </c>
      <c r="AG384" s="3">
        <v>73</v>
      </c>
      <c r="AH384">
        <v>80</v>
      </c>
      <c r="AI384">
        <v>4</v>
      </c>
      <c r="AJ384">
        <v>1</v>
      </c>
      <c r="AK384">
        <v>1</v>
      </c>
      <c r="AL384">
        <v>1</v>
      </c>
      <c r="AM384">
        <v>0</v>
      </c>
      <c r="AN384" t="s">
        <v>767</v>
      </c>
      <c r="AO384" t="s">
        <v>31</v>
      </c>
    </row>
    <row r="385" spans="1:41" x14ac:dyDescent="0.25">
      <c r="A385">
        <v>29</v>
      </c>
      <c r="B385" t="s">
        <v>32</v>
      </c>
      <c r="C385" t="s">
        <v>33</v>
      </c>
      <c r="D385">
        <v>19</v>
      </c>
      <c r="E385" t="s">
        <v>34</v>
      </c>
      <c r="F385">
        <v>3</v>
      </c>
      <c r="G385">
        <v>2</v>
      </c>
      <c r="H385" t="s">
        <v>78</v>
      </c>
      <c r="I385">
        <v>4</v>
      </c>
      <c r="J385" t="s">
        <v>57</v>
      </c>
      <c r="K385">
        <v>4262</v>
      </c>
      <c r="L385">
        <v>4</v>
      </c>
      <c r="M385" t="s">
        <v>41</v>
      </c>
      <c r="N385">
        <v>12</v>
      </c>
      <c r="O385">
        <v>3</v>
      </c>
      <c r="P385">
        <v>2</v>
      </c>
      <c r="Q385">
        <v>8</v>
      </c>
      <c r="R385">
        <v>2</v>
      </c>
      <c r="S385">
        <v>3</v>
      </c>
      <c r="T385">
        <v>1</v>
      </c>
      <c r="U385">
        <v>2</v>
      </c>
      <c r="V385" t="s">
        <v>37</v>
      </c>
      <c r="W385" s="2">
        <v>43195</v>
      </c>
      <c r="Y385" t="s">
        <v>54</v>
      </c>
      <c r="Z385" t="s">
        <v>40</v>
      </c>
      <c r="AA385">
        <v>2</v>
      </c>
      <c r="AB385">
        <v>3</v>
      </c>
      <c r="AC385" t="s">
        <v>41</v>
      </c>
      <c r="AD385" t="s">
        <v>42</v>
      </c>
      <c r="AE385" t="s">
        <v>43</v>
      </c>
      <c r="AF385" s="3">
        <v>511</v>
      </c>
      <c r="AG385" s="3">
        <v>43</v>
      </c>
      <c r="AH385">
        <v>80</v>
      </c>
      <c r="AI385">
        <v>1</v>
      </c>
      <c r="AJ385">
        <v>0</v>
      </c>
      <c r="AL385">
        <v>0</v>
      </c>
      <c r="AM385">
        <v>1</v>
      </c>
      <c r="AN385" t="s">
        <v>768</v>
      </c>
      <c r="AO385" t="s">
        <v>41</v>
      </c>
    </row>
    <row r="386" spans="1:41" x14ac:dyDescent="0.25">
      <c r="A386">
        <v>31</v>
      </c>
      <c r="B386" t="s">
        <v>32</v>
      </c>
      <c r="C386" t="s">
        <v>55</v>
      </c>
      <c r="D386">
        <v>13</v>
      </c>
      <c r="E386" t="s">
        <v>34</v>
      </c>
      <c r="F386">
        <v>3</v>
      </c>
      <c r="G386">
        <v>2</v>
      </c>
      <c r="H386" t="s">
        <v>70</v>
      </c>
      <c r="I386">
        <v>1</v>
      </c>
      <c r="J386" t="s">
        <v>57</v>
      </c>
      <c r="K386">
        <v>4233</v>
      </c>
      <c r="L386">
        <v>2</v>
      </c>
      <c r="M386" t="s">
        <v>41</v>
      </c>
      <c r="N386">
        <v>17</v>
      </c>
      <c r="O386">
        <v>3</v>
      </c>
      <c r="P386">
        <v>0</v>
      </c>
      <c r="Q386">
        <v>9</v>
      </c>
      <c r="R386">
        <v>2</v>
      </c>
      <c r="S386">
        <v>3</v>
      </c>
      <c r="T386">
        <v>1</v>
      </c>
      <c r="U386">
        <v>2</v>
      </c>
      <c r="V386" t="s">
        <v>72</v>
      </c>
      <c r="W386" s="1" t="s">
        <v>239</v>
      </c>
      <c r="Y386" t="s">
        <v>54</v>
      </c>
      <c r="Z386" t="s">
        <v>47</v>
      </c>
      <c r="AA386">
        <v>4</v>
      </c>
      <c r="AB386">
        <v>2</v>
      </c>
      <c r="AC386" t="s">
        <v>41</v>
      </c>
      <c r="AD386" t="s">
        <v>48</v>
      </c>
      <c r="AE386" t="s">
        <v>43</v>
      </c>
      <c r="AF386" s="3">
        <v>513</v>
      </c>
      <c r="AG386" s="3">
        <v>61</v>
      </c>
      <c r="AH386">
        <v>80</v>
      </c>
      <c r="AI386">
        <v>9</v>
      </c>
      <c r="AJ386">
        <v>0</v>
      </c>
      <c r="AL386">
        <v>0</v>
      </c>
      <c r="AM386">
        <v>1</v>
      </c>
      <c r="AN386" t="s">
        <v>768</v>
      </c>
      <c r="AO386" t="s">
        <v>41</v>
      </c>
    </row>
    <row r="387" spans="1:41" x14ac:dyDescent="0.25">
      <c r="A387">
        <v>35</v>
      </c>
      <c r="B387" t="s">
        <v>32</v>
      </c>
      <c r="C387" t="s">
        <v>33</v>
      </c>
      <c r="D387">
        <v>25</v>
      </c>
      <c r="E387" t="s">
        <v>34</v>
      </c>
      <c r="F387">
        <v>2</v>
      </c>
      <c r="G387">
        <v>2</v>
      </c>
      <c r="H387" t="s">
        <v>35</v>
      </c>
      <c r="I387">
        <v>4</v>
      </c>
      <c r="J387" t="s">
        <v>36</v>
      </c>
      <c r="K387">
        <v>3681</v>
      </c>
      <c r="L387">
        <v>4</v>
      </c>
      <c r="M387" t="s">
        <v>41</v>
      </c>
      <c r="N387">
        <v>14</v>
      </c>
      <c r="O387">
        <v>3</v>
      </c>
      <c r="P387">
        <v>0</v>
      </c>
      <c r="Q387">
        <v>9</v>
      </c>
      <c r="R387">
        <v>3</v>
      </c>
      <c r="S387">
        <v>3</v>
      </c>
      <c r="T387">
        <v>0</v>
      </c>
      <c r="U387">
        <v>2</v>
      </c>
      <c r="V387" t="s">
        <v>52</v>
      </c>
      <c r="W387" s="2">
        <v>43252</v>
      </c>
      <c r="Y387" t="s">
        <v>54</v>
      </c>
      <c r="Z387" t="s">
        <v>40</v>
      </c>
      <c r="AA387">
        <v>2</v>
      </c>
      <c r="AB387">
        <v>1</v>
      </c>
      <c r="AC387" t="s">
        <v>41</v>
      </c>
      <c r="AD387" t="s">
        <v>42</v>
      </c>
      <c r="AE387" t="s">
        <v>49</v>
      </c>
      <c r="AF387" s="3">
        <v>514</v>
      </c>
      <c r="AG387" s="3">
        <v>40</v>
      </c>
      <c r="AH387">
        <v>80</v>
      </c>
      <c r="AI387">
        <v>0</v>
      </c>
      <c r="AJ387">
        <v>1</v>
      </c>
      <c r="AK387">
        <v>1</v>
      </c>
      <c r="AL387">
        <v>1</v>
      </c>
      <c r="AM387">
        <v>0</v>
      </c>
      <c r="AN387" t="s">
        <v>767</v>
      </c>
      <c r="AO387" t="s">
        <v>31</v>
      </c>
    </row>
    <row r="388" spans="1:41" x14ac:dyDescent="0.25">
      <c r="A388">
        <v>37</v>
      </c>
      <c r="B388" t="s">
        <v>32</v>
      </c>
      <c r="C388" t="s">
        <v>55</v>
      </c>
      <c r="D388">
        <v>2</v>
      </c>
      <c r="E388" t="s">
        <v>34</v>
      </c>
      <c r="F388">
        <v>3</v>
      </c>
      <c r="G388">
        <v>2</v>
      </c>
      <c r="H388" t="s">
        <v>70</v>
      </c>
      <c r="I388">
        <v>3</v>
      </c>
      <c r="J388" t="s">
        <v>51</v>
      </c>
      <c r="K388">
        <v>9602</v>
      </c>
      <c r="L388">
        <v>4</v>
      </c>
      <c r="M388" t="s">
        <v>31</v>
      </c>
      <c r="N388">
        <v>11</v>
      </c>
      <c r="O388">
        <v>3</v>
      </c>
      <c r="P388">
        <v>1</v>
      </c>
      <c r="Q388">
        <v>17</v>
      </c>
      <c r="R388">
        <v>3</v>
      </c>
      <c r="S388">
        <v>3</v>
      </c>
      <c r="T388">
        <v>1</v>
      </c>
      <c r="U388">
        <v>0</v>
      </c>
      <c r="V388" t="s">
        <v>72</v>
      </c>
      <c r="W388" s="2">
        <v>43135</v>
      </c>
      <c r="Y388" t="s">
        <v>69</v>
      </c>
      <c r="Z388" t="s">
        <v>40</v>
      </c>
      <c r="AA388">
        <v>4</v>
      </c>
      <c r="AB388">
        <v>0</v>
      </c>
      <c r="AC388" t="s">
        <v>31</v>
      </c>
      <c r="AD388" t="s">
        <v>65</v>
      </c>
      <c r="AE388" t="s">
        <v>60</v>
      </c>
      <c r="AF388" s="3">
        <v>515</v>
      </c>
      <c r="AG388" s="3">
        <v>95</v>
      </c>
      <c r="AH388">
        <v>80</v>
      </c>
      <c r="AI388">
        <v>7</v>
      </c>
      <c r="AJ388">
        <v>0</v>
      </c>
      <c r="AL388">
        <v>0</v>
      </c>
      <c r="AM388">
        <v>1</v>
      </c>
      <c r="AN388" t="s">
        <v>768</v>
      </c>
      <c r="AO388" t="s">
        <v>41</v>
      </c>
    </row>
    <row r="389" spans="1:41" x14ac:dyDescent="0.25">
      <c r="A389">
        <v>48</v>
      </c>
      <c r="B389" t="s">
        <v>32</v>
      </c>
      <c r="C389" t="s">
        <v>33</v>
      </c>
      <c r="D389">
        <v>1</v>
      </c>
      <c r="E389" t="s">
        <v>61</v>
      </c>
      <c r="F389">
        <v>2</v>
      </c>
      <c r="G389">
        <v>4</v>
      </c>
      <c r="H389" t="s">
        <v>75</v>
      </c>
      <c r="I389">
        <v>1</v>
      </c>
      <c r="J389" t="s">
        <v>51</v>
      </c>
      <c r="K389">
        <v>15402</v>
      </c>
      <c r="L389">
        <v>7</v>
      </c>
      <c r="M389" t="s">
        <v>41</v>
      </c>
      <c r="N389">
        <v>11</v>
      </c>
      <c r="O389">
        <v>3</v>
      </c>
      <c r="P389">
        <v>1</v>
      </c>
      <c r="Q389">
        <v>21</v>
      </c>
      <c r="R389">
        <v>3</v>
      </c>
      <c r="S389">
        <v>3</v>
      </c>
      <c r="T389">
        <v>0</v>
      </c>
      <c r="U389">
        <v>2</v>
      </c>
      <c r="V389" t="s">
        <v>72</v>
      </c>
      <c r="W389" s="1" t="s">
        <v>240</v>
      </c>
      <c r="Y389" t="s">
        <v>46</v>
      </c>
      <c r="Z389" t="s">
        <v>47</v>
      </c>
      <c r="AA389">
        <v>4</v>
      </c>
      <c r="AB389">
        <v>1</v>
      </c>
      <c r="AC389" t="s">
        <v>31</v>
      </c>
      <c r="AD389" t="s">
        <v>48</v>
      </c>
      <c r="AE389" t="s">
        <v>49</v>
      </c>
      <c r="AF389" s="3">
        <v>516</v>
      </c>
      <c r="AG389" s="3">
        <v>46</v>
      </c>
      <c r="AH389">
        <v>80</v>
      </c>
      <c r="AI389">
        <v>4</v>
      </c>
      <c r="AJ389">
        <v>0</v>
      </c>
      <c r="AL389">
        <v>0</v>
      </c>
      <c r="AM389">
        <v>1</v>
      </c>
      <c r="AN389" t="s">
        <v>768</v>
      </c>
      <c r="AO389" t="s">
        <v>41</v>
      </c>
    </row>
    <row r="390" spans="1:41" x14ac:dyDescent="0.25">
      <c r="A390">
        <v>21</v>
      </c>
      <c r="B390" t="s">
        <v>32</v>
      </c>
      <c r="C390" t="s">
        <v>55</v>
      </c>
      <c r="D390">
        <v>22</v>
      </c>
      <c r="E390" t="s">
        <v>34</v>
      </c>
      <c r="F390">
        <v>3</v>
      </c>
      <c r="G390">
        <v>1</v>
      </c>
      <c r="H390" t="s">
        <v>56</v>
      </c>
      <c r="I390">
        <v>3</v>
      </c>
      <c r="J390" t="s">
        <v>36</v>
      </c>
      <c r="K390">
        <v>3447</v>
      </c>
      <c r="L390">
        <v>1</v>
      </c>
      <c r="M390" t="s">
        <v>41</v>
      </c>
      <c r="N390">
        <v>11</v>
      </c>
      <c r="O390">
        <v>3</v>
      </c>
      <c r="P390">
        <v>0</v>
      </c>
      <c r="Q390">
        <v>3</v>
      </c>
      <c r="R390">
        <v>2</v>
      </c>
      <c r="S390">
        <v>3</v>
      </c>
      <c r="T390">
        <v>1</v>
      </c>
      <c r="U390">
        <v>2</v>
      </c>
      <c r="V390" t="s">
        <v>72</v>
      </c>
      <c r="W390" s="1" t="s">
        <v>241</v>
      </c>
      <c r="Y390" t="s">
        <v>69</v>
      </c>
      <c r="Z390" t="s">
        <v>47</v>
      </c>
      <c r="AA390">
        <v>4</v>
      </c>
      <c r="AB390">
        <v>0</v>
      </c>
      <c r="AC390" t="s">
        <v>31</v>
      </c>
      <c r="AD390" t="s">
        <v>48</v>
      </c>
      <c r="AE390" t="s">
        <v>43</v>
      </c>
      <c r="AF390" s="3">
        <v>517</v>
      </c>
      <c r="AG390" s="3">
        <v>95</v>
      </c>
      <c r="AH390">
        <v>80</v>
      </c>
      <c r="AI390">
        <v>2</v>
      </c>
      <c r="AJ390">
        <v>0</v>
      </c>
      <c r="AL390">
        <v>0</v>
      </c>
      <c r="AM390">
        <v>1</v>
      </c>
      <c r="AN390" t="s">
        <v>768</v>
      </c>
      <c r="AO390" t="s">
        <v>41</v>
      </c>
    </row>
    <row r="391" spans="1:41" x14ac:dyDescent="0.25">
      <c r="A391">
        <v>26</v>
      </c>
      <c r="B391" t="s">
        <v>32</v>
      </c>
      <c r="C391" t="s">
        <v>33</v>
      </c>
      <c r="D391">
        <v>6</v>
      </c>
      <c r="E391" t="s">
        <v>61</v>
      </c>
      <c r="F391">
        <v>3</v>
      </c>
      <c r="G391">
        <v>1</v>
      </c>
      <c r="H391" t="s">
        <v>35</v>
      </c>
      <c r="I391">
        <v>4</v>
      </c>
      <c r="J391" t="s">
        <v>51</v>
      </c>
      <c r="K391">
        <v>2659</v>
      </c>
      <c r="L391">
        <v>1</v>
      </c>
      <c r="M391" t="s">
        <v>31</v>
      </c>
      <c r="N391">
        <v>13</v>
      </c>
      <c r="O391">
        <v>3</v>
      </c>
      <c r="P391">
        <v>1</v>
      </c>
      <c r="Q391">
        <v>3</v>
      </c>
      <c r="R391">
        <v>2</v>
      </c>
      <c r="S391">
        <v>3</v>
      </c>
      <c r="T391">
        <v>0</v>
      </c>
      <c r="U391">
        <v>2</v>
      </c>
      <c r="V391" t="s">
        <v>58</v>
      </c>
      <c r="W391" s="2">
        <v>43254</v>
      </c>
      <c r="Y391" t="s">
        <v>63</v>
      </c>
      <c r="Z391" t="s">
        <v>40</v>
      </c>
      <c r="AA391">
        <v>5</v>
      </c>
      <c r="AB391">
        <v>2</v>
      </c>
      <c r="AC391" t="s">
        <v>41</v>
      </c>
      <c r="AD391" t="s">
        <v>65</v>
      </c>
      <c r="AE391" t="s">
        <v>60</v>
      </c>
      <c r="AF391" s="3">
        <v>518</v>
      </c>
      <c r="AG391" s="3">
        <v>49</v>
      </c>
      <c r="AH391">
        <v>80</v>
      </c>
      <c r="AI391">
        <v>0</v>
      </c>
      <c r="AJ391">
        <v>0</v>
      </c>
      <c r="AL391">
        <v>0</v>
      </c>
      <c r="AM391">
        <v>1</v>
      </c>
      <c r="AN391" t="s">
        <v>768</v>
      </c>
      <c r="AO391" t="s">
        <v>41</v>
      </c>
    </row>
    <row r="392" spans="1:41" x14ac:dyDescent="0.25">
      <c r="A392">
        <v>36</v>
      </c>
      <c r="B392" t="s">
        <v>32</v>
      </c>
      <c r="C392" t="s">
        <v>33</v>
      </c>
      <c r="D392">
        <v>9</v>
      </c>
      <c r="E392" t="s">
        <v>34</v>
      </c>
      <c r="F392">
        <v>2</v>
      </c>
      <c r="G392">
        <v>2</v>
      </c>
      <c r="H392" t="s">
        <v>78</v>
      </c>
      <c r="I392">
        <v>2</v>
      </c>
      <c r="J392" t="s">
        <v>57</v>
      </c>
      <c r="K392">
        <v>8847</v>
      </c>
      <c r="L392">
        <v>2</v>
      </c>
      <c r="M392" t="s">
        <v>31</v>
      </c>
      <c r="N392">
        <v>11</v>
      </c>
      <c r="O392">
        <v>3</v>
      </c>
      <c r="P392">
        <v>1</v>
      </c>
      <c r="Q392">
        <v>13</v>
      </c>
      <c r="R392">
        <v>2</v>
      </c>
      <c r="S392">
        <v>3</v>
      </c>
      <c r="T392">
        <v>0</v>
      </c>
      <c r="U392">
        <v>2</v>
      </c>
      <c r="V392" t="s">
        <v>37</v>
      </c>
      <c r="W392" s="2">
        <v>43282</v>
      </c>
      <c r="Y392" t="s">
        <v>63</v>
      </c>
      <c r="Z392" t="s">
        <v>40</v>
      </c>
      <c r="AA392">
        <v>5</v>
      </c>
      <c r="AB392">
        <v>2</v>
      </c>
      <c r="AC392" t="s">
        <v>41</v>
      </c>
      <c r="AD392" t="s">
        <v>67</v>
      </c>
      <c r="AE392" t="s">
        <v>60</v>
      </c>
      <c r="AF392" s="3">
        <v>520</v>
      </c>
      <c r="AG392" s="3">
        <v>59</v>
      </c>
      <c r="AH392">
        <v>80</v>
      </c>
      <c r="AI392">
        <v>10</v>
      </c>
      <c r="AJ392">
        <v>0</v>
      </c>
      <c r="AL392">
        <v>0</v>
      </c>
      <c r="AM392">
        <v>1</v>
      </c>
      <c r="AN392" t="s">
        <v>768</v>
      </c>
      <c r="AO392" t="s">
        <v>41</v>
      </c>
    </row>
    <row r="393" spans="1:41" x14ac:dyDescent="0.25">
      <c r="A393">
        <v>23</v>
      </c>
      <c r="B393" t="s">
        <v>32</v>
      </c>
      <c r="C393" t="s">
        <v>33</v>
      </c>
      <c r="D393">
        <v>4</v>
      </c>
      <c r="E393" t="s">
        <v>34</v>
      </c>
      <c r="F393">
        <v>4</v>
      </c>
      <c r="G393">
        <v>1</v>
      </c>
      <c r="H393" t="s">
        <v>44</v>
      </c>
      <c r="I393">
        <v>1</v>
      </c>
      <c r="J393" t="s">
        <v>51</v>
      </c>
      <c r="K393">
        <v>2819</v>
      </c>
      <c r="L393">
        <v>2</v>
      </c>
      <c r="M393" t="s">
        <v>41</v>
      </c>
      <c r="N393">
        <v>16</v>
      </c>
      <c r="O393">
        <v>3</v>
      </c>
      <c r="P393">
        <v>1</v>
      </c>
      <c r="Q393">
        <v>5</v>
      </c>
      <c r="R393">
        <v>3</v>
      </c>
      <c r="S393">
        <v>3</v>
      </c>
      <c r="T393">
        <v>0</v>
      </c>
      <c r="U393">
        <v>2</v>
      </c>
      <c r="V393" t="s">
        <v>58</v>
      </c>
      <c r="W393" s="2">
        <v>43225</v>
      </c>
      <c r="Y393" t="s">
        <v>69</v>
      </c>
      <c r="Z393" t="s">
        <v>40</v>
      </c>
      <c r="AA393">
        <v>5</v>
      </c>
      <c r="AB393">
        <v>1</v>
      </c>
      <c r="AC393" t="s">
        <v>41</v>
      </c>
      <c r="AD393" t="s">
        <v>67</v>
      </c>
      <c r="AE393" t="s">
        <v>49</v>
      </c>
      <c r="AF393" s="3">
        <v>521</v>
      </c>
      <c r="AG393" s="3">
        <v>78</v>
      </c>
      <c r="AH393">
        <v>80</v>
      </c>
      <c r="AI393">
        <v>0</v>
      </c>
      <c r="AJ393">
        <v>0</v>
      </c>
      <c r="AL393">
        <v>0</v>
      </c>
      <c r="AM393">
        <v>1</v>
      </c>
      <c r="AN393" t="s">
        <v>768</v>
      </c>
      <c r="AO393" t="s">
        <v>41</v>
      </c>
    </row>
    <row r="394" spans="1:41" x14ac:dyDescent="0.25">
      <c r="A394">
        <v>25</v>
      </c>
      <c r="B394" t="s">
        <v>32</v>
      </c>
      <c r="C394" t="s">
        <v>55</v>
      </c>
      <c r="D394">
        <v>8</v>
      </c>
      <c r="E394" t="s">
        <v>34</v>
      </c>
      <c r="F394">
        <v>4</v>
      </c>
      <c r="G394">
        <v>2</v>
      </c>
      <c r="H394" t="s">
        <v>70</v>
      </c>
      <c r="I394">
        <v>2</v>
      </c>
      <c r="J394" t="s">
        <v>51</v>
      </c>
      <c r="K394">
        <v>4851</v>
      </c>
      <c r="L394">
        <v>0</v>
      </c>
      <c r="M394" t="s">
        <v>41</v>
      </c>
      <c r="N394">
        <v>22</v>
      </c>
      <c r="O394">
        <v>4</v>
      </c>
      <c r="P394">
        <v>1</v>
      </c>
      <c r="Q394">
        <v>4</v>
      </c>
      <c r="R394">
        <v>4</v>
      </c>
      <c r="S394">
        <v>3</v>
      </c>
      <c r="T394">
        <v>1</v>
      </c>
      <c r="U394">
        <v>2</v>
      </c>
      <c r="V394" t="s">
        <v>72</v>
      </c>
      <c r="W394" s="2">
        <v>43314</v>
      </c>
      <c r="Y394" t="s">
        <v>63</v>
      </c>
      <c r="Z394" t="s">
        <v>47</v>
      </c>
      <c r="AA394">
        <v>1</v>
      </c>
      <c r="AB394">
        <v>0</v>
      </c>
      <c r="AC394" t="s">
        <v>41</v>
      </c>
      <c r="AD394" t="s">
        <v>65</v>
      </c>
      <c r="AE394" t="s">
        <v>60</v>
      </c>
      <c r="AF394" s="3">
        <v>522</v>
      </c>
      <c r="AG394" s="3">
        <v>86</v>
      </c>
      <c r="AH394">
        <v>80</v>
      </c>
      <c r="AI394">
        <v>2</v>
      </c>
      <c r="AJ394">
        <v>0</v>
      </c>
      <c r="AL394">
        <v>0</v>
      </c>
      <c r="AM394">
        <v>1</v>
      </c>
      <c r="AN394" t="s">
        <v>768</v>
      </c>
      <c r="AO394" t="s">
        <v>41</v>
      </c>
    </row>
    <row r="395" spans="1:41" x14ac:dyDescent="0.25">
      <c r="A395">
        <v>35</v>
      </c>
      <c r="B395" t="s">
        <v>32</v>
      </c>
      <c r="C395" t="s">
        <v>55</v>
      </c>
      <c r="D395">
        <v>8</v>
      </c>
      <c r="E395" t="s">
        <v>61</v>
      </c>
      <c r="F395">
        <v>3</v>
      </c>
      <c r="G395">
        <v>1</v>
      </c>
      <c r="H395" t="s">
        <v>56</v>
      </c>
      <c r="I395">
        <v>4</v>
      </c>
      <c r="J395" t="s">
        <v>51</v>
      </c>
      <c r="K395">
        <v>2572</v>
      </c>
      <c r="L395">
        <v>1</v>
      </c>
      <c r="M395" t="s">
        <v>41</v>
      </c>
      <c r="N395">
        <v>16</v>
      </c>
      <c r="O395">
        <v>3</v>
      </c>
      <c r="P395">
        <v>1</v>
      </c>
      <c r="Q395">
        <v>3</v>
      </c>
      <c r="R395">
        <v>1</v>
      </c>
      <c r="S395">
        <v>3</v>
      </c>
      <c r="T395">
        <v>0</v>
      </c>
      <c r="U395">
        <v>2</v>
      </c>
      <c r="V395" t="s">
        <v>52</v>
      </c>
      <c r="W395" s="1" t="s">
        <v>242</v>
      </c>
      <c r="Y395" t="s">
        <v>63</v>
      </c>
      <c r="Z395" t="s">
        <v>47</v>
      </c>
      <c r="AA395">
        <v>1</v>
      </c>
      <c r="AB395">
        <v>1</v>
      </c>
      <c r="AC395" t="s">
        <v>31</v>
      </c>
      <c r="AD395" t="s">
        <v>65</v>
      </c>
      <c r="AE395" t="s">
        <v>49</v>
      </c>
      <c r="AF395" s="3">
        <v>523</v>
      </c>
      <c r="AG395" s="3">
        <v>72</v>
      </c>
      <c r="AH395">
        <v>80</v>
      </c>
      <c r="AI395">
        <v>2</v>
      </c>
      <c r="AJ395">
        <v>0</v>
      </c>
      <c r="AL395">
        <v>0</v>
      </c>
      <c r="AM395">
        <v>1</v>
      </c>
      <c r="AN395" t="s">
        <v>768</v>
      </c>
      <c r="AO395" t="s">
        <v>41</v>
      </c>
    </row>
    <row r="396" spans="1:41" x14ac:dyDescent="0.25">
      <c r="A396">
        <v>34</v>
      </c>
      <c r="B396" t="s">
        <v>32</v>
      </c>
      <c r="C396" t="s">
        <v>55</v>
      </c>
      <c r="D396">
        <v>8</v>
      </c>
      <c r="E396" t="s">
        <v>61</v>
      </c>
      <c r="F396">
        <v>3</v>
      </c>
      <c r="G396">
        <v>2</v>
      </c>
      <c r="H396" t="s">
        <v>70</v>
      </c>
      <c r="I396">
        <v>1</v>
      </c>
      <c r="J396" t="s">
        <v>51</v>
      </c>
      <c r="K396">
        <v>6500</v>
      </c>
      <c r="L396">
        <v>5</v>
      </c>
      <c r="M396" t="s">
        <v>41</v>
      </c>
      <c r="N396">
        <v>17</v>
      </c>
      <c r="O396">
        <v>3</v>
      </c>
      <c r="P396">
        <v>1</v>
      </c>
      <c r="Q396">
        <v>6</v>
      </c>
      <c r="R396">
        <v>1</v>
      </c>
      <c r="S396">
        <v>3</v>
      </c>
      <c r="T396">
        <v>1</v>
      </c>
      <c r="U396">
        <v>2</v>
      </c>
      <c r="V396" t="s">
        <v>52</v>
      </c>
      <c r="W396" s="2">
        <v>43105</v>
      </c>
      <c r="Y396" t="s">
        <v>69</v>
      </c>
      <c r="Z396" t="s">
        <v>40</v>
      </c>
      <c r="AA396">
        <v>3</v>
      </c>
      <c r="AB396">
        <v>2</v>
      </c>
      <c r="AC396" t="s">
        <v>31</v>
      </c>
      <c r="AD396" t="s">
        <v>48</v>
      </c>
      <c r="AE396" t="s">
        <v>49</v>
      </c>
      <c r="AF396" s="3">
        <v>524</v>
      </c>
      <c r="AG396" s="3">
        <v>31</v>
      </c>
      <c r="AH396">
        <v>80</v>
      </c>
      <c r="AI396">
        <v>10</v>
      </c>
      <c r="AJ396">
        <v>0</v>
      </c>
      <c r="AL396">
        <v>0</v>
      </c>
      <c r="AM396">
        <v>1</v>
      </c>
      <c r="AN396" t="s">
        <v>768</v>
      </c>
      <c r="AO396" t="s">
        <v>41</v>
      </c>
    </row>
    <row r="397" spans="1:41" x14ac:dyDescent="0.25">
      <c r="A397">
        <v>33</v>
      </c>
      <c r="B397" t="s">
        <v>32</v>
      </c>
      <c r="C397" t="s">
        <v>55</v>
      </c>
      <c r="D397">
        <v>16</v>
      </c>
      <c r="E397" t="s">
        <v>61</v>
      </c>
      <c r="F397">
        <v>3</v>
      </c>
      <c r="G397">
        <v>2</v>
      </c>
      <c r="H397" t="s">
        <v>70</v>
      </c>
      <c r="I397">
        <v>1</v>
      </c>
      <c r="J397" t="s">
        <v>36</v>
      </c>
      <c r="K397">
        <v>5324</v>
      </c>
      <c r="L397">
        <v>5</v>
      </c>
      <c r="M397" t="s">
        <v>41</v>
      </c>
      <c r="N397">
        <v>15</v>
      </c>
      <c r="O397">
        <v>3</v>
      </c>
      <c r="P397">
        <v>0</v>
      </c>
      <c r="Q397">
        <v>6</v>
      </c>
      <c r="R397">
        <v>3</v>
      </c>
      <c r="S397">
        <v>3</v>
      </c>
      <c r="T397">
        <v>0</v>
      </c>
      <c r="U397">
        <v>2</v>
      </c>
      <c r="V397" t="s">
        <v>52</v>
      </c>
      <c r="W397" s="1" t="s">
        <v>243</v>
      </c>
      <c r="Y397" t="s">
        <v>46</v>
      </c>
      <c r="Z397" t="s">
        <v>40</v>
      </c>
      <c r="AA397">
        <v>1</v>
      </c>
      <c r="AB397">
        <v>3</v>
      </c>
      <c r="AC397" t="s">
        <v>41</v>
      </c>
      <c r="AD397" t="s">
        <v>65</v>
      </c>
      <c r="AE397" t="s">
        <v>43</v>
      </c>
      <c r="AF397" s="3">
        <v>525</v>
      </c>
      <c r="AG397" s="3">
        <v>61</v>
      </c>
      <c r="AH397">
        <v>80</v>
      </c>
      <c r="AI397">
        <v>2</v>
      </c>
      <c r="AJ397">
        <v>0</v>
      </c>
      <c r="AL397">
        <v>0</v>
      </c>
      <c r="AM397">
        <v>1</v>
      </c>
      <c r="AN397" t="s">
        <v>768</v>
      </c>
      <c r="AO397" t="s">
        <v>41</v>
      </c>
    </row>
    <row r="398" spans="1:41" x14ac:dyDescent="0.25">
      <c r="A398">
        <v>34</v>
      </c>
      <c r="B398" t="s">
        <v>32</v>
      </c>
      <c r="C398" t="s">
        <v>120</v>
      </c>
      <c r="D398">
        <v>3</v>
      </c>
      <c r="E398" t="s">
        <v>34</v>
      </c>
      <c r="F398">
        <v>3</v>
      </c>
      <c r="G398">
        <v>1</v>
      </c>
      <c r="H398" t="s">
        <v>120</v>
      </c>
      <c r="I398">
        <v>4</v>
      </c>
      <c r="J398" t="s">
        <v>51</v>
      </c>
      <c r="K398">
        <v>3737</v>
      </c>
      <c r="L398">
        <v>0</v>
      </c>
      <c r="M398" t="s">
        <v>41</v>
      </c>
      <c r="N398">
        <v>19</v>
      </c>
      <c r="O398">
        <v>3</v>
      </c>
      <c r="P398">
        <v>1</v>
      </c>
      <c r="Q398">
        <v>4</v>
      </c>
      <c r="R398">
        <v>1</v>
      </c>
      <c r="S398">
        <v>3</v>
      </c>
      <c r="T398">
        <v>0</v>
      </c>
      <c r="U398">
        <v>2</v>
      </c>
      <c r="V398" t="s">
        <v>52</v>
      </c>
      <c r="W398" s="1" t="s">
        <v>244</v>
      </c>
      <c r="Y398" t="s">
        <v>39</v>
      </c>
      <c r="Z398" t="s">
        <v>47</v>
      </c>
      <c r="AA398">
        <v>0</v>
      </c>
      <c r="AB398">
        <v>1</v>
      </c>
      <c r="AC398" t="s">
        <v>41</v>
      </c>
      <c r="AD398" t="s">
        <v>42</v>
      </c>
      <c r="AE398" t="s">
        <v>60</v>
      </c>
      <c r="AF398" s="3">
        <v>526</v>
      </c>
      <c r="AG398" s="3">
        <v>74</v>
      </c>
      <c r="AH398">
        <v>80</v>
      </c>
      <c r="AI398">
        <v>2</v>
      </c>
      <c r="AJ398">
        <v>0</v>
      </c>
      <c r="AL398">
        <v>0</v>
      </c>
      <c r="AM398">
        <v>1</v>
      </c>
      <c r="AN398" t="s">
        <v>768</v>
      </c>
      <c r="AO398" t="s">
        <v>41</v>
      </c>
    </row>
    <row r="399" spans="1:41" x14ac:dyDescent="0.25">
      <c r="A399">
        <v>44</v>
      </c>
      <c r="B399" t="s">
        <v>32</v>
      </c>
      <c r="C399" t="s">
        <v>33</v>
      </c>
      <c r="D399">
        <v>8</v>
      </c>
      <c r="E399" t="s">
        <v>34</v>
      </c>
      <c r="F399">
        <v>4</v>
      </c>
      <c r="G399">
        <v>1</v>
      </c>
      <c r="H399" t="s">
        <v>35</v>
      </c>
      <c r="I399">
        <v>4</v>
      </c>
      <c r="J399" t="s">
        <v>51</v>
      </c>
      <c r="K399">
        <v>2818</v>
      </c>
      <c r="L399">
        <v>2</v>
      </c>
      <c r="M399" t="s">
        <v>31</v>
      </c>
      <c r="N399">
        <v>24</v>
      </c>
      <c r="O399">
        <v>4</v>
      </c>
      <c r="P399">
        <v>1</v>
      </c>
      <c r="Q399">
        <v>10</v>
      </c>
      <c r="R399">
        <v>2</v>
      </c>
      <c r="S399">
        <v>3</v>
      </c>
      <c r="T399">
        <v>0</v>
      </c>
      <c r="U399">
        <v>2</v>
      </c>
      <c r="V399" t="s">
        <v>72</v>
      </c>
      <c r="W399" s="1" t="s">
        <v>227</v>
      </c>
      <c r="Y399" t="s">
        <v>46</v>
      </c>
      <c r="Z399" t="s">
        <v>47</v>
      </c>
      <c r="AA399">
        <v>4</v>
      </c>
      <c r="AB399">
        <v>2</v>
      </c>
      <c r="AC399" t="s">
        <v>41</v>
      </c>
      <c r="AD399" t="s">
        <v>48</v>
      </c>
      <c r="AE399" t="s">
        <v>60</v>
      </c>
      <c r="AF399" s="3">
        <v>527</v>
      </c>
      <c r="AG399" s="3">
        <v>99</v>
      </c>
      <c r="AH399">
        <v>80</v>
      </c>
      <c r="AI399">
        <v>4</v>
      </c>
      <c r="AJ399">
        <v>0</v>
      </c>
      <c r="AL399">
        <v>0</v>
      </c>
      <c r="AM399">
        <v>1</v>
      </c>
      <c r="AN399" t="s">
        <v>768</v>
      </c>
      <c r="AO399" t="s">
        <v>41</v>
      </c>
    </row>
    <row r="400" spans="1:41" x14ac:dyDescent="0.25">
      <c r="A400">
        <v>32</v>
      </c>
      <c r="B400" t="s">
        <v>81</v>
      </c>
      <c r="C400" t="s">
        <v>33</v>
      </c>
      <c r="D400">
        <v>1</v>
      </c>
      <c r="E400" t="s">
        <v>34</v>
      </c>
      <c r="F400">
        <v>3</v>
      </c>
      <c r="G400">
        <v>1</v>
      </c>
      <c r="H400" t="s">
        <v>35</v>
      </c>
      <c r="I400">
        <v>4</v>
      </c>
      <c r="J400" t="s">
        <v>57</v>
      </c>
      <c r="K400">
        <v>2314</v>
      </c>
      <c r="L400">
        <v>0</v>
      </c>
      <c r="M400" t="s">
        <v>41</v>
      </c>
      <c r="N400">
        <v>12</v>
      </c>
      <c r="O400">
        <v>3</v>
      </c>
      <c r="P400">
        <v>1</v>
      </c>
      <c r="Q400">
        <v>4</v>
      </c>
      <c r="R400">
        <v>2</v>
      </c>
      <c r="S400">
        <v>3</v>
      </c>
      <c r="T400">
        <v>0</v>
      </c>
      <c r="U400">
        <v>2</v>
      </c>
      <c r="V400" t="s">
        <v>58</v>
      </c>
      <c r="W400" s="2">
        <v>43313</v>
      </c>
      <c r="Y400" t="s">
        <v>46</v>
      </c>
      <c r="Z400" t="s">
        <v>40</v>
      </c>
      <c r="AA400">
        <v>1</v>
      </c>
      <c r="AB400">
        <v>2</v>
      </c>
      <c r="AC400" t="s">
        <v>31</v>
      </c>
      <c r="AD400" t="s">
        <v>65</v>
      </c>
      <c r="AE400" t="s">
        <v>60</v>
      </c>
      <c r="AF400" s="3">
        <v>529</v>
      </c>
      <c r="AG400" s="3">
        <v>72</v>
      </c>
      <c r="AH400">
        <v>80</v>
      </c>
      <c r="AI400">
        <v>11</v>
      </c>
      <c r="AJ400">
        <v>0</v>
      </c>
      <c r="AL400">
        <v>0</v>
      </c>
      <c r="AM400">
        <v>1</v>
      </c>
      <c r="AN400" t="s">
        <v>768</v>
      </c>
      <c r="AO400" t="s">
        <v>41</v>
      </c>
    </row>
    <row r="401" spans="1:41" x14ac:dyDescent="0.25">
      <c r="A401">
        <v>29</v>
      </c>
      <c r="B401" t="s">
        <v>32</v>
      </c>
      <c r="C401" t="s">
        <v>55</v>
      </c>
      <c r="D401">
        <v>1</v>
      </c>
      <c r="E401" t="s">
        <v>61</v>
      </c>
      <c r="F401">
        <v>2</v>
      </c>
      <c r="G401">
        <v>1</v>
      </c>
      <c r="H401" t="s">
        <v>56</v>
      </c>
      <c r="I401">
        <v>3</v>
      </c>
      <c r="J401" t="s">
        <v>57</v>
      </c>
      <c r="K401">
        <v>2800</v>
      </c>
      <c r="L401">
        <v>6</v>
      </c>
      <c r="M401" t="s">
        <v>31</v>
      </c>
      <c r="N401">
        <v>19</v>
      </c>
      <c r="O401">
        <v>3</v>
      </c>
      <c r="P401">
        <v>3</v>
      </c>
      <c r="Q401">
        <v>5</v>
      </c>
      <c r="R401">
        <v>3</v>
      </c>
      <c r="S401">
        <v>3</v>
      </c>
      <c r="T401">
        <v>0</v>
      </c>
      <c r="U401">
        <v>2</v>
      </c>
      <c r="V401" t="s">
        <v>58</v>
      </c>
      <c r="W401" s="2">
        <v>43160</v>
      </c>
      <c r="Y401" t="s">
        <v>46</v>
      </c>
      <c r="Z401" t="s">
        <v>40</v>
      </c>
      <c r="AA401">
        <v>1</v>
      </c>
      <c r="AB401">
        <v>2</v>
      </c>
      <c r="AC401" t="s">
        <v>41</v>
      </c>
      <c r="AD401" t="s">
        <v>65</v>
      </c>
      <c r="AE401" t="s">
        <v>60</v>
      </c>
      <c r="AF401" s="3">
        <v>530</v>
      </c>
      <c r="AG401" s="3">
        <v>98</v>
      </c>
      <c r="AH401">
        <v>80</v>
      </c>
      <c r="AI401">
        <v>2</v>
      </c>
      <c r="AJ401">
        <v>0</v>
      </c>
      <c r="AL401">
        <v>0</v>
      </c>
      <c r="AM401">
        <v>1</v>
      </c>
      <c r="AN401" t="s">
        <v>768</v>
      </c>
      <c r="AO401" t="s">
        <v>41</v>
      </c>
    </row>
    <row r="402" spans="1:41" x14ac:dyDescent="0.25">
      <c r="A402">
        <v>47</v>
      </c>
      <c r="B402" t="s">
        <v>32</v>
      </c>
      <c r="C402" t="s">
        <v>55</v>
      </c>
      <c r="D402">
        <v>2</v>
      </c>
      <c r="E402" t="s">
        <v>61</v>
      </c>
      <c r="F402">
        <v>2</v>
      </c>
      <c r="G402">
        <v>1</v>
      </c>
      <c r="H402" t="s">
        <v>56</v>
      </c>
      <c r="I402">
        <v>4</v>
      </c>
      <c r="J402" t="s">
        <v>36</v>
      </c>
      <c r="K402">
        <v>3294</v>
      </c>
      <c r="L402">
        <v>1</v>
      </c>
      <c r="M402" t="s">
        <v>31</v>
      </c>
      <c r="N402">
        <v>18</v>
      </c>
      <c r="O402">
        <v>3</v>
      </c>
      <c r="P402">
        <v>0</v>
      </c>
      <c r="Q402">
        <v>3</v>
      </c>
      <c r="R402">
        <v>3</v>
      </c>
      <c r="S402">
        <v>3</v>
      </c>
      <c r="T402">
        <v>1</v>
      </c>
      <c r="U402">
        <v>2</v>
      </c>
      <c r="V402" t="s">
        <v>52</v>
      </c>
      <c r="W402" s="1" t="s">
        <v>245</v>
      </c>
      <c r="Y402" t="s">
        <v>63</v>
      </c>
      <c r="Z402" t="s">
        <v>47</v>
      </c>
      <c r="AA402">
        <v>0</v>
      </c>
      <c r="AB402">
        <v>2</v>
      </c>
      <c r="AC402" t="s">
        <v>31</v>
      </c>
      <c r="AD402" t="s">
        <v>65</v>
      </c>
      <c r="AE402" t="s">
        <v>49</v>
      </c>
      <c r="AF402" s="3">
        <v>531</v>
      </c>
      <c r="AG402" s="3">
        <v>52</v>
      </c>
      <c r="AH402">
        <v>80</v>
      </c>
      <c r="AI402">
        <v>8</v>
      </c>
      <c r="AJ402">
        <v>0</v>
      </c>
      <c r="AL402">
        <v>0</v>
      </c>
      <c r="AM402">
        <v>1</v>
      </c>
      <c r="AN402" t="s">
        <v>768</v>
      </c>
      <c r="AO402" t="s">
        <v>41</v>
      </c>
    </row>
    <row r="403" spans="1:41" x14ac:dyDescent="0.25">
      <c r="A403">
        <v>22</v>
      </c>
      <c r="B403" t="s">
        <v>32</v>
      </c>
      <c r="C403" t="s">
        <v>33</v>
      </c>
      <c r="D403">
        <v>3</v>
      </c>
      <c r="E403" t="s">
        <v>61</v>
      </c>
      <c r="F403">
        <v>3</v>
      </c>
      <c r="G403">
        <v>2</v>
      </c>
      <c r="H403" t="s">
        <v>78</v>
      </c>
      <c r="I403">
        <v>3</v>
      </c>
      <c r="J403" t="s">
        <v>51</v>
      </c>
      <c r="K403">
        <v>4171</v>
      </c>
      <c r="L403">
        <v>0</v>
      </c>
      <c r="M403" t="s">
        <v>31</v>
      </c>
      <c r="N403">
        <v>19</v>
      </c>
      <c r="O403">
        <v>3</v>
      </c>
      <c r="P403">
        <v>1</v>
      </c>
      <c r="Q403">
        <v>4</v>
      </c>
      <c r="R403">
        <v>3</v>
      </c>
      <c r="S403">
        <v>3</v>
      </c>
      <c r="T403">
        <v>0</v>
      </c>
      <c r="U403">
        <v>2</v>
      </c>
      <c r="V403" t="s">
        <v>52</v>
      </c>
      <c r="W403" s="2">
        <v>43408</v>
      </c>
      <c r="Y403" t="s">
        <v>54</v>
      </c>
      <c r="Z403" t="s">
        <v>40</v>
      </c>
      <c r="AA403">
        <v>5</v>
      </c>
      <c r="AB403">
        <v>2</v>
      </c>
      <c r="AC403" t="s">
        <v>41</v>
      </c>
      <c r="AD403" t="s">
        <v>48</v>
      </c>
      <c r="AE403" t="s">
        <v>43</v>
      </c>
      <c r="AF403" s="3">
        <v>532</v>
      </c>
      <c r="AG403" s="3">
        <v>86</v>
      </c>
      <c r="AH403">
        <v>80</v>
      </c>
      <c r="AI403">
        <v>7</v>
      </c>
      <c r="AJ403">
        <v>0</v>
      </c>
      <c r="AL403">
        <v>0</v>
      </c>
      <c r="AM403">
        <v>1</v>
      </c>
      <c r="AN403" t="s">
        <v>768</v>
      </c>
      <c r="AO403" t="s">
        <v>41</v>
      </c>
    </row>
    <row r="404" spans="1:41" x14ac:dyDescent="0.25">
      <c r="A404">
        <v>33</v>
      </c>
      <c r="B404" t="s">
        <v>32</v>
      </c>
      <c r="C404" t="s">
        <v>33</v>
      </c>
      <c r="D404">
        <v>1</v>
      </c>
      <c r="E404" t="s">
        <v>34</v>
      </c>
      <c r="F404">
        <v>2</v>
      </c>
      <c r="G404">
        <v>1</v>
      </c>
      <c r="H404" t="s">
        <v>44</v>
      </c>
      <c r="I404">
        <v>1</v>
      </c>
      <c r="J404" t="s">
        <v>36</v>
      </c>
      <c r="K404">
        <v>2799</v>
      </c>
      <c r="L404">
        <v>3</v>
      </c>
      <c r="M404" t="s">
        <v>31</v>
      </c>
      <c r="N404">
        <v>11</v>
      </c>
      <c r="O404">
        <v>3</v>
      </c>
      <c r="P404">
        <v>0</v>
      </c>
      <c r="Q404">
        <v>6</v>
      </c>
      <c r="R404">
        <v>1</v>
      </c>
      <c r="S404">
        <v>3</v>
      </c>
      <c r="T404">
        <v>0</v>
      </c>
      <c r="U404">
        <v>2</v>
      </c>
      <c r="V404" t="s">
        <v>58</v>
      </c>
      <c r="W404" s="1" t="s">
        <v>246</v>
      </c>
      <c r="Y404" t="s">
        <v>69</v>
      </c>
      <c r="Z404" t="s">
        <v>40</v>
      </c>
      <c r="AA404">
        <v>4</v>
      </c>
      <c r="AB404">
        <v>3</v>
      </c>
      <c r="AC404" t="s">
        <v>31</v>
      </c>
      <c r="AD404" t="s">
        <v>48</v>
      </c>
      <c r="AE404" t="s">
        <v>49</v>
      </c>
      <c r="AF404" s="3">
        <v>533</v>
      </c>
      <c r="AG404" s="3">
        <v>83</v>
      </c>
      <c r="AH404">
        <v>80</v>
      </c>
      <c r="AI404">
        <v>4</v>
      </c>
      <c r="AJ404">
        <v>0</v>
      </c>
      <c r="AL404">
        <v>0</v>
      </c>
      <c r="AM404">
        <v>1</v>
      </c>
      <c r="AN404" t="s">
        <v>768</v>
      </c>
      <c r="AO404" t="s">
        <v>41</v>
      </c>
    </row>
    <row r="405" spans="1:41" x14ac:dyDescent="0.25">
      <c r="A405">
        <v>32</v>
      </c>
      <c r="B405" t="s">
        <v>81</v>
      </c>
      <c r="C405" t="s">
        <v>33</v>
      </c>
      <c r="D405">
        <v>1</v>
      </c>
      <c r="E405" t="s">
        <v>61</v>
      </c>
      <c r="F405">
        <v>2</v>
      </c>
      <c r="G405">
        <v>1</v>
      </c>
      <c r="H405" t="s">
        <v>35</v>
      </c>
      <c r="I405">
        <v>2</v>
      </c>
      <c r="J405" t="s">
        <v>51</v>
      </c>
      <c r="K405">
        <v>2332</v>
      </c>
      <c r="L405">
        <v>6</v>
      </c>
      <c r="M405" t="s">
        <v>41</v>
      </c>
      <c r="N405">
        <v>20</v>
      </c>
      <c r="O405">
        <v>4</v>
      </c>
      <c r="P405">
        <v>0</v>
      </c>
      <c r="Q405">
        <v>5</v>
      </c>
      <c r="R405">
        <v>3</v>
      </c>
      <c r="S405">
        <v>3</v>
      </c>
      <c r="T405">
        <v>0</v>
      </c>
      <c r="U405">
        <v>2</v>
      </c>
      <c r="V405" t="s">
        <v>52</v>
      </c>
      <c r="W405" s="2">
        <v>43347</v>
      </c>
      <c r="Y405" t="s">
        <v>39</v>
      </c>
      <c r="Z405" t="s">
        <v>47</v>
      </c>
      <c r="AA405">
        <v>3</v>
      </c>
      <c r="AB405">
        <v>3</v>
      </c>
      <c r="AC405" t="s">
        <v>31</v>
      </c>
      <c r="AD405" t="s">
        <v>48</v>
      </c>
      <c r="AE405" t="s">
        <v>49</v>
      </c>
      <c r="AF405" s="3">
        <v>534</v>
      </c>
      <c r="AG405" s="3">
        <v>49</v>
      </c>
      <c r="AH405">
        <v>80</v>
      </c>
      <c r="AI405">
        <v>7</v>
      </c>
      <c r="AJ405">
        <v>0</v>
      </c>
      <c r="AL405">
        <v>0</v>
      </c>
      <c r="AM405">
        <v>1</v>
      </c>
      <c r="AN405" t="s">
        <v>768</v>
      </c>
      <c r="AO405" t="s">
        <v>41</v>
      </c>
    </row>
    <row r="406" spans="1:41" x14ac:dyDescent="0.25">
      <c r="A406">
        <v>29</v>
      </c>
      <c r="B406" t="s">
        <v>66</v>
      </c>
      <c r="C406" t="s">
        <v>55</v>
      </c>
      <c r="D406">
        <v>20</v>
      </c>
      <c r="E406" t="s">
        <v>61</v>
      </c>
      <c r="F406">
        <v>3</v>
      </c>
      <c r="G406">
        <v>1</v>
      </c>
      <c r="H406" t="s">
        <v>56</v>
      </c>
      <c r="I406">
        <v>4</v>
      </c>
      <c r="J406" t="s">
        <v>51</v>
      </c>
      <c r="K406">
        <v>2157</v>
      </c>
      <c r="L406">
        <v>1</v>
      </c>
      <c r="M406" t="s">
        <v>41</v>
      </c>
      <c r="N406">
        <v>15</v>
      </c>
      <c r="O406">
        <v>3</v>
      </c>
      <c r="P406">
        <v>1</v>
      </c>
      <c r="Q406">
        <v>3</v>
      </c>
      <c r="R406">
        <v>5</v>
      </c>
      <c r="S406">
        <v>3</v>
      </c>
      <c r="T406">
        <v>0</v>
      </c>
      <c r="U406">
        <v>2</v>
      </c>
      <c r="V406" t="s">
        <v>58</v>
      </c>
      <c r="W406" s="1" t="s">
        <v>239</v>
      </c>
      <c r="Y406" t="s">
        <v>39</v>
      </c>
      <c r="Z406" t="s">
        <v>47</v>
      </c>
      <c r="AA406">
        <v>3</v>
      </c>
      <c r="AB406">
        <v>1</v>
      </c>
      <c r="AC406" t="s">
        <v>31</v>
      </c>
      <c r="AD406" t="s">
        <v>48</v>
      </c>
      <c r="AE406" t="s">
        <v>49</v>
      </c>
      <c r="AF406" s="3">
        <v>536</v>
      </c>
      <c r="AG406" s="3">
        <v>79</v>
      </c>
      <c r="AH406">
        <v>80</v>
      </c>
      <c r="AI406">
        <v>0</v>
      </c>
      <c r="AJ406">
        <v>0</v>
      </c>
      <c r="AL406">
        <v>0</v>
      </c>
      <c r="AM406">
        <v>1</v>
      </c>
      <c r="AN406" t="s">
        <v>768</v>
      </c>
      <c r="AO406" t="s">
        <v>41</v>
      </c>
    </row>
    <row r="407" spans="1:41" x14ac:dyDescent="0.25">
      <c r="A407">
        <v>31</v>
      </c>
      <c r="B407" t="s">
        <v>81</v>
      </c>
      <c r="C407" t="s">
        <v>33</v>
      </c>
      <c r="D407">
        <v>9</v>
      </c>
      <c r="E407" t="s">
        <v>34</v>
      </c>
      <c r="F407">
        <v>2</v>
      </c>
      <c r="G407">
        <v>1</v>
      </c>
      <c r="H407" t="s">
        <v>44</v>
      </c>
      <c r="I407">
        <v>1</v>
      </c>
      <c r="J407" t="s">
        <v>36</v>
      </c>
      <c r="K407">
        <v>2321</v>
      </c>
      <c r="L407">
        <v>0</v>
      </c>
      <c r="M407" t="s">
        <v>31</v>
      </c>
      <c r="N407">
        <v>22</v>
      </c>
      <c r="O407">
        <v>4</v>
      </c>
      <c r="P407">
        <v>0</v>
      </c>
      <c r="Q407">
        <v>4</v>
      </c>
      <c r="R407">
        <v>0</v>
      </c>
      <c r="S407">
        <v>3</v>
      </c>
      <c r="T407">
        <v>1</v>
      </c>
      <c r="U407">
        <v>2</v>
      </c>
      <c r="V407" t="s">
        <v>58</v>
      </c>
      <c r="W407" s="1" t="s">
        <v>220</v>
      </c>
      <c r="Y407" t="s">
        <v>54</v>
      </c>
      <c r="Z407" t="s">
        <v>40</v>
      </c>
      <c r="AA407">
        <v>1</v>
      </c>
      <c r="AB407">
        <v>1</v>
      </c>
      <c r="AC407" t="s">
        <v>31</v>
      </c>
      <c r="AD407" t="s">
        <v>48</v>
      </c>
      <c r="AE407" t="s">
        <v>60</v>
      </c>
      <c r="AF407" s="3">
        <v>538</v>
      </c>
      <c r="AG407" s="3">
        <v>91</v>
      </c>
      <c r="AH407">
        <v>80</v>
      </c>
      <c r="AI407">
        <v>2</v>
      </c>
      <c r="AJ407">
        <v>1</v>
      </c>
      <c r="AK407">
        <v>1</v>
      </c>
      <c r="AL407">
        <v>1</v>
      </c>
      <c r="AM407">
        <v>0</v>
      </c>
      <c r="AN407" t="s">
        <v>767</v>
      </c>
      <c r="AO407" t="s">
        <v>31</v>
      </c>
    </row>
    <row r="408" spans="1:41" x14ac:dyDescent="0.25">
      <c r="A408">
        <v>33</v>
      </c>
      <c r="B408" t="s">
        <v>32</v>
      </c>
      <c r="C408" t="s">
        <v>33</v>
      </c>
      <c r="D408">
        <v>13</v>
      </c>
      <c r="E408" t="s">
        <v>61</v>
      </c>
      <c r="F408">
        <v>3</v>
      </c>
      <c r="G408">
        <v>1</v>
      </c>
      <c r="H408" t="s">
        <v>44</v>
      </c>
      <c r="I408">
        <v>4</v>
      </c>
      <c r="J408" t="s">
        <v>36</v>
      </c>
      <c r="K408">
        <v>3452</v>
      </c>
      <c r="L408">
        <v>3</v>
      </c>
      <c r="M408" t="s">
        <v>41</v>
      </c>
      <c r="N408">
        <v>18</v>
      </c>
      <c r="O408">
        <v>3</v>
      </c>
      <c r="P408">
        <v>0</v>
      </c>
      <c r="Q408">
        <v>5</v>
      </c>
      <c r="R408">
        <v>4</v>
      </c>
      <c r="S408">
        <v>3</v>
      </c>
      <c r="T408">
        <v>0</v>
      </c>
      <c r="U408">
        <v>2</v>
      </c>
      <c r="V408" t="s">
        <v>52</v>
      </c>
      <c r="W408" s="2">
        <v>43103</v>
      </c>
      <c r="Y408" t="s">
        <v>69</v>
      </c>
      <c r="Z408" t="s">
        <v>40</v>
      </c>
      <c r="AA408">
        <v>5</v>
      </c>
      <c r="AB408">
        <v>2</v>
      </c>
      <c r="AC408" t="s">
        <v>41</v>
      </c>
      <c r="AD408" t="s">
        <v>65</v>
      </c>
      <c r="AE408" t="s">
        <v>60</v>
      </c>
      <c r="AF408" s="3">
        <v>543</v>
      </c>
      <c r="AG408" s="3">
        <v>39</v>
      </c>
      <c r="AH408">
        <v>80</v>
      </c>
      <c r="AI408">
        <v>4</v>
      </c>
      <c r="AJ408">
        <v>0</v>
      </c>
      <c r="AL408">
        <v>0</v>
      </c>
      <c r="AM408">
        <v>1</v>
      </c>
      <c r="AN408" t="s">
        <v>768</v>
      </c>
      <c r="AO408" t="s">
        <v>41</v>
      </c>
    </row>
    <row r="409" spans="1:41" x14ac:dyDescent="0.25">
      <c r="A409">
        <v>30</v>
      </c>
      <c r="B409" t="s">
        <v>66</v>
      </c>
      <c r="C409" t="s">
        <v>33</v>
      </c>
      <c r="D409">
        <v>5</v>
      </c>
      <c r="E409" t="s">
        <v>61</v>
      </c>
      <c r="F409">
        <v>3</v>
      </c>
      <c r="G409">
        <v>1</v>
      </c>
      <c r="H409" t="s">
        <v>35</v>
      </c>
      <c r="I409">
        <v>2</v>
      </c>
      <c r="J409" t="s">
        <v>36</v>
      </c>
      <c r="K409">
        <v>2422</v>
      </c>
      <c r="L409">
        <v>0</v>
      </c>
      <c r="M409" t="s">
        <v>41</v>
      </c>
      <c r="N409">
        <v>17</v>
      </c>
      <c r="O409">
        <v>3</v>
      </c>
      <c r="P409">
        <v>0</v>
      </c>
      <c r="Q409">
        <v>4</v>
      </c>
      <c r="R409">
        <v>3</v>
      </c>
      <c r="S409">
        <v>3</v>
      </c>
      <c r="T409">
        <v>1</v>
      </c>
      <c r="U409">
        <v>2</v>
      </c>
      <c r="V409" t="s">
        <v>52</v>
      </c>
      <c r="W409" s="2">
        <v>43284</v>
      </c>
      <c r="Y409" t="s">
        <v>54</v>
      </c>
      <c r="Z409" t="s">
        <v>40</v>
      </c>
      <c r="AA409">
        <v>1</v>
      </c>
      <c r="AB409">
        <v>1</v>
      </c>
      <c r="AC409" t="s">
        <v>31</v>
      </c>
      <c r="AD409" t="s">
        <v>67</v>
      </c>
      <c r="AE409" t="s">
        <v>49</v>
      </c>
      <c r="AF409" s="3">
        <v>544</v>
      </c>
      <c r="AG409" s="3">
        <v>69</v>
      </c>
      <c r="AH409">
        <v>80</v>
      </c>
      <c r="AI409">
        <v>2</v>
      </c>
      <c r="AJ409">
        <v>0</v>
      </c>
      <c r="AL409">
        <v>0</v>
      </c>
      <c r="AM409">
        <v>1</v>
      </c>
      <c r="AN409" t="s">
        <v>768</v>
      </c>
      <c r="AO409" t="s">
        <v>41</v>
      </c>
    </row>
    <row r="410" spans="1:41" x14ac:dyDescent="0.25">
      <c r="A410">
        <v>27</v>
      </c>
      <c r="B410" t="s">
        <v>32</v>
      </c>
      <c r="C410" t="s">
        <v>33</v>
      </c>
      <c r="D410">
        <v>2</v>
      </c>
      <c r="E410" t="s">
        <v>61</v>
      </c>
      <c r="F410">
        <v>3</v>
      </c>
      <c r="G410">
        <v>2</v>
      </c>
      <c r="H410" t="s">
        <v>78</v>
      </c>
      <c r="I410">
        <v>4</v>
      </c>
      <c r="J410" t="s">
        <v>51</v>
      </c>
      <c r="K410">
        <v>4227</v>
      </c>
      <c r="L410">
        <v>0</v>
      </c>
      <c r="M410" t="s">
        <v>41</v>
      </c>
      <c r="N410">
        <v>18</v>
      </c>
      <c r="O410">
        <v>3</v>
      </c>
      <c r="P410">
        <v>1</v>
      </c>
      <c r="Q410">
        <v>4</v>
      </c>
      <c r="R410">
        <v>2</v>
      </c>
      <c r="S410">
        <v>3</v>
      </c>
      <c r="T410">
        <v>2</v>
      </c>
      <c r="U410">
        <v>2</v>
      </c>
      <c r="V410" t="s">
        <v>37</v>
      </c>
      <c r="W410" s="2">
        <v>43346</v>
      </c>
      <c r="Y410" t="s">
        <v>69</v>
      </c>
      <c r="Z410" t="s">
        <v>40</v>
      </c>
      <c r="AA410">
        <v>5</v>
      </c>
      <c r="AB410">
        <v>2</v>
      </c>
      <c r="AC410" t="s">
        <v>41</v>
      </c>
      <c r="AD410" t="s">
        <v>65</v>
      </c>
      <c r="AE410" t="s">
        <v>60</v>
      </c>
      <c r="AF410" s="3">
        <v>546</v>
      </c>
      <c r="AG410" s="3">
        <v>30</v>
      </c>
      <c r="AH410">
        <v>80</v>
      </c>
      <c r="AI410">
        <v>2</v>
      </c>
      <c r="AJ410">
        <v>0</v>
      </c>
      <c r="AL410">
        <v>0</v>
      </c>
      <c r="AM410">
        <v>1</v>
      </c>
      <c r="AN410" t="s">
        <v>768</v>
      </c>
      <c r="AO410" t="s">
        <v>41</v>
      </c>
    </row>
    <row r="411" spans="1:41" x14ac:dyDescent="0.25">
      <c r="A411">
        <v>35</v>
      </c>
      <c r="B411" t="s">
        <v>32</v>
      </c>
      <c r="C411" t="s">
        <v>33</v>
      </c>
      <c r="D411">
        <v>10</v>
      </c>
      <c r="E411" t="s">
        <v>34</v>
      </c>
      <c r="F411">
        <v>3</v>
      </c>
      <c r="G411">
        <v>1</v>
      </c>
      <c r="H411" t="s">
        <v>35</v>
      </c>
      <c r="I411">
        <v>4</v>
      </c>
      <c r="J411" t="s">
        <v>57</v>
      </c>
      <c r="K411">
        <v>3917</v>
      </c>
      <c r="L411">
        <v>1</v>
      </c>
      <c r="M411" t="s">
        <v>41</v>
      </c>
      <c r="N411">
        <v>20</v>
      </c>
      <c r="O411">
        <v>4</v>
      </c>
      <c r="P411">
        <v>1</v>
      </c>
      <c r="Q411">
        <v>3</v>
      </c>
      <c r="R411">
        <v>4</v>
      </c>
      <c r="S411">
        <v>3</v>
      </c>
      <c r="T411">
        <v>1</v>
      </c>
      <c r="U411">
        <v>2</v>
      </c>
      <c r="V411" t="s">
        <v>58</v>
      </c>
      <c r="W411" s="2">
        <v>43314</v>
      </c>
      <c r="Y411" t="s">
        <v>63</v>
      </c>
      <c r="Z411" t="s">
        <v>47</v>
      </c>
      <c r="AA411">
        <v>2</v>
      </c>
      <c r="AB411">
        <v>0</v>
      </c>
      <c r="AC411" t="s">
        <v>31</v>
      </c>
      <c r="AD411" t="s">
        <v>65</v>
      </c>
      <c r="AE411" t="s">
        <v>49</v>
      </c>
      <c r="AF411" s="3">
        <v>547</v>
      </c>
      <c r="AG411" s="3">
        <v>92</v>
      </c>
      <c r="AH411">
        <v>80</v>
      </c>
      <c r="AI411">
        <v>4</v>
      </c>
      <c r="AJ411">
        <v>0</v>
      </c>
      <c r="AL411">
        <v>0</v>
      </c>
      <c r="AM411">
        <v>1</v>
      </c>
      <c r="AN411" t="s">
        <v>768</v>
      </c>
      <c r="AO411" t="s">
        <v>41</v>
      </c>
    </row>
    <row r="412" spans="1:41" x14ac:dyDescent="0.25">
      <c r="A412">
        <v>26</v>
      </c>
      <c r="B412" t="s">
        <v>66</v>
      </c>
      <c r="C412" t="s">
        <v>33</v>
      </c>
      <c r="D412">
        <v>2</v>
      </c>
      <c r="E412" t="s">
        <v>34</v>
      </c>
      <c r="F412">
        <v>3</v>
      </c>
      <c r="G412">
        <v>1</v>
      </c>
      <c r="H412" t="s">
        <v>44</v>
      </c>
      <c r="I412">
        <v>1</v>
      </c>
      <c r="J412" t="s">
        <v>51</v>
      </c>
      <c r="K412">
        <v>2042</v>
      </c>
      <c r="L412">
        <v>6</v>
      </c>
      <c r="M412" t="s">
        <v>31</v>
      </c>
      <c r="N412">
        <v>14</v>
      </c>
      <c r="O412">
        <v>3</v>
      </c>
      <c r="P412">
        <v>1</v>
      </c>
      <c r="Q412">
        <v>6</v>
      </c>
      <c r="R412">
        <v>2</v>
      </c>
      <c r="S412">
        <v>3</v>
      </c>
      <c r="T412">
        <v>1</v>
      </c>
      <c r="U412">
        <v>2</v>
      </c>
      <c r="V412" t="s">
        <v>72</v>
      </c>
      <c r="W412" s="2">
        <v>43134</v>
      </c>
      <c r="Y412" t="s">
        <v>39</v>
      </c>
      <c r="Z412" t="s">
        <v>40</v>
      </c>
      <c r="AA412">
        <v>5</v>
      </c>
      <c r="AB412">
        <v>3</v>
      </c>
      <c r="AC412" t="s">
        <v>31</v>
      </c>
      <c r="AD412" t="s">
        <v>67</v>
      </c>
      <c r="AE412" t="s">
        <v>43</v>
      </c>
      <c r="AF412" s="3">
        <v>548</v>
      </c>
      <c r="AG412" s="3">
        <v>43</v>
      </c>
      <c r="AH412">
        <v>80</v>
      </c>
      <c r="AI412">
        <v>4</v>
      </c>
      <c r="AJ412">
        <v>0</v>
      </c>
      <c r="AL412">
        <v>0</v>
      </c>
      <c r="AM412">
        <v>1</v>
      </c>
      <c r="AN412" t="s">
        <v>768</v>
      </c>
      <c r="AO412" t="s">
        <v>41</v>
      </c>
    </row>
    <row r="413" spans="1:41" x14ac:dyDescent="0.25">
      <c r="A413">
        <v>27</v>
      </c>
      <c r="B413" t="s">
        <v>81</v>
      </c>
      <c r="C413" t="s">
        <v>33</v>
      </c>
      <c r="D413">
        <v>8</v>
      </c>
      <c r="E413" t="s">
        <v>34</v>
      </c>
      <c r="F413">
        <v>1</v>
      </c>
      <c r="G413">
        <v>1</v>
      </c>
      <c r="H413" t="s">
        <v>35</v>
      </c>
      <c r="I413">
        <v>3</v>
      </c>
      <c r="J413" t="s">
        <v>51</v>
      </c>
      <c r="K413">
        <v>4621</v>
      </c>
      <c r="L413">
        <v>1</v>
      </c>
      <c r="M413" t="s">
        <v>41</v>
      </c>
      <c r="N413">
        <v>19</v>
      </c>
      <c r="O413">
        <v>3</v>
      </c>
      <c r="P413">
        <v>3</v>
      </c>
      <c r="Q413">
        <v>3</v>
      </c>
      <c r="R413">
        <v>4</v>
      </c>
      <c r="S413">
        <v>3</v>
      </c>
      <c r="T413">
        <v>1</v>
      </c>
      <c r="U413">
        <v>2</v>
      </c>
      <c r="V413" t="s">
        <v>72</v>
      </c>
      <c r="W413" s="1" t="s">
        <v>247</v>
      </c>
      <c r="Y413" t="s">
        <v>63</v>
      </c>
      <c r="Z413" t="s">
        <v>47</v>
      </c>
      <c r="AA413">
        <v>0</v>
      </c>
      <c r="AB413">
        <v>0</v>
      </c>
      <c r="AC413" t="s">
        <v>41</v>
      </c>
      <c r="AD413" t="s">
        <v>65</v>
      </c>
      <c r="AE413" t="s">
        <v>60</v>
      </c>
      <c r="AF413" s="3">
        <v>549</v>
      </c>
      <c r="AG413" s="3">
        <v>41</v>
      </c>
      <c r="AH413">
        <v>80</v>
      </c>
      <c r="AI413">
        <v>8</v>
      </c>
      <c r="AJ413">
        <v>0</v>
      </c>
      <c r="AL413">
        <v>0</v>
      </c>
      <c r="AM413">
        <v>1</v>
      </c>
      <c r="AN413" t="s">
        <v>768</v>
      </c>
      <c r="AO413" t="s">
        <v>41</v>
      </c>
    </row>
    <row r="414" spans="1:41" x14ac:dyDescent="0.25">
      <c r="A414">
        <v>55</v>
      </c>
      <c r="B414" t="s">
        <v>66</v>
      </c>
      <c r="C414" t="s">
        <v>33</v>
      </c>
      <c r="D414">
        <v>2</v>
      </c>
      <c r="E414" t="s">
        <v>34</v>
      </c>
      <c r="F414">
        <v>3</v>
      </c>
      <c r="G414">
        <v>3</v>
      </c>
      <c r="H414" t="s">
        <v>78</v>
      </c>
      <c r="I414">
        <v>2</v>
      </c>
      <c r="J414" t="s">
        <v>51</v>
      </c>
      <c r="K414">
        <v>10976</v>
      </c>
      <c r="L414">
        <v>3</v>
      </c>
      <c r="M414" t="s">
        <v>41</v>
      </c>
      <c r="N414">
        <v>18</v>
      </c>
      <c r="O414">
        <v>3</v>
      </c>
      <c r="P414">
        <v>1</v>
      </c>
      <c r="Q414">
        <v>23</v>
      </c>
      <c r="R414">
        <v>4</v>
      </c>
      <c r="S414">
        <v>3</v>
      </c>
      <c r="T414">
        <v>1</v>
      </c>
      <c r="U414">
        <v>2</v>
      </c>
      <c r="V414" t="s">
        <v>52</v>
      </c>
      <c r="W414" s="1" t="s">
        <v>248</v>
      </c>
      <c r="Y414" t="s">
        <v>46</v>
      </c>
      <c r="Z414" t="s">
        <v>40</v>
      </c>
      <c r="AA414">
        <v>1</v>
      </c>
      <c r="AB414">
        <v>3</v>
      </c>
      <c r="AC414" t="s">
        <v>31</v>
      </c>
      <c r="AD414" t="s">
        <v>48</v>
      </c>
      <c r="AE414" t="s">
        <v>43</v>
      </c>
      <c r="AF414" s="3">
        <v>550</v>
      </c>
      <c r="AG414" s="3">
        <v>87</v>
      </c>
      <c r="AH414">
        <v>80</v>
      </c>
      <c r="AI414">
        <v>7</v>
      </c>
      <c r="AJ414">
        <v>0</v>
      </c>
      <c r="AL414">
        <v>0</v>
      </c>
      <c r="AM414">
        <v>1</v>
      </c>
      <c r="AN414" t="s">
        <v>768</v>
      </c>
      <c r="AO414" t="s">
        <v>41</v>
      </c>
    </row>
    <row r="415" spans="1:41" x14ac:dyDescent="0.25">
      <c r="A415">
        <v>33</v>
      </c>
      <c r="B415" t="s">
        <v>32</v>
      </c>
      <c r="C415" t="s">
        <v>33</v>
      </c>
      <c r="D415">
        <v>5</v>
      </c>
      <c r="E415" t="s">
        <v>34</v>
      </c>
      <c r="F415">
        <v>2</v>
      </c>
      <c r="G415">
        <v>3</v>
      </c>
      <c r="H415" t="s">
        <v>89</v>
      </c>
      <c r="I415">
        <v>4</v>
      </c>
      <c r="J415" t="s">
        <v>57</v>
      </c>
      <c r="K415">
        <v>7119</v>
      </c>
      <c r="L415">
        <v>4</v>
      </c>
      <c r="M415" t="s">
        <v>41</v>
      </c>
      <c r="N415">
        <v>15</v>
      </c>
      <c r="O415">
        <v>3</v>
      </c>
      <c r="P415">
        <v>1</v>
      </c>
      <c r="Q415">
        <v>9</v>
      </c>
      <c r="R415">
        <v>2</v>
      </c>
      <c r="S415">
        <v>3</v>
      </c>
      <c r="T415">
        <v>1</v>
      </c>
      <c r="U415">
        <v>2</v>
      </c>
      <c r="V415" t="s">
        <v>52</v>
      </c>
      <c r="W415" s="2">
        <v>43136</v>
      </c>
      <c r="Y415" t="s">
        <v>69</v>
      </c>
      <c r="Z415" t="s">
        <v>47</v>
      </c>
      <c r="AA415">
        <v>4</v>
      </c>
      <c r="AB415">
        <v>0</v>
      </c>
      <c r="AC415" t="s">
        <v>31</v>
      </c>
      <c r="AD415" t="s">
        <v>42</v>
      </c>
      <c r="AE415" t="s">
        <v>60</v>
      </c>
      <c r="AF415" s="3">
        <v>551</v>
      </c>
      <c r="AG415" s="3">
        <v>88</v>
      </c>
      <c r="AH415">
        <v>80</v>
      </c>
      <c r="AI415">
        <v>5</v>
      </c>
      <c r="AJ415">
        <v>0</v>
      </c>
      <c r="AL415">
        <v>0</v>
      </c>
      <c r="AM415">
        <v>1</v>
      </c>
      <c r="AN415" t="s">
        <v>768</v>
      </c>
      <c r="AO415" t="s">
        <v>41</v>
      </c>
    </row>
    <row r="416" spans="1:41" x14ac:dyDescent="0.25">
      <c r="A416">
        <v>33</v>
      </c>
      <c r="B416" t="s">
        <v>66</v>
      </c>
      <c r="C416" t="s">
        <v>55</v>
      </c>
      <c r="D416">
        <v>7</v>
      </c>
      <c r="E416" t="s">
        <v>61</v>
      </c>
      <c r="F416">
        <v>3</v>
      </c>
      <c r="G416">
        <v>2</v>
      </c>
      <c r="H416" t="s">
        <v>70</v>
      </c>
      <c r="I416">
        <v>2</v>
      </c>
      <c r="J416" t="s">
        <v>51</v>
      </c>
      <c r="K416">
        <v>4302</v>
      </c>
      <c r="L416">
        <v>0</v>
      </c>
      <c r="M416" t="s">
        <v>41</v>
      </c>
      <c r="N416">
        <v>17</v>
      </c>
      <c r="O416">
        <v>3</v>
      </c>
      <c r="P416">
        <v>1</v>
      </c>
      <c r="Q416">
        <v>4</v>
      </c>
      <c r="R416">
        <v>3</v>
      </c>
      <c r="S416">
        <v>3</v>
      </c>
      <c r="T416">
        <v>0</v>
      </c>
      <c r="U416">
        <v>2</v>
      </c>
      <c r="V416" t="s">
        <v>52</v>
      </c>
      <c r="W416" s="2">
        <v>43161</v>
      </c>
      <c r="Y416" t="s">
        <v>63</v>
      </c>
      <c r="Z416" t="s">
        <v>40</v>
      </c>
      <c r="AA416">
        <v>5</v>
      </c>
      <c r="AB416">
        <v>2</v>
      </c>
      <c r="AC416" t="s">
        <v>41</v>
      </c>
      <c r="AD416" t="s">
        <v>65</v>
      </c>
      <c r="AE416" t="s">
        <v>49</v>
      </c>
      <c r="AF416" s="3">
        <v>554</v>
      </c>
      <c r="AG416" s="3">
        <v>62</v>
      </c>
      <c r="AH416">
        <v>80</v>
      </c>
      <c r="AI416">
        <v>3</v>
      </c>
      <c r="AJ416">
        <v>1</v>
      </c>
      <c r="AK416">
        <v>1</v>
      </c>
      <c r="AL416">
        <v>1</v>
      </c>
      <c r="AM416">
        <v>0</v>
      </c>
      <c r="AN416" t="s">
        <v>767</v>
      </c>
      <c r="AO416" t="s">
        <v>31</v>
      </c>
    </row>
    <row r="417" spans="1:41" x14ac:dyDescent="0.25">
      <c r="A417">
        <v>34</v>
      </c>
      <c r="B417" t="s">
        <v>66</v>
      </c>
      <c r="C417" t="s">
        <v>33</v>
      </c>
      <c r="D417">
        <v>2</v>
      </c>
      <c r="E417" t="s">
        <v>34</v>
      </c>
      <c r="F417">
        <v>3</v>
      </c>
      <c r="G417">
        <v>2</v>
      </c>
      <c r="H417" t="s">
        <v>78</v>
      </c>
      <c r="I417">
        <v>3</v>
      </c>
      <c r="J417" t="s">
        <v>36</v>
      </c>
      <c r="K417">
        <v>4033</v>
      </c>
      <c r="L417">
        <v>2</v>
      </c>
      <c r="M417" t="s">
        <v>41</v>
      </c>
      <c r="N417">
        <v>11</v>
      </c>
      <c r="O417">
        <v>3</v>
      </c>
      <c r="P417">
        <v>0</v>
      </c>
      <c r="Q417">
        <v>5</v>
      </c>
      <c r="R417">
        <v>3</v>
      </c>
      <c r="S417">
        <v>3</v>
      </c>
      <c r="T417">
        <v>0</v>
      </c>
      <c r="U417">
        <v>2</v>
      </c>
      <c r="V417" t="s">
        <v>72</v>
      </c>
      <c r="W417" s="2">
        <v>43223</v>
      </c>
      <c r="Y417" t="s">
        <v>63</v>
      </c>
      <c r="Z417" t="s">
        <v>40</v>
      </c>
      <c r="AA417">
        <v>4</v>
      </c>
      <c r="AB417">
        <v>1</v>
      </c>
      <c r="AC417" t="s">
        <v>41</v>
      </c>
      <c r="AD417" t="s">
        <v>65</v>
      </c>
      <c r="AE417" t="s">
        <v>43</v>
      </c>
      <c r="AF417" s="3">
        <v>555</v>
      </c>
      <c r="AG417" s="3">
        <v>33</v>
      </c>
      <c r="AH417">
        <v>80</v>
      </c>
      <c r="AI417">
        <v>2</v>
      </c>
      <c r="AJ417">
        <v>1</v>
      </c>
      <c r="AK417">
        <v>1</v>
      </c>
      <c r="AL417">
        <v>1</v>
      </c>
      <c r="AM417">
        <v>0</v>
      </c>
      <c r="AN417" t="s">
        <v>767</v>
      </c>
      <c r="AO417" t="s">
        <v>31</v>
      </c>
    </row>
    <row r="418" spans="1:41" x14ac:dyDescent="0.25">
      <c r="A418">
        <v>28</v>
      </c>
      <c r="B418" t="s">
        <v>66</v>
      </c>
      <c r="C418" t="s">
        <v>33</v>
      </c>
      <c r="D418">
        <v>6</v>
      </c>
      <c r="E418" t="s">
        <v>34</v>
      </c>
      <c r="F418">
        <v>2</v>
      </c>
      <c r="G418">
        <v>1</v>
      </c>
      <c r="H418" t="s">
        <v>44</v>
      </c>
      <c r="I418">
        <v>3</v>
      </c>
      <c r="J418" t="s">
        <v>57</v>
      </c>
      <c r="K418">
        <v>2703</v>
      </c>
      <c r="L418">
        <v>1</v>
      </c>
      <c r="M418" t="s">
        <v>31</v>
      </c>
      <c r="N418">
        <v>14</v>
      </c>
      <c r="O418">
        <v>3</v>
      </c>
      <c r="P418">
        <v>1</v>
      </c>
      <c r="Q418">
        <v>3</v>
      </c>
      <c r="R418">
        <v>2</v>
      </c>
      <c r="S418">
        <v>3</v>
      </c>
      <c r="T418">
        <v>0</v>
      </c>
      <c r="U418">
        <v>2</v>
      </c>
      <c r="V418" t="s">
        <v>52</v>
      </c>
      <c r="W418" s="1" t="s">
        <v>249</v>
      </c>
      <c r="Y418" t="s">
        <v>69</v>
      </c>
      <c r="Z418" t="s">
        <v>47</v>
      </c>
      <c r="AA418">
        <v>4</v>
      </c>
      <c r="AB418">
        <v>3</v>
      </c>
      <c r="AC418" t="s">
        <v>41</v>
      </c>
      <c r="AD418" t="s">
        <v>48</v>
      </c>
      <c r="AE418" t="s">
        <v>49</v>
      </c>
      <c r="AF418" s="3">
        <v>556</v>
      </c>
      <c r="AG418" s="3">
        <v>42</v>
      </c>
      <c r="AH418">
        <v>80</v>
      </c>
      <c r="AI418">
        <v>0</v>
      </c>
      <c r="AJ418">
        <v>0</v>
      </c>
      <c r="AL418">
        <v>0</v>
      </c>
      <c r="AM418">
        <v>1</v>
      </c>
      <c r="AN418" t="s">
        <v>768</v>
      </c>
      <c r="AO418" t="s">
        <v>41</v>
      </c>
    </row>
    <row r="419" spans="1:41" x14ac:dyDescent="0.25">
      <c r="A419">
        <v>45</v>
      </c>
      <c r="B419" t="s">
        <v>32</v>
      </c>
      <c r="C419" t="s">
        <v>33</v>
      </c>
      <c r="D419">
        <v>7</v>
      </c>
      <c r="E419" t="s">
        <v>61</v>
      </c>
      <c r="F419">
        <v>3</v>
      </c>
      <c r="G419">
        <v>1</v>
      </c>
      <c r="H419" t="s">
        <v>44</v>
      </c>
      <c r="I419">
        <v>3</v>
      </c>
      <c r="J419" t="s">
        <v>51</v>
      </c>
      <c r="K419">
        <v>4477</v>
      </c>
      <c r="L419">
        <v>4</v>
      </c>
      <c r="M419" t="s">
        <v>31</v>
      </c>
      <c r="N419">
        <v>19</v>
      </c>
      <c r="O419">
        <v>3</v>
      </c>
      <c r="P419">
        <v>1</v>
      </c>
      <c r="Q419">
        <v>7</v>
      </c>
      <c r="R419">
        <v>2</v>
      </c>
      <c r="S419">
        <v>3</v>
      </c>
      <c r="T419">
        <v>0</v>
      </c>
      <c r="U419">
        <v>2</v>
      </c>
      <c r="V419" t="s">
        <v>52</v>
      </c>
      <c r="W419" s="1" t="s">
        <v>250</v>
      </c>
      <c r="Y419" t="s">
        <v>39</v>
      </c>
      <c r="Z419" t="s">
        <v>40</v>
      </c>
      <c r="AA419">
        <v>0</v>
      </c>
      <c r="AB419">
        <v>1</v>
      </c>
      <c r="AC419" t="s">
        <v>31</v>
      </c>
      <c r="AD419" t="s">
        <v>65</v>
      </c>
      <c r="AE419" t="s">
        <v>60</v>
      </c>
      <c r="AF419" s="3">
        <v>558</v>
      </c>
      <c r="AG419" s="3">
        <v>79</v>
      </c>
      <c r="AH419">
        <v>80</v>
      </c>
      <c r="AI419">
        <v>15</v>
      </c>
      <c r="AJ419">
        <v>0</v>
      </c>
      <c r="AL419">
        <v>0</v>
      </c>
      <c r="AM419">
        <v>1</v>
      </c>
      <c r="AN419" t="s">
        <v>768</v>
      </c>
      <c r="AO419" t="s">
        <v>41</v>
      </c>
    </row>
    <row r="420" spans="1:41" x14ac:dyDescent="0.25">
      <c r="A420">
        <v>29</v>
      </c>
      <c r="B420" t="s">
        <v>32</v>
      </c>
      <c r="C420" t="s">
        <v>33</v>
      </c>
      <c r="D420">
        <v>1</v>
      </c>
      <c r="E420" t="s">
        <v>61</v>
      </c>
      <c r="F420">
        <v>3</v>
      </c>
      <c r="G420">
        <v>1</v>
      </c>
      <c r="H420" t="s">
        <v>44</v>
      </c>
      <c r="I420">
        <v>4</v>
      </c>
      <c r="J420" t="s">
        <v>57</v>
      </c>
      <c r="K420">
        <v>3760</v>
      </c>
      <c r="L420">
        <v>1</v>
      </c>
      <c r="M420" t="s">
        <v>41</v>
      </c>
      <c r="N420">
        <v>15</v>
      </c>
      <c r="O420">
        <v>3</v>
      </c>
      <c r="P420">
        <v>3</v>
      </c>
      <c r="Q420">
        <v>3</v>
      </c>
      <c r="R420">
        <v>5</v>
      </c>
      <c r="S420">
        <v>3</v>
      </c>
      <c r="T420">
        <v>1</v>
      </c>
      <c r="U420">
        <v>2</v>
      </c>
      <c r="V420" t="s">
        <v>58</v>
      </c>
      <c r="W420" s="1" t="s">
        <v>251</v>
      </c>
      <c r="Y420" t="s">
        <v>63</v>
      </c>
      <c r="Z420" t="s">
        <v>47</v>
      </c>
      <c r="AA420">
        <v>0</v>
      </c>
      <c r="AB420">
        <v>2</v>
      </c>
      <c r="AC420" t="s">
        <v>31</v>
      </c>
      <c r="AD420" t="s">
        <v>42</v>
      </c>
      <c r="AE420" t="s">
        <v>43</v>
      </c>
      <c r="AF420" s="3">
        <v>560</v>
      </c>
      <c r="AG420" s="3">
        <v>90</v>
      </c>
      <c r="AH420">
        <v>80</v>
      </c>
      <c r="AI420">
        <v>2</v>
      </c>
      <c r="AJ420">
        <v>0</v>
      </c>
      <c r="AL420">
        <v>0</v>
      </c>
      <c r="AM420">
        <v>1</v>
      </c>
      <c r="AN420" t="s">
        <v>768</v>
      </c>
      <c r="AO420" t="s">
        <v>41</v>
      </c>
    </row>
    <row r="421" spans="1:41" x14ac:dyDescent="0.25">
      <c r="A421">
        <v>34</v>
      </c>
      <c r="B421" t="s">
        <v>32</v>
      </c>
      <c r="C421" t="s">
        <v>55</v>
      </c>
      <c r="D421">
        <v>2</v>
      </c>
      <c r="E421" t="s">
        <v>61</v>
      </c>
      <c r="F421">
        <v>3</v>
      </c>
      <c r="G421">
        <v>2</v>
      </c>
      <c r="H421" t="s">
        <v>70</v>
      </c>
      <c r="I421">
        <v>1</v>
      </c>
      <c r="J421" t="s">
        <v>36</v>
      </c>
      <c r="K421">
        <v>4538</v>
      </c>
      <c r="L421">
        <v>0</v>
      </c>
      <c r="M421" t="s">
        <v>31</v>
      </c>
      <c r="N421">
        <v>12</v>
      </c>
      <c r="O421">
        <v>3</v>
      </c>
      <c r="P421">
        <v>0</v>
      </c>
      <c r="Q421">
        <v>4</v>
      </c>
      <c r="R421">
        <v>3</v>
      </c>
      <c r="S421">
        <v>3</v>
      </c>
      <c r="T421">
        <v>0</v>
      </c>
      <c r="U421">
        <v>2</v>
      </c>
      <c r="V421" t="s">
        <v>52</v>
      </c>
      <c r="W421" s="1" t="s">
        <v>252</v>
      </c>
      <c r="Y421" t="s">
        <v>54</v>
      </c>
      <c r="Z421" t="s">
        <v>40</v>
      </c>
      <c r="AA421">
        <v>1</v>
      </c>
      <c r="AB421">
        <v>3</v>
      </c>
      <c r="AC421" t="s">
        <v>41</v>
      </c>
      <c r="AD421" t="s">
        <v>67</v>
      </c>
      <c r="AE421" t="s">
        <v>60</v>
      </c>
      <c r="AF421" s="3">
        <v>562</v>
      </c>
      <c r="AG421" s="3">
        <v>53</v>
      </c>
      <c r="AH421">
        <v>80</v>
      </c>
      <c r="AI421">
        <v>3</v>
      </c>
      <c r="AJ421">
        <v>0</v>
      </c>
      <c r="AL421">
        <v>0</v>
      </c>
      <c r="AM421">
        <v>1</v>
      </c>
      <c r="AN421" t="s">
        <v>768</v>
      </c>
      <c r="AO421" t="s">
        <v>41</v>
      </c>
    </row>
    <row r="422" spans="1:41" x14ac:dyDescent="0.25">
      <c r="A422">
        <v>35</v>
      </c>
      <c r="B422" t="s">
        <v>32</v>
      </c>
      <c r="C422" t="s">
        <v>33</v>
      </c>
      <c r="D422">
        <v>6</v>
      </c>
      <c r="E422" t="s">
        <v>34</v>
      </c>
      <c r="F422">
        <v>3</v>
      </c>
      <c r="G422">
        <v>1</v>
      </c>
      <c r="H422" t="s">
        <v>44</v>
      </c>
      <c r="I422">
        <v>3</v>
      </c>
      <c r="J422" t="s">
        <v>51</v>
      </c>
      <c r="K422">
        <v>3506</v>
      </c>
      <c r="L422">
        <v>0</v>
      </c>
      <c r="M422" t="s">
        <v>31</v>
      </c>
      <c r="N422">
        <v>14</v>
      </c>
      <c r="O422">
        <v>3</v>
      </c>
      <c r="P422">
        <v>0</v>
      </c>
      <c r="Q422">
        <v>4</v>
      </c>
      <c r="R422">
        <v>3</v>
      </c>
      <c r="S422">
        <v>3</v>
      </c>
      <c r="T422">
        <v>2</v>
      </c>
      <c r="U422">
        <v>2</v>
      </c>
      <c r="V422" t="s">
        <v>52</v>
      </c>
      <c r="W422" s="2">
        <v>43162</v>
      </c>
      <c r="Y422" t="s">
        <v>69</v>
      </c>
      <c r="Z422" t="s">
        <v>47</v>
      </c>
      <c r="AA422">
        <v>0</v>
      </c>
      <c r="AB422">
        <v>2</v>
      </c>
      <c r="AC422" t="s">
        <v>41</v>
      </c>
      <c r="AD422" t="s">
        <v>48</v>
      </c>
      <c r="AE422" t="s">
        <v>60</v>
      </c>
      <c r="AF422" s="3">
        <v>564</v>
      </c>
      <c r="AG422" s="3">
        <v>93</v>
      </c>
      <c r="AH422">
        <v>80</v>
      </c>
      <c r="AI422">
        <v>2</v>
      </c>
      <c r="AJ422">
        <v>0</v>
      </c>
      <c r="AL422">
        <v>0</v>
      </c>
      <c r="AM422">
        <v>1</v>
      </c>
      <c r="AN422" t="s">
        <v>768</v>
      </c>
      <c r="AO422" t="s">
        <v>41</v>
      </c>
    </row>
    <row r="423" spans="1:41" x14ac:dyDescent="0.25">
      <c r="A423">
        <v>28</v>
      </c>
      <c r="B423" t="s">
        <v>32</v>
      </c>
      <c r="C423" t="s">
        <v>33</v>
      </c>
      <c r="D423">
        <v>1</v>
      </c>
      <c r="E423" t="s">
        <v>34</v>
      </c>
      <c r="F423">
        <v>3</v>
      </c>
      <c r="G423">
        <v>1</v>
      </c>
      <c r="H423" t="s">
        <v>44</v>
      </c>
      <c r="I423">
        <v>1</v>
      </c>
      <c r="J423" t="s">
        <v>36</v>
      </c>
      <c r="K423">
        <v>2080</v>
      </c>
      <c r="L423">
        <v>2</v>
      </c>
      <c r="M423" t="s">
        <v>41</v>
      </c>
      <c r="N423">
        <v>11</v>
      </c>
      <c r="O423">
        <v>3</v>
      </c>
      <c r="P423">
        <v>0</v>
      </c>
      <c r="Q423">
        <v>5</v>
      </c>
      <c r="R423">
        <v>2</v>
      </c>
      <c r="S423">
        <v>3</v>
      </c>
      <c r="T423">
        <v>1</v>
      </c>
      <c r="U423">
        <v>2</v>
      </c>
      <c r="V423" t="s">
        <v>52</v>
      </c>
      <c r="W423" s="1" t="s">
        <v>253</v>
      </c>
      <c r="Y423" t="s">
        <v>46</v>
      </c>
      <c r="Z423" t="s">
        <v>40</v>
      </c>
      <c r="AA423">
        <v>3</v>
      </c>
      <c r="AB423">
        <v>1</v>
      </c>
      <c r="AC423" t="s">
        <v>31</v>
      </c>
      <c r="AD423" t="s">
        <v>67</v>
      </c>
      <c r="AE423" t="s">
        <v>49</v>
      </c>
      <c r="AF423" s="3">
        <v>565</v>
      </c>
      <c r="AG423" s="3">
        <v>71</v>
      </c>
      <c r="AH423">
        <v>80</v>
      </c>
      <c r="AI423">
        <v>2</v>
      </c>
      <c r="AJ423">
        <v>1</v>
      </c>
      <c r="AK423">
        <v>1</v>
      </c>
      <c r="AL423">
        <v>1</v>
      </c>
      <c r="AM423">
        <v>0</v>
      </c>
      <c r="AN423" t="s">
        <v>767</v>
      </c>
      <c r="AO423" t="s">
        <v>31</v>
      </c>
    </row>
    <row r="424" spans="1:41" x14ac:dyDescent="0.25">
      <c r="A424">
        <v>50</v>
      </c>
      <c r="B424" t="s">
        <v>32</v>
      </c>
      <c r="C424" t="s">
        <v>33</v>
      </c>
      <c r="D424">
        <v>28</v>
      </c>
      <c r="E424" t="s">
        <v>61</v>
      </c>
      <c r="F424">
        <v>3</v>
      </c>
      <c r="G424">
        <v>4</v>
      </c>
      <c r="H424" t="s">
        <v>50</v>
      </c>
      <c r="I424">
        <v>1</v>
      </c>
      <c r="J424" t="s">
        <v>51</v>
      </c>
      <c r="K424">
        <v>16880</v>
      </c>
      <c r="L424">
        <v>4</v>
      </c>
      <c r="M424" t="s">
        <v>31</v>
      </c>
      <c r="N424">
        <v>11</v>
      </c>
      <c r="O424">
        <v>3</v>
      </c>
      <c r="P424">
        <v>0</v>
      </c>
      <c r="Q424">
        <v>25</v>
      </c>
      <c r="R424">
        <v>2</v>
      </c>
      <c r="S424">
        <v>3</v>
      </c>
      <c r="T424">
        <v>1</v>
      </c>
      <c r="U424">
        <v>2</v>
      </c>
      <c r="V424" t="s">
        <v>72</v>
      </c>
      <c r="W424" s="2">
        <v>43195</v>
      </c>
      <c r="Y424" t="s">
        <v>46</v>
      </c>
      <c r="Z424" t="s">
        <v>40</v>
      </c>
      <c r="AA424">
        <v>0</v>
      </c>
      <c r="AB424">
        <v>1</v>
      </c>
      <c r="AC424" t="s">
        <v>31</v>
      </c>
      <c r="AD424" t="s">
        <v>65</v>
      </c>
      <c r="AE424" t="s">
        <v>49</v>
      </c>
      <c r="AF424" s="3">
        <v>566</v>
      </c>
      <c r="AG424" s="3">
        <v>52</v>
      </c>
      <c r="AH424">
        <v>80</v>
      </c>
      <c r="AI424">
        <v>0</v>
      </c>
      <c r="AJ424">
        <v>1</v>
      </c>
      <c r="AK424">
        <v>1</v>
      </c>
      <c r="AL424">
        <v>1</v>
      </c>
      <c r="AM424">
        <v>0</v>
      </c>
      <c r="AN424" t="s">
        <v>767</v>
      </c>
      <c r="AO424" t="s">
        <v>31</v>
      </c>
    </row>
    <row r="425" spans="1:41" x14ac:dyDescent="0.25">
      <c r="A425">
        <v>31</v>
      </c>
      <c r="B425" t="s">
        <v>66</v>
      </c>
      <c r="C425" t="s">
        <v>55</v>
      </c>
      <c r="D425">
        <v>1</v>
      </c>
      <c r="E425" t="s">
        <v>61</v>
      </c>
      <c r="F425">
        <v>3</v>
      </c>
      <c r="G425">
        <v>1</v>
      </c>
      <c r="H425" t="s">
        <v>56</v>
      </c>
      <c r="I425">
        <v>2</v>
      </c>
      <c r="J425" t="s">
        <v>36</v>
      </c>
      <c r="K425">
        <v>2302</v>
      </c>
      <c r="L425">
        <v>1</v>
      </c>
      <c r="M425" t="s">
        <v>31</v>
      </c>
      <c r="N425">
        <v>11</v>
      </c>
      <c r="O425">
        <v>3</v>
      </c>
      <c r="P425">
        <v>0</v>
      </c>
      <c r="Q425">
        <v>3</v>
      </c>
      <c r="R425">
        <v>2</v>
      </c>
      <c r="S425">
        <v>3</v>
      </c>
      <c r="T425">
        <v>2</v>
      </c>
      <c r="U425">
        <v>2</v>
      </c>
      <c r="V425" t="s">
        <v>72</v>
      </c>
      <c r="W425" s="2">
        <v>43408</v>
      </c>
      <c r="Y425" t="s">
        <v>54</v>
      </c>
      <c r="Z425" t="s">
        <v>40</v>
      </c>
      <c r="AA425">
        <v>4</v>
      </c>
      <c r="AB425">
        <v>3</v>
      </c>
      <c r="AC425" t="s">
        <v>41</v>
      </c>
      <c r="AD425" t="s">
        <v>48</v>
      </c>
      <c r="AE425" t="s">
        <v>49</v>
      </c>
      <c r="AF425" s="3">
        <v>567</v>
      </c>
      <c r="AG425" s="3">
        <v>69</v>
      </c>
      <c r="AH425">
        <v>80</v>
      </c>
      <c r="AI425">
        <v>8</v>
      </c>
      <c r="AJ425">
        <v>0</v>
      </c>
      <c r="AL425">
        <v>0</v>
      </c>
      <c r="AM425">
        <v>1</v>
      </c>
      <c r="AN425" t="s">
        <v>768</v>
      </c>
      <c r="AO425" t="s">
        <v>41</v>
      </c>
    </row>
    <row r="426" spans="1:41" x14ac:dyDescent="0.25">
      <c r="A426">
        <v>44</v>
      </c>
      <c r="B426" t="s">
        <v>32</v>
      </c>
      <c r="C426" t="s">
        <v>33</v>
      </c>
      <c r="D426">
        <v>3</v>
      </c>
      <c r="E426" t="s">
        <v>34</v>
      </c>
      <c r="F426">
        <v>3</v>
      </c>
      <c r="G426">
        <v>1</v>
      </c>
      <c r="H426" t="s">
        <v>35</v>
      </c>
      <c r="I426">
        <v>1</v>
      </c>
      <c r="J426" t="s">
        <v>51</v>
      </c>
      <c r="K426">
        <v>2362</v>
      </c>
      <c r="L426">
        <v>4</v>
      </c>
      <c r="M426" t="s">
        <v>41</v>
      </c>
      <c r="N426">
        <v>12</v>
      </c>
      <c r="O426">
        <v>3</v>
      </c>
      <c r="P426">
        <v>0</v>
      </c>
      <c r="Q426">
        <v>10</v>
      </c>
      <c r="R426">
        <v>4</v>
      </c>
      <c r="S426">
        <v>3</v>
      </c>
      <c r="T426">
        <v>1</v>
      </c>
      <c r="U426">
        <v>2</v>
      </c>
      <c r="V426" t="s">
        <v>52</v>
      </c>
      <c r="W426" s="1" t="s">
        <v>231</v>
      </c>
      <c r="Y426" t="s">
        <v>54</v>
      </c>
      <c r="Z426" t="s">
        <v>40</v>
      </c>
      <c r="AA426">
        <v>1</v>
      </c>
      <c r="AB426">
        <v>1</v>
      </c>
      <c r="AC426" t="s">
        <v>31</v>
      </c>
      <c r="AD426" t="s">
        <v>67</v>
      </c>
      <c r="AE426" t="s">
        <v>60</v>
      </c>
      <c r="AF426" s="3">
        <v>568</v>
      </c>
      <c r="AG426" s="3">
        <v>56</v>
      </c>
      <c r="AH426">
        <v>80</v>
      </c>
      <c r="AI426">
        <v>0</v>
      </c>
      <c r="AJ426">
        <v>0</v>
      </c>
      <c r="AL426">
        <v>0</v>
      </c>
      <c r="AM426">
        <v>1</v>
      </c>
      <c r="AN426" t="s">
        <v>768</v>
      </c>
      <c r="AO426" t="s">
        <v>41</v>
      </c>
    </row>
    <row r="427" spans="1:41" x14ac:dyDescent="0.25">
      <c r="A427">
        <v>25</v>
      </c>
      <c r="B427" t="s">
        <v>32</v>
      </c>
      <c r="C427" t="s">
        <v>33</v>
      </c>
      <c r="D427">
        <v>19</v>
      </c>
      <c r="E427" t="s">
        <v>34</v>
      </c>
      <c r="F427">
        <v>3</v>
      </c>
      <c r="G427">
        <v>1</v>
      </c>
      <c r="H427" t="s">
        <v>35</v>
      </c>
      <c r="I427">
        <v>4</v>
      </c>
      <c r="J427" t="s">
        <v>51</v>
      </c>
      <c r="K427">
        <v>3669</v>
      </c>
      <c r="L427">
        <v>3</v>
      </c>
      <c r="M427" t="s">
        <v>41</v>
      </c>
      <c r="N427">
        <v>11</v>
      </c>
      <c r="O427">
        <v>3</v>
      </c>
      <c r="P427">
        <v>3</v>
      </c>
      <c r="Q427">
        <v>7</v>
      </c>
      <c r="R427">
        <v>6</v>
      </c>
      <c r="S427">
        <v>3</v>
      </c>
      <c r="T427">
        <v>1</v>
      </c>
      <c r="U427">
        <v>2</v>
      </c>
      <c r="V427" t="s">
        <v>52</v>
      </c>
      <c r="W427" s="2">
        <v>43164</v>
      </c>
      <c r="Y427" t="s">
        <v>39</v>
      </c>
      <c r="Z427" t="s">
        <v>40</v>
      </c>
      <c r="AA427">
        <v>3</v>
      </c>
      <c r="AB427">
        <v>0</v>
      </c>
      <c r="AC427" t="s">
        <v>41</v>
      </c>
      <c r="AD427" t="s">
        <v>67</v>
      </c>
      <c r="AE427" t="s">
        <v>60</v>
      </c>
      <c r="AF427" s="3">
        <v>569</v>
      </c>
      <c r="AG427" s="3">
        <v>88</v>
      </c>
      <c r="AH427">
        <v>80</v>
      </c>
      <c r="AI427">
        <v>10</v>
      </c>
      <c r="AJ427">
        <v>0</v>
      </c>
      <c r="AL427">
        <v>0</v>
      </c>
      <c r="AM427">
        <v>1</v>
      </c>
      <c r="AN427" t="s">
        <v>768</v>
      </c>
      <c r="AO427" t="s">
        <v>41</v>
      </c>
    </row>
    <row r="428" spans="1:41" x14ac:dyDescent="0.25">
      <c r="A428">
        <v>32</v>
      </c>
      <c r="B428" t="s">
        <v>32</v>
      </c>
      <c r="C428" t="s">
        <v>55</v>
      </c>
      <c r="D428">
        <v>2</v>
      </c>
      <c r="E428" t="s">
        <v>34</v>
      </c>
      <c r="F428">
        <v>3</v>
      </c>
      <c r="G428">
        <v>2</v>
      </c>
      <c r="H428" t="s">
        <v>70</v>
      </c>
      <c r="I428">
        <v>2</v>
      </c>
      <c r="J428" t="s">
        <v>51</v>
      </c>
      <c r="K428">
        <v>4078</v>
      </c>
      <c r="L428">
        <v>0</v>
      </c>
      <c r="M428" t="s">
        <v>31</v>
      </c>
      <c r="N428">
        <v>13</v>
      </c>
      <c r="O428">
        <v>3</v>
      </c>
      <c r="P428">
        <v>3</v>
      </c>
      <c r="Q428">
        <v>4</v>
      </c>
      <c r="R428">
        <v>3</v>
      </c>
      <c r="S428">
        <v>3</v>
      </c>
      <c r="T428">
        <v>1</v>
      </c>
      <c r="U428">
        <v>2</v>
      </c>
      <c r="V428" t="s">
        <v>58</v>
      </c>
      <c r="W428" s="2">
        <v>43318</v>
      </c>
      <c r="Y428" t="s">
        <v>69</v>
      </c>
      <c r="Z428" t="s">
        <v>47</v>
      </c>
      <c r="AA428">
        <v>2</v>
      </c>
      <c r="AB428">
        <v>3</v>
      </c>
      <c r="AC428" t="s">
        <v>41</v>
      </c>
      <c r="AD428" t="s">
        <v>42</v>
      </c>
      <c r="AE428" t="s">
        <v>43</v>
      </c>
      <c r="AF428" s="3">
        <v>571</v>
      </c>
      <c r="AG428" s="3">
        <v>49</v>
      </c>
      <c r="AH428">
        <v>80</v>
      </c>
      <c r="AI428">
        <v>7</v>
      </c>
      <c r="AJ428">
        <v>0</v>
      </c>
      <c r="AL428">
        <v>0</v>
      </c>
      <c r="AM428">
        <v>1</v>
      </c>
      <c r="AN428" t="s">
        <v>768</v>
      </c>
      <c r="AO428" t="s">
        <v>41</v>
      </c>
    </row>
    <row r="429" spans="1:41" x14ac:dyDescent="0.25">
      <c r="A429">
        <v>25</v>
      </c>
      <c r="B429" t="s">
        <v>32</v>
      </c>
      <c r="C429" t="s">
        <v>55</v>
      </c>
      <c r="D429">
        <v>18</v>
      </c>
      <c r="E429" t="s">
        <v>34</v>
      </c>
      <c r="F429">
        <v>4</v>
      </c>
      <c r="G429">
        <v>2</v>
      </c>
      <c r="H429" t="s">
        <v>70</v>
      </c>
      <c r="I429">
        <v>3</v>
      </c>
      <c r="J429" t="s">
        <v>51</v>
      </c>
      <c r="K429">
        <v>6232</v>
      </c>
      <c r="L429">
        <v>2</v>
      </c>
      <c r="M429" t="s">
        <v>41</v>
      </c>
      <c r="N429">
        <v>11</v>
      </c>
      <c r="O429">
        <v>3</v>
      </c>
      <c r="P429">
        <v>0</v>
      </c>
      <c r="Q429">
        <v>6</v>
      </c>
      <c r="R429">
        <v>3</v>
      </c>
      <c r="S429">
        <v>3</v>
      </c>
      <c r="T429">
        <v>1</v>
      </c>
      <c r="U429">
        <v>2</v>
      </c>
      <c r="V429" t="s">
        <v>58</v>
      </c>
      <c r="W429" s="2">
        <v>43132</v>
      </c>
      <c r="Y429" t="s">
        <v>39</v>
      </c>
      <c r="Z429" t="s">
        <v>47</v>
      </c>
      <c r="AA429">
        <v>0</v>
      </c>
      <c r="AB429">
        <v>0</v>
      </c>
      <c r="AC429" t="s">
        <v>31</v>
      </c>
      <c r="AD429" t="s">
        <v>65</v>
      </c>
      <c r="AE429" t="s">
        <v>60</v>
      </c>
      <c r="AF429" s="3">
        <v>573</v>
      </c>
      <c r="AG429" s="3">
        <v>80</v>
      </c>
      <c r="AH429">
        <v>80</v>
      </c>
      <c r="AI429">
        <v>13</v>
      </c>
      <c r="AJ429">
        <v>0</v>
      </c>
      <c r="AL429">
        <v>0</v>
      </c>
      <c r="AM429">
        <v>1</v>
      </c>
      <c r="AN429" t="s">
        <v>768</v>
      </c>
      <c r="AO429" t="s">
        <v>41</v>
      </c>
    </row>
    <row r="430" spans="1:41" x14ac:dyDescent="0.25">
      <c r="A430">
        <v>37</v>
      </c>
      <c r="B430" t="s">
        <v>32</v>
      </c>
      <c r="C430" t="s">
        <v>33</v>
      </c>
      <c r="D430">
        <v>11</v>
      </c>
      <c r="E430" t="s">
        <v>61</v>
      </c>
      <c r="F430">
        <v>3</v>
      </c>
      <c r="G430">
        <v>1</v>
      </c>
      <c r="H430" t="s">
        <v>35</v>
      </c>
      <c r="I430">
        <v>3</v>
      </c>
      <c r="J430" t="s">
        <v>36</v>
      </c>
      <c r="K430">
        <v>3629</v>
      </c>
      <c r="L430">
        <v>4</v>
      </c>
      <c r="M430" t="s">
        <v>41</v>
      </c>
      <c r="N430">
        <v>18</v>
      </c>
      <c r="O430">
        <v>3</v>
      </c>
      <c r="P430">
        <v>0</v>
      </c>
      <c r="Q430">
        <v>8</v>
      </c>
      <c r="R430">
        <v>6</v>
      </c>
      <c r="S430">
        <v>3</v>
      </c>
      <c r="T430">
        <v>0</v>
      </c>
      <c r="U430">
        <v>2</v>
      </c>
      <c r="V430" t="s">
        <v>72</v>
      </c>
      <c r="W430" s="1" t="s">
        <v>254</v>
      </c>
      <c r="Y430" t="s">
        <v>39</v>
      </c>
      <c r="Z430" t="s">
        <v>40</v>
      </c>
      <c r="AA430">
        <v>5</v>
      </c>
      <c r="AB430">
        <v>2</v>
      </c>
      <c r="AC430" t="s">
        <v>31</v>
      </c>
      <c r="AD430" t="s">
        <v>67</v>
      </c>
      <c r="AE430" t="s">
        <v>60</v>
      </c>
      <c r="AF430" s="3">
        <v>574</v>
      </c>
      <c r="AG430" s="3">
        <v>65</v>
      </c>
      <c r="AH430">
        <v>80</v>
      </c>
      <c r="AI430">
        <v>0</v>
      </c>
      <c r="AJ430">
        <v>0</v>
      </c>
      <c r="AL430">
        <v>0</v>
      </c>
      <c r="AM430">
        <v>1</v>
      </c>
      <c r="AN430" t="s">
        <v>768</v>
      </c>
      <c r="AO430" t="s">
        <v>41</v>
      </c>
    </row>
    <row r="431" spans="1:41" x14ac:dyDescent="0.25">
      <c r="A431">
        <v>25</v>
      </c>
      <c r="B431" t="s">
        <v>32</v>
      </c>
      <c r="C431" t="s">
        <v>33</v>
      </c>
      <c r="D431">
        <v>1</v>
      </c>
      <c r="E431" t="s">
        <v>34</v>
      </c>
      <c r="F431">
        <v>3</v>
      </c>
      <c r="G431">
        <v>1</v>
      </c>
      <c r="H431" t="s">
        <v>35</v>
      </c>
      <c r="I431">
        <v>4</v>
      </c>
      <c r="J431" t="s">
        <v>51</v>
      </c>
      <c r="K431">
        <v>3229</v>
      </c>
      <c r="L431">
        <v>4</v>
      </c>
      <c r="M431" t="s">
        <v>41</v>
      </c>
      <c r="N431">
        <v>11</v>
      </c>
      <c r="O431">
        <v>3</v>
      </c>
      <c r="P431">
        <v>1</v>
      </c>
      <c r="Q431">
        <v>7</v>
      </c>
      <c r="R431">
        <v>2</v>
      </c>
      <c r="S431">
        <v>3</v>
      </c>
      <c r="T431">
        <v>0</v>
      </c>
      <c r="U431">
        <v>2</v>
      </c>
      <c r="V431" t="s">
        <v>52</v>
      </c>
      <c r="W431" s="1" t="s">
        <v>255</v>
      </c>
      <c r="Y431" t="s">
        <v>69</v>
      </c>
      <c r="Z431" t="s">
        <v>47</v>
      </c>
      <c r="AA431">
        <v>1</v>
      </c>
      <c r="AB431">
        <v>3</v>
      </c>
      <c r="AC431" t="s">
        <v>41</v>
      </c>
      <c r="AD431" t="s">
        <v>65</v>
      </c>
      <c r="AE431" t="s">
        <v>60</v>
      </c>
      <c r="AF431" s="3">
        <v>575</v>
      </c>
      <c r="AG431" s="3">
        <v>51</v>
      </c>
      <c r="AH431">
        <v>80</v>
      </c>
      <c r="AI431">
        <v>2</v>
      </c>
      <c r="AJ431">
        <v>0</v>
      </c>
      <c r="AL431">
        <v>0</v>
      </c>
      <c r="AM431">
        <v>1</v>
      </c>
      <c r="AN431" t="s">
        <v>768</v>
      </c>
      <c r="AO431" t="s">
        <v>41</v>
      </c>
    </row>
    <row r="432" spans="1:41" x14ac:dyDescent="0.25">
      <c r="A432">
        <v>30</v>
      </c>
      <c r="B432" t="s">
        <v>32</v>
      </c>
      <c r="C432" t="s">
        <v>55</v>
      </c>
      <c r="D432">
        <v>7</v>
      </c>
      <c r="E432" t="s">
        <v>61</v>
      </c>
      <c r="F432">
        <v>3</v>
      </c>
      <c r="G432">
        <v>2</v>
      </c>
      <c r="H432" t="s">
        <v>70</v>
      </c>
      <c r="I432">
        <v>1</v>
      </c>
      <c r="J432" t="s">
        <v>57</v>
      </c>
      <c r="K432">
        <v>4779</v>
      </c>
      <c r="L432">
        <v>7</v>
      </c>
      <c r="M432" t="s">
        <v>41</v>
      </c>
      <c r="N432">
        <v>14</v>
      </c>
      <c r="O432">
        <v>3</v>
      </c>
      <c r="P432">
        <v>2</v>
      </c>
      <c r="Q432">
        <v>8</v>
      </c>
      <c r="R432">
        <v>3</v>
      </c>
      <c r="S432">
        <v>3</v>
      </c>
      <c r="T432">
        <v>0</v>
      </c>
      <c r="U432">
        <v>2</v>
      </c>
      <c r="V432" t="s">
        <v>72</v>
      </c>
      <c r="W432" s="1" t="s">
        <v>256</v>
      </c>
      <c r="Y432" t="s">
        <v>39</v>
      </c>
      <c r="Z432" t="s">
        <v>40</v>
      </c>
      <c r="AA432">
        <v>4</v>
      </c>
      <c r="AB432">
        <v>2</v>
      </c>
      <c r="AC432" t="s">
        <v>41</v>
      </c>
      <c r="AD432" t="s">
        <v>48</v>
      </c>
      <c r="AE432" t="s">
        <v>49</v>
      </c>
      <c r="AF432" s="3">
        <v>577</v>
      </c>
      <c r="AG432" s="3">
        <v>46</v>
      </c>
      <c r="AH432">
        <v>80</v>
      </c>
      <c r="AI432">
        <v>4</v>
      </c>
      <c r="AJ432">
        <v>0</v>
      </c>
      <c r="AL432">
        <v>0</v>
      </c>
      <c r="AM432">
        <v>1</v>
      </c>
      <c r="AN432" t="s">
        <v>768</v>
      </c>
      <c r="AO432" t="s">
        <v>41</v>
      </c>
    </row>
    <row r="433" spans="1:41" x14ac:dyDescent="0.25">
      <c r="A433">
        <v>31</v>
      </c>
      <c r="B433" t="s">
        <v>32</v>
      </c>
      <c r="C433" t="s">
        <v>33</v>
      </c>
      <c r="D433">
        <v>8</v>
      </c>
      <c r="E433" t="s">
        <v>61</v>
      </c>
      <c r="F433">
        <v>3</v>
      </c>
      <c r="G433">
        <v>4</v>
      </c>
      <c r="H433" t="s">
        <v>50</v>
      </c>
      <c r="I433">
        <v>2</v>
      </c>
      <c r="J433" t="s">
        <v>36</v>
      </c>
      <c r="K433">
        <v>16422</v>
      </c>
      <c r="L433">
        <v>3</v>
      </c>
      <c r="M433" t="s">
        <v>41</v>
      </c>
      <c r="N433">
        <v>11</v>
      </c>
      <c r="O433">
        <v>3</v>
      </c>
      <c r="P433">
        <v>0</v>
      </c>
      <c r="Q433">
        <v>9</v>
      </c>
      <c r="R433">
        <v>3</v>
      </c>
      <c r="S433">
        <v>3</v>
      </c>
      <c r="T433">
        <v>1</v>
      </c>
      <c r="U433">
        <v>0</v>
      </c>
      <c r="V433" t="s">
        <v>72</v>
      </c>
      <c r="W433" s="1" t="s">
        <v>257</v>
      </c>
      <c r="Y433" t="s">
        <v>46</v>
      </c>
      <c r="Z433" t="s">
        <v>40</v>
      </c>
      <c r="AA433">
        <v>5</v>
      </c>
      <c r="AB433">
        <v>3</v>
      </c>
      <c r="AC433" t="s">
        <v>31</v>
      </c>
      <c r="AD433" t="s">
        <v>48</v>
      </c>
      <c r="AE433" t="s">
        <v>49</v>
      </c>
      <c r="AF433" s="3">
        <v>578</v>
      </c>
      <c r="AG433" s="3">
        <v>42</v>
      </c>
      <c r="AH433">
        <v>80</v>
      </c>
      <c r="AI433">
        <v>0</v>
      </c>
      <c r="AJ433">
        <v>0</v>
      </c>
      <c r="AL433">
        <v>0</v>
      </c>
      <c r="AM433">
        <v>1</v>
      </c>
      <c r="AN433" t="s">
        <v>768</v>
      </c>
      <c r="AO433" t="s">
        <v>41</v>
      </c>
    </row>
    <row r="434" spans="1:41" x14ac:dyDescent="0.25">
      <c r="A434">
        <v>36</v>
      </c>
      <c r="B434" t="s">
        <v>32</v>
      </c>
      <c r="C434" t="s">
        <v>55</v>
      </c>
      <c r="D434">
        <v>16</v>
      </c>
      <c r="E434" t="s">
        <v>61</v>
      </c>
      <c r="F434">
        <v>2</v>
      </c>
      <c r="G434">
        <v>2</v>
      </c>
      <c r="H434" t="s">
        <v>70</v>
      </c>
      <c r="I434">
        <v>1</v>
      </c>
      <c r="J434" t="s">
        <v>51</v>
      </c>
      <c r="K434">
        <v>5647</v>
      </c>
      <c r="L434">
        <v>4</v>
      </c>
      <c r="M434" t="s">
        <v>41</v>
      </c>
      <c r="N434">
        <v>13</v>
      </c>
      <c r="O434">
        <v>3</v>
      </c>
      <c r="P434">
        <v>2</v>
      </c>
      <c r="Q434">
        <v>11</v>
      </c>
      <c r="R434">
        <v>3</v>
      </c>
      <c r="S434">
        <v>3</v>
      </c>
      <c r="T434">
        <v>0</v>
      </c>
      <c r="U434">
        <v>2</v>
      </c>
      <c r="V434" t="s">
        <v>58</v>
      </c>
      <c r="W434" s="1" t="s">
        <v>233</v>
      </c>
      <c r="Y434" t="s">
        <v>46</v>
      </c>
      <c r="Z434" t="s">
        <v>47</v>
      </c>
      <c r="AA434">
        <v>2</v>
      </c>
      <c r="AB434">
        <v>2</v>
      </c>
      <c r="AC434" t="s">
        <v>31</v>
      </c>
      <c r="AD434" t="s">
        <v>48</v>
      </c>
      <c r="AE434" t="s">
        <v>60</v>
      </c>
      <c r="AF434" s="3">
        <v>579</v>
      </c>
      <c r="AG434" s="3">
        <v>62</v>
      </c>
      <c r="AH434">
        <v>80</v>
      </c>
      <c r="AI434">
        <v>3</v>
      </c>
      <c r="AJ434">
        <v>0</v>
      </c>
      <c r="AL434">
        <v>0</v>
      </c>
      <c r="AM434">
        <v>1</v>
      </c>
      <c r="AN434" t="s">
        <v>768</v>
      </c>
      <c r="AO434" t="s">
        <v>41</v>
      </c>
    </row>
    <row r="435" spans="1:41" x14ac:dyDescent="0.25">
      <c r="A435">
        <v>25</v>
      </c>
      <c r="B435" t="s">
        <v>32</v>
      </c>
      <c r="C435" t="s">
        <v>55</v>
      </c>
      <c r="D435">
        <v>9</v>
      </c>
      <c r="E435" t="s">
        <v>34</v>
      </c>
      <c r="F435">
        <v>2</v>
      </c>
      <c r="G435">
        <v>1</v>
      </c>
      <c r="H435" t="s">
        <v>56</v>
      </c>
      <c r="I435">
        <v>1</v>
      </c>
      <c r="J435" t="s">
        <v>51</v>
      </c>
      <c r="K435">
        <v>4400</v>
      </c>
      <c r="L435">
        <v>3</v>
      </c>
      <c r="M435" t="s">
        <v>41</v>
      </c>
      <c r="N435">
        <v>12</v>
      </c>
      <c r="O435">
        <v>3</v>
      </c>
      <c r="P435">
        <v>0</v>
      </c>
      <c r="Q435">
        <v>6</v>
      </c>
      <c r="R435">
        <v>2</v>
      </c>
      <c r="S435">
        <v>3</v>
      </c>
      <c r="T435">
        <v>2</v>
      </c>
      <c r="U435">
        <v>2</v>
      </c>
      <c r="V435" t="s">
        <v>72</v>
      </c>
      <c r="W435" s="2">
        <v>43287</v>
      </c>
      <c r="Y435" t="s">
        <v>63</v>
      </c>
      <c r="Z435" t="s">
        <v>47</v>
      </c>
      <c r="AA435">
        <v>0</v>
      </c>
      <c r="AB435">
        <v>2</v>
      </c>
      <c r="AC435" t="s">
        <v>31</v>
      </c>
      <c r="AD435" t="s">
        <v>65</v>
      </c>
      <c r="AE435" t="s">
        <v>49</v>
      </c>
      <c r="AF435" s="3">
        <v>580</v>
      </c>
      <c r="AG435" s="3">
        <v>94</v>
      </c>
      <c r="AH435">
        <v>80</v>
      </c>
      <c r="AI435">
        <v>2</v>
      </c>
      <c r="AJ435">
        <v>0</v>
      </c>
      <c r="AL435">
        <v>0</v>
      </c>
      <c r="AM435">
        <v>1</v>
      </c>
      <c r="AN435" t="s">
        <v>768</v>
      </c>
      <c r="AO435" t="s">
        <v>41</v>
      </c>
    </row>
    <row r="436" spans="1:41" x14ac:dyDescent="0.25">
      <c r="A436">
        <v>56</v>
      </c>
      <c r="B436" t="s">
        <v>32</v>
      </c>
      <c r="C436" t="s">
        <v>33</v>
      </c>
      <c r="D436">
        <v>1</v>
      </c>
      <c r="E436" t="s">
        <v>61</v>
      </c>
      <c r="F436">
        <v>3</v>
      </c>
      <c r="G436">
        <v>1</v>
      </c>
      <c r="H436" t="s">
        <v>44</v>
      </c>
      <c r="I436">
        <v>1</v>
      </c>
      <c r="J436" t="s">
        <v>51</v>
      </c>
      <c r="K436">
        <v>2066</v>
      </c>
      <c r="L436">
        <v>2</v>
      </c>
      <c r="M436" t="s">
        <v>41</v>
      </c>
      <c r="N436">
        <v>22</v>
      </c>
      <c r="O436">
        <v>4</v>
      </c>
      <c r="P436">
        <v>1</v>
      </c>
      <c r="Q436">
        <v>5</v>
      </c>
      <c r="R436">
        <v>3</v>
      </c>
      <c r="S436">
        <v>3</v>
      </c>
      <c r="T436">
        <v>1</v>
      </c>
      <c r="U436">
        <v>0</v>
      </c>
      <c r="V436" t="s">
        <v>52</v>
      </c>
      <c r="W436" s="1" t="s">
        <v>240</v>
      </c>
      <c r="Y436" t="s">
        <v>69</v>
      </c>
      <c r="Z436" t="s">
        <v>47</v>
      </c>
      <c r="AA436">
        <v>2</v>
      </c>
      <c r="AB436">
        <v>3</v>
      </c>
      <c r="AC436" t="s">
        <v>41</v>
      </c>
      <c r="AD436" t="s">
        <v>67</v>
      </c>
      <c r="AE436" t="s">
        <v>49</v>
      </c>
      <c r="AF436" s="3">
        <v>581</v>
      </c>
      <c r="AG436" s="3">
        <v>33</v>
      </c>
      <c r="AH436">
        <v>80</v>
      </c>
      <c r="AI436">
        <v>8</v>
      </c>
      <c r="AJ436">
        <v>0</v>
      </c>
      <c r="AL436">
        <v>0</v>
      </c>
      <c r="AM436">
        <v>1</v>
      </c>
      <c r="AN436" t="s">
        <v>768</v>
      </c>
      <c r="AO436" t="s">
        <v>41</v>
      </c>
    </row>
    <row r="437" spans="1:41" x14ac:dyDescent="0.25">
      <c r="A437">
        <v>31</v>
      </c>
      <c r="B437" t="s">
        <v>32</v>
      </c>
      <c r="C437" t="s">
        <v>120</v>
      </c>
      <c r="D437">
        <v>8</v>
      </c>
      <c r="E437" t="s">
        <v>61</v>
      </c>
      <c r="F437">
        <v>4</v>
      </c>
      <c r="G437">
        <v>1</v>
      </c>
      <c r="H437" t="s">
        <v>120</v>
      </c>
      <c r="I437">
        <v>2</v>
      </c>
      <c r="J437" t="s">
        <v>36</v>
      </c>
      <c r="K437">
        <v>2109</v>
      </c>
      <c r="L437">
        <v>9</v>
      </c>
      <c r="M437" t="s">
        <v>41</v>
      </c>
      <c r="N437">
        <v>18</v>
      </c>
      <c r="O437">
        <v>3</v>
      </c>
      <c r="P437">
        <v>0</v>
      </c>
      <c r="Q437">
        <v>8</v>
      </c>
      <c r="R437">
        <v>3</v>
      </c>
      <c r="S437">
        <v>3</v>
      </c>
      <c r="T437">
        <v>0</v>
      </c>
      <c r="U437">
        <v>2</v>
      </c>
      <c r="V437" t="s">
        <v>37</v>
      </c>
      <c r="W437" s="2">
        <v>43440</v>
      </c>
      <c r="Y437" t="s">
        <v>46</v>
      </c>
      <c r="Z437" t="s">
        <v>47</v>
      </c>
      <c r="AA437">
        <v>5</v>
      </c>
      <c r="AB437">
        <v>3</v>
      </c>
      <c r="AC437" t="s">
        <v>31</v>
      </c>
      <c r="AD437" t="s">
        <v>65</v>
      </c>
      <c r="AE437" t="s">
        <v>49</v>
      </c>
      <c r="AF437" s="3">
        <v>582</v>
      </c>
      <c r="AG437" s="3">
        <v>56</v>
      </c>
      <c r="AH437">
        <v>80</v>
      </c>
      <c r="AI437">
        <v>6</v>
      </c>
      <c r="AJ437">
        <v>1</v>
      </c>
      <c r="AK437">
        <v>1</v>
      </c>
      <c r="AL437">
        <v>1</v>
      </c>
      <c r="AM437">
        <v>0</v>
      </c>
      <c r="AN437" t="s">
        <v>767</v>
      </c>
      <c r="AO437" t="s">
        <v>31</v>
      </c>
    </row>
    <row r="438" spans="1:41" x14ac:dyDescent="0.25">
      <c r="A438">
        <v>45</v>
      </c>
      <c r="B438" t="s">
        <v>32</v>
      </c>
      <c r="C438" t="s">
        <v>33</v>
      </c>
      <c r="D438">
        <v>29</v>
      </c>
      <c r="E438" t="s">
        <v>34</v>
      </c>
      <c r="F438">
        <v>3</v>
      </c>
      <c r="G438">
        <v>3</v>
      </c>
      <c r="H438" t="s">
        <v>78</v>
      </c>
      <c r="I438">
        <v>4</v>
      </c>
      <c r="J438" t="s">
        <v>51</v>
      </c>
      <c r="K438">
        <v>9380</v>
      </c>
      <c r="L438">
        <v>4</v>
      </c>
      <c r="M438" t="s">
        <v>31</v>
      </c>
      <c r="N438">
        <v>18</v>
      </c>
      <c r="O438">
        <v>3</v>
      </c>
      <c r="P438">
        <v>2</v>
      </c>
      <c r="Q438">
        <v>10</v>
      </c>
      <c r="R438">
        <v>4</v>
      </c>
      <c r="S438">
        <v>3</v>
      </c>
      <c r="T438">
        <v>1</v>
      </c>
      <c r="U438">
        <v>2</v>
      </c>
      <c r="V438" t="s">
        <v>72</v>
      </c>
      <c r="W438" s="1" t="s">
        <v>258</v>
      </c>
      <c r="Y438" t="s">
        <v>69</v>
      </c>
      <c r="Z438" t="s">
        <v>47</v>
      </c>
      <c r="AA438">
        <v>5</v>
      </c>
      <c r="AB438">
        <v>1</v>
      </c>
      <c r="AC438" t="s">
        <v>41</v>
      </c>
      <c r="AD438" t="s">
        <v>42</v>
      </c>
      <c r="AE438" t="s">
        <v>60</v>
      </c>
      <c r="AF438" s="3">
        <v>584</v>
      </c>
      <c r="AG438" s="3">
        <v>38</v>
      </c>
      <c r="AH438">
        <v>80</v>
      </c>
      <c r="AI438">
        <v>3</v>
      </c>
      <c r="AJ438">
        <v>1</v>
      </c>
      <c r="AK438">
        <v>1</v>
      </c>
      <c r="AL438">
        <v>1</v>
      </c>
      <c r="AM438">
        <v>0</v>
      </c>
      <c r="AN438" t="s">
        <v>767</v>
      </c>
      <c r="AO438" t="s">
        <v>31</v>
      </c>
    </row>
    <row r="439" spans="1:41" x14ac:dyDescent="0.25">
      <c r="A439">
        <v>49</v>
      </c>
      <c r="B439" t="s">
        <v>32</v>
      </c>
      <c r="C439" t="s">
        <v>33</v>
      </c>
      <c r="D439">
        <v>5</v>
      </c>
      <c r="E439" t="s">
        <v>34</v>
      </c>
      <c r="F439">
        <v>3</v>
      </c>
      <c r="G439">
        <v>2</v>
      </c>
      <c r="H439" t="s">
        <v>89</v>
      </c>
      <c r="I439">
        <v>3</v>
      </c>
      <c r="J439" t="s">
        <v>51</v>
      </c>
      <c r="K439">
        <v>6651</v>
      </c>
      <c r="L439">
        <v>2</v>
      </c>
      <c r="M439" t="s">
        <v>41</v>
      </c>
      <c r="N439">
        <v>14</v>
      </c>
      <c r="O439">
        <v>3</v>
      </c>
      <c r="P439">
        <v>1</v>
      </c>
      <c r="Q439">
        <v>20</v>
      </c>
      <c r="R439">
        <v>0</v>
      </c>
      <c r="S439">
        <v>3</v>
      </c>
      <c r="T439">
        <v>1</v>
      </c>
      <c r="U439">
        <v>2</v>
      </c>
      <c r="V439" t="s">
        <v>72</v>
      </c>
      <c r="W439" s="1" t="s">
        <v>243</v>
      </c>
      <c r="Y439" t="s">
        <v>39</v>
      </c>
      <c r="Z439" t="s">
        <v>47</v>
      </c>
      <c r="AA439">
        <v>4</v>
      </c>
      <c r="AB439">
        <v>0</v>
      </c>
      <c r="AC439" t="s">
        <v>31</v>
      </c>
      <c r="AD439" t="s">
        <v>42</v>
      </c>
      <c r="AE439" t="s">
        <v>60</v>
      </c>
      <c r="AF439" s="3">
        <v>585</v>
      </c>
      <c r="AG439" s="3">
        <v>57</v>
      </c>
      <c r="AH439">
        <v>80</v>
      </c>
      <c r="AI439">
        <v>2</v>
      </c>
      <c r="AJ439">
        <v>0</v>
      </c>
      <c r="AL439">
        <v>0</v>
      </c>
      <c r="AM439">
        <v>1</v>
      </c>
      <c r="AN439" t="s">
        <v>768</v>
      </c>
      <c r="AO439" t="s">
        <v>41</v>
      </c>
    </row>
    <row r="440" spans="1:41" x14ac:dyDescent="0.25">
      <c r="A440">
        <v>40</v>
      </c>
      <c r="B440" t="s">
        <v>32</v>
      </c>
      <c r="C440" t="s">
        <v>33</v>
      </c>
      <c r="D440">
        <v>2</v>
      </c>
      <c r="E440" t="s">
        <v>34</v>
      </c>
      <c r="F440">
        <v>3</v>
      </c>
      <c r="G440">
        <v>1</v>
      </c>
      <c r="H440" t="s">
        <v>44</v>
      </c>
      <c r="I440">
        <v>3</v>
      </c>
      <c r="J440" t="s">
        <v>57</v>
      </c>
      <c r="K440">
        <v>2345</v>
      </c>
      <c r="L440">
        <v>2</v>
      </c>
      <c r="M440" t="s">
        <v>41</v>
      </c>
      <c r="N440">
        <v>14</v>
      </c>
      <c r="O440">
        <v>3</v>
      </c>
      <c r="P440">
        <v>1</v>
      </c>
      <c r="Q440">
        <v>8</v>
      </c>
      <c r="R440">
        <v>3</v>
      </c>
      <c r="S440">
        <v>3</v>
      </c>
      <c r="T440">
        <v>1</v>
      </c>
      <c r="U440">
        <v>2</v>
      </c>
      <c r="V440" t="s">
        <v>58</v>
      </c>
      <c r="W440" s="2">
        <v>43285</v>
      </c>
      <c r="Y440" t="s">
        <v>69</v>
      </c>
      <c r="Z440" t="s">
        <v>47</v>
      </c>
      <c r="AA440">
        <v>4</v>
      </c>
      <c r="AB440">
        <v>1</v>
      </c>
      <c r="AC440" t="s">
        <v>41</v>
      </c>
      <c r="AD440" t="s">
        <v>48</v>
      </c>
      <c r="AE440" t="s">
        <v>60</v>
      </c>
      <c r="AF440" s="3">
        <v>586</v>
      </c>
      <c r="AG440" s="3">
        <v>72</v>
      </c>
      <c r="AH440">
        <v>80</v>
      </c>
      <c r="AI440">
        <v>7</v>
      </c>
      <c r="AJ440">
        <v>0</v>
      </c>
      <c r="AL440">
        <v>0</v>
      </c>
      <c r="AM440">
        <v>1</v>
      </c>
      <c r="AN440" t="s">
        <v>768</v>
      </c>
      <c r="AO440" t="s">
        <v>41</v>
      </c>
    </row>
    <row r="441" spans="1:41" x14ac:dyDescent="0.25">
      <c r="A441">
        <v>28</v>
      </c>
      <c r="B441" t="s">
        <v>66</v>
      </c>
      <c r="C441" t="s">
        <v>55</v>
      </c>
      <c r="D441">
        <v>1</v>
      </c>
      <c r="E441" t="s">
        <v>34</v>
      </c>
      <c r="F441">
        <v>3</v>
      </c>
      <c r="G441">
        <v>1</v>
      </c>
      <c r="H441" t="s">
        <v>56</v>
      </c>
      <c r="I441">
        <v>3</v>
      </c>
      <c r="J441" t="s">
        <v>51</v>
      </c>
      <c r="K441">
        <v>2909</v>
      </c>
      <c r="L441">
        <v>3</v>
      </c>
      <c r="M441" t="s">
        <v>41</v>
      </c>
      <c r="N441">
        <v>15</v>
      </c>
      <c r="O441">
        <v>3</v>
      </c>
      <c r="P441">
        <v>1</v>
      </c>
      <c r="Q441">
        <v>5</v>
      </c>
      <c r="R441">
        <v>3</v>
      </c>
      <c r="S441">
        <v>3</v>
      </c>
      <c r="T441">
        <v>1</v>
      </c>
      <c r="U441">
        <v>2</v>
      </c>
      <c r="V441" t="s">
        <v>58</v>
      </c>
      <c r="W441" s="2">
        <v>43193</v>
      </c>
      <c r="Y441" t="s">
        <v>63</v>
      </c>
      <c r="Z441" t="s">
        <v>40</v>
      </c>
      <c r="AA441">
        <v>1</v>
      </c>
      <c r="AB441">
        <v>0</v>
      </c>
      <c r="AC441" t="s">
        <v>41</v>
      </c>
      <c r="AD441" t="s">
        <v>48</v>
      </c>
      <c r="AE441" t="s">
        <v>49</v>
      </c>
      <c r="AF441" s="3">
        <v>587</v>
      </c>
      <c r="AG441" s="3">
        <v>66</v>
      </c>
      <c r="AH441">
        <v>80</v>
      </c>
      <c r="AI441">
        <v>0</v>
      </c>
      <c r="AJ441">
        <v>1</v>
      </c>
      <c r="AK441">
        <v>1</v>
      </c>
      <c r="AL441">
        <v>1</v>
      </c>
      <c r="AM441">
        <v>0</v>
      </c>
      <c r="AN441" t="s">
        <v>767</v>
      </c>
      <c r="AO441" t="s">
        <v>31</v>
      </c>
    </row>
    <row r="442" spans="1:41" x14ac:dyDescent="0.25">
      <c r="A442">
        <v>55</v>
      </c>
      <c r="B442" t="s">
        <v>32</v>
      </c>
      <c r="C442" t="s">
        <v>33</v>
      </c>
      <c r="D442">
        <v>4</v>
      </c>
      <c r="E442" t="s">
        <v>34</v>
      </c>
      <c r="F442">
        <v>3</v>
      </c>
      <c r="G442">
        <v>2</v>
      </c>
      <c r="H442" t="s">
        <v>89</v>
      </c>
      <c r="I442">
        <v>3</v>
      </c>
      <c r="J442" t="s">
        <v>51</v>
      </c>
      <c r="K442">
        <v>4035</v>
      </c>
      <c r="L442">
        <v>0</v>
      </c>
      <c r="M442" t="s">
        <v>31</v>
      </c>
      <c r="N442">
        <v>16</v>
      </c>
      <c r="O442">
        <v>3</v>
      </c>
      <c r="P442">
        <v>0</v>
      </c>
      <c r="Q442">
        <v>4</v>
      </c>
      <c r="R442">
        <v>2</v>
      </c>
      <c r="S442">
        <v>3</v>
      </c>
      <c r="T442">
        <v>1</v>
      </c>
      <c r="U442">
        <v>2</v>
      </c>
      <c r="V442" t="s">
        <v>72</v>
      </c>
      <c r="W442" s="2">
        <v>43161</v>
      </c>
      <c r="Y442" t="s">
        <v>69</v>
      </c>
      <c r="Z442" t="s">
        <v>47</v>
      </c>
      <c r="AA442">
        <v>0</v>
      </c>
      <c r="AB442">
        <v>2</v>
      </c>
      <c r="AC442" t="s">
        <v>41</v>
      </c>
      <c r="AD442" t="s">
        <v>67</v>
      </c>
      <c r="AE442" t="s">
        <v>43</v>
      </c>
      <c r="AF442" s="3">
        <v>590</v>
      </c>
      <c r="AG442" s="3">
        <v>43</v>
      </c>
      <c r="AH442">
        <v>80</v>
      </c>
      <c r="AI442">
        <v>2</v>
      </c>
      <c r="AJ442">
        <v>1</v>
      </c>
      <c r="AK442">
        <v>1</v>
      </c>
      <c r="AL442">
        <v>1</v>
      </c>
      <c r="AM442">
        <v>0</v>
      </c>
      <c r="AN442" t="s">
        <v>767</v>
      </c>
      <c r="AO442" t="s">
        <v>31</v>
      </c>
    </row>
    <row r="443" spans="1:41" x14ac:dyDescent="0.25">
      <c r="A443">
        <v>49</v>
      </c>
      <c r="B443" t="s">
        <v>32</v>
      </c>
      <c r="C443" t="s">
        <v>33</v>
      </c>
      <c r="D443">
        <v>3</v>
      </c>
      <c r="E443" t="s">
        <v>61</v>
      </c>
      <c r="F443">
        <v>2</v>
      </c>
      <c r="G443">
        <v>2</v>
      </c>
      <c r="H443" t="s">
        <v>35</v>
      </c>
      <c r="I443">
        <v>1</v>
      </c>
      <c r="J443" t="s">
        <v>51</v>
      </c>
      <c r="K443">
        <v>4789</v>
      </c>
      <c r="L443">
        <v>4</v>
      </c>
      <c r="M443" t="s">
        <v>41</v>
      </c>
      <c r="N443">
        <v>25</v>
      </c>
      <c r="O443">
        <v>4</v>
      </c>
      <c r="P443">
        <v>1</v>
      </c>
      <c r="Q443">
        <v>10</v>
      </c>
      <c r="R443">
        <v>3</v>
      </c>
      <c r="S443">
        <v>3</v>
      </c>
      <c r="T443">
        <v>1</v>
      </c>
      <c r="U443">
        <v>2</v>
      </c>
      <c r="V443" t="s">
        <v>72</v>
      </c>
      <c r="W443" s="1" t="s">
        <v>259</v>
      </c>
      <c r="Y443" t="s">
        <v>63</v>
      </c>
      <c r="Z443" t="s">
        <v>40</v>
      </c>
      <c r="AA443">
        <v>3</v>
      </c>
      <c r="AB443">
        <v>2</v>
      </c>
      <c r="AC443" t="s">
        <v>31</v>
      </c>
      <c r="AD443" t="s">
        <v>48</v>
      </c>
      <c r="AE443" t="s">
        <v>49</v>
      </c>
      <c r="AF443" s="3">
        <v>591</v>
      </c>
      <c r="AG443" s="3">
        <v>97</v>
      </c>
      <c r="AH443">
        <v>80</v>
      </c>
      <c r="AI443">
        <v>2</v>
      </c>
      <c r="AJ443">
        <v>0</v>
      </c>
      <c r="AL443">
        <v>0</v>
      </c>
      <c r="AM443">
        <v>1</v>
      </c>
      <c r="AN443" t="s">
        <v>768</v>
      </c>
      <c r="AO443" t="s">
        <v>41</v>
      </c>
    </row>
    <row r="444" spans="1:41" x14ac:dyDescent="0.25">
      <c r="A444">
        <v>29</v>
      </c>
      <c r="B444" t="s">
        <v>66</v>
      </c>
      <c r="C444" t="s">
        <v>33</v>
      </c>
      <c r="D444">
        <v>2</v>
      </c>
      <c r="E444" t="s">
        <v>61</v>
      </c>
      <c r="F444">
        <v>3</v>
      </c>
      <c r="G444">
        <v>1</v>
      </c>
      <c r="H444" t="s">
        <v>35</v>
      </c>
      <c r="I444">
        <v>2</v>
      </c>
      <c r="J444" t="s">
        <v>51</v>
      </c>
      <c r="K444">
        <v>3180</v>
      </c>
      <c r="L444">
        <v>0</v>
      </c>
      <c r="M444" t="s">
        <v>41</v>
      </c>
      <c r="N444">
        <v>13</v>
      </c>
      <c r="O444">
        <v>3</v>
      </c>
      <c r="P444">
        <v>3</v>
      </c>
      <c r="Q444">
        <v>4</v>
      </c>
      <c r="R444">
        <v>3</v>
      </c>
      <c r="S444">
        <v>3</v>
      </c>
      <c r="T444">
        <v>0</v>
      </c>
      <c r="U444">
        <v>2</v>
      </c>
      <c r="V444" t="s">
        <v>72</v>
      </c>
      <c r="W444" s="1" t="s">
        <v>220</v>
      </c>
      <c r="Y444" t="s">
        <v>39</v>
      </c>
      <c r="Z444" t="s">
        <v>40</v>
      </c>
      <c r="AA444">
        <v>2</v>
      </c>
      <c r="AB444">
        <v>2</v>
      </c>
      <c r="AC444" t="s">
        <v>41</v>
      </c>
      <c r="AD444" t="s">
        <v>48</v>
      </c>
      <c r="AE444" t="s">
        <v>43</v>
      </c>
      <c r="AF444" s="3">
        <v>592</v>
      </c>
      <c r="AG444" s="3">
        <v>32</v>
      </c>
      <c r="AH444">
        <v>80</v>
      </c>
      <c r="AI444">
        <v>3</v>
      </c>
      <c r="AJ444">
        <v>0</v>
      </c>
      <c r="AL444">
        <v>0</v>
      </c>
      <c r="AM444">
        <v>1</v>
      </c>
      <c r="AN444" t="s">
        <v>768</v>
      </c>
      <c r="AO444" t="s">
        <v>41</v>
      </c>
    </row>
    <row r="445" spans="1:41" x14ac:dyDescent="0.25">
      <c r="A445">
        <v>36</v>
      </c>
      <c r="B445" t="s">
        <v>32</v>
      </c>
      <c r="C445" t="s">
        <v>55</v>
      </c>
      <c r="D445">
        <v>2</v>
      </c>
      <c r="E445" t="s">
        <v>34</v>
      </c>
      <c r="F445">
        <v>3</v>
      </c>
      <c r="G445">
        <v>1</v>
      </c>
      <c r="H445" t="s">
        <v>56</v>
      </c>
      <c r="I445">
        <v>4</v>
      </c>
      <c r="J445" t="s">
        <v>36</v>
      </c>
      <c r="K445">
        <v>2644</v>
      </c>
      <c r="L445">
        <v>3</v>
      </c>
      <c r="M445" t="s">
        <v>31</v>
      </c>
      <c r="N445">
        <v>21</v>
      </c>
      <c r="O445">
        <v>4</v>
      </c>
      <c r="P445">
        <v>0</v>
      </c>
      <c r="Q445">
        <v>7</v>
      </c>
      <c r="R445">
        <v>3</v>
      </c>
      <c r="S445">
        <v>3</v>
      </c>
      <c r="T445">
        <v>1</v>
      </c>
      <c r="U445">
        <v>2</v>
      </c>
      <c r="V445" t="s">
        <v>72</v>
      </c>
      <c r="W445" s="1" t="s">
        <v>260</v>
      </c>
      <c r="Y445" t="s">
        <v>63</v>
      </c>
      <c r="Z445" t="s">
        <v>40</v>
      </c>
      <c r="AA445">
        <v>5</v>
      </c>
      <c r="AB445">
        <v>0</v>
      </c>
      <c r="AC445" t="s">
        <v>31</v>
      </c>
      <c r="AD445" t="s">
        <v>67</v>
      </c>
      <c r="AE445" t="s">
        <v>60</v>
      </c>
      <c r="AF445" s="3">
        <v>593</v>
      </c>
      <c r="AG445" s="3">
        <v>99</v>
      </c>
      <c r="AH445">
        <v>80</v>
      </c>
      <c r="AI445">
        <v>2</v>
      </c>
      <c r="AJ445">
        <v>1</v>
      </c>
      <c r="AK445">
        <v>1</v>
      </c>
      <c r="AL445">
        <v>1</v>
      </c>
      <c r="AM445">
        <v>0</v>
      </c>
      <c r="AN445" t="s">
        <v>767</v>
      </c>
      <c r="AO445" t="s">
        <v>31</v>
      </c>
    </row>
    <row r="446" spans="1:41" x14ac:dyDescent="0.25">
      <c r="A446">
        <v>35</v>
      </c>
      <c r="B446" t="s">
        <v>32</v>
      </c>
      <c r="C446" t="s">
        <v>33</v>
      </c>
      <c r="D446">
        <v>1</v>
      </c>
      <c r="E446" t="s">
        <v>34</v>
      </c>
      <c r="F446">
        <v>2</v>
      </c>
      <c r="G446">
        <v>1</v>
      </c>
      <c r="H446" t="s">
        <v>35</v>
      </c>
      <c r="I446">
        <v>1</v>
      </c>
      <c r="J446" t="s">
        <v>36</v>
      </c>
      <c r="K446">
        <v>2450</v>
      </c>
      <c r="L446">
        <v>1</v>
      </c>
      <c r="M446" t="s">
        <v>41</v>
      </c>
      <c r="N446">
        <v>19</v>
      </c>
      <c r="O446">
        <v>3</v>
      </c>
      <c r="P446">
        <v>0</v>
      </c>
      <c r="Q446">
        <v>3</v>
      </c>
      <c r="R446">
        <v>3</v>
      </c>
      <c r="S446">
        <v>3</v>
      </c>
      <c r="T446">
        <v>1</v>
      </c>
      <c r="U446">
        <v>2</v>
      </c>
      <c r="V446" t="s">
        <v>37</v>
      </c>
      <c r="W446" s="2">
        <v>43106</v>
      </c>
      <c r="Y446" t="s">
        <v>63</v>
      </c>
      <c r="Z446" t="s">
        <v>47</v>
      </c>
      <c r="AA446">
        <v>3</v>
      </c>
      <c r="AB446">
        <v>3</v>
      </c>
      <c r="AC446" t="s">
        <v>31</v>
      </c>
      <c r="AD446" t="s">
        <v>48</v>
      </c>
      <c r="AE446" t="s">
        <v>49</v>
      </c>
      <c r="AF446" s="3">
        <v>595</v>
      </c>
      <c r="AG446" s="3">
        <v>37</v>
      </c>
      <c r="AH446">
        <v>80</v>
      </c>
      <c r="AI446">
        <v>7</v>
      </c>
      <c r="AJ446">
        <v>0</v>
      </c>
      <c r="AL446">
        <v>0</v>
      </c>
      <c r="AM446">
        <v>1</v>
      </c>
      <c r="AN446" t="s">
        <v>768</v>
      </c>
      <c r="AO446" t="s">
        <v>41</v>
      </c>
    </row>
    <row r="447" spans="1:41" x14ac:dyDescent="0.25">
      <c r="A447">
        <v>38</v>
      </c>
      <c r="B447" t="s">
        <v>32</v>
      </c>
      <c r="C447" t="s">
        <v>55</v>
      </c>
      <c r="D447">
        <v>16</v>
      </c>
      <c r="E447" t="s">
        <v>61</v>
      </c>
      <c r="F447">
        <v>3</v>
      </c>
      <c r="G447">
        <v>2</v>
      </c>
      <c r="H447" t="s">
        <v>70</v>
      </c>
      <c r="I447">
        <v>2</v>
      </c>
      <c r="J447" t="s">
        <v>36</v>
      </c>
      <c r="K447">
        <v>4198</v>
      </c>
      <c r="L447">
        <v>2</v>
      </c>
      <c r="M447" t="s">
        <v>41</v>
      </c>
      <c r="N447">
        <v>12</v>
      </c>
      <c r="O447">
        <v>3</v>
      </c>
      <c r="P447">
        <v>0</v>
      </c>
      <c r="Q447">
        <v>8</v>
      </c>
      <c r="R447">
        <v>5</v>
      </c>
      <c r="S447">
        <v>3</v>
      </c>
      <c r="T447">
        <v>1</v>
      </c>
      <c r="U447">
        <v>2</v>
      </c>
      <c r="V447" t="s">
        <v>72</v>
      </c>
      <c r="W447" s="2">
        <v>43408</v>
      </c>
      <c r="Y447" t="s">
        <v>46</v>
      </c>
      <c r="Z447" t="s">
        <v>47</v>
      </c>
      <c r="AA447">
        <v>5</v>
      </c>
      <c r="AB447">
        <v>1</v>
      </c>
      <c r="AC447" t="s">
        <v>41</v>
      </c>
      <c r="AD447" t="s">
        <v>42</v>
      </c>
      <c r="AE447" t="s">
        <v>60</v>
      </c>
      <c r="AF447" s="3">
        <v>597</v>
      </c>
      <c r="AG447" s="3">
        <v>83</v>
      </c>
      <c r="AH447">
        <v>80</v>
      </c>
      <c r="AI447">
        <v>9</v>
      </c>
      <c r="AJ447">
        <v>0</v>
      </c>
      <c r="AL447">
        <v>0</v>
      </c>
      <c r="AM447">
        <v>1</v>
      </c>
      <c r="AN447" t="s">
        <v>768</v>
      </c>
      <c r="AO447" t="s">
        <v>41</v>
      </c>
    </row>
    <row r="448" spans="1:41" x14ac:dyDescent="0.25">
      <c r="A448">
        <v>36</v>
      </c>
      <c r="B448" t="s">
        <v>66</v>
      </c>
      <c r="C448" t="s">
        <v>33</v>
      </c>
      <c r="D448">
        <v>6</v>
      </c>
      <c r="E448" t="s">
        <v>34</v>
      </c>
      <c r="F448">
        <v>4</v>
      </c>
      <c r="G448">
        <v>2</v>
      </c>
      <c r="H448" t="s">
        <v>35</v>
      </c>
      <c r="I448">
        <v>1</v>
      </c>
      <c r="J448" t="s">
        <v>51</v>
      </c>
      <c r="K448">
        <v>5562</v>
      </c>
      <c r="L448">
        <v>3</v>
      </c>
      <c r="M448" t="s">
        <v>31</v>
      </c>
      <c r="N448">
        <v>13</v>
      </c>
      <c r="O448">
        <v>3</v>
      </c>
      <c r="P448">
        <v>1</v>
      </c>
      <c r="Q448">
        <v>9</v>
      </c>
      <c r="R448">
        <v>3</v>
      </c>
      <c r="S448">
        <v>3</v>
      </c>
      <c r="T448">
        <v>0</v>
      </c>
      <c r="U448">
        <v>2</v>
      </c>
      <c r="V448" t="s">
        <v>37</v>
      </c>
      <c r="W448" s="2">
        <v>43222</v>
      </c>
      <c r="Y448" t="s">
        <v>63</v>
      </c>
      <c r="Z448" t="s">
        <v>47</v>
      </c>
      <c r="AA448">
        <v>0</v>
      </c>
      <c r="AB448">
        <v>3</v>
      </c>
      <c r="AC448" t="s">
        <v>31</v>
      </c>
      <c r="AD448" t="s">
        <v>42</v>
      </c>
      <c r="AE448" t="s">
        <v>49</v>
      </c>
      <c r="AF448" s="3">
        <v>599</v>
      </c>
      <c r="AG448" s="3">
        <v>56</v>
      </c>
      <c r="AH448">
        <v>80</v>
      </c>
      <c r="AI448">
        <v>3</v>
      </c>
      <c r="AJ448">
        <v>0</v>
      </c>
      <c r="AL448">
        <v>0</v>
      </c>
      <c r="AM448">
        <v>1</v>
      </c>
      <c r="AN448" t="s">
        <v>768</v>
      </c>
      <c r="AO448" t="s">
        <v>41</v>
      </c>
    </row>
    <row r="449" spans="1:41" x14ac:dyDescent="0.25">
      <c r="A449">
        <v>32</v>
      </c>
      <c r="B449" t="s">
        <v>32</v>
      </c>
      <c r="C449" t="s">
        <v>33</v>
      </c>
      <c r="D449">
        <v>5</v>
      </c>
      <c r="E449" t="s">
        <v>61</v>
      </c>
      <c r="F449">
        <v>4</v>
      </c>
      <c r="G449">
        <v>1</v>
      </c>
      <c r="H449" t="s">
        <v>44</v>
      </c>
      <c r="I449">
        <v>4</v>
      </c>
      <c r="J449" t="s">
        <v>51</v>
      </c>
      <c r="K449">
        <v>3312</v>
      </c>
      <c r="L449">
        <v>3</v>
      </c>
      <c r="M449" t="s">
        <v>41</v>
      </c>
      <c r="N449">
        <v>17</v>
      </c>
      <c r="O449">
        <v>3</v>
      </c>
      <c r="P449">
        <v>2</v>
      </c>
      <c r="Q449">
        <v>6</v>
      </c>
      <c r="R449">
        <v>3</v>
      </c>
      <c r="S449">
        <v>3</v>
      </c>
      <c r="T449">
        <v>0</v>
      </c>
      <c r="U449">
        <v>2</v>
      </c>
      <c r="V449" t="s">
        <v>37</v>
      </c>
      <c r="W449" s="2">
        <v>43101</v>
      </c>
      <c r="Y449" t="s">
        <v>46</v>
      </c>
      <c r="Z449" t="s">
        <v>40</v>
      </c>
      <c r="AA449">
        <v>1</v>
      </c>
      <c r="AB449">
        <v>3</v>
      </c>
      <c r="AC449" t="s">
        <v>31</v>
      </c>
      <c r="AD449" t="s">
        <v>48</v>
      </c>
      <c r="AE449" t="s">
        <v>49</v>
      </c>
      <c r="AF449" s="3">
        <v>600</v>
      </c>
      <c r="AG449" s="3">
        <v>85</v>
      </c>
      <c r="AH449">
        <v>80</v>
      </c>
      <c r="AI449">
        <v>9</v>
      </c>
      <c r="AJ449">
        <v>0</v>
      </c>
      <c r="AL449">
        <v>0</v>
      </c>
      <c r="AM449">
        <v>1</v>
      </c>
      <c r="AN449" t="s">
        <v>768</v>
      </c>
      <c r="AO449" t="s">
        <v>41</v>
      </c>
    </row>
    <row r="450" spans="1:41" x14ac:dyDescent="0.25">
      <c r="A450">
        <v>36</v>
      </c>
      <c r="B450" t="s">
        <v>32</v>
      </c>
      <c r="C450" t="s">
        <v>33</v>
      </c>
      <c r="D450">
        <v>12</v>
      </c>
      <c r="E450" t="s">
        <v>61</v>
      </c>
      <c r="F450">
        <v>3</v>
      </c>
      <c r="G450">
        <v>2</v>
      </c>
      <c r="H450" t="s">
        <v>78</v>
      </c>
      <c r="I450">
        <v>3</v>
      </c>
      <c r="J450" t="s">
        <v>51</v>
      </c>
      <c r="K450">
        <v>4663</v>
      </c>
      <c r="L450">
        <v>9</v>
      </c>
      <c r="M450" t="s">
        <v>31</v>
      </c>
      <c r="N450">
        <v>12</v>
      </c>
      <c r="O450">
        <v>3</v>
      </c>
      <c r="P450">
        <v>2</v>
      </c>
      <c r="Q450">
        <v>7</v>
      </c>
      <c r="R450">
        <v>2</v>
      </c>
      <c r="S450">
        <v>3</v>
      </c>
      <c r="T450">
        <v>1</v>
      </c>
      <c r="U450">
        <v>1</v>
      </c>
      <c r="V450" t="s">
        <v>52</v>
      </c>
      <c r="W450" s="1" t="s">
        <v>256</v>
      </c>
      <c r="Y450" t="s">
        <v>46</v>
      </c>
      <c r="Z450" t="s">
        <v>47</v>
      </c>
      <c r="AA450">
        <v>3</v>
      </c>
      <c r="AB450">
        <v>1</v>
      </c>
      <c r="AC450" t="s">
        <v>31</v>
      </c>
      <c r="AD450" t="s">
        <v>67</v>
      </c>
      <c r="AE450" t="s">
        <v>49</v>
      </c>
      <c r="AF450" s="3">
        <v>601</v>
      </c>
      <c r="AG450" s="3">
        <v>75</v>
      </c>
      <c r="AH450">
        <v>80</v>
      </c>
      <c r="AI450">
        <v>6</v>
      </c>
      <c r="AJ450">
        <v>0</v>
      </c>
      <c r="AL450">
        <v>0</v>
      </c>
      <c r="AM450">
        <v>1</v>
      </c>
      <c r="AN450" t="s">
        <v>768</v>
      </c>
      <c r="AO450" t="s">
        <v>41</v>
      </c>
    </row>
    <row r="451" spans="1:41" x14ac:dyDescent="0.25">
      <c r="A451">
        <v>27</v>
      </c>
      <c r="B451" t="s">
        <v>32</v>
      </c>
      <c r="C451" t="s">
        <v>33</v>
      </c>
      <c r="D451">
        <v>8</v>
      </c>
      <c r="E451" t="s">
        <v>61</v>
      </c>
      <c r="F451">
        <v>4</v>
      </c>
      <c r="G451">
        <v>1</v>
      </c>
      <c r="H451" t="s">
        <v>44</v>
      </c>
      <c r="I451">
        <v>3</v>
      </c>
      <c r="J451" t="s">
        <v>51</v>
      </c>
      <c r="K451">
        <v>3517</v>
      </c>
      <c r="L451">
        <v>7</v>
      </c>
      <c r="M451" t="s">
        <v>41</v>
      </c>
      <c r="N451">
        <v>17</v>
      </c>
      <c r="O451">
        <v>3</v>
      </c>
      <c r="P451">
        <v>0</v>
      </c>
      <c r="Q451">
        <v>5</v>
      </c>
      <c r="R451">
        <v>0</v>
      </c>
      <c r="S451">
        <v>3</v>
      </c>
      <c r="T451">
        <v>0</v>
      </c>
      <c r="U451">
        <v>2</v>
      </c>
      <c r="V451" t="s">
        <v>58</v>
      </c>
      <c r="W451" s="2">
        <v>43223</v>
      </c>
      <c r="Y451" t="s">
        <v>69</v>
      </c>
      <c r="Z451" t="s">
        <v>47</v>
      </c>
      <c r="AA451">
        <v>3</v>
      </c>
      <c r="AB451">
        <v>1</v>
      </c>
      <c r="AC451" t="s">
        <v>31</v>
      </c>
      <c r="AD451" t="s">
        <v>42</v>
      </c>
      <c r="AE451" t="s">
        <v>60</v>
      </c>
      <c r="AF451" s="3">
        <v>602</v>
      </c>
      <c r="AG451" s="3">
        <v>48</v>
      </c>
      <c r="AH451">
        <v>80</v>
      </c>
      <c r="AI451">
        <v>3</v>
      </c>
      <c r="AJ451">
        <v>0</v>
      </c>
      <c r="AL451">
        <v>0</v>
      </c>
      <c r="AM451">
        <v>1</v>
      </c>
      <c r="AN451" t="s">
        <v>768</v>
      </c>
      <c r="AO451" t="s">
        <v>41</v>
      </c>
    </row>
    <row r="452" spans="1:41" x14ac:dyDescent="0.25">
      <c r="A452">
        <v>36</v>
      </c>
      <c r="B452" t="s">
        <v>32</v>
      </c>
      <c r="C452" t="s">
        <v>33</v>
      </c>
      <c r="D452">
        <v>5</v>
      </c>
      <c r="E452" t="s">
        <v>61</v>
      </c>
      <c r="F452">
        <v>3</v>
      </c>
      <c r="G452">
        <v>3</v>
      </c>
      <c r="H452" t="s">
        <v>89</v>
      </c>
      <c r="I452">
        <v>1</v>
      </c>
      <c r="J452" t="s">
        <v>51</v>
      </c>
      <c r="K452">
        <v>8008</v>
      </c>
      <c r="L452">
        <v>4</v>
      </c>
      <c r="M452" t="s">
        <v>41</v>
      </c>
      <c r="N452">
        <v>12</v>
      </c>
      <c r="O452">
        <v>3</v>
      </c>
      <c r="P452">
        <v>2</v>
      </c>
      <c r="Q452">
        <v>9</v>
      </c>
      <c r="R452">
        <v>6</v>
      </c>
      <c r="S452">
        <v>3</v>
      </c>
      <c r="T452">
        <v>0</v>
      </c>
      <c r="U452">
        <v>2</v>
      </c>
      <c r="V452" t="s">
        <v>37</v>
      </c>
      <c r="W452" s="2">
        <v>43254</v>
      </c>
      <c r="Y452" t="s">
        <v>63</v>
      </c>
      <c r="Z452" t="s">
        <v>40</v>
      </c>
      <c r="AA452">
        <v>2</v>
      </c>
      <c r="AB452">
        <v>3</v>
      </c>
      <c r="AC452" t="s">
        <v>31</v>
      </c>
      <c r="AD452" t="s">
        <v>67</v>
      </c>
      <c r="AE452" t="s">
        <v>43</v>
      </c>
      <c r="AF452" s="3">
        <v>604</v>
      </c>
      <c r="AG452" s="3">
        <v>77</v>
      </c>
      <c r="AH452">
        <v>80</v>
      </c>
      <c r="AI452">
        <v>5</v>
      </c>
      <c r="AJ452">
        <v>0</v>
      </c>
      <c r="AL452">
        <v>0</v>
      </c>
      <c r="AM452">
        <v>1</v>
      </c>
      <c r="AN452" t="s">
        <v>768</v>
      </c>
      <c r="AO452" t="s">
        <v>41</v>
      </c>
    </row>
    <row r="453" spans="1:41" x14ac:dyDescent="0.25">
      <c r="A453">
        <v>36</v>
      </c>
      <c r="B453" t="s">
        <v>81</v>
      </c>
      <c r="C453" t="s">
        <v>33</v>
      </c>
      <c r="D453">
        <v>1</v>
      </c>
      <c r="E453" t="s">
        <v>61</v>
      </c>
      <c r="F453">
        <v>2</v>
      </c>
      <c r="G453">
        <v>2</v>
      </c>
      <c r="H453" t="s">
        <v>78</v>
      </c>
      <c r="I453">
        <v>3</v>
      </c>
      <c r="J453" t="s">
        <v>51</v>
      </c>
      <c r="K453">
        <v>4374</v>
      </c>
      <c r="L453">
        <v>0</v>
      </c>
      <c r="M453" t="s">
        <v>41</v>
      </c>
      <c r="N453">
        <v>15</v>
      </c>
      <c r="O453">
        <v>3</v>
      </c>
      <c r="P453">
        <v>0</v>
      </c>
      <c r="Q453">
        <v>4</v>
      </c>
      <c r="R453">
        <v>6</v>
      </c>
      <c r="S453">
        <v>3</v>
      </c>
      <c r="T453">
        <v>1</v>
      </c>
      <c r="U453">
        <v>2</v>
      </c>
      <c r="V453" t="s">
        <v>72</v>
      </c>
      <c r="W453" s="1" t="s">
        <v>261</v>
      </c>
      <c r="Y453" t="s">
        <v>54</v>
      </c>
      <c r="Z453" t="s">
        <v>47</v>
      </c>
      <c r="AA453">
        <v>0</v>
      </c>
      <c r="AB453">
        <v>0</v>
      </c>
      <c r="AC453" t="s">
        <v>41</v>
      </c>
      <c r="AD453" t="s">
        <v>67</v>
      </c>
      <c r="AE453" t="s">
        <v>49</v>
      </c>
      <c r="AF453" s="3">
        <v>605</v>
      </c>
      <c r="AG453" s="3">
        <v>56</v>
      </c>
      <c r="AH453">
        <v>80</v>
      </c>
      <c r="AI453">
        <v>9</v>
      </c>
      <c r="AJ453">
        <v>0</v>
      </c>
      <c r="AL453">
        <v>0</v>
      </c>
      <c r="AM453">
        <v>1</v>
      </c>
      <c r="AN453" t="s">
        <v>768</v>
      </c>
      <c r="AO453" t="s">
        <v>41</v>
      </c>
    </row>
    <row r="454" spans="1:41" x14ac:dyDescent="0.25">
      <c r="A454">
        <v>47</v>
      </c>
      <c r="B454" t="s">
        <v>32</v>
      </c>
      <c r="C454" t="s">
        <v>55</v>
      </c>
      <c r="D454">
        <v>2</v>
      </c>
      <c r="E454" t="s">
        <v>61</v>
      </c>
      <c r="F454">
        <v>4</v>
      </c>
      <c r="G454">
        <v>4</v>
      </c>
      <c r="H454" t="s">
        <v>75</v>
      </c>
      <c r="I454">
        <v>2</v>
      </c>
      <c r="J454" t="s">
        <v>57</v>
      </c>
      <c r="K454">
        <v>15972</v>
      </c>
      <c r="L454">
        <v>6</v>
      </c>
      <c r="M454" t="s">
        <v>41</v>
      </c>
      <c r="N454">
        <v>14</v>
      </c>
      <c r="O454">
        <v>3</v>
      </c>
      <c r="P454">
        <v>3</v>
      </c>
      <c r="Q454">
        <v>29</v>
      </c>
      <c r="R454">
        <v>2</v>
      </c>
      <c r="S454">
        <v>3</v>
      </c>
      <c r="T454">
        <v>1</v>
      </c>
      <c r="U454">
        <v>2</v>
      </c>
      <c r="V454" t="s">
        <v>37</v>
      </c>
      <c r="W454" s="1" t="s">
        <v>259</v>
      </c>
      <c r="Y454" t="s">
        <v>39</v>
      </c>
      <c r="Z454" t="s">
        <v>47</v>
      </c>
      <c r="AA454">
        <v>3</v>
      </c>
      <c r="AB454">
        <v>1</v>
      </c>
      <c r="AC454" t="s">
        <v>31</v>
      </c>
      <c r="AD454" t="s">
        <v>67</v>
      </c>
      <c r="AE454" t="s">
        <v>60</v>
      </c>
      <c r="AF454" s="3">
        <v>606</v>
      </c>
      <c r="AG454" s="3">
        <v>61</v>
      </c>
      <c r="AH454">
        <v>80</v>
      </c>
      <c r="AI454">
        <v>7</v>
      </c>
      <c r="AJ454">
        <v>0</v>
      </c>
      <c r="AL454">
        <v>0</v>
      </c>
      <c r="AM454">
        <v>1</v>
      </c>
      <c r="AN454" t="s">
        <v>768</v>
      </c>
      <c r="AO454" t="s">
        <v>41</v>
      </c>
    </row>
    <row r="455" spans="1:41" x14ac:dyDescent="0.25">
      <c r="A455">
        <v>36</v>
      </c>
      <c r="B455" t="s">
        <v>32</v>
      </c>
      <c r="C455" t="s">
        <v>33</v>
      </c>
      <c r="D455">
        <v>26</v>
      </c>
      <c r="E455" t="s">
        <v>34</v>
      </c>
      <c r="F455">
        <v>3</v>
      </c>
      <c r="G455">
        <v>2</v>
      </c>
      <c r="H455" t="s">
        <v>89</v>
      </c>
      <c r="I455">
        <v>3</v>
      </c>
      <c r="J455" t="s">
        <v>51</v>
      </c>
      <c r="K455">
        <v>5347</v>
      </c>
      <c r="L455">
        <v>6</v>
      </c>
      <c r="M455" t="s">
        <v>41</v>
      </c>
      <c r="N455">
        <v>14</v>
      </c>
      <c r="O455">
        <v>3</v>
      </c>
      <c r="P455">
        <v>2</v>
      </c>
      <c r="Q455">
        <v>10</v>
      </c>
      <c r="R455">
        <v>2</v>
      </c>
      <c r="S455">
        <v>3</v>
      </c>
      <c r="T455">
        <v>0</v>
      </c>
      <c r="U455">
        <v>2</v>
      </c>
      <c r="V455" t="s">
        <v>72</v>
      </c>
      <c r="W455" s="1" t="s">
        <v>262</v>
      </c>
      <c r="Y455" t="s">
        <v>63</v>
      </c>
      <c r="Z455" t="s">
        <v>47</v>
      </c>
      <c r="AA455">
        <v>0</v>
      </c>
      <c r="AB455">
        <v>0</v>
      </c>
      <c r="AC455" t="s">
        <v>31</v>
      </c>
      <c r="AD455" t="s">
        <v>42</v>
      </c>
      <c r="AE455" t="s">
        <v>43</v>
      </c>
      <c r="AF455" s="3">
        <v>608</v>
      </c>
      <c r="AG455" s="3">
        <v>58</v>
      </c>
      <c r="AH455">
        <v>80</v>
      </c>
      <c r="AI455">
        <v>7</v>
      </c>
      <c r="AJ455">
        <v>1</v>
      </c>
      <c r="AK455">
        <v>1</v>
      </c>
      <c r="AL455">
        <v>1</v>
      </c>
      <c r="AM455">
        <v>0</v>
      </c>
      <c r="AN455" t="s">
        <v>767</v>
      </c>
      <c r="AO455" t="s">
        <v>31</v>
      </c>
    </row>
    <row r="456" spans="1:41" x14ac:dyDescent="0.25">
      <c r="A456">
        <v>23</v>
      </c>
      <c r="B456" t="s">
        <v>32</v>
      </c>
      <c r="C456" t="s">
        <v>55</v>
      </c>
      <c r="D456">
        <v>7</v>
      </c>
      <c r="E456" t="s">
        <v>34</v>
      </c>
      <c r="F456">
        <v>3</v>
      </c>
      <c r="G456">
        <v>1</v>
      </c>
      <c r="H456" t="s">
        <v>56</v>
      </c>
      <c r="I456">
        <v>4</v>
      </c>
      <c r="J456" t="s">
        <v>57</v>
      </c>
      <c r="K456">
        <v>2275</v>
      </c>
      <c r="L456">
        <v>1</v>
      </c>
      <c r="M456" t="s">
        <v>31</v>
      </c>
      <c r="N456">
        <v>21</v>
      </c>
      <c r="O456">
        <v>4</v>
      </c>
      <c r="P456">
        <v>1</v>
      </c>
      <c r="Q456">
        <v>3</v>
      </c>
      <c r="R456">
        <v>2</v>
      </c>
      <c r="S456">
        <v>3</v>
      </c>
      <c r="T456">
        <v>0</v>
      </c>
      <c r="U456">
        <v>2</v>
      </c>
      <c r="V456" t="s">
        <v>37</v>
      </c>
      <c r="W456" s="2">
        <v>43377</v>
      </c>
      <c r="Y456" t="s">
        <v>63</v>
      </c>
      <c r="Z456" t="s">
        <v>47</v>
      </c>
      <c r="AA456">
        <v>5</v>
      </c>
      <c r="AB456">
        <v>3</v>
      </c>
      <c r="AC456" t="s">
        <v>41</v>
      </c>
      <c r="AD456" t="s">
        <v>65</v>
      </c>
      <c r="AE456" t="s">
        <v>60</v>
      </c>
      <c r="AF456" s="3">
        <v>611</v>
      </c>
      <c r="AG456" s="3">
        <v>34</v>
      </c>
      <c r="AH456">
        <v>80</v>
      </c>
      <c r="AI456">
        <v>2</v>
      </c>
      <c r="AJ456">
        <v>0</v>
      </c>
      <c r="AL456">
        <v>0</v>
      </c>
      <c r="AM456">
        <v>1</v>
      </c>
      <c r="AN456" t="s">
        <v>768</v>
      </c>
      <c r="AO456" t="s">
        <v>41</v>
      </c>
    </row>
    <row r="457" spans="1:41" x14ac:dyDescent="0.25">
      <c r="A457">
        <v>26</v>
      </c>
      <c r="B457" t="s">
        <v>32</v>
      </c>
      <c r="C457" t="s">
        <v>33</v>
      </c>
      <c r="D457">
        <v>17</v>
      </c>
      <c r="E457" t="s">
        <v>34</v>
      </c>
      <c r="F457">
        <v>1</v>
      </c>
      <c r="G457">
        <v>1</v>
      </c>
      <c r="H457" t="s">
        <v>35</v>
      </c>
      <c r="I457">
        <v>3</v>
      </c>
      <c r="J457" t="s">
        <v>51</v>
      </c>
      <c r="K457">
        <v>2305</v>
      </c>
      <c r="L457">
        <v>1</v>
      </c>
      <c r="M457" t="s">
        <v>41</v>
      </c>
      <c r="N457">
        <v>15</v>
      </c>
      <c r="O457">
        <v>3</v>
      </c>
      <c r="P457">
        <v>3</v>
      </c>
      <c r="Q457">
        <v>3</v>
      </c>
      <c r="R457">
        <v>3</v>
      </c>
      <c r="S457">
        <v>3</v>
      </c>
      <c r="T457">
        <v>0</v>
      </c>
      <c r="U457">
        <v>2</v>
      </c>
      <c r="V457" t="s">
        <v>52</v>
      </c>
      <c r="W457" s="1" t="s">
        <v>263</v>
      </c>
      <c r="Y457" t="s">
        <v>69</v>
      </c>
      <c r="Z457" t="s">
        <v>47</v>
      </c>
      <c r="AA457">
        <v>1</v>
      </c>
      <c r="AB457">
        <v>2</v>
      </c>
      <c r="AC457" t="s">
        <v>41</v>
      </c>
      <c r="AD457" t="s">
        <v>42</v>
      </c>
      <c r="AE457" t="s">
        <v>43</v>
      </c>
      <c r="AF457" s="3">
        <v>612</v>
      </c>
      <c r="AG457" s="3">
        <v>95</v>
      </c>
      <c r="AH457">
        <v>80</v>
      </c>
      <c r="AI457">
        <v>1</v>
      </c>
      <c r="AJ457">
        <v>0</v>
      </c>
      <c r="AL457">
        <v>0</v>
      </c>
      <c r="AM457">
        <v>1</v>
      </c>
      <c r="AN457" t="s">
        <v>768</v>
      </c>
      <c r="AO457" t="s">
        <v>41</v>
      </c>
    </row>
    <row r="458" spans="1:41" x14ac:dyDescent="0.25">
      <c r="A458">
        <v>41</v>
      </c>
      <c r="B458" t="s">
        <v>81</v>
      </c>
      <c r="C458" t="s">
        <v>120</v>
      </c>
      <c r="D458">
        <v>4</v>
      </c>
      <c r="E458" t="s">
        <v>34</v>
      </c>
      <c r="F458">
        <v>1</v>
      </c>
      <c r="G458">
        <v>2</v>
      </c>
      <c r="H458" t="s">
        <v>120</v>
      </c>
      <c r="I458">
        <v>2</v>
      </c>
      <c r="J458" t="s">
        <v>51</v>
      </c>
      <c r="K458">
        <v>6430</v>
      </c>
      <c r="L458">
        <v>6</v>
      </c>
      <c r="M458" t="s">
        <v>41</v>
      </c>
      <c r="N458">
        <v>19</v>
      </c>
      <c r="O458">
        <v>3</v>
      </c>
      <c r="P458">
        <v>1</v>
      </c>
      <c r="Q458">
        <v>10</v>
      </c>
      <c r="R458">
        <v>4</v>
      </c>
      <c r="S458">
        <v>3</v>
      </c>
      <c r="T458">
        <v>1</v>
      </c>
      <c r="U458">
        <v>2</v>
      </c>
      <c r="V458" t="s">
        <v>72</v>
      </c>
      <c r="W458" s="1" t="s">
        <v>247</v>
      </c>
      <c r="Y458" t="s">
        <v>63</v>
      </c>
      <c r="Z458" t="s">
        <v>47</v>
      </c>
      <c r="AA458">
        <v>1</v>
      </c>
      <c r="AB458">
        <v>1</v>
      </c>
      <c r="AC458" t="s">
        <v>31</v>
      </c>
      <c r="AD458" t="s">
        <v>67</v>
      </c>
      <c r="AE458" t="s">
        <v>49</v>
      </c>
      <c r="AF458" s="3">
        <v>613</v>
      </c>
      <c r="AG458" s="3">
        <v>44</v>
      </c>
      <c r="AH458">
        <v>80</v>
      </c>
      <c r="AI458">
        <v>4</v>
      </c>
      <c r="AJ458">
        <v>0</v>
      </c>
      <c r="AL458">
        <v>0</v>
      </c>
      <c r="AM458">
        <v>1</v>
      </c>
      <c r="AN458" t="s">
        <v>768</v>
      </c>
      <c r="AO458" t="s">
        <v>41</v>
      </c>
    </row>
    <row r="459" spans="1:41" x14ac:dyDescent="0.25">
      <c r="A459">
        <v>23</v>
      </c>
      <c r="B459" t="s">
        <v>32</v>
      </c>
      <c r="C459" t="s">
        <v>33</v>
      </c>
      <c r="D459">
        <v>4</v>
      </c>
      <c r="E459" t="s">
        <v>61</v>
      </c>
      <c r="F459">
        <v>3</v>
      </c>
      <c r="G459">
        <v>1</v>
      </c>
      <c r="H459" t="s">
        <v>35</v>
      </c>
      <c r="I459">
        <v>2</v>
      </c>
      <c r="J459" t="s">
        <v>36</v>
      </c>
      <c r="K459">
        <v>3295</v>
      </c>
      <c r="L459">
        <v>1</v>
      </c>
      <c r="M459" t="s">
        <v>41</v>
      </c>
      <c r="N459">
        <v>13</v>
      </c>
      <c r="O459">
        <v>3</v>
      </c>
      <c r="P459">
        <v>0</v>
      </c>
      <c r="Q459">
        <v>3</v>
      </c>
      <c r="R459">
        <v>3</v>
      </c>
      <c r="S459">
        <v>3</v>
      </c>
      <c r="T459">
        <v>1</v>
      </c>
      <c r="U459">
        <v>2</v>
      </c>
      <c r="V459" t="s">
        <v>58</v>
      </c>
      <c r="W459" s="1" t="s">
        <v>255</v>
      </c>
      <c r="Y459" t="s">
        <v>63</v>
      </c>
      <c r="Z459" t="s">
        <v>47</v>
      </c>
      <c r="AA459">
        <v>1</v>
      </c>
      <c r="AB459">
        <v>2</v>
      </c>
      <c r="AC459" t="s">
        <v>41</v>
      </c>
      <c r="AD459" t="s">
        <v>42</v>
      </c>
      <c r="AE459" t="s">
        <v>49</v>
      </c>
      <c r="AF459" s="3">
        <v>614</v>
      </c>
      <c r="AG459" s="3">
        <v>69</v>
      </c>
      <c r="AH459">
        <v>80</v>
      </c>
      <c r="AI459">
        <v>0</v>
      </c>
      <c r="AJ459">
        <v>1</v>
      </c>
      <c r="AK459">
        <v>1</v>
      </c>
      <c r="AL459">
        <v>1</v>
      </c>
      <c r="AM459">
        <v>0</v>
      </c>
      <c r="AN459" t="s">
        <v>767</v>
      </c>
      <c r="AO459" t="s">
        <v>31</v>
      </c>
    </row>
    <row r="460" spans="1:41" x14ac:dyDescent="0.25">
      <c r="A460">
        <v>29</v>
      </c>
      <c r="B460" t="s">
        <v>66</v>
      </c>
      <c r="C460" t="s">
        <v>33</v>
      </c>
      <c r="D460">
        <v>1</v>
      </c>
      <c r="E460" t="s">
        <v>34</v>
      </c>
      <c r="F460">
        <v>4</v>
      </c>
      <c r="G460">
        <v>2</v>
      </c>
      <c r="H460" t="s">
        <v>89</v>
      </c>
      <c r="I460">
        <v>3</v>
      </c>
      <c r="J460" t="s">
        <v>36</v>
      </c>
      <c r="K460">
        <v>6294</v>
      </c>
      <c r="L460">
        <v>8</v>
      </c>
      <c r="M460" t="s">
        <v>31</v>
      </c>
      <c r="N460">
        <v>12</v>
      </c>
      <c r="O460">
        <v>3</v>
      </c>
      <c r="P460">
        <v>0</v>
      </c>
      <c r="Q460">
        <v>10</v>
      </c>
      <c r="R460">
        <v>5</v>
      </c>
      <c r="S460">
        <v>3</v>
      </c>
      <c r="T460">
        <v>0</v>
      </c>
      <c r="U460">
        <v>2</v>
      </c>
      <c r="V460" t="s">
        <v>58</v>
      </c>
      <c r="W460" s="1" t="s">
        <v>264</v>
      </c>
      <c r="Y460" t="s">
        <v>39</v>
      </c>
      <c r="Z460" t="s">
        <v>40</v>
      </c>
      <c r="AA460">
        <v>4</v>
      </c>
      <c r="AB460">
        <v>2</v>
      </c>
      <c r="AC460" t="s">
        <v>41</v>
      </c>
      <c r="AD460" t="s">
        <v>48</v>
      </c>
      <c r="AE460" t="s">
        <v>43</v>
      </c>
      <c r="AF460" s="3">
        <v>615</v>
      </c>
      <c r="AG460" s="3">
        <v>58</v>
      </c>
      <c r="AH460">
        <v>80</v>
      </c>
      <c r="AI460">
        <v>0</v>
      </c>
      <c r="AJ460">
        <v>0</v>
      </c>
      <c r="AL460">
        <v>0</v>
      </c>
      <c r="AM460">
        <v>1</v>
      </c>
      <c r="AN460" t="s">
        <v>768</v>
      </c>
      <c r="AO460" t="s">
        <v>41</v>
      </c>
    </row>
    <row r="461" spans="1:41" x14ac:dyDescent="0.25">
      <c r="A461">
        <v>53</v>
      </c>
      <c r="B461" t="s">
        <v>81</v>
      </c>
      <c r="C461" t="s">
        <v>33</v>
      </c>
      <c r="D461">
        <v>1</v>
      </c>
      <c r="E461" t="s">
        <v>61</v>
      </c>
      <c r="F461">
        <v>2</v>
      </c>
      <c r="G461">
        <v>4</v>
      </c>
      <c r="H461" t="s">
        <v>78</v>
      </c>
      <c r="I461">
        <v>3</v>
      </c>
      <c r="J461" t="s">
        <v>51</v>
      </c>
      <c r="K461">
        <v>12965</v>
      </c>
      <c r="L461">
        <v>4</v>
      </c>
      <c r="M461" t="s">
        <v>31</v>
      </c>
      <c r="N461">
        <v>20</v>
      </c>
      <c r="O461">
        <v>4</v>
      </c>
      <c r="P461">
        <v>3</v>
      </c>
      <c r="Q461">
        <v>27</v>
      </c>
      <c r="R461">
        <v>2</v>
      </c>
      <c r="S461">
        <v>3</v>
      </c>
      <c r="T461">
        <v>0</v>
      </c>
      <c r="U461">
        <v>2</v>
      </c>
      <c r="V461" t="s">
        <v>52</v>
      </c>
      <c r="W461" s="1" t="s">
        <v>240</v>
      </c>
      <c r="Y461" t="s">
        <v>63</v>
      </c>
      <c r="Z461" t="s">
        <v>40</v>
      </c>
      <c r="AA461">
        <v>5</v>
      </c>
      <c r="AB461">
        <v>1</v>
      </c>
      <c r="AC461" t="s">
        <v>41</v>
      </c>
      <c r="AD461" t="s">
        <v>65</v>
      </c>
      <c r="AE461" t="s">
        <v>43</v>
      </c>
      <c r="AF461" s="3">
        <v>616</v>
      </c>
      <c r="AG461" s="3">
        <v>62</v>
      </c>
      <c r="AH461">
        <v>80</v>
      </c>
      <c r="AI461">
        <v>7</v>
      </c>
      <c r="AJ461">
        <v>0</v>
      </c>
      <c r="AL461">
        <v>0</v>
      </c>
      <c r="AM461">
        <v>1</v>
      </c>
      <c r="AN461" t="s">
        <v>768</v>
      </c>
      <c r="AO461" t="s">
        <v>41</v>
      </c>
    </row>
    <row r="462" spans="1:41" x14ac:dyDescent="0.25">
      <c r="A462">
        <v>43</v>
      </c>
      <c r="B462" t="s">
        <v>81</v>
      </c>
      <c r="C462" t="s">
        <v>33</v>
      </c>
      <c r="D462">
        <v>9</v>
      </c>
      <c r="E462" t="s">
        <v>34</v>
      </c>
      <c r="F462">
        <v>3</v>
      </c>
      <c r="G462">
        <v>1</v>
      </c>
      <c r="H462" t="s">
        <v>44</v>
      </c>
      <c r="I462">
        <v>3</v>
      </c>
      <c r="J462" t="s">
        <v>36</v>
      </c>
      <c r="K462">
        <v>2438</v>
      </c>
      <c r="L462">
        <v>4</v>
      </c>
      <c r="M462" t="s">
        <v>41</v>
      </c>
      <c r="N462">
        <v>13</v>
      </c>
      <c r="O462">
        <v>3</v>
      </c>
      <c r="P462">
        <v>0</v>
      </c>
      <c r="Q462">
        <v>7</v>
      </c>
      <c r="R462">
        <v>2</v>
      </c>
      <c r="S462">
        <v>3</v>
      </c>
      <c r="T462">
        <v>1</v>
      </c>
      <c r="U462">
        <v>2</v>
      </c>
      <c r="V462" t="s">
        <v>58</v>
      </c>
      <c r="W462" s="2">
        <v>43224</v>
      </c>
      <c r="Y462" t="s">
        <v>46</v>
      </c>
      <c r="Z462" t="s">
        <v>40</v>
      </c>
      <c r="AA462">
        <v>5</v>
      </c>
      <c r="AB462">
        <v>2</v>
      </c>
      <c r="AC462" t="s">
        <v>31</v>
      </c>
      <c r="AD462" t="s">
        <v>48</v>
      </c>
      <c r="AE462" t="s">
        <v>49</v>
      </c>
      <c r="AF462" s="3">
        <v>618</v>
      </c>
      <c r="AG462" s="3">
        <v>45</v>
      </c>
      <c r="AH462">
        <v>80</v>
      </c>
      <c r="AI462">
        <v>0</v>
      </c>
      <c r="AJ462">
        <v>0</v>
      </c>
      <c r="AL462">
        <v>0</v>
      </c>
      <c r="AM462">
        <v>1</v>
      </c>
      <c r="AN462" t="s">
        <v>768</v>
      </c>
      <c r="AO462" t="s">
        <v>41</v>
      </c>
    </row>
    <row r="463" spans="1:41" x14ac:dyDescent="0.25">
      <c r="A463">
        <v>41</v>
      </c>
      <c r="B463" t="s">
        <v>32</v>
      </c>
      <c r="C463" t="s">
        <v>33</v>
      </c>
      <c r="D463">
        <v>5</v>
      </c>
      <c r="E463" t="s">
        <v>34</v>
      </c>
      <c r="F463">
        <v>4</v>
      </c>
      <c r="G463">
        <v>2</v>
      </c>
      <c r="H463" t="s">
        <v>89</v>
      </c>
      <c r="I463">
        <v>2</v>
      </c>
      <c r="J463" t="s">
        <v>36</v>
      </c>
      <c r="K463">
        <v>6870</v>
      </c>
      <c r="L463">
        <v>3</v>
      </c>
      <c r="M463" t="s">
        <v>41</v>
      </c>
      <c r="N463">
        <v>12</v>
      </c>
      <c r="O463">
        <v>3</v>
      </c>
      <c r="P463">
        <v>0</v>
      </c>
      <c r="Q463">
        <v>11</v>
      </c>
      <c r="R463">
        <v>3</v>
      </c>
      <c r="S463">
        <v>3</v>
      </c>
      <c r="T463">
        <v>1</v>
      </c>
      <c r="U463">
        <v>2</v>
      </c>
      <c r="V463" t="s">
        <v>58</v>
      </c>
      <c r="W463" s="2">
        <v>43136</v>
      </c>
      <c r="Y463" t="s">
        <v>54</v>
      </c>
      <c r="Z463" t="s">
        <v>47</v>
      </c>
      <c r="AA463">
        <v>3</v>
      </c>
      <c r="AB463">
        <v>2</v>
      </c>
      <c r="AC463" t="s">
        <v>31</v>
      </c>
      <c r="AD463" t="s">
        <v>42</v>
      </c>
      <c r="AE463" t="s">
        <v>49</v>
      </c>
      <c r="AF463" s="3">
        <v>620</v>
      </c>
      <c r="AG463" s="3">
        <v>80</v>
      </c>
      <c r="AH463">
        <v>80</v>
      </c>
      <c r="AI463">
        <v>4</v>
      </c>
      <c r="AJ463">
        <v>0</v>
      </c>
      <c r="AL463">
        <v>0</v>
      </c>
      <c r="AM463">
        <v>1</v>
      </c>
      <c r="AN463" t="s">
        <v>768</v>
      </c>
      <c r="AO463" t="s">
        <v>41</v>
      </c>
    </row>
    <row r="464" spans="1:41" x14ac:dyDescent="0.25">
      <c r="A464">
        <v>31</v>
      </c>
      <c r="B464" t="s">
        <v>66</v>
      </c>
      <c r="C464" t="s">
        <v>55</v>
      </c>
      <c r="D464">
        <v>7</v>
      </c>
      <c r="E464" t="s">
        <v>61</v>
      </c>
      <c r="F464">
        <v>3</v>
      </c>
      <c r="G464">
        <v>3</v>
      </c>
      <c r="H464" t="s">
        <v>70</v>
      </c>
      <c r="I464">
        <v>1</v>
      </c>
      <c r="J464" t="s">
        <v>51</v>
      </c>
      <c r="K464">
        <v>9637</v>
      </c>
      <c r="L464">
        <v>2</v>
      </c>
      <c r="M464" t="s">
        <v>41</v>
      </c>
      <c r="N464">
        <v>14</v>
      </c>
      <c r="O464">
        <v>3</v>
      </c>
      <c r="P464">
        <v>2</v>
      </c>
      <c r="Q464">
        <v>9</v>
      </c>
      <c r="R464">
        <v>3</v>
      </c>
      <c r="S464">
        <v>3</v>
      </c>
      <c r="T464">
        <v>2</v>
      </c>
      <c r="U464">
        <v>2</v>
      </c>
      <c r="V464" t="s">
        <v>52</v>
      </c>
      <c r="W464" s="1" t="s">
        <v>265</v>
      </c>
      <c r="Y464" t="s">
        <v>54</v>
      </c>
      <c r="Z464" t="s">
        <v>40</v>
      </c>
      <c r="AA464">
        <v>1</v>
      </c>
      <c r="AB464">
        <v>2</v>
      </c>
      <c r="AC464" t="s">
        <v>31</v>
      </c>
      <c r="AD464" t="s">
        <v>65</v>
      </c>
      <c r="AE464" t="s">
        <v>60</v>
      </c>
      <c r="AF464" s="3">
        <v>621</v>
      </c>
      <c r="AG464" s="3">
        <v>74</v>
      </c>
      <c r="AH464">
        <v>80</v>
      </c>
      <c r="AI464">
        <v>7</v>
      </c>
      <c r="AJ464">
        <v>0</v>
      </c>
      <c r="AL464">
        <v>0</v>
      </c>
      <c r="AM464">
        <v>1</v>
      </c>
      <c r="AN464" t="s">
        <v>768</v>
      </c>
      <c r="AO464" t="s">
        <v>41</v>
      </c>
    </row>
    <row r="465" spans="1:41" x14ac:dyDescent="0.25">
      <c r="A465">
        <v>28</v>
      </c>
      <c r="B465" t="s">
        <v>32</v>
      </c>
      <c r="C465" t="s">
        <v>33</v>
      </c>
      <c r="D465">
        <v>1</v>
      </c>
      <c r="E465" t="s">
        <v>61</v>
      </c>
      <c r="F465">
        <v>3</v>
      </c>
      <c r="G465">
        <v>1</v>
      </c>
      <c r="H465" t="s">
        <v>44</v>
      </c>
      <c r="I465">
        <v>1</v>
      </c>
      <c r="J465" t="s">
        <v>51</v>
      </c>
      <c r="K465">
        <v>3591</v>
      </c>
      <c r="L465">
        <v>1</v>
      </c>
      <c r="M465" t="s">
        <v>41</v>
      </c>
      <c r="N465">
        <v>25</v>
      </c>
      <c r="O465">
        <v>4</v>
      </c>
      <c r="P465">
        <v>1</v>
      </c>
      <c r="Q465">
        <v>3</v>
      </c>
      <c r="R465">
        <v>3</v>
      </c>
      <c r="S465">
        <v>3</v>
      </c>
      <c r="T465">
        <v>1</v>
      </c>
      <c r="U465">
        <v>2</v>
      </c>
      <c r="V465" t="s">
        <v>37</v>
      </c>
      <c r="W465" s="1" t="s">
        <v>266</v>
      </c>
      <c r="Y465" t="s">
        <v>39</v>
      </c>
      <c r="Z465" t="s">
        <v>40</v>
      </c>
      <c r="AA465">
        <v>2</v>
      </c>
      <c r="AB465">
        <v>2</v>
      </c>
      <c r="AC465" t="s">
        <v>31</v>
      </c>
      <c r="AD465" t="s">
        <v>42</v>
      </c>
      <c r="AE465" t="s">
        <v>49</v>
      </c>
      <c r="AF465" s="3">
        <v>622</v>
      </c>
      <c r="AG465" s="3">
        <v>66</v>
      </c>
      <c r="AH465">
        <v>80</v>
      </c>
      <c r="AI465">
        <v>0</v>
      </c>
      <c r="AJ465">
        <v>1</v>
      </c>
      <c r="AK465">
        <v>1</v>
      </c>
      <c r="AL465">
        <v>1</v>
      </c>
      <c r="AM465">
        <v>0</v>
      </c>
      <c r="AN465" t="s">
        <v>767</v>
      </c>
      <c r="AO465" t="s">
        <v>31</v>
      </c>
    </row>
    <row r="466" spans="1:41" x14ac:dyDescent="0.25">
      <c r="A466">
        <v>28</v>
      </c>
      <c r="B466" t="s">
        <v>81</v>
      </c>
      <c r="C466" t="s">
        <v>120</v>
      </c>
      <c r="D466">
        <v>1</v>
      </c>
      <c r="E466" t="s">
        <v>34</v>
      </c>
      <c r="F466">
        <v>3</v>
      </c>
      <c r="G466">
        <v>1</v>
      </c>
      <c r="H466" t="s">
        <v>120</v>
      </c>
      <c r="I466">
        <v>4</v>
      </c>
      <c r="J466" t="s">
        <v>57</v>
      </c>
      <c r="K466">
        <v>2706</v>
      </c>
      <c r="L466">
        <v>1</v>
      </c>
      <c r="M466" t="s">
        <v>41</v>
      </c>
      <c r="N466">
        <v>15</v>
      </c>
      <c r="O466">
        <v>3</v>
      </c>
      <c r="P466">
        <v>1</v>
      </c>
      <c r="Q466">
        <v>3</v>
      </c>
      <c r="R466">
        <v>2</v>
      </c>
      <c r="S466">
        <v>3</v>
      </c>
      <c r="T466">
        <v>2</v>
      </c>
      <c r="U466">
        <v>2</v>
      </c>
      <c r="V466" t="s">
        <v>52</v>
      </c>
      <c r="W466" s="2">
        <v>43283</v>
      </c>
      <c r="Y466" t="s">
        <v>46</v>
      </c>
      <c r="Z466" t="s">
        <v>40</v>
      </c>
      <c r="AA466">
        <v>2</v>
      </c>
      <c r="AB466">
        <v>0</v>
      </c>
      <c r="AC466" t="s">
        <v>31</v>
      </c>
      <c r="AD466" t="s">
        <v>48</v>
      </c>
      <c r="AE466" t="s">
        <v>49</v>
      </c>
      <c r="AF466" s="3">
        <v>623</v>
      </c>
      <c r="AG466" s="3">
        <v>59</v>
      </c>
      <c r="AH466">
        <v>80</v>
      </c>
      <c r="AI466">
        <v>5</v>
      </c>
      <c r="AJ466">
        <v>0</v>
      </c>
      <c r="AL466">
        <v>0</v>
      </c>
      <c r="AM466">
        <v>1</v>
      </c>
      <c r="AN466" t="s">
        <v>768</v>
      </c>
      <c r="AO466" t="s">
        <v>41</v>
      </c>
    </row>
    <row r="467" spans="1:41" x14ac:dyDescent="0.25">
      <c r="A467">
        <v>29</v>
      </c>
      <c r="B467" t="s">
        <v>32</v>
      </c>
      <c r="C467" t="s">
        <v>33</v>
      </c>
      <c r="D467">
        <v>7</v>
      </c>
      <c r="E467" t="s">
        <v>34</v>
      </c>
      <c r="F467">
        <v>3</v>
      </c>
      <c r="G467">
        <v>1</v>
      </c>
      <c r="H467" t="s">
        <v>35</v>
      </c>
      <c r="I467">
        <v>1</v>
      </c>
      <c r="J467" t="s">
        <v>36</v>
      </c>
      <c r="K467">
        <v>2062</v>
      </c>
      <c r="L467">
        <v>3</v>
      </c>
      <c r="M467" t="s">
        <v>41</v>
      </c>
      <c r="N467">
        <v>14</v>
      </c>
      <c r="O467">
        <v>3</v>
      </c>
      <c r="P467">
        <v>0</v>
      </c>
      <c r="Q467">
        <v>11</v>
      </c>
      <c r="R467">
        <v>2</v>
      </c>
      <c r="S467">
        <v>3</v>
      </c>
      <c r="T467">
        <v>1</v>
      </c>
      <c r="U467">
        <v>2</v>
      </c>
      <c r="V467" t="s">
        <v>58</v>
      </c>
      <c r="W467" s="1" t="s">
        <v>267</v>
      </c>
      <c r="Y467" t="s">
        <v>46</v>
      </c>
      <c r="Z467" t="s">
        <v>47</v>
      </c>
      <c r="AA467">
        <v>5</v>
      </c>
      <c r="AB467">
        <v>0</v>
      </c>
      <c r="AC467" t="s">
        <v>31</v>
      </c>
      <c r="AD467" t="s">
        <v>42</v>
      </c>
      <c r="AE467" t="s">
        <v>60</v>
      </c>
      <c r="AF467" s="3">
        <v>624</v>
      </c>
      <c r="AG467" s="3">
        <v>86</v>
      </c>
      <c r="AH467">
        <v>80</v>
      </c>
      <c r="AI467">
        <v>2</v>
      </c>
      <c r="AJ467">
        <v>0</v>
      </c>
      <c r="AL467">
        <v>0</v>
      </c>
      <c r="AM467">
        <v>1</v>
      </c>
      <c r="AN467" t="s">
        <v>768</v>
      </c>
      <c r="AO467" t="s">
        <v>41</v>
      </c>
    </row>
    <row r="468" spans="1:41" x14ac:dyDescent="0.25">
      <c r="A468">
        <v>35</v>
      </c>
      <c r="B468" t="s">
        <v>32</v>
      </c>
      <c r="C468" t="s">
        <v>33</v>
      </c>
      <c r="D468">
        <v>16</v>
      </c>
      <c r="E468" t="s">
        <v>61</v>
      </c>
      <c r="F468">
        <v>2</v>
      </c>
      <c r="G468">
        <v>2</v>
      </c>
      <c r="H468" t="s">
        <v>78</v>
      </c>
      <c r="I468">
        <v>2</v>
      </c>
      <c r="J468" t="s">
        <v>51</v>
      </c>
      <c r="K468">
        <v>4788</v>
      </c>
      <c r="L468">
        <v>0</v>
      </c>
      <c r="M468" t="s">
        <v>31</v>
      </c>
      <c r="N468">
        <v>11</v>
      </c>
      <c r="O468">
        <v>3</v>
      </c>
      <c r="P468">
        <v>0</v>
      </c>
      <c r="Q468">
        <v>4</v>
      </c>
      <c r="R468">
        <v>2</v>
      </c>
      <c r="S468">
        <v>3</v>
      </c>
      <c r="T468">
        <v>0</v>
      </c>
      <c r="U468">
        <v>2</v>
      </c>
      <c r="V468" t="s">
        <v>37</v>
      </c>
      <c r="W468" s="2">
        <v>43256</v>
      </c>
      <c r="Y468" t="s">
        <v>54</v>
      </c>
      <c r="Z468" t="s">
        <v>40</v>
      </c>
      <c r="AA468">
        <v>0</v>
      </c>
      <c r="AB468">
        <v>1</v>
      </c>
      <c r="AC468" t="s">
        <v>31</v>
      </c>
      <c r="AD468" t="s">
        <v>65</v>
      </c>
      <c r="AE468" t="s">
        <v>43</v>
      </c>
      <c r="AF468" s="3">
        <v>625</v>
      </c>
      <c r="AG468" s="3">
        <v>91</v>
      </c>
      <c r="AH468">
        <v>80</v>
      </c>
      <c r="AI468">
        <v>16</v>
      </c>
      <c r="AJ468">
        <v>0</v>
      </c>
      <c r="AL468">
        <v>0</v>
      </c>
      <c r="AM468">
        <v>1</v>
      </c>
      <c r="AN468" t="s">
        <v>768</v>
      </c>
      <c r="AO468" t="s">
        <v>41</v>
      </c>
    </row>
    <row r="469" spans="1:41" x14ac:dyDescent="0.25">
      <c r="A469">
        <v>39</v>
      </c>
      <c r="B469" t="s">
        <v>81</v>
      </c>
      <c r="C469" t="s">
        <v>55</v>
      </c>
      <c r="D469">
        <v>21</v>
      </c>
      <c r="E469" t="s">
        <v>61</v>
      </c>
      <c r="F469">
        <v>1</v>
      </c>
      <c r="G469">
        <v>2</v>
      </c>
      <c r="H469" t="s">
        <v>70</v>
      </c>
      <c r="I469">
        <v>3</v>
      </c>
      <c r="J469" t="s">
        <v>51</v>
      </c>
      <c r="K469">
        <v>5736</v>
      </c>
      <c r="L469">
        <v>6</v>
      </c>
      <c r="M469" t="s">
        <v>41</v>
      </c>
      <c r="N469">
        <v>19</v>
      </c>
      <c r="O469">
        <v>3</v>
      </c>
      <c r="P469">
        <v>1</v>
      </c>
      <c r="Q469">
        <v>10</v>
      </c>
      <c r="R469">
        <v>1</v>
      </c>
      <c r="S469">
        <v>3</v>
      </c>
      <c r="T469">
        <v>1</v>
      </c>
      <c r="U469">
        <v>2</v>
      </c>
      <c r="V469" t="s">
        <v>58</v>
      </c>
      <c r="W469" s="2">
        <v>43318</v>
      </c>
      <c r="Y469" t="s">
        <v>69</v>
      </c>
      <c r="Z469" t="s">
        <v>40</v>
      </c>
      <c r="AA469">
        <v>5</v>
      </c>
      <c r="AB469">
        <v>0</v>
      </c>
      <c r="AC469" t="s">
        <v>41</v>
      </c>
      <c r="AD469" t="s">
        <v>67</v>
      </c>
      <c r="AE469" t="s">
        <v>43</v>
      </c>
      <c r="AF469" s="3">
        <v>626</v>
      </c>
      <c r="AG469" s="3">
        <v>69</v>
      </c>
      <c r="AH469">
        <v>80</v>
      </c>
      <c r="AI469">
        <v>5</v>
      </c>
      <c r="AJ469">
        <v>0</v>
      </c>
      <c r="AL469">
        <v>0</v>
      </c>
      <c r="AM469">
        <v>1</v>
      </c>
      <c r="AN469" t="s">
        <v>768</v>
      </c>
      <c r="AO469" t="s">
        <v>41</v>
      </c>
    </row>
    <row r="470" spans="1:41" x14ac:dyDescent="0.25">
      <c r="A470">
        <v>22</v>
      </c>
      <c r="B470" t="s">
        <v>32</v>
      </c>
      <c r="C470" t="s">
        <v>33</v>
      </c>
      <c r="D470">
        <v>1</v>
      </c>
      <c r="E470" t="s">
        <v>34</v>
      </c>
      <c r="F470">
        <v>3</v>
      </c>
      <c r="G470">
        <v>1</v>
      </c>
      <c r="H470" t="s">
        <v>44</v>
      </c>
      <c r="I470">
        <v>3</v>
      </c>
      <c r="J470" t="s">
        <v>36</v>
      </c>
      <c r="K470">
        <v>3375</v>
      </c>
      <c r="L470">
        <v>0</v>
      </c>
      <c r="M470" t="s">
        <v>41</v>
      </c>
      <c r="N470">
        <v>12</v>
      </c>
      <c r="O470">
        <v>3</v>
      </c>
      <c r="P470">
        <v>0</v>
      </c>
      <c r="Q470">
        <v>4</v>
      </c>
      <c r="R470">
        <v>2</v>
      </c>
      <c r="S470">
        <v>3</v>
      </c>
      <c r="T470">
        <v>1</v>
      </c>
      <c r="U470">
        <v>2</v>
      </c>
      <c r="V470" t="s">
        <v>72</v>
      </c>
      <c r="W470" s="2">
        <v>43101</v>
      </c>
      <c r="Y470" t="s">
        <v>39</v>
      </c>
      <c r="Z470" t="s">
        <v>47</v>
      </c>
      <c r="AA470">
        <v>0</v>
      </c>
      <c r="AB470">
        <v>1</v>
      </c>
      <c r="AC470" t="s">
        <v>41</v>
      </c>
      <c r="AD470" t="s">
        <v>48</v>
      </c>
      <c r="AE470" t="s">
        <v>43</v>
      </c>
      <c r="AF470" s="3">
        <v>630</v>
      </c>
      <c r="AG470" s="3">
        <v>78</v>
      </c>
      <c r="AH470">
        <v>80</v>
      </c>
      <c r="AI470">
        <v>9</v>
      </c>
      <c r="AJ470">
        <v>0</v>
      </c>
      <c r="AL470">
        <v>0</v>
      </c>
      <c r="AM470">
        <v>1</v>
      </c>
      <c r="AN470" t="s">
        <v>768</v>
      </c>
      <c r="AO470" t="s">
        <v>41</v>
      </c>
    </row>
    <row r="471" spans="1:41" x14ac:dyDescent="0.25">
      <c r="A471">
        <v>50</v>
      </c>
      <c r="B471" t="s">
        <v>32</v>
      </c>
      <c r="C471" t="s">
        <v>55</v>
      </c>
      <c r="D471">
        <v>28</v>
      </c>
      <c r="E471" t="s">
        <v>34</v>
      </c>
      <c r="F471">
        <v>2</v>
      </c>
      <c r="G471">
        <v>3</v>
      </c>
      <c r="H471" t="s">
        <v>70</v>
      </c>
      <c r="I471">
        <v>1</v>
      </c>
      <c r="J471" t="s">
        <v>57</v>
      </c>
      <c r="K471">
        <v>10854</v>
      </c>
      <c r="L471">
        <v>4</v>
      </c>
      <c r="M471" t="s">
        <v>31</v>
      </c>
      <c r="N471">
        <v>13</v>
      </c>
      <c r="O471">
        <v>3</v>
      </c>
      <c r="P471">
        <v>1</v>
      </c>
      <c r="Q471">
        <v>20</v>
      </c>
      <c r="R471">
        <v>3</v>
      </c>
      <c r="S471">
        <v>3</v>
      </c>
      <c r="T471">
        <v>2</v>
      </c>
      <c r="U471">
        <v>0</v>
      </c>
      <c r="V471" t="s">
        <v>37</v>
      </c>
      <c r="W471" s="2">
        <v>43408</v>
      </c>
      <c r="Y471" t="s">
        <v>63</v>
      </c>
      <c r="Z471" t="s">
        <v>40</v>
      </c>
      <c r="AA471">
        <v>3</v>
      </c>
      <c r="AB471">
        <v>2</v>
      </c>
      <c r="AC471" t="s">
        <v>31</v>
      </c>
      <c r="AD471" t="s">
        <v>42</v>
      </c>
      <c r="AE471" t="s">
        <v>43</v>
      </c>
      <c r="AF471" s="3">
        <v>631</v>
      </c>
      <c r="AG471" s="3">
        <v>60</v>
      </c>
      <c r="AH471">
        <v>80</v>
      </c>
      <c r="AI471">
        <v>2</v>
      </c>
      <c r="AJ471">
        <v>1</v>
      </c>
      <c r="AK471">
        <v>1</v>
      </c>
      <c r="AL471">
        <v>1</v>
      </c>
      <c r="AM471">
        <v>0</v>
      </c>
      <c r="AN471" t="s">
        <v>767</v>
      </c>
      <c r="AO471" t="s">
        <v>31</v>
      </c>
    </row>
    <row r="472" spans="1:41" x14ac:dyDescent="0.25">
      <c r="A472">
        <v>28</v>
      </c>
      <c r="B472" t="s">
        <v>32</v>
      </c>
      <c r="C472" t="s">
        <v>33</v>
      </c>
      <c r="D472">
        <v>24</v>
      </c>
      <c r="E472" t="s">
        <v>34</v>
      </c>
      <c r="F472">
        <v>2</v>
      </c>
      <c r="G472">
        <v>1</v>
      </c>
      <c r="H472" t="s">
        <v>35</v>
      </c>
      <c r="I472">
        <v>3</v>
      </c>
      <c r="J472" t="s">
        <v>36</v>
      </c>
      <c r="K472">
        <v>2028</v>
      </c>
      <c r="L472">
        <v>5</v>
      </c>
      <c r="M472" t="s">
        <v>31</v>
      </c>
      <c r="N472">
        <v>14</v>
      </c>
      <c r="O472">
        <v>3</v>
      </c>
      <c r="P472">
        <v>0</v>
      </c>
      <c r="Q472">
        <v>6</v>
      </c>
      <c r="R472">
        <v>4</v>
      </c>
      <c r="S472">
        <v>4</v>
      </c>
      <c r="T472">
        <v>0</v>
      </c>
      <c r="U472">
        <v>3</v>
      </c>
      <c r="V472" t="s">
        <v>37</v>
      </c>
      <c r="W472" s="1" t="s">
        <v>268</v>
      </c>
      <c r="Y472" t="s">
        <v>54</v>
      </c>
      <c r="Z472" t="s">
        <v>47</v>
      </c>
      <c r="AA472">
        <v>2</v>
      </c>
      <c r="AB472">
        <v>0</v>
      </c>
      <c r="AC472" t="s">
        <v>41</v>
      </c>
      <c r="AD472" t="s">
        <v>65</v>
      </c>
      <c r="AE472" t="s">
        <v>60</v>
      </c>
      <c r="AF472" s="3">
        <v>632</v>
      </c>
      <c r="AG472" s="3">
        <v>38</v>
      </c>
      <c r="AH472">
        <v>80</v>
      </c>
      <c r="AI472">
        <v>2</v>
      </c>
      <c r="AJ472">
        <v>0</v>
      </c>
      <c r="AL472">
        <v>0</v>
      </c>
      <c r="AM472">
        <v>1</v>
      </c>
      <c r="AN472" t="s">
        <v>768</v>
      </c>
      <c r="AO472" t="s">
        <v>41</v>
      </c>
    </row>
    <row r="473" spans="1:41" x14ac:dyDescent="0.25">
      <c r="A473">
        <v>24</v>
      </c>
      <c r="B473" t="s">
        <v>81</v>
      </c>
      <c r="C473" t="s">
        <v>33</v>
      </c>
      <c r="D473">
        <v>11</v>
      </c>
      <c r="E473" t="s">
        <v>61</v>
      </c>
      <c r="F473">
        <v>4</v>
      </c>
      <c r="G473">
        <v>2</v>
      </c>
      <c r="H473" t="s">
        <v>78</v>
      </c>
      <c r="I473">
        <v>3</v>
      </c>
      <c r="J473" t="s">
        <v>57</v>
      </c>
      <c r="K473">
        <v>4011</v>
      </c>
      <c r="L473">
        <v>0</v>
      </c>
      <c r="M473" t="s">
        <v>41</v>
      </c>
      <c r="N473">
        <v>18</v>
      </c>
      <c r="O473">
        <v>3</v>
      </c>
      <c r="P473">
        <v>1</v>
      </c>
      <c r="Q473">
        <v>5</v>
      </c>
      <c r="R473">
        <v>5</v>
      </c>
      <c r="S473">
        <v>4</v>
      </c>
      <c r="T473">
        <v>1</v>
      </c>
      <c r="U473">
        <v>3</v>
      </c>
      <c r="V473" t="s">
        <v>37</v>
      </c>
      <c r="W473" s="2">
        <v>42859</v>
      </c>
      <c r="Y473" t="s">
        <v>46</v>
      </c>
      <c r="Z473" t="s">
        <v>47</v>
      </c>
      <c r="AA473">
        <v>3</v>
      </c>
      <c r="AB473">
        <v>1</v>
      </c>
      <c r="AC473" t="s">
        <v>31</v>
      </c>
      <c r="AD473" t="s">
        <v>67</v>
      </c>
      <c r="AE473" t="s">
        <v>60</v>
      </c>
      <c r="AF473" s="3">
        <v>634</v>
      </c>
      <c r="AG473" s="3">
        <v>76</v>
      </c>
      <c r="AH473">
        <v>80</v>
      </c>
      <c r="AI473">
        <v>0</v>
      </c>
      <c r="AJ473">
        <v>0</v>
      </c>
      <c r="AL473">
        <v>0</v>
      </c>
      <c r="AM473">
        <v>1</v>
      </c>
      <c r="AN473" t="s">
        <v>768</v>
      </c>
      <c r="AO473" t="s">
        <v>41</v>
      </c>
    </row>
    <row r="474" spans="1:41" x14ac:dyDescent="0.25">
      <c r="A474">
        <v>34</v>
      </c>
      <c r="B474" t="s">
        <v>32</v>
      </c>
      <c r="C474" t="s">
        <v>33</v>
      </c>
      <c r="D474">
        <v>6</v>
      </c>
      <c r="E474" t="s">
        <v>34</v>
      </c>
      <c r="F474">
        <v>3</v>
      </c>
      <c r="G474">
        <v>1</v>
      </c>
      <c r="H474" t="s">
        <v>44</v>
      </c>
      <c r="I474">
        <v>1</v>
      </c>
      <c r="J474" t="s">
        <v>36</v>
      </c>
      <c r="K474">
        <v>2960</v>
      </c>
      <c r="L474">
        <v>2</v>
      </c>
      <c r="M474" t="s">
        <v>41</v>
      </c>
      <c r="N474">
        <v>11</v>
      </c>
      <c r="O474">
        <v>3</v>
      </c>
      <c r="P474">
        <v>0</v>
      </c>
      <c r="Q474">
        <v>8</v>
      </c>
      <c r="R474">
        <v>2</v>
      </c>
      <c r="S474">
        <v>4</v>
      </c>
      <c r="T474">
        <v>1</v>
      </c>
      <c r="U474">
        <v>3</v>
      </c>
      <c r="V474" t="s">
        <v>52</v>
      </c>
      <c r="W474" s="2">
        <v>42859</v>
      </c>
      <c r="Y474" t="s">
        <v>54</v>
      </c>
      <c r="Z474" t="s">
        <v>47</v>
      </c>
      <c r="AA474">
        <v>1</v>
      </c>
      <c r="AB474">
        <v>1</v>
      </c>
      <c r="AC474" t="s">
        <v>31</v>
      </c>
      <c r="AD474" t="s">
        <v>48</v>
      </c>
      <c r="AE474" t="s">
        <v>60</v>
      </c>
      <c r="AF474" s="3">
        <v>635</v>
      </c>
      <c r="AG474" s="3">
        <v>65</v>
      </c>
      <c r="AH474">
        <v>80</v>
      </c>
      <c r="AI474">
        <v>5</v>
      </c>
      <c r="AJ474">
        <v>0</v>
      </c>
      <c r="AL474">
        <v>0</v>
      </c>
      <c r="AM474">
        <v>1</v>
      </c>
      <c r="AN474" t="s">
        <v>768</v>
      </c>
      <c r="AO474" t="s">
        <v>41</v>
      </c>
    </row>
    <row r="475" spans="1:41" x14ac:dyDescent="0.25">
      <c r="A475">
        <v>44</v>
      </c>
      <c r="B475" t="s">
        <v>32</v>
      </c>
      <c r="C475" t="s">
        <v>33</v>
      </c>
      <c r="D475">
        <v>10</v>
      </c>
      <c r="E475" t="s">
        <v>34</v>
      </c>
      <c r="F475">
        <v>3</v>
      </c>
      <c r="G475">
        <v>2</v>
      </c>
      <c r="H475" t="s">
        <v>89</v>
      </c>
      <c r="I475">
        <v>4</v>
      </c>
      <c r="J475" t="s">
        <v>51</v>
      </c>
      <c r="K475">
        <v>6465</v>
      </c>
      <c r="L475">
        <v>2</v>
      </c>
      <c r="M475" t="s">
        <v>31</v>
      </c>
      <c r="N475">
        <v>13</v>
      </c>
      <c r="O475">
        <v>3</v>
      </c>
      <c r="P475">
        <v>0</v>
      </c>
      <c r="Q475">
        <v>9</v>
      </c>
      <c r="R475">
        <v>5</v>
      </c>
      <c r="S475">
        <v>4</v>
      </c>
      <c r="T475">
        <v>1</v>
      </c>
      <c r="U475">
        <v>3</v>
      </c>
      <c r="V475" t="s">
        <v>72</v>
      </c>
      <c r="W475" s="1" t="s">
        <v>269</v>
      </c>
      <c r="Y475" t="s">
        <v>46</v>
      </c>
      <c r="Z475" t="s">
        <v>40</v>
      </c>
      <c r="AA475">
        <v>5</v>
      </c>
      <c r="AB475">
        <v>3</v>
      </c>
      <c r="AC475" t="s">
        <v>31</v>
      </c>
      <c r="AD475" t="s">
        <v>42</v>
      </c>
      <c r="AE475" t="s">
        <v>49</v>
      </c>
      <c r="AF475" s="3">
        <v>638</v>
      </c>
      <c r="AG475" s="3">
        <v>58</v>
      </c>
      <c r="AH475">
        <v>80</v>
      </c>
      <c r="AI475">
        <v>9</v>
      </c>
      <c r="AJ475">
        <v>0</v>
      </c>
      <c r="AL475">
        <v>0</v>
      </c>
      <c r="AM475">
        <v>1</v>
      </c>
      <c r="AN475" t="s">
        <v>768</v>
      </c>
      <c r="AO475" t="s">
        <v>41</v>
      </c>
    </row>
    <row r="476" spans="1:41" x14ac:dyDescent="0.25">
      <c r="A476">
        <v>44</v>
      </c>
      <c r="B476" t="s">
        <v>32</v>
      </c>
      <c r="C476" t="s">
        <v>55</v>
      </c>
      <c r="D476">
        <v>1</v>
      </c>
      <c r="E476" t="s">
        <v>61</v>
      </c>
      <c r="F476">
        <v>3</v>
      </c>
      <c r="G476">
        <v>2</v>
      </c>
      <c r="H476" t="s">
        <v>70</v>
      </c>
      <c r="I476">
        <v>1</v>
      </c>
      <c r="J476" t="s">
        <v>57</v>
      </c>
      <c r="K476">
        <v>5454</v>
      </c>
      <c r="L476">
        <v>5</v>
      </c>
      <c r="M476" t="s">
        <v>31</v>
      </c>
      <c r="N476">
        <v>21</v>
      </c>
      <c r="O476">
        <v>4</v>
      </c>
      <c r="P476">
        <v>1</v>
      </c>
      <c r="Q476">
        <v>9</v>
      </c>
      <c r="R476">
        <v>2</v>
      </c>
      <c r="S476">
        <v>4</v>
      </c>
      <c r="T476">
        <v>1</v>
      </c>
      <c r="U476">
        <v>3</v>
      </c>
      <c r="V476" t="s">
        <v>72</v>
      </c>
      <c r="W476" s="1" t="s">
        <v>270</v>
      </c>
      <c r="Y476" t="s">
        <v>39</v>
      </c>
      <c r="Z476" t="s">
        <v>40</v>
      </c>
      <c r="AA476">
        <v>5</v>
      </c>
      <c r="AB476">
        <v>3</v>
      </c>
      <c r="AC476" t="s">
        <v>31</v>
      </c>
      <c r="AD476" t="s">
        <v>67</v>
      </c>
      <c r="AE476" t="s">
        <v>60</v>
      </c>
      <c r="AF476" s="3">
        <v>639</v>
      </c>
      <c r="AG476" s="3">
        <v>89</v>
      </c>
      <c r="AH476">
        <v>80</v>
      </c>
      <c r="AI476">
        <v>5</v>
      </c>
      <c r="AJ476">
        <v>0</v>
      </c>
      <c r="AL476">
        <v>0</v>
      </c>
      <c r="AM476">
        <v>1</v>
      </c>
      <c r="AN476" t="s">
        <v>768</v>
      </c>
      <c r="AO476" t="s">
        <v>41</v>
      </c>
    </row>
    <row r="477" spans="1:41" x14ac:dyDescent="0.25">
      <c r="A477">
        <v>35</v>
      </c>
      <c r="B477" t="s">
        <v>81</v>
      </c>
      <c r="C477" t="s">
        <v>33</v>
      </c>
      <c r="D477">
        <v>11</v>
      </c>
      <c r="E477" t="s">
        <v>34</v>
      </c>
      <c r="F477">
        <v>2</v>
      </c>
      <c r="G477">
        <v>3</v>
      </c>
      <c r="H477" t="s">
        <v>89</v>
      </c>
      <c r="I477">
        <v>1</v>
      </c>
      <c r="J477" t="s">
        <v>51</v>
      </c>
      <c r="K477">
        <v>9884</v>
      </c>
      <c r="L477">
        <v>2</v>
      </c>
      <c r="M477" t="s">
        <v>31</v>
      </c>
      <c r="N477">
        <v>13</v>
      </c>
      <c r="O477">
        <v>3</v>
      </c>
      <c r="P477">
        <v>1</v>
      </c>
      <c r="Q477">
        <v>10</v>
      </c>
      <c r="R477">
        <v>3</v>
      </c>
      <c r="S477">
        <v>4</v>
      </c>
      <c r="T477">
        <v>2</v>
      </c>
      <c r="U477">
        <v>3</v>
      </c>
      <c r="V477" t="s">
        <v>52</v>
      </c>
      <c r="W477" s="1" t="s">
        <v>271</v>
      </c>
      <c r="Y477" t="s">
        <v>39</v>
      </c>
      <c r="Z477" t="s">
        <v>40</v>
      </c>
      <c r="AA477">
        <v>1</v>
      </c>
      <c r="AB477">
        <v>1</v>
      </c>
      <c r="AC477" t="s">
        <v>31</v>
      </c>
      <c r="AD477" t="s">
        <v>48</v>
      </c>
      <c r="AE477" t="s">
        <v>49</v>
      </c>
      <c r="AF477" s="3">
        <v>641</v>
      </c>
      <c r="AG477" s="3">
        <v>66</v>
      </c>
      <c r="AH477">
        <v>80</v>
      </c>
      <c r="AI477">
        <v>3</v>
      </c>
      <c r="AJ477">
        <v>0</v>
      </c>
      <c r="AL477">
        <v>0</v>
      </c>
      <c r="AM477">
        <v>1</v>
      </c>
      <c r="AN477" t="s">
        <v>768</v>
      </c>
      <c r="AO477" t="s">
        <v>41</v>
      </c>
    </row>
    <row r="478" spans="1:41" x14ac:dyDescent="0.25">
      <c r="A478">
        <v>59</v>
      </c>
      <c r="B478" t="s">
        <v>66</v>
      </c>
      <c r="C478" t="s">
        <v>55</v>
      </c>
      <c r="D478">
        <v>1</v>
      </c>
      <c r="E478" t="s">
        <v>61</v>
      </c>
      <c r="F478">
        <v>2</v>
      </c>
      <c r="G478">
        <v>2</v>
      </c>
      <c r="H478" t="s">
        <v>70</v>
      </c>
      <c r="I478">
        <v>3</v>
      </c>
      <c r="J478" t="s">
        <v>36</v>
      </c>
      <c r="K478">
        <v>5473</v>
      </c>
      <c r="L478">
        <v>7</v>
      </c>
      <c r="M478" t="s">
        <v>41</v>
      </c>
      <c r="N478">
        <v>11</v>
      </c>
      <c r="O478">
        <v>3</v>
      </c>
      <c r="P478">
        <v>0</v>
      </c>
      <c r="Q478">
        <v>20</v>
      </c>
      <c r="R478">
        <v>2</v>
      </c>
      <c r="S478">
        <v>4</v>
      </c>
      <c r="T478">
        <v>1</v>
      </c>
      <c r="U478">
        <v>3</v>
      </c>
      <c r="V478" t="s">
        <v>52</v>
      </c>
      <c r="W478" s="2">
        <v>42919</v>
      </c>
      <c r="Y478" t="s">
        <v>63</v>
      </c>
      <c r="Z478" t="s">
        <v>47</v>
      </c>
      <c r="AA478">
        <v>1</v>
      </c>
      <c r="AB478">
        <v>0</v>
      </c>
      <c r="AC478" t="s">
        <v>31</v>
      </c>
      <c r="AD478" t="s">
        <v>67</v>
      </c>
      <c r="AE478" t="s">
        <v>49</v>
      </c>
      <c r="AF478" s="3">
        <v>643</v>
      </c>
      <c r="AG478" s="3">
        <v>94</v>
      </c>
      <c r="AH478">
        <v>80</v>
      </c>
      <c r="AI478">
        <v>0</v>
      </c>
      <c r="AJ478">
        <v>0</v>
      </c>
      <c r="AL478">
        <v>0</v>
      </c>
      <c r="AM478">
        <v>1</v>
      </c>
      <c r="AN478" t="s">
        <v>768</v>
      </c>
      <c r="AO478" t="s">
        <v>41</v>
      </c>
    </row>
    <row r="479" spans="1:41" x14ac:dyDescent="0.25">
      <c r="A479">
        <v>46</v>
      </c>
      <c r="B479" t="s">
        <v>32</v>
      </c>
      <c r="C479" t="s">
        <v>120</v>
      </c>
      <c r="D479">
        <v>5</v>
      </c>
      <c r="E479" t="s">
        <v>34</v>
      </c>
      <c r="F479">
        <v>3</v>
      </c>
      <c r="G479">
        <v>2</v>
      </c>
      <c r="H479" t="s">
        <v>120</v>
      </c>
      <c r="I479">
        <v>2</v>
      </c>
      <c r="J479" t="s">
        <v>57</v>
      </c>
      <c r="K479">
        <v>5021</v>
      </c>
      <c r="L479">
        <v>8</v>
      </c>
      <c r="M479" t="s">
        <v>31</v>
      </c>
      <c r="N479">
        <v>22</v>
      </c>
      <c r="O479">
        <v>4</v>
      </c>
      <c r="P479">
        <v>1</v>
      </c>
      <c r="Q479">
        <v>16</v>
      </c>
      <c r="R479">
        <v>2</v>
      </c>
      <c r="S479">
        <v>4</v>
      </c>
      <c r="T479">
        <v>0</v>
      </c>
      <c r="U479">
        <v>2</v>
      </c>
      <c r="V479" t="s">
        <v>37</v>
      </c>
      <c r="W479" s="1" t="s">
        <v>272</v>
      </c>
      <c r="Y479" t="s">
        <v>46</v>
      </c>
      <c r="Z479" t="s">
        <v>47</v>
      </c>
      <c r="AA479">
        <v>2</v>
      </c>
      <c r="AB479">
        <v>3</v>
      </c>
      <c r="AC479" t="s">
        <v>41</v>
      </c>
      <c r="AD479" t="s">
        <v>67</v>
      </c>
      <c r="AE479" t="s">
        <v>60</v>
      </c>
      <c r="AF479" s="3">
        <v>644</v>
      </c>
      <c r="AG479" s="3">
        <v>99</v>
      </c>
      <c r="AH479">
        <v>80</v>
      </c>
      <c r="AI479">
        <v>5</v>
      </c>
      <c r="AJ479">
        <v>0</v>
      </c>
      <c r="AL479">
        <v>0</v>
      </c>
      <c r="AM479">
        <v>1</v>
      </c>
      <c r="AN479" t="s">
        <v>768</v>
      </c>
      <c r="AO479" t="s">
        <v>41</v>
      </c>
    </row>
    <row r="480" spans="1:41" x14ac:dyDescent="0.25">
      <c r="A480">
        <v>51</v>
      </c>
      <c r="B480" t="s">
        <v>32</v>
      </c>
      <c r="C480" t="s">
        <v>33</v>
      </c>
      <c r="D480">
        <v>9</v>
      </c>
      <c r="E480" t="s">
        <v>34</v>
      </c>
      <c r="F480">
        <v>3</v>
      </c>
      <c r="G480">
        <v>1</v>
      </c>
      <c r="H480" t="s">
        <v>35</v>
      </c>
      <c r="I480">
        <v>4</v>
      </c>
      <c r="J480" t="s">
        <v>51</v>
      </c>
      <c r="K480">
        <v>2075</v>
      </c>
      <c r="L480">
        <v>3</v>
      </c>
      <c r="M480" t="s">
        <v>41</v>
      </c>
      <c r="N480">
        <v>23</v>
      </c>
      <c r="O480">
        <v>4</v>
      </c>
      <c r="P480">
        <v>2</v>
      </c>
      <c r="Q480">
        <v>10</v>
      </c>
      <c r="R480">
        <v>4</v>
      </c>
      <c r="S480">
        <v>4</v>
      </c>
      <c r="T480">
        <v>0</v>
      </c>
      <c r="U480">
        <v>3</v>
      </c>
      <c r="V480" t="s">
        <v>52</v>
      </c>
      <c r="W480" s="2">
        <v>43041</v>
      </c>
      <c r="Y480" t="s">
        <v>69</v>
      </c>
      <c r="Z480" t="s">
        <v>40</v>
      </c>
      <c r="AA480">
        <v>4</v>
      </c>
      <c r="AB480">
        <v>0</v>
      </c>
      <c r="AC480" t="s">
        <v>31</v>
      </c>
      <c r="AD480" t="s">
        <v>65</v>
      </c>
      <c r="AE480" t="s">
        <v>43</v>
      </c>
      <c r="AF480" s="3">
        <v>645</v>
      </c>
      <c r="AG480" s="3">
        <v>40</v>
      </c>
      <c r="AH480">
        <v>80</v>
      </c>
      <c r="AI480">
        <v>4</v>
      </c>
      <c r="AJ480">
        <v>0</v>
      </c>
      <c r="AL480">
        <v>0</v>
      </c>
      <c r="AM480">
        <v>1</v>
      </c>
      <c r="AN480" t="s">
        <v>768</v>
      </c>
      <c r="AO480" t="s">
        <v>41</v>
      </c>
    </row>
    <row r="481" spans="1:41" x14ac:dyDescent="0.25">
      <c r="A481">
        <v>54</v>
      </c>
      <c r="B481" t="s">
        <v>32</v>
      </c>
      <c r="C481" t="s">
        <v>33</v>
      </c>
      <c r="D481">
        <v>2</v>
      </c>
      <c r="E481" t="s">
        <v>61</v>
      </c>
      <c r="F481">
        <v>3</v>
      </c>
      <c r="G481">
        <v>3</v>
      </c>
      <c r="H481" t="s">
        <v>50</v>
      </c>
      <c r="I481">
        <v>3</v>
      </c>
      <c r="J481" t="s">
        <v>51</v>
      </c>
      <c r="K481">
        <v>13549</v>
      </c>
      <c r="L481">
        <v>9</v>
      </c>
      <c r="M481" t="s">
        <v>41</v>
      </c>
      <c r="N481">
        <v>12</v>
      </c>
      <c r="O481">
        <v>3</v>
      </c>
      <c r="P481">
        <v>1</v>
      </c>
      <c r="Q481">
        <v>16</v>
      </c>
      <c r="R481">
        <v>5</v>
      </c>
      <c r="S481">
        <v>4</v>
      </c>
      <c r="T481">
        <v>0</v>
      </c>
      <c r="U481">
        <v>3</v>
      </c>
      <c r="V481" t="s">
        <v>37</v>
      </c>
      <c r="W481" s="1" t="s">
        <v>273</v>
      </c>
      <c r="Y481" t="s">
        <v>46</v>
      </c>
      <c r="Z481" t="s">
        <v>47</v>
      </c>
      <c r="AA481">
        <v>4</v>
      </c>
      <c r="AB481">
        <v>0</v>
      </c>
      <c r="AC481" t="s">
        <v>41</v>
      </c>
      <c r="AD481" t="s">
        <v>42</v>
      </c>
      <c r="AE481" t="s">
        <v>60</v>
      </c>
      <c r="AF481" s="3">
        <v>647</v>
      </c>
      <c r="AG481" s="3">
        <v>55</v>
      </c>
      <c r="AH481">
        <v>80</v>
      </c>
      <c r="AI481">
        <v>3</v>
      </c>
      <c r="AJ481">
        <v>1</v>
      </c>
      <c r="AK481">
        <v>1</v>
      </c>
      <c r="AL481">
        <v>1</v>
      </c>
      <c r="AM481">
        <v>0</v>
      </c>
      <c r="AN481" t="s">
        <v>767</v>
      </c>
      <c r="AO481" t="s">
        <v>31</v>
      </c>
    </row>
    <row r="482" spans="1:41" x14ac:dyDescent="0.25">
      <c r="A482">
        <v>51</v>
      </c>
      <c r="B482" t="s">
        <v>66</v>
      </c>
      <c r="C482" t="s">
        <v>33</v>
      </c>
      <c r="D482">
        <v>8</v>
      </c>
      <c r="E482" t="s">
        <v>34</v>
      </c>
      <c r="F482">
        <v>1</v>
      </c>
      <c r="G482">
        <v>3</v>
      </c>
      <c r="H482" t="s">
        <v>78</v>
      </c>
      <c r="I482">
        <v>4</v>
      </c>
      <c r="J482" t="s">
        <v>36</v>
      </c>
      <c r="K482">
        <v>10650</v>
      </c>
      <c r="L482">
        <v>2</v>
      </c>
      <c r="M482" t="s">
        <v>41</v>
      </c>
      <c r="N482">
        <v>15</v>
      </c>
      <c r="O482">
        <v>3</v>
      </c>
      <c r="P482">
        <v>0</v>
      </c>
      <c r="Q482">
        <v>18</v>
      </c>
      <c r="R482">
        <v>2</v>
      </c>
      <c r="S482">
        <v>4</v>
      </c>
      <c r="T482">
        <v>0</v>
      </c>
      <c r="U482">
        <v>3</v>
      </c>
      <c r="V482" t="s">
        <v>37</v>
      </c>
      <c r="W482" s="1" t="s">
        <v>274</v>
      </c>
      <c r="Y482" t="s">
        <v>39</v>
      </c>
      <c r="Z482" t="s">
        <v>47</v>
      </c>
      <c r="AA482">
        <v>1</v>
      </c>
      <c r="AB482">
        <v>2</v>
      </c>
      <c r="AC482" t="s">
        <v>31</v>
      </c>
      <c r="AD482" t="s">
        <v>42</v>
      </c>
      <c r="AE482" t="s">
        <v>43</v>
      </c>
      <c r="AF482" s="3">
        <v>648</v>
      </c>
      <c r="AG482" s="3">
        <v>74</v>
      </c>
      <c r="AH482">
        <v>80</v>
      </c>
      <c r="AI482">
        <v>0</v>
      </c>
      <c r="AJ482">
        <v>1</v>
      </c>
      <c r="AK482">
        <v>1</v>
      </c>
      <c r="AL482">
        <v>1</v>
      </c>
      <c r="AM482">
        <v>0</v>
      </c>
      <c r="AN482" t="s">
        <v>767</v>
      </c>
      <c r="AO482" t="s">
        <v>31</v>
      </c>
    </row>
    <row r="483" spans="1:41" x14ac:dyDescent="0.25">
      <c r="A483">
        <v>34</v>
      </c>
      <c r="B483" t="s">
        <v>66</v>
      </c>
      <c r="C483" t="s">
        <v>55</v>
      </c>
      <c r="D483">
        <v>2</v>
      </c>
      <c r="E483" t="s">
        <v>61</v>
      </c>
      <c r="F483">
        <v>3</v>
      </c>
      <c r="G483">
        <v>1</v>
      </c>
      <c r="H483" t="s">
        <v>56</v>
      </c>
      <c r="I483">
        <v>3</v>
      </c>
      <c r="J483" t="s">
        <v>51</v>
      </c>
      <c r="K483">
        <v>2231</v>
      </c>
      <c r="L483">
        <v>6</v>
      </c>
      <c r="M483" t="s">
        <v>41</v>
      </c>
      <c r="N483">
        <v>18</v>
      </c>
      <c r="O483">
        <v>3</v>
      </c>
      <c r="P483">
        <v>1</v>
      </c>
      <c r="Q483">
        <v>6</v>
      </c>
      <c r="R483">
        <v>3</v>
      </c>
      <c r="S483">
        <v>4</v>
      </c>
      <c r="T483">
        <v>1</v>
      </c>
      <c r="U483">
        <v>2</v>
      </c>
      <c r="V483" t="s">
        <v>58</v>
      </c>
      <c r="W483" s="1" t="s">
        <v>275</v>
      </c>
      <c r="Y483" t="s">
        <v>39</v>
      </c>
      <c r="Z483" t="s">
        <v>40</v>
      </c>
      <c r="AA483">
        <v>3</v>
      </c>
      <c r="AB483">
        <v>0</v>
      </c>
      <c r="AC483" t="s">
        <v>41</v>
      </c>
      <c r="AD483" t="s">
        <v>67</v>
      </c>
      <c r="AE483" t="s">
        <v>60</v>
      </c>
      <c r="AF483" s="3">
        <v>649</v>
      </c>
      <c r="AG483" s="3">
        <v>83</v>
      </c>
      <c r="AH483">
        <v>80</v>
      </c>
      <c r="AI483">
        <v>5</v>
      </c>
      <c r="AJ483">
        <v>0</v>
      </c>
      <c r="AL483">
        <v>0</v>
      </c>
      <c r="AM483">
        <v>1</v>
      </c>
      <c r="AN483" t="s">
        <v>768</v>
      </c>
      <c r="AO483" t="s">
        <v>41</v>
      </c>
    </row>
    <row r="484" spans="1:41" x14ac:dyDescent="0.25">
      <c r="A484">
        <v>31</v>
      </c>
      <c r="B484" t="s">
        <v>32</v>
      </c>
      <c r="C484" t="s">
        <v>33</v>
      </c>
      <c r="D484">
        <v>12</v>
      </c>
      <c r="E484" t="s">
        <v>61</v>
      </c>
      <c r="F484">
        <v>3</v>
      </c>
      <c r="G484">
        <v>1</v>
      </c>
      <c r="H484" t="s">
        <v>44</v>
      </c>
      <c r="I484">
        <v>4</v>
      </c>
      <c r="J484" t="s">
        <v>51</v>
      </c>
      <c r="K484">
        <v>3929</v>
      </c>
      <c r="L484">
        <v>8</v>
      </c>
      <c r="M484" t="s">
        <v>31</v>
      </c>
      <c r="N484">
        <v>23</v>
      </c>
      <c r="O484">
        <v>4</v>
      </c>
      <c r="P484">
        <v>1</v>
      </c>
      <c r="Q484">
        <v>7</v>
      </c>
      <c r="R484">
        <v>0</v>
      </c>
      <c r="S484">
        <v>4</v>
      </c>
      <c r="T484">
        <v>0</v>
      </c>
      <c r="U484">
        <v>2</v>
      </c>
      <c r="V484" t="s">
        <v>52</v>
      </c>
      <c r="W484" s="2">
        <v>43071</v>
      </c>
      <c r="Y484" t="s">
        <v>46</v>
      </c>
      <c r="Z484" t="s">
        <v>40</v>
      </c>
      <c r="AA484">
        <v>0</v>
      </c>
      <c r="AB484">
        <v>3</v>
      </c>
      <c r="AC484" t="s">
        <v>31</v>
      </c>
      <c r="AD484" t="s">
        <v>48</v>
      </c>
      <c r="AE484" t="s">
        <v>60</v>
      </c>
      <c r="AF484" s="3">
        <v>650</v>
      </c>
      <c r="AG484" s="3">
        <v>46</v>
      </c>
      <c r="AH484">
        <v>80</v>
      </c>
      <c r="AI484">
        <v>1</v>
      </c>
      <c r="AJ484">
        <v>1</v>
      </c>
      <c r="AK484">
        <v>1</v>
      </c>
      <c r="AL484">
        <v>1</v>
      </c>
      <c r="AM484">
        <v>0</v>
      </c>
      <c r="AN484" t="s">
        <v>767</v>
      </c>
      <c r="AO484" t="s">
        <v>31</v>
      </c>
    </row>
    <row r="485" spans="1:41" x14ac:dyDescent="0.25">
      <c r="A485">
        <v>41</v>
      </c>
      <c r="B485" t="s">
        <v>32</v>
      </c>
      <c r="C485" t="s">
        <v>55</v>
      </c>
      <c r="D485">
        <v>20</v>
      </c>
      <c r="E485" t="s">
        <v>61</v>
      </c>
      <c r="F485">
        <v>3</v>
      </c>
      <c r="G485">
        <v>1</v>
      </c>
      <c r="H485" t="s">
        <v>56</v>
      </c>
      <c r="I485">
        <v>2</v>
      </c>
      <c r="J485" t="s">
        <v>36</v>
      </c>
      <c r="K485">
        <v>3140</v>
      </c>
      <c r="L485">
        <v>1</v>
      </c>
      <c r="M485" t="s">
        <v>31</v>
      </c>
      <c r="N485">
        <v>22</v>
      </c>
      <c r="O485">
        <v>4</v>
      </c>
      <c r="P485">
        <v>0</v>
      </c>
      <c r="Q485">
        <v>4</v>
      </c>
      <c r="R485">
        <v>5</v>
      </c>
      <c r="S485">
        <v>4</v>
      </c>
      <c r="T485">
        <v>0</v>
      </c>
      <c r="U485">
        <v>2</v>
      </c>
      <c r="V485" t="s">
        <v>52</v>
      </c>
      <c r="W485" s="2">
        <v>42798</v>
      </c>
      <c r="Y485" t="s">
        <v>63</v>
      </c>
      <c r="Z485" t="s">
        <v>47</v>
      </c>
      <c r="AA485">
        <v>3</v>
      </c>
      <c r="AB485">
        <v>0</v>
      </c>
      <c r="AC485" t="s">
        <v>31</v>
      </c>
      <c r="AD485" t="s">
        <v>48</v>
      </c>
      <c r="AE485" t="s">
        <v>60</v>
      </c>
      <c r="AF485" s="3">
        <v>652</v>
      </c>
      <c r="AG485" s="3">
        <v>54</v>
      </c>
      <c r="AH485">
        <v>80</v>
      </c>
      <c r="AI485">
        <v>2</v>
      </c>
      <c r="AJ485">
        <v>0</v>
      </c>
      <c r="AL485">
        <v>0</v>
      </c>
      <c r="AM485">
        <v>1</v>
      </c>
      <c r="AN485" t="s">
        <v>768</v>
      </c>
      <c r="AO485" t="s">
        <v>41</v>
      </c>
    </row>
    <row r="486" spans="1:41" x14ac:dyDescent="0.25">
      <c r="A486">
        <v>53</v>
      </c>
      <c r="B486" t="s">
        <v>32</v>
      </c>
      <c r="C486" t="s">
        <v>33</v>
      </c>
      <c r="D486">
        <v>13</v>
      </c>
      <c r="E486" t="s">
        <v>61</v>
      </c>
      <c r="F486">
        <v>4</v>
      </c>
      <c r="G486">
        <v>2</v>
      </c>
      <c r="H486" t="s">
        <v>78</v>
      </c>
      <c r="I486">
        <v>1</v>
      </c>
      <c r="J486" t="s">
        <v>57</v>
      </c>
      <c r="K486">
        <v>4450</v>
      </c>
      <c r="L486">
        <v>1</v>
      </c>
      <c r="M486" t="s">
        <v>41</v>
      </c>
      <c r="N486">
        <v>11</v>
      </c>
      <c r="O486">
        <v>3</v>
      </c>
      <c r="P486">
        <v>2</v>
      </c>
      <c r="Q486">
        <v>5</v>
      </c>
      <c r="R486">
        <v>3</v>
      </c>
      <c r="S486">
        <v>4</v>
      </c>
      <c r="T486">
        <v>1</v>
      </c>
      <c r="U486">
        <v>3</v>
      </c>
      <c r="V486" t="s">
        <v>72</v>
      </c>
      <c r="W486" s="1" t="s">
        <v>276</v>
      </c>
      <c r="Y486" t="s">
        <v>54</v>
      </c>
      <c r="Z486" t="s">
        <v>40</v>
      </c>
      <c r="AA486">
        <v>1</v>
      </c>
      <c r="AB486">
        <v>2</v>
      </c>
      <c r="AC486" t="s">
        <v>41</v>
      </c>
      <c r="AD486" t="s">
        <v>67</v>
      </c>
      <c r="AE486" t="s">
        <v>43</v>
      </c>
      <c r="AF486" s="3">
        <v>653</v>
      </c>
      <c r="AG486" s="3">
        <v>66</v>
      </c>
      <c r="AH486">
        <v>80</v>
      </c>
      <c r="AI486">
        <v>7</v>
      </c>
      <c r="AJ486">
        <v>0</v>
      </c>
      <c r="AL486">
        <v>0</v>
      </c>
      <c r="AM486">
        <v>1</v>
      </c>
      <c r="AN486" t="s">
        <v>768</v>
      </c>
      <c r="AO486" t="s">
        <v>41</v>
      </c>
    </row>
    <row r="487" spans="1:41" x14ac:dyDescent="0.25">
      <c r="A487">
        <v>22</v>
      </c>
      <c r="B487" t="s">
        <v>32</v>
      </c>
      <c r="C487" t="s">
        <v>33</v>
      </c>
      <c r="D487">
        <v>5</v>
      </c>
      <c r="E487" t="s">
        <v>34</v>
      </c>
      <c r="F487">
        <v>4</v>
      </c>
      <c r="G487">
        <v>1</v>
      </c>
      <c r="H487" t="s">
        <v>44</v>
      </c>
      <c r="I487">
        <v>2</v>
      </c>
      <c r="J487" t="s">
        <v>57</v>
      </c>
      <c r="K487">
        <v>2328</v>
      </c>
      <c r="L487">
        <v>1</v>
      </c>
      <c r="M487" t="s">
        <v>31</v>
      </c>
      <c r="N487">
        <v>16</v>
      </c>
      <c r="O487">
        <v>3</v>
      </c>
      <c r="P487">
        <v>1</v>
      </c>
      <c r="Q487">
        <v>4</v>
      </c>
      <c r="R487">
        <v>2</v>
      </c>
      <c r="S487">
        <v>4</v>
      </c>
      <c r="T487">
        <v>2</v>
      </c>
      <c r="U487">
        <v>2</v>
      </c>
      <c r="V487" t="s">
        <v>37</v>
      </c>
      <c r="W487" s="1" t="s">
        <v>277</v>
      </c>
      <c r="Y487" t="s">
        <v>69</v>
      </c>
      <c r="Z487" t="s">
        <v>47</v>
      </c>
      <c r="AA487">
        <v>4</v>
      </c>
      <c r="AB487">
        <v>2</v>
      </c>
      <c r="AC487" t="s">
        <v>41</v>
      </c>
      <c r="AD487" t="s">
        <v>65</v>
      </c>
      <c r="AE487" t="s">
        <v>60</v>
      </c>
      <c r="AF487" s="3">
        <v>655</v>
      </c>
      <c r="AG487" s="3">
        <v>66</v>
      </c>
      <c r="AH487">
        <v>80</v>
      </c>
      <c r="AI487">
        <v>3</v>
      </c>
      <c r="AJ487">
        <v>0</v>
      </c>
      <c r="AL487">
        <v>0</v>
      </c>
      <c r="AM487">
        <v>1</v>
      </c>
      <c r="AN487" t="s">
        <v>768</v>
      </c>
      <c r="AO487" t="s">
        <v>41</v>
      </c>
    </row>
    <row r="488" spans="1:41" x14ac:dyDescent="0.25">
      <c r="A488">
        <v>46</v>
      </c>
      <c r="B488" t="s">
        <v>32</v>
      </c>
      <c r="C488" t="s">
        <v>33</v>
      </c>
      <c r="D488">
        <v>1</v>
      </c>
      <c r="E488" t="s">
        <v>34</v>
      </c>
      <c r="F488">
        <v>3</v>
      </c>
      <c r="G488">
        <v>3</v>
      </c>
      <c r="H488" t="s">
        <v>89</v>
      </c>
      <c r="I488">
        <v>1</v>
      </c>
      <c r="J488" t="s">
        <v>57</v>
      </c>
      <c r="K488">
        <v>9396</v>
      </c>
      <c r="L488">
        <v>7</v>
      </c>
      <c r="M488" t="s">
        <v>41</v>
      </c>
      <c r="N488">
        <v>16</v>
      </c>
      <c r="O488">
        <v>3</v>
      </c>
      <c r="P488">
        <v>1</v>
      </c>
      <c r="Q488">
        <v>17</v>
      </c>
      <c r="R488">
        <v>3</v>
      </c>
      <c r="S488">
        <v>4</v>
      </c>
      <c r="T488">
        <v>0</v>
      </c>
      <c r="U488">
        <v>3</v>
      </c>
      <c r="V488" t="s">
        <v>72</v>
      </c>
      <c r="W488" s="1" t="s">
        <v>278</v>
      </c>
      <c r="Y488" t="s">
        <v>39</v>
      </c>
      <c r="Z488" t="s">
        <v>40</v>
      </c>
      <c r="AA488">
        <v>4</v>
      </c>
      <c r="AB488">
        <v>3</v>
      </c>
      <c r="AC488" t="s">
        <v>41</v>
      </c>
      <c r="AD488" t="s">
        <v>42</v>
      </c>
      <c r="AE488" t="s">
        <v>43</v>
      </c>
      <c r="AF488" s="3">
        <v>656</v>
      </c>
      <c r="AG488" s="3">
        <v>75</v>
      </c>
      <c r="AH488">
        <v>80</v>
      </c>
      <c r="AI488">
        <v>0</v>
      </c>
      <c r="AJ488">
        <v>0</v>
      </c>
      <c r="AL488">
        <v>0</v>
      </c>
      <c r="AM488">
        <v>1</v>
      </c>
      <c r="AN488" t="s">
        <v>768</v>
      </c>
      <c r="AO488" t="s">
        <v>41</v>
      </c>
    </row>
    <row r="489" spans="1:41" x14ac:dyDescent="0.25">
      <c r="A489">
        <v>29</v>
      </c>
      <c r="B489" t="s">
        <v>32</v>
      </c>
      <c r="C489" t="s">
        <v>33</v>
      </c>
      <c r="D489">
        <v>18</v>
      </c>
      <c r="E489" t="s">
        <v>34</v>
      </c>
      <c r="F489">
        <v>2</v>
      </c>
      <c r="G489">
        <v>1</v>
      </c>
      <c r="H489" t="s">
        <v>44</v>
      </c>
      <c r="I489">
        <v>4</v>
      </c>
      <c r="J489" t="s">
        <v>36</v>
      </c>
      <c r="K489">
        <v>2389</v>
      </c>
      <c r="L489">
        <v>1</v>
      </c>
      <c r="M489" t="s">
        <v>31</v>
      </c>
      <c r="N489">
        <v>13</v>
      </c>
      <c r="O489">
        <v>3</v>
      </c>
      <c r="P489">
        <v>0</v>
      </c>
      <c r="Q489">
        <v>4</v>
      </c>
      <c r="R489">
        <v>3</v>
      </c>
      <c r="S489">
        <v>4</v>
      </c>
      <c r="T489">
        <v>0</v>
      </c>
      <c r="U489">
        <v>1</v>
      </c>
      <c r="V489" t="s">
        <v>58</v>
      </c>
      <c r="W489" s="2">
        <v>42856</v>
      </c>
      <c r="Y489" t="s">
        <v>39</v>
      </c>
      <c r="Z489" t="s">
        <v>40</v>
      </c>
      <c r="AA489">
        <v>4</v>
      </c>
      <c r="AB489">
        <v>2</v>
      </c>
      <c r="AC489" t="s">
        <v>31</v>
      </c>
      <c r="AD489" t="s">
        <v>42</v>
      </c>
      <c r="AE489" t="s">
        <v>43</v>
      </c>
      <c r="AF489" s="3">
        <v>657</v>
      </c>
      <c r="AG489" s="3">
        <v>83</v>
      </c>
      <c r="AH489">
        <v>80</v>
      </c>
      <c r="AI489">
        <v>0</v>
      </c>
      <c r="AJ489">
        <v>0</v>
      </c>
      <c r="AL489">
        <v>0</v>
      </c>
      <c r="AM489">
        <v>1</v>
      </c>
      <c r="AN489" t="s">
        <v>768</v>
      </c>
      <c r="AO489" t="s">
        <v>41</v>
      </c>
    </row>
    <row r="490" spans="1:41" x14ac:dyDescent="0.25">
      <c r="A490">
        <v>32</v>
      </c>
      <c r="B490" t="s">
        <v>32</v>
      </c>
      <c r="C490" t="s">
        <v>55</v>
      </c>
      <c r="D490">
        <v>4</v>
      </c>
      <c r="E490" t="s">
        <v>61</v>
      </c>
      <c r="F490">
        <v>3</v>
      </c>
      <c r="G490">
        <v>1</v>
      </c>
      <c r="H490" t="s">
        <v>56</v>
      </c>
      <c r="I490">
        <v>2</v>
      </c>
      <c r="J490" t="s">
        <v>51</v>
      </c>
      <c r="K490">
        <v>3931</v>
      </c>
      <c r="L490">
        <v>2</v>
      </c>
      <c r="M490" t="s">
        <v>41</v>
      </c>
      <c r="N490">
        <v>11</v>
      </c>
      <c r="O490">
        <v>3</v>
      </c>
      <c r="P490">
        <v>1</v>
      </c>
      <c r="Q490">
        <v>6</v>
      </c>
      <c r="R490">
        <v>5</v>
      </c>
      <c r="S490">
        <v>4</v>
      </c>
      <c r="T490">
        <v>1</v>
      </c>
      <c r="U490">
        <v>2</v>
      </c>
      <c r="V490" t="s">
        <v>52</v>
      </c>
      <c r="W490" s="2">
        <v>43044</v>
      </c>
      <c r="Y490" t="s">
        <v>69</v>
      </c>
      <c r="Z490" t="s">
        <v>47</v>
      </c>
      <c r="AA490">
        <v>2</v>
      </c>
      <c r="AB490">
        <v>1</v>
      </c>
      <c r="AC490" t="s">
        <v>41</v>
      </c>
      <c r="AD490" t="s">
        <v>48</v>
      </c>
      <c r="AE490" t="s">
        <v>60</v>
      </c>
      <c r="AF490" s="3">
        <v>659</v>
      </c>
      <c r="AG490" s="3">
        <v>81</v>
      </c>
      <c r="AH490">
        <v>80</v>
      </c>
      <c r="AI490">
        <v>2</v>
      </c>
      <c r="AJ490">
        <v>0</v>
      </c>
      <c r="AL490">
        <v>0</v>
      </c>
      <c r="AM490">
        <v>1</v>
      </c>
      <c r="AN490" t="s">
        <v>768</v>
      </c>
      <c r="AO490" t="s">
        <v>41</v>
      </c>
    </row>
    <row r="491" spans="1:41" x14ac:dyDescent="0.25">
      <c r="A491">
        <v>25</v>
      </c>
      <c r="B491" t="s">
        <v>32</v>
      </c>
      <c r="C491" t="s">
        <v>33</v>
      </c>
      <c r="D491">
        <v>1</v>
      </c>
      <c r="E491" t="s">
        <v>61</v>
      </c>
      <c r="F491">
        <v>3</v>
      </c>
      <c r="G491">
        <v>2</v>
      </c>
      <c r="H491" t="s">
        <v>78</v>
      </c>
      <c r="I491">
        <v>3</v>
      </c>
      <c r="J491" t="s">
        <v>51</v>
      </c>
      <c r="K491">
        <v>4898</v>
      </c>
      <c r="L491">
        <v>0</v>
      </c>
      <c r="M491" t="s">
        <v>41</v>
      </c>
      <c r="N491">
        <v>12</v>
      </c>
      <c r="O491">
        <v>3</v>
      </c>
      <c r="P491">
        <v>2</v>
      </c>
      <c r="Q491">
        <v>5</v>
      </c>
      <c r="R491">
        <v>3</v>
      </c>
      <c r="S491">
        <v>4</v>
      </c>
      <c r="T491">
        <v>1</v>
      </c>
      <c r="U491">
        <v>2</v>
      </c>
      <c r="V491" t="s">
        <v>37</v>
      </c>
      <c r="W491" s="2">
        <v>42828</v>
      </c>
      <c r="Y491" t="s">
        <v>46</v>
      </c>
      <c r="Z491" t="s">
        <v>40</v>
      </c>
      <c r="AA491">
        <v>4</v>
      </c>
      <c r="AB491">
        <v>2</v>
      </c>
      <c r="AC491" t="s">
        <v>31</v>
      </c>
      <c r="AD491" t="s">
        <v>65</v>
      </c>
      <c r="AE491" t="s">
        <v>49</v>
      </c>
      <c r="AF491" s="3">
        <v>661</v>
      </c>
      <c r="AG491" s="3">
        <v>50</v>
      </c>
      <c r="AH491">
        <v>80</v>
      </c>
      <c r="AI491">
        <v>0</v>
      </c>
      <c r="AJ491">
        <v>0</v>
      </c>
      <c r="AL491">
        <v>0</v>
      </c>
      <c r="AM491">
        <v>1</v>
      </c>
      <c r="AN491" t="s">
        <v>768</v>
      </c>
      <c r="AO491" t="s">
        <v>41</v>
      </c>
    </row>
    <row r="492" spans="1:41" x14ac:dyDescent="0.25">
      <c r="A492">
        <v>37</v>
      </c>
      <c r="B492" t="s">
        <v>66</v>
      </c>
      <c r="C492" t="s">
        <v>33</v>
      </c>
      <c r="D492">
        <v>9</v>
      </c>
      <c r="E492" t="s">
        <v>34</v>
      </c>
      <c r="F492">
        <v>3</v>
      </c>
      <c r="G492">
        <v>1</v>
      </c>
      <c r="H492" t="s">
        <v>44</v>
      </c>
      <c r="I492">
        <v>4</v>
      </c>
      <c r="J492" t="s">
        <v>51</v>
      </c>
      <c r="K492">
        <v>2326</v>
      </c>
      <c r="L492">
        <v>1</v>
      </c>
      <c r="M492" t="s">
        <v>31</v>
      </c>
      <c r="N492">
        <v>12</v>
      </c>
      <c r="O492">
        <v>3</v>
      </c>
      <c r="P492">
        <v>3</v>
      </c>
      <c r="Q492">
        <v>4</v>
      </c>
      <c r="R492">
        <v>3</v>
      </c>
      <c r="S492">
        <v>4</v>
      </c>
      <c r="T492">
        <v>1</v>
      </c>
      <c r="U492">
        <v>2</v>
      </c>
      <c r="V492" t="s">
        <v>72</v>
      </c>
      <c r="W492" s="2">
        <v>42921</v>
      </c>
      <c r="Y492" t="s">
        <v>46</v>
      </c>
      <c r="Z492" t="s">
        <v>47</v>
      </c>
      <c r="AA492">
        <v>0</v>
      </c>
      <c r="AB492">
        <v>1</v>
      </c>
      <c r="AC492" t="s">
        <v>31</v>
      </c>
      <c r="AD492" t="s">
        <v>48</v>
      </c>
      <c r="AE492" t="s">
        <v>60</v>
      </c>
      <c r="AF492" s="3">
        <v>662</v>
      </c>
      <c r="AG492" s="3">
        <v>43</v>
      </c>
      <c r="AH492">
        <v>80</v>
      </c>
      <c r="AI492">
        <v>0</v>
      </c>
      <c r="AJ492">
        <v>0</v>
      </c>
      <c r="AL492">
        <v>0</v>
      </c>
      <c r="AM492">
        <v>1</v>
      </c>
      <c r="AN492" t="s">
        <v>768</v>
      </c>
      <c r="AO492" t="s">
        <v>41</v>
      </c>
    </row>
    <row r="493" spans="1:41" x14ac:dyDescent="0.25">
      <c r="A493">
        <v>51</v>
      </c>
      <c r="B493" t="s">
        <v>32</v>
      </c>
      <c r="C493" t="s">
        <v>33</v>
      </c>
      <c r="D493">
        <v>2</v>
      </c>
      <c r="E493" t="s">
        <v>34</v>
      </c>
      <c r="F493">
        <v>1</v>
      </c>
      <c r="G493">
        <v>2</v>
      </c>
      <c r="H493" t="s">
        <v>78</v>
      </c>
      <c r="I493">
        <v>2</v>
      </c>
      <c r="J493" t="s">
        <v>57</v>
      </c>
      <c r="K493">
        <v>5482</v>
      </c>
      <c r="L493">
        <v>5</v>
      </c>
      <c r="M493" t="s">
        <v>41</v>
      </c>
      <c r="N493">
        <v>18</v>
      </c>
      <c r="O493">
        <v>3</v>
      </c>
      <c r="P493">
        <v>1</v>
      </c>
      <c r="Q493">
        <v>13</v>
      </c>
      <c r="R493">
        <v>3</v>
      </c>
      <c r="S493">
        <v>4</v>
      </c>
      <c r="T493">
        <v>1</v>
      </c>
      <c r="U493">
        <v>2</v>
      </c>
      <c r="V493" t="s">
        <v>72</v>
      </c>
      <c r="W493" s="1" t="s">
        <v>279</v>
      </c>
      <c r="Y493" t="s">
        <v>54</v>
      </c>
      <c r="Z493" t="s">
        <v>40</v>
      </c>
      <c r="AA493">
        <v>2</v>
      </c>
      <c r="AB493">
        <v>3</v>
      </c>
      <c r="AC493" t="s">
        <v>41</v>
      </c>
      <c r="AD493" t="s">
        <v>48</v>
      </c>
      <c r="AE493" t="s">
        <v>43</v>
      </c>
      <c r="AF493" s="3">
        <v>663</v>
      </c>
      <c r="AG493" s="3">
        <v>72</v>
      </c>
      <c r="AH493">
        <v>80</v>
      </c>
      <c r="AI493">
        <v>7</v>
      </c>
      <c r="AJ493">
        <v>0</v>
      </c>
      <c r="AL493">
        <v>0</v>
      </c>
      <c r="AM493">
        <v>1</v>
      </c>
      <c r="AN493" t="s">
        <v>768</v>
      </c>
      <c r="AO493" t="s">
        <v>41</v>
      </c>
    </row>
    <row r="494" spans="1:41" x14ac:dyDescent="0.25">
      <c r="A494">
        <v>27</v>
      </c>
      <c r="B494" t="s">
        <v>32</v>
      </c>
      <c r="C494" t="s">
        <v>33</v>
      </c>
      <c r="D494">
        <v>5</v>
      </c>
      <c r="E494" t="s">
        <v>61</v>
      </c>
      <c r="F494">
        <v>3</v>
      </c>
      <c r="G494">
        <v>1</v>
      </c>
      <c r="H494" t="s">
        <v>44</v>
      </c>
      <c r="I494">
        <v>2</v>
      </c>
      <c r="J494" t="s">
        <v>36</v>
      </c>
      <c r="K494">
        <v>2478</v>
      </c>
      <c r="L494">
        <v>1</v>
      </c>
      <c r="M494" t="s">
        <v>31</v>
      </c>
      <c r="N494">
        <v>12</v>
      </c>
      <c r="O494">
        <v>3</v>
      </c>
      <c r="P494">
        <v>0</v>
      </c>
      <c r="Q494">
        <v>4</v>
      </c>
      <c r="R494">
        <v>2</v>
      </c>
      <c r="S494">
        <v>4</v>
      </c>
      <c r="T494">
        <v>1</v>
      </c>
      <c r="U494">
        <v>2</v>
      </c>
      <c r="V494" t="s">
        <v>52</v>
      </c>
      <c r="W494" s="2">
        <v>43075</v>
      </c>
      <c r="Y494" t="s">
        <v>63</v>
      </c>
      <c r="Z494" t="s">
        <v>47</v>
      </c>
      <c r="AA494">
        <v>0</v>
      </c>
      <c r="AB494">
        <v>1</v>
      </c>
      <c r="AC494" t="s">
        <v>41</v>
      </c>
      <c r="AD494" t="s">
        <v>42</v>
      </c>
      <c r="AE494" t="s">
        <v>43</v>
      </c>
      <c r="AF494" s="3">
        <v>664</v>
      </c>
      <c r="AG494" s="3">
        <v>40</v>
      </c>
      <c r="AH494">
        <v>80</v>
      </c>
      <c r="AI494">
        <v>2</v>
      </c>
      <c r="AJ494">
        <v>0</v>
      </c>
      <c r="AL494">
        <v>0</v>
      </c>
      <c r="AM494">
        <v>1</v>
      </c>
      <c r="AN494" t="s">
        <v>768</v>
      </c>
      <c r="AO494" t="s">
        <v>41</v>
      </c>
    </row>
    <row r="495" spans="1:41" x14ac:dyDescent="0.25">
      <c r="A495">
        <v>54</v>
      </c>
      <c r="B495" t="s">
        <v>66</v>
      </c>
      <c r="C495" t="s">
        <v>33</v>
      </c>
      <c r="D495">
        <v>20</v>
      </c>
      <c r="E495" t="s">
        <v>61</v>
      </c>
      <c r="F495">
        <v>3</v>
      </c>
      <c r="G495">
        <v>2</v>
      </c>
      <c r="H495" t="s">
        <v>44</v>
      </c>
      <c r="I495">
        <v>3</v>
      </c>
      <c r="J495" t="s">
        <v>36</v>
      </c>
      <c r="K495">
        <v>4869</v>
      </c>
      <c r="L495">
        <v>3</v>
      </c>
      <c r="M495" t="s">
        <v>41</v>
      </c>
      <c r="N495">
        <v>12</v>
      </c>
      <c r="O495">
        <v>3</v>
      </c>
      <c r="P495">
        <v>0</v>
      </c>
      <c r="Q495">
        <v>20</v>
      </c>
      <c r="R495">
        <v>4</v>
      </c>
      <c r="S495">
        <v>4</v>
      </c>
      <c r="T495">
        <v>0</v>
      </c>
      <c r="U495">
        <v>3</v>
      </c>
      <c r="V495" t="s">
        <v>58</v>
      </c>
      <c r="W495" s="2">
        <v>42798</v>
      </c>
      <c r="Y495" t="s">
        <v>63</v>
      </c>
      <c r="Z495" t="s">
        <v>47</v>
      </c>
      <c r="AA495">
        <v>2</v>
      </c>
      <c r="AB495">
        <v>1</v>
      </c>
      <c r="AC495" t="s">
        <v>41</v>
      </c>
      <c r="AD495" t="s">
        <v>42</v>
      </c>
      <c r="AE495" t="s">
        <v>43</v>
      </c>
      <c r="AF495" s="3">
        <v>665</v>
      </c>
      <c r="AG495" s="3">
        <v>50</v>
      </c>
      <c r="AH495">
        <v>80</v>
      </c>
      <c r="AI495">
        <v>2</v>
      </c>
      <c r="AJ495">
        <v>0</v>
      </c>
      <c r="AL495">
        <v>0</v>
      </c>
      <c r="AM495">
        <v>1</v>
      </c>
      <c r="AN495" t="s">
        <v>768</v>
      </c>
      <c r="AO495" t="s">
        <v>41</v>
      </c>
    </row>
    <row r="496" spans="1:41" x14ac:dyDescent="0.25">
      <c r="A496">
        <v>40</v>
      </c>
      <c r="B496" t="s">
        <v>32</v>
      </c>
      <c r="C496" t="s">
        <v>55</v>
      </c>
      <c r="D496">
        <v>1</v>
      </c>
      <c r="E496" t="s">
        <v>34</v>
      </c>
      <c r="F496">
        <v>1</v>
      </c>
      <c r="G496">
        <v>2</v>
      </c>
      <c r="H496" t="s">
        <v>70</v>
      </c>
      <c r="I496">
        <v>4</v>
      </c>
      <c r="J496" t="s">
        <v>51</v>
      </c>
      <c r="K496">
        <v>7457</v>
      </c>
      <c r="L496">
        <v>2</v>
      </c>
      <c r="M496" t="s">
        <v>31</v>
      </c>
      <c r="N496">
        <v>22</v>
      </c>
      <c r="O496">
        <v>4</v>
      </c>
      <c r="P496">
        <v>3</v>
      </c>
      <c r="Q496">
        <v>6</v>
      </c>
      <c r="R496">
        <v>2</v>
      </c>
      <c r="S496">
        <v>4</v>
      </c>
      <c r="T496">
        <v>0</v>
      </c>
      <c r="U496">
        <v>2</v>
      </c>
      <c r="V496" t="s">
        <v>52</v>
      </c>
      <c r="W496" s="1" t="s">
        <v>280</v>
      </c>
      <c r="Y496" t="s">
        <v>69</v>
      </c>
      <c r="Z496" t="s">
        <v>47</v>
      </c>
      <c r="AA496">
        <v>0</v>
      </c>
      <c r="AB496">
        <v>3</v>
      </c>
      <c r="AC496" t="s">
        <v>31</v>
      </c>
      <c r="AD496" t="s">
        <v>42</v>
      </c>
      <c r="AE496" t="s">
        <v>43</v>
      </c>
      <c r="AF496" s="3">
        <v>666</v>
      </c>
      <c r="AG496" s="3">
        <v>31</v>
      </c>
      <c r="AH496">
        <v>80</v>
      </c>
      <c r="AI496">
        <v>2</v>
      </c>
      <c r="AJ496">
        <v>0</v>
      </c>
      <c r="AL496">
        <v>0</v>
      </c>
      <c r="AM496">
        <v>1</v>
      </c>
      <c r="AN496" t="s">
        <v>768</v>
      </c>
      <c r="AO496" t="s">
        <v>41</v>
      </c>
    </row>
    <row r="497" spans="1:41" x14ac:dyDescent="0.25">
      <c r="A497">
        <v>23</v>
      </c>
      <c r="B497" t="s">
        <v>32</v>
      </c>
      <c r="C497" t="s">
        <v>33</v>
      </c>
      <c r="D497">
        <v>26</v>
      </c>
      <c r="E497" t="s">
        <v>34</v>
      </c>
      <c r="F497">
        <v>3</v>
      </c>
      <c r="G497">
        <v>1</v>
      </c>
      <c r="H497" t="s">
        <v>44</v>
      </c>
      <c r="I497">
        <v>4</v>
      </c>
      <c r="J497" t="s">
        <v>57</v>
      </c>
      <c r="K497">
        <v>2904</v>
      </c>
      <c r="L497">
        <v>1</v>
      </c>
      <c r="M497" t="s">
        <v>41</v>
      </c>
      <c r="N497">
        <v>12</v>
      </c>
      <c r="O497">
        <v>3</v>
      </c>
      <c r="P497">
        <v>2</v>
      </c>
      <c r="Q497">
        <v>4</v>
      </c>
      <c r="R497">
        <v>2</v>
      </c>
      <c r="S497">
        <v>4</v>
      </c>
      <c r="T497">
        <v>0</v>
      </c>
      <c r="U497">
        <v>2</v>
      </c>
      <c r="V497" t="s">
        <v>37</v>
      </c>
      <c r="W497" s="1" t="s">
        <v>281</v>
      </c>
      <c r="Y497" t="s">
        <v>54</v>
      </c>
      <c r="Z497" t="s">
        <v>40</v>
      </c>
      <c r="AA497">
        <v>0</v>
      </c>
      <c r="AB497">
        <v>2</v>
      </c>
      <c r="AC497" t="s">
        <v>31</v>
      </c>
      <c r="AD497" t="s">
        <v>42</v>
      </c>
      <c r="AE497" t="s">
        <v>60</v>
      </c>
      <c r="AF497" s="3">
        <v>667</v>
      </c>
      <c r="AG497" s="3">
        <v>85</v>
      </c>
      <c r="AH497">
        <v>80</v>
      </c>
      <c r="AI497">
        <v>3</v>
      </c>
      <c r="AJ497">
        <v>1</v>
      </c>
      <c r="AK497">
        <v>1</v>
      </c>
      <c r="AL497">
        <v>1</v>
      </c>
      <c r="AM497">
        <v>0</v>
      </c>
      <c r="AN497" t="s">
        <v>767</v>
      </c>
      <c r="AO497" t="s">
        <v>31</v>
      </c>
    </row>
    <row r="498" spans="1:41" x14ac:dyDescent="0.25">
      <c r="A498">
        <v>29</v>
      </c>
      <c r="B498" t="s">
        <v>81</v>
      </c>
      <c r="C498" t="s">
        <v>55</v>
      </c>
      <c r="D498">
        <v>2</v>
      </c>
      <c r="E498" t="s">
        <v>34</v>
      </c>
      <c r="F498">
        <v>3</v>
      </c>
      <c r="G498">
        <v>2</v>
      </c>
      <c r="H498" t="s">
        <v>70</v>
      </c>
      <c r="I498">
        <v>3</v>
      </c>
      <c r="J498" t="s">
        <v>51</v>
      </c>
      <c r="K498">
        <v>4649</v>
      </c>
      <c r="L498">
        <v>1</v>
      </c>
      <c r="M498" t="s">
        <v>41</v>
      </c>
      <c r="N498">
        <v>14</v>
      </c>
      <c r="O498">
        <v>3</v>
      </c>
      <c r="P498">
        <v>1</v>
      </c>
      <c r="Q498">
        <v>4</v>
      </c>
      <c r="R498">
        <v>3</v>
      </c>
      <c r="S498">
        <v>4</v>
      </c>
      <c r="T498">
        <v>0</v>
      </c>
      <c r="U498">
        <v>2</v>
      </c>
      <c r="V498" t="s">
        <v>52</v>
      </c>
      <c r="W498" s="1" t="s">
        <v>282</v>
      </c>
      <c r="Y498" t="s">
        <v>54</v>
      </c>
      <c r="Z498" t="s">
        <v>47</v>
      </c>
      <c r="AA498">
        <v>2</v>
      </c>
      <c r="AB498">
        <v>3</v>
      </c>
      <c r="AC498" t="s">
        <v>41</v>
      </c>
      <c r="AD498" t="s">
        <v>65</v>
      </c>
      <c r="AE498" t="s">
        <v>60</v>
      </c>
      <c r="AF498" s="3">
        <v>669</v>
      </c>
      <c r="AG498" s="3">
        <v>49</v>
      </c>
      <c r="AH498">
        <v>80</v>
      </c>
      <c r="AI498">
        <v>2</v>
      </c>
      <c r="AJ498">
        <v>0</v>
      </c>
      <c r="AL498">
        <v>0</v>
      </c>
      <c r="AM498">
        <v>1</v>
      </c>
      <c r="AN498" t="s">
        <v>768</v>
      </c>
      <c r="AO498" t="s">
        <v>41</v>
      </c>
    </row>
    <row r="499" spans="1:41" x14ac:dyDescent="0.25">
      <c r="A499">
        <v>50</v>
      </c>
      <c r="B499" t="s">
        <v>32</v>
      </c>
      <c r="C499" t="s">
        <v>33</v>
      </c>
      <c r="D499">
        <v>10</v>
      </c>
      <c r="E499" t="s">
        <v>34</v>
      </c>
      <c r="F499">
        <v>2</v>
      </c>
      <c r="G499">
        <v>3</v>
      </c>
      <c r="H499" t="s">
        <v>89</v>
      </c>
      <c r="I499">
        <v>4</v>
      </c>
      <c r="J499" t="s">
        <v>36</v>
      </c>
      <c r="K499">
        <v>10496</v>
      </c>
      <c r="L499">
        <v>6</v>
      </c>
      <c r="M499" t="s">
        <v>41</v>
      </c>
      <c r="N499">
        <v>15</v>
      </c>
      <c r="O499">
        <v>3</v>
      </c>
      <c r="P499">
        <v>0</v>
      </c>
      <c r="Q499">
        <v>20</v>
      </c>
      <c r="R499">
        <v>2</v>
      </c>
      <c r="S499">
        <v>4</v>
      </c>
      <c r="T499">
        <v>1</v>
      </c>
      <c r="U499">
        <v>3</v>
      </c>
      <c r="V499" t="s">
        <v>37</v>
      </c>
      <c r="W499" s="1" t="s">
        <v>283</v>
      </c>
      <c r="Y499" t="s">
        <v>54</v>
      </c>
      <c r="Z499" t="s">
        <v>47</v>
      </c>
      <c r="AA499">
        <v>2</v>
      </c>
      <c r="AB499">
        <v>1</v>
      </c>
      <c r="AC499" t="s">
        <v>31</v>
      </c>
      <c r="AD499" t="s">
        <v>67</v>
      </c>
      <c r="AE499" t="s">
        <v>43</v>
      </c>
      <c r="AF499" s="3">
        <v>671</v>
      </c>
      <c r="AG499" s="3">
        <v>35</v>
      </c>
      <c r="AH499">
        <v>80</v>
      </c>
      <c r="AI499">
        <v>2</v>
      </c>
      <c r="AJ499">
        <v>0</v>
      </c>
      <c r="AL499">
        <v>0</v>
      </c>
      <c r="AM499">
        <v>1</v>
      </c>
      <c r="AN499" t="s">
        <v>768</v>
      </c>
      <c r="AO499" t="s">
        <v>41</v>
      </c>
    </row>
    <row r="500" spans="1:41" x14ac:dyDescent="0.25">
      <c r="A500">
        <v>54</v>
      </c>
      <c r="B500" t="s">
        <v>32</v>
      </c>
      <c r="C500" t="s">
        <v>33</v>
      </c>
      <c r="D500">
        <v>5</v>
      </c>
      <c r="E500" t="s">
        <v>34</v>
      </c>
      <c r="F500">
        <v>3</v>
      </c>
      <c r="G500">
        <v>5</v>
      </c>
      <c r="H500" t="s">
        <v>50</v>
      </c>
      <c r="I500">
        <v>1</v>
      </c>
      <c r="J500" t="s">
        <v>51</v>
      </c>
      <c r="K500">
        <v>19406</v>
      </c>
      <c r="L500">
        <v>4</v>
      </c>
      <c r="M500" t="s">
        <v>41</v>
      </c>
      <c r="N500">
        <v>11</v>
      </c>
      <c r="O500">
        <v>3</v>
      </c>
      <c r="P500">
        <v>1</v>
      </c>
      <c r="Q500">
        <v>24</v>
      </c>
      <c r="R500">
        <v>4</v>
      </c>
      <c r="S500">
        <v>4</v>
      </c>
      <c r="T500">
        <v>1</v>
      </c>
      <c r="U500">
        <v>2</v>
      </c>
      <c r="V500" t="s">
        <v>52</v>
      </c>
      <c r="W500" s="1" t="s">
        <v>284</v>
      </c>
      <c r="Y500" t="s">
        <v>54</v>
      </c>
      <c r="Z500" t="s">
        <v>47</v>
      </c>
      <c r="AA500">
        <v>0</v>
      </c>
      <c r="AB500">
        <v>3</v>
      </c>
      <c r="AC500" t="s">
        <v>31</v>
      </c>
      <c r="AD500" t="s">
        <v>48</v>
      </c>
      <c r="AE500" t="s">
        <v>49</v>
      </c>
      <c r="AF500" s="3">
        <v>675</v>
      </c>
      <c r="AG500" s="3">
        <v>69</v>
      </c>
      <c r="AH500">
        <v>80</v>
      </c>
      <c r="AI500">
        <v>2</v>
      </c>
      <c r="AJ500">
        <v>0</v>
      </c>
      <c r="AL500">
        <v>0</v>
      </c>
      <c r="AM500">
        <v>1</v>
      </c>
      <c r="AN500" t="s">
        <v>768</v>
      </c>
      <c r="AO500" t="s">
        <v>41</v>
      </c>
    </row>
    <row r="501" spans="1:41" x14ac:dyDescent="0.25">
      <c r="A501">
        <v>31</v>
      </c>
      <c r="B501" t="s">
        <v>32</v>
      </c>
      <c r="C501" t="s">
        <v>33</v>
      </c>
      <c r="D501">
        <v>1</v>
      </c>
      <c r="E501" t="s">
        <v>34</v>
      </c>
      <c r="F501">
        <v>2</v>
      </c>
      <c r="G501">
        <v>1</v>
      </c>
      <c r="H501" t="s">
        <v>35</v>
      </c>
      <c r="I501">
        <v>1</v>
      </c>
      <c r="J501" t="s">
        <v>51</v>
      </c>
      <c r="K501">
        <v>2218</v>
      </c>
      <c r="L501">
        <v>1</v>
      </c>
      <c r="M501" t="s">
        <v>41</v>
      </c>
      <c r="N501">
        <v>12</v>
      </c>
      <c r="O501">
        <v>3</v>
      </c>
      <c r="P501">
        <v>1</v>
      </c>
      <c r="Q501">
        <v>4</v>
      </c>
      <c r="R501">
        <v>3</v>
      </c>
      <c r="S501">
        <v>4</v>
      </c>
      <c r="T501">
        <v>3</v>
      </c>
      <c r="U501">
        <v>2</v>
      </c>
      <c r="V501" t="s">
        <v>37</v>
      </c>
      <c r="W501" s="2">
        <v>43075</v>
      </c>
      <c r="Y501" t="s">
        <v>69</v>
      </c>
      <c r="Z501" t="s">
        <v>40</v>
      </c>
      <c r="AA501">
        <v>0</v>
      </c>
      <c r="AB501">
        <v>1</v>
      </c>
      <c r="AC501" t="s">
        <v>41</v>
      </c>
      <c r="AD501" t="s">
        <v>65</v>
      </c>
      <c r="AE501" t="s">
        <v>60</v>
      </c>
      <c r="AF501" s="3">
        <v>677</v>
      </c>
      <c r="AG501" s="3">
        <v>39</v>
      </c>
      <c r="AH501">
        <v>80</v>
      </c>
      <c r="AI501">
        <v>0</v>
      </c>
      <c r="AJ501">
        <v>0</v>
      </c>
      <c r="AL501">
        <v>0</v>
      </c>
      <c r="AM501">
        <v>1</v>
      </c>
      <c r="AN501" t="s">
        <v>768</v>
      </c>
      <c r="AO501" t="s">
        <v>41</v>
      </c>
    </row>
    <row r="502" spans="1:41" x14ac:dyDescent="0.25">
      <c r="A502">
        <v>33</v>
      </c>
      <c r="B502" t="s">
        <v>32</v>
      </c>
      <c r="C502" t="s">
        <v>33</v>
      </c>
      <c r="D502">
        <v>10</v>
      </c>
      <c r="E502" t="s">
        <v>34</v>
      </c>
      <c r="F502">
        <v>1</v>
      </c>
      <c r="G502">
        <v>1</v>
      </c>
      <c r="H502" t="s">
        <v>35</v>
      </c>
      <c r="I502">
        <v>4</v>
      </c>
      <c r="J502" t="s">
        <v>57</v>
      </c>
      <c r="K502">
        <v>3408</v>
      </c>
      <c r="L502">
        <v>7</v>
      </c>
      <c r="M502" t="s">
        <v>41</v>
      </c>
      <c r="N502">
        <v>13</v>
      </c>
      <c r="O502">
        <v>3</v>
      </c>
      <c r="P502">
        <v>3</v>
      </c>
      <c r="Q502">
        <v>8</v>
      </c>
      <c r="R502">
        <v>2</v>
      </c>
      <c r="S502">
        <v>4</v>
      </c>
      <c r="T502">
        <v>1</v>
      </c>
      <c r="U502">
        <v>3</v>
      </c>
      <c r="V502" t="s">
        <v>72</v>
      </c>
      <c r="W502" s="1" t="s">
        <v>285</v>
      </c>
      <c r="Y502" t="s">
        <v>63</v>
      </c>
      <c r="Z502" t="s">
        <v>47</v>
      </c>
      <c r="AA502">
        <v>2</v>
      </c>
      <c r="AB502">
        <v>2</v>
      </c>
      <c r="AC502" t="s">
        <v>41</v>
      </c>
      <c r="AD502" t="s">
        <v>67</v>
      </c>
      <c r="AE502" t="s">
        <v>49</v>
      </c>
      <c r="AF502" s="3">
        <v>679</v>
      </c>
      <c r="AG502" s="3">
        <v>92</v>
      </c>
      <c r="AH502">
        <v>80</v>
      </c>
      <c r="AI502">
        <v>4</v>
      </c>
      <c r="AJ502">
        <v>0</v>
      </c>
      <c r="AL502">
        <v>0</v>
      </c>
      <c r="AM502">
        <v>1</v>
      </c>
      <c r="AN502" t="s">
        <v>768</v>
      </c>
      <c r="AO502" t="s">
        <v>41</v>
      </c>
    </row>
    <row r="503" spans="1:41" x14ac:dyDescent="0.25">
      <c r="A503">
        <v>32</v>
      </c>
      <c r="B503" t="s">
        <v>81</v>
      </c>
      <c r="C503" t="s">
        <v>55</v>
      </c>
      <c r="D503">
        <v>11</v>
      </c>
      <c r="E503" t="s">
        <v>34</v>
      </c>
      <c r="F503">
        <v>4</v>
      </c>
      <c r="G503">
        <v>2</v>
      </c>
      <c r="H503" t="s">
        <v>70</v>
      </c>
      <c r="I503">
        <v>3</v>
      </c>
      <c r="J503" t="s">
        <v>51</v>
      </c>
      <c r="K503">
        <v>4707</v>
      </c>
      <c r="L503">
        <v>8</v>
      </c>
      <c r="M503" t="s">
        <v>41</v>
      </c>
      <c r="N503">
        <v>12</v>
      </c>
      <c r="O503">
        <v>3</v>
      </c>
      <c r="P503">
        <v>0</v>
      </c>
      <c r="Q503">
        <v>6</v>
      </c>
      <c r="R503">
        <v>2</v>
      </c>
      <c r="S503">
        <v>4</v>
      </c>
      <c r="T503">
        <v>1</v>
      </c>
      <c r="U503">
        <v>2</v>
      </c>
      <c r="V503" t="s">
        <v>52</v>
      </c>
      <c r="W503" s="1" t="s">
        <v>268</v>
      </c>
      <c r="Y503" t="s">
        <v>63</v>
      </c>
      <c r="Z503" t="s">
        <v>47</v>
      </c>
      <c r="AA503">
        <v>0</v>
      </c>
      <c r="AB503">
        <v>1</v>
      </c>
      <c r="AC503" t="s">
        <v>41</v>
      </c>
      <c r="AD503" t="s">
        <v>67</v>
      </c>
      <c r="AE503" t="s">
        <v>60</v>
      </c>
      <c r="AF503" s="3">
        <v>680</v>
      </c>
      <c r="AG503" s="3">
        <v>71</v>
      </c>
      <c r="AH503">
        <v>80</v>
      </c>
      <c r="AI503">
        <v>0</v>
      </c>
      <c r="AJ503">
        <v>0</v>
      </c>
      <c r="AL503">
        <v>0</v>
      </c>
      <c r="AM503">
        <v>1</v>
      </c>
      <c r="AN503" t="s">
        <v>768</v>
      </c>
      <c r="AO503" t="s">
        <v>41</v>
      </c>
    </row>
    <row r="504" spans="1:41" x14ac:dyDescent="0.25">
      <c r="A504">
        <v>27</v>
      </c>
      <c r="B504" t="s">
        <v>32</v>
      </c>
      <c r="C504" t="s">
        <v>55</v>
      </c>
      <c r="D504">
        <v>2</v>
      </c>
      <c r="E504" t="s">
        <v>34</v>
      </c>
      <c r="F504">
        <v>3</v>
      </c>
      <c r="G504">
        <v>1</v>
      </c>
      <c r="H504" t="s">
        <v>56</v>
      </c>
      <c r="I504">
        <v>1</v>
      </c>
      <c r="J504" t="s">
        <v>57</v>
      </c>
      <c r="K504">
        <v>3041</v>
      </c>
      <c r="L504">
        <v>0</v>
      </c>
      <c r="M504" t="s">
        <v>41</v>
      </c>
      <c r="N504">
        <v>11</v>
      </c>
      <c r="O504">
        <v>3</v>
      </c>
      <c r="P504">
        <v>1</v>
      </c>
      <c r="Q504">
        <v>5</v>
      </c>
      <c r="R504">
        <v>3</v>
      </c>
      <c r="S504">
        <v>4</v>
      </c>
      <c r="T504">
        <v>0</v>
      </c>
      <c r="U504">
        <v>2</v>
      </c>
      <c r="V504" t="s">
        <v>72</v>
      </c>
      <c r="W504" s="2">
        <v>42982</v>
      </c>
      <c r="Y504" t="s">
        <v>54</v>
      </c>
      <c r="Z504" t="s">
        <v>40</v>
      </c>
      <c r="AA504">
        <v>0</v>
      </c>
      <c r="AB504">
        <v>2</v>
      </c>
      <c r="AC504" t="s">
        <v>41</v>
      </c>
      <c r="AD504" t="s">
        <v>65</v>
      </c>
      <c r="AE504" t="s">
        <v>49</v>
      </c>
      <c r="AF504" s="3">
        <v>682</v>
      </c>
      <c r="AG504" s="3">
        <v>34</v>
      </c>
      <c r="AH504">
        <v>80</v>
      </c>
      <c r="AI504">
        <v>7</v>
      </c>
      <c r="AJ504">
        <v>0</v>
      </c>
      <c r="AL504">
        <v>0</v>
      </c>
      <c r="AM504">
        <v>1</v>
      </c>
      <c r="AN504" t="s">
        <v>768</v>
      </c>
      <c r="AO504" t="s">
        <v>41</v>
      </c>
    </row>
    <row r="505" spans="1:41" x14ac:dyDescent="0.25">
      <c r="A505">
        <v>27</v>
      </c>
      <c r="B505" t="s">
        <v>32</v>
      </c>
      <c r="C505" t="s">
        <v>33</v>
      </c>
      <c r="D505">
        <v>3</v>
      </c>
      <c r="E505" t="s">
        <v>34</v>
      </c>
      <c r="F505">
        <v>2</v>
      </c>
      <c r="G505">
        <v>1</v>
      </c>
      <c r="H505" t="s">
        <v>44</v>
      </c>
      <c r="I505">
        <v>4</v>
      </c>
      <c r="J505" t="s">
        <v>36</v>
      </c>
      <c r="K505">
        <v>2045</v>
      </c>
      <c r="L505">
        <v>0</v>
      </c>
      <c r="M505" t="s">
        <v>41</v>
      </c>
      <c r="N505">
        <v>13</v>
      </c>
      <c r="O505">
        <v>3</v>
      </c>
      <c r="P505">
        <v>0</v>
      </c>
      <c r="Q505">
        <v>5</v>
      </c>
      <c r="R505">
        <v>0</v>
      </c>
      <c r="S505">
        <v>4</v>
      </c>
      <c r="T505">
        <v>1</v>
      </c>
      <c r="U505">
        <v>1</v>
      </c>
      <c r="V505" t="s">
        <v>72</v>
      </c>
      <c r="W505" s="2">
        <v>43043</v>
      </c>
      <c r="Y505" t="s">
        <v>69</v>
      </c>
      <c r="Z505" t="s">
        <v>47</v>
      </c>
      <c r="AA505">
        <v>0</v>
      </c>
      <c r="AB505">
        <v>2</v>
      </c>
      <c r="AC505" t="s">
        <v>41</v>
      </c>
      <c r="AD505" t="s">
        <v>48</v>
      </c>
      <c r="AE505" t="s">
        <v>60</v>
      </c>
      <c r="AF505" s="3">
        <v>683</v>
      </c>
      <c r="AG505" s="3">
        <v>42</v>
      </c>
      <c r="AH505">
        <v>80</v>
      </c>
      <c r="AI505">
        <v>9</v>
      </c>
      <c r="AJ505">
        <v>0</v>
      </c>
      <c r="AL505">
        <v>0</v>
      </c>
      <c r="AM505">
        <v>1</v>
      </c>
      <c r="AN505" t="s">
        <v>768</v>
      </c>
      <c r="AO505" t="s">
        <v>41</v>
      </c>
    </row>
    <row r="506" spans="1:41" x14ac:dyDescent="0.25">
      <c r="A506">
        <v>50</v>
      </c>
      <c r="B506" t="s">
        <v>66</v>
      </c>
      <c r="C506" t="s">
        <v>55</v>
      </c>
      <c r="D506">
        <v>8</v>
      </c>
      <c r="E506" t="s">
        <v>34</v>
      </c>
      <c r="F506">
        <v>3</v>
      </c>
      <c r="G506">
        <v>2</v>
      </c>
      <c r="H506" t="s">
        <v>70</v>
      </c>
      <c r="I506">
        <v>3</v>
      </c>
      <c r="J506" t="s">
        <v>51</v>
      </c>
      <c r="K506">
        <v>6796</v>
      </c>
      <c r="L506">
        <v>3</v>
      </c>
      <c r="M506" t="s">
        <v>31</v>
      </c>
      <c r="N506">
        <v>14</v>
      </c>
      <c r="O506">
        <v>3</v>
      </c>
      <c r="P506">
        <v>1</v>
      </c>
      <c r="Q506">
        <v>18</v>
      </c>
      <c r="R506">
        <v>4</v>
      </c>
      <c r="S506">
        <v>4</v>
      </c>
      <c r="T506">
        <v>1</v>
      </c>
      <c r="U506">
        <v>3</v>
      </c>
      <c r="V506" t="s">
        <v>72</v>
      </c>
      <c r="W506" s="1" t="s">
        <v>286</v>
      </c>
      <c r="Y506" t="s">
        <v>63</v>
      </c>
      <c r="Z506" t="s">
        <v>40</v>
      </c>
      <c r="AA506">
        <v>3</v>
      </c>
      <c r="AB506">
        <v>1</v>
      </c>
      <c r="AC506" t="s">
        <v>41</v>
      </c>
      <c r="AD506" t="s">
        <v>48</v>
      </c>
      <c r="AE506" t="s">
        <v>60</v>
      </c>
      <c r="AF506" s="3">
        <v>684</v>
      </c>
      <c r="AG506" s="3">
        <v>100</v>
      </c>
      <c r="AH506">
        <v>80</v>
      </c>
      <c r="AI506">
        <v>1</v>
      </c>
      <c r="AJ506">
        <v>1</v>
      </c>
      <c r="AK506">
        <v>1</v>
      </c>
      <c r="AL506">
        <v>1</v>
      </c>
      <c r="AM506">
        <v>0</v>
      </c>
      <c r="AN506" t="s">
        <v>767</v>
      </c>
      <c r="AO506" t="s">
        <v>31</v>
      </c>
    </row>
    <row r="507" spans="1:41" x14ac:dyDescent="0.25">
      <c r="A507">
        <v>23</v>
      </c>
      <c r="B507" t="s">
        <v>32</v>
      </c>
      <c r="C507" t="s">
        <v>33</v>
      </c>
      <c r="D507">
        <v>9</v>
      </c>
      <c r="E507" t="s">
        <v>34</v>
      </c>
      <c r="F507">
        <v>3</v>
      </c>
      <c r="G507">
        <v>1</v>
      </c>
      <c r="H507" t="s">
        <v>35</v>
      </c>
      <c r="I507">
        <v>1</v>
      </c>
      <c r="J507" t="s">
        <v>51</v>
      </c>
      <c r="K507">
        <v>2500</v>
      </c>
      <c r="L507">
        <v>1</v>
      </c>
      <c r="M507" t="s">
        <v>41</v>
      </c>
      <c r="N507">
        <v>14</v>
      </c>
      <c r="O507">
        <v>3</v>
      </c>
      <c r="P507">
        <v>1</v>
      </c>
      <c r="Q507">
        <v>5</v>
      </c>
      <c r="R507">
        <v>2</v>
      </c>
      <c r="S507">
        <v>4</v>
      </c>
      <c r="T507">
        <v>0</v>
      </c>
      <c r="U507">
        <v>2</v>
      </c>
      <c r="V507" t="s">
        <v>72</v>
      </c>
      <c r="W507" s="2">
        <v>42798</v>
      </c>
      <c r="Y507" t="s">
        <v>46</v>
      </c>
      <c r="Z507" t="s">
        <v>40</v>
      </c>
      <c r="AA507">
        <v>3</v>
      </c>
      <c r="AB507">
        <v>0</v>
      </c>
      <c r="AC507" t="s">
        <v>31</v>
      </c>
      <c r="AD507" t="s">
        <v>65</v>
      </c>
      <c r="AE507" t="s">
        <v>49</v>
      </c>
      <c r="AF507" s="3">
        <v>686</v>
      </c>
      <c r="AG507" s="3">
        <v>71</v>
      </c>
      <c r="AH507">
        <v>80</v>
      </c>
      <c r="AI507">
        <v>2</v>
      </c>
      <c r="AJ507">
        <v>0</v>
      </c>
      <c r="AL507">
        <v>0</v>
      </c>
      <c r="AM507">
        <v>1</v>
      </c>
      <c r="AN507" t="s">
        <v>768</v>
      </c>
      <c r="AO507" t="s">
        <v>41</v>
      </c>
    </row>
    <row r="508" spans="1:41" x14ac:dyDescent="0.25">
      <c r="A508">
        <v>40</v>
      </c>
      <c r="B508" t="s">
        <v>32</v>
      </c>
      <c r="C508" t="s">
        <v>33</v>
      </c>
      <c r="D508">
        <v>2</v>
      </c>
      <c r="E508" t="s">
        <v>61</v>
      </c>
      <c r="F508">
        <v>2</v>
      </c>
      <c r="G508">
        <v>1</v>
      </c>
      <c r="H508" t="s">
        <v>44</v>
      </c>
      <c r="I508">
        <v>4</v>
      </c>
      <c r="J508" t="s">
        <v>36</v>
      </c>
      <c r="K508">
        <v>2342</v>
      </c>
      <c r="L508">
        <v>0</v>
      </c>
      <c r="M508" t="s">
        <v>31</v>
      </c>
      <c r="N508">
        <v>20</v>
      </c>
      <c r="O508">
        <v>4</v>
      </c>
      <c r="P508">
        <v>0</v>
      </c>
      <c r="Q508">
        <v>5</v>
      </c>
      <c r="R508">
        <v>2</v>
      </c>
      <c r="S508">
        <v>4</v>
      </c>
      <c r="T508">
        <v>2</v>
      </c>
      <c r="U508">
        <v>3</v>
      </c>
      <c r="V508" t="s">
        <v>52</v>
      </c>
      <c r="W508" s="2">
        <v>42922</v>
      </c>
      <c r="Y508" t="s">
        <v>54</v>
      </c>
      <c r="Z508" t="s">
        <v>47</v>
      </c>
      <c r="AA508">
        <v>3</v>
      </c>
      <c r="AB508">
        <v>3</v>
      </c>
      <c r="AC508" t="s">
        <v>41</v>
      </c>
      <c r="AD508" t="s">
        <v>42</v>
      </c>
      <c r="AE508" t="s">
        <v>49</v>
      </c>
      <c r="AF508" s="3">
        <v>689</v>
      </c>
      <c r="AG508" s="3">
        <v>36</v>
      </c>
      <c r="AH508">
        <v>80</v>
      </c>
      <c r="AI508">
        <v>7</v>
      </c>
      <c r="AJ508">
        <v>0</v>
      </c>
      <c r="AL508">
        <v>0</v>
      </c>
      <c r="AM508">
        <v>1</v>
      </c>
      <c r="AN508" t="s">
        <v>768</v>
      </c>
      <c r="AO508" t="s">
        <v>41</v>
      </c>
    </row>
    <row r="509" spans="1:41" x14ac:dyDescent="0.25">
      <c r="A509">
        <v>52</v>
      </c>
      <c r="B509" t="s">
        <v>81</v>
      </c>
      <c r="C509" t="s">
        <v>33</v>
      </c>
      <c r="D509">
        <v>19</v>
      </c>
      <c r="E509" t="s">
        <v>34</v>
      </c>
      <c r="F509">
        <v>3</v>
      </c>
      <c r="G509">
        <v>1</v>
      </c>
      <c r="H509" t="s">
        <v>44</v>
      </c>
      <c r="I509">
        <v>4</v>
      </c>
      <c r="J509" t="s">
        <v>51</v>
      </c>
      <c r="K509">
        <v>4258</v>
      </c>
      <c r="L509">
        <v>0</v>
      </c>
      <c r="M509" t="s">
        <v>41</v>
      </c>
      <c r="N509">
        <v>18</v>
      </c>
      <c r="O509">
        <v>3</v>
      </c>
      <c r="P509">
        <v>1</v>
      </c>
      <c r="Q509">
        <v>5</v>
      </c>
      <c r="R509">
        <v>3</v>
      </c>
      <c r="S509">
        <v>4</v>
      </c>
      <c r="T509">
        <v>1</v>
      </c>
      <c r="U509">
        <v>2</v>
      </c>
      <c r="V509" t="s">
        <v>37</v>
      </c>
      <c r="W509" s="2">
        <v>42860</v>
      </c>
      <c r="Y509" t="s">
        <v>46</v>
      </c>
      <c r="Z509" t="s">
        <v>47</v>
      </c>
      <c r="AA509">
        <v>0</v>
      </c>
      <c r="AB509">
        <v>1</v>
      </c>
      <c r="AC509" t="s">
        <v>41</v>
      </c>
      <c r="AD509" t="s">
        <v>48</v>
      </c>
      <c r="AE509" t="s">
        <v>60</v>
      </c>
      <c r="AF509" s="3">
        <v>690</v>
      </c>
      <c r="AG509" s="3">
        <v>62</v>
      </c>
      <c r="AH509">
        <v>80</v>
      </c>
      <c r="AI509">
        <v>0</v>
      </c>
      <c r="AJ509">
        <v>0</v>
      </c>
      <c r="AL509">
        <v>0</v>
      </c>
      <c r="AM509">
        <v>1</v>
      </c>
      <c r="AN509" t="s">
        <v>768</v>
      </c>
      <c r="AO509" t="s">
        <v>41</v>
      </c>
    </row>
    <row r="510" spans="1:41" x14ac:dyDescent="0.25">
      <c r="A510">
        <v>26</v>
      </c>
      <c r="B510" t="s">
        <v>32</v>
      </c>
      <c r="C510" t="s">
        <v>55</v>
      </c>
      <c r="D510">
        <v>8</v>
      </c>
      <c r="E510" t="s">
        <v>34</v>
      </c>
      <c r="F510">
        <v>2</v>
      </c>
      <c r="G510">
        <v>2</v>
      </c>
      <c r="H510" t="s">
        <v>70</v>
      </c>
      <c r="I510">
        <v>1</v>
      </c>
      <c r="J510" t="s">
        <v>36</v>
      </c>
      <c r="K510">
        <v>5326</v>
      </c>
      <c r="L510">
        <v>6</v>
      </c>
      <c r="M510" t="s">
        <v>41</v>
      </c>
      <c r="N510">
        <v>17</v>
      </c>
      <c r="O510">
        <v>3</v>
      </c>
      <c r="P510">
        <v>0</v>
      </c>
      <c r="Q510">
        <v>6</v>
      </c>
      <c r="R510">
        <v>2</v>
      </c>
      <c r="S510">
        <v>4</v>
      </c>
      <c r="T510">
        <v>1</v>
      </c>
      <c r="U510">
        <v>2</v>
      </c>
      <c r="V510" t="s">
        <v>72</v>
      </c>
      <c r="W510" s="2">
        <v>42829</v>
      </c>
      <c r="Y510" t="s">
        <v>54</v>
      </c>
      <c r="Z510" t="s">
        <v>47</v>
      </c>
      <c r="AA510">
        <v>0</v>
      </c>
      <c r="AB510">
        <v>1</v>
      </c>
      <c r="AC510" t="s">
        <v>31</v>
      </c>
      <c r="AD510" t="s">
        <v>48</v>
      </c>
      <c r="AE510" t="s">
        <v>49</v>
      </c>
      <c r="AF510" s="3">
        <v>691</v>
      </c>
      <c r="AG510" s="3">
        <v>82</v>
      </c>
      <c r="AH510">
        <v>80</v>
      </c>
      <c r="AI510">
        <v>11</v>
      </c>
      <c r="AJ510">
        <v>0</v>
      </c>
      <c r="AL510">
        <v>0</v>
      </c>
      <c r="AM510">
        <v>1</v>
      </c>
      <c r="AN510" t="s">
        <v>768</v>
      </c>
      <c r="AO510" t="s">
        <v>41</v>
      </c>
    </row>
    <row r="511" spans="1:41" x14ac:dyDescent="0.25">
      <c r="A511">
        <v>34</v>
      </c>
      <c r="B511" t="s">
        <v>32</v>
      </c>
      <c r="C511" t="s">
        <v>33</v>
      </c>
      <c r="D511">
        <v>1</v>
      </c>
      <c r="E511" t="s">
        <v>61</v>
      </c>
      <c r="F511">
        <v>4</v>
      </c>
      <c r="G511">
        <v>1</v>
      </c>
      <c r="H511" t="s">
        <v>44</v>
      </c>
      <c r="I511">
        <v>4</v>
      </c>
      <c r="J511" t="s">
        <v>36</v>
      </c>
      <c r="K511">
        <v>3280</v>
      </c>
      <c r="L511">
        <v>2</v>
      </c>
      <c r="M511" t="s">
        <v>41</v>
      </c>
      <c r="N511">
        <v>16</v>
      </c>
      <c r="O511">
        <v>3</v>
      </c>
      <c r="P511">
        <v>0</v>
      </c>
      <c r="Q511">
        <v>10</v>
      </c>
      <c r="R511">
        <v>2</v>
      </c>
      <c r="S511">
        <v>4</v>
      </c>
      <c r="T511">
        <v>1</v>
      </c>
      <c r="U511">
        <v>3</v>
      </c>
      <c r="V511" t="s">
        <v>52</v>
      </c>
      <c r="W511" s="2">
        <v>42918</v>
      </c>
      <c r="Y511" t="s">
        <v>54</v>
      </c>
      <c r="Z511" t="s">
        <v>47</v>
      </c>
      <c r="AA511">
        <v>1</v>
      </c>
      <c r="AB511">
        <v>2</v>
      </c>
      <c r="AC511" t="s">
        <v>31</v>
      </c>
      <c r="AD511" t="s">
        <v>67</v>
      </c>
      <c r="AE511" t="s">
        <v>43</v>
      </c>
      <c r="AF511" s="3">
        <v>692</v>
      </c>
      <c r="AG511" s="3">
        <v>30</v>
      </c>
      <c r="AH511">
        <v>80</v>
      </c>
      <c r="AI511">
        <v>11</v>
      </c>
      <c r="AJ511">
        <v>0</v>
      </c>
      <c r="AL511">
        <v>0</v>
      </c>
      <c r="AM511">
        <v>1</v>
      </c>
      <c r="AN511" t="s">
        <v>768</v>
      </c>
      <c r="AO511" t="s">
        <v>41</v>
      </c>
    </row>
    <row r="512" spans="1:41" x14ac:dyDescent="0.25">
      <c r="A512">
        <v>27</v>
      </c>
      <c r="B512" t="s">
        <v>66</v>
      </c>
      <c r="C512" t="s">
        <v>55</v>
      </c>
      <c r="D512">
        <v>8</v>
      </c>
      <c r="E512" t="s">
        <v>34</v>
      </c>
      <c r="F512">
        <v>3</v>
      </c>
      <c r="G512">
        <v>2</v>
      </c>
      <c r="H512" t="s">
        <v>70</v>
      </c>
      <c r="I512">
        <v>4</v>
      </c>
      <c r="J512" t="s">
        <v>51</v>
      </c>
      <c r="K512">
        <v>4342</v>
      </c>
      <c r="L512">
        <v>0</v>
      </c>
      <c r="M512" t="s">
        <v>41</v>
      </c>
      <c r="N512">
        <v>19</v>
      </c>
      <c r="O512">
        <v>3</v>
      </c>
      <c r="P512">
        <v>1</v>
      </c>
      <c r="Q512">
        <v>5</v>
      </c>
      <c r="R512">
        <v>3</v>
      </c>
      <c r="S512">
        <v>4</v>
      </c>
      <c r="T512">
        <v>1</v>
      </c>
      <c r="U512">
        <v>1</v>
      </c>
      <c r="V512" t="s">
        <v>72</v>
      </c>
      <c r="W512" s="1" t="s">
        <v>280</v>
      </c>
      <c r="Y512" t="s">
        <v>46</v>
      </c>
      <c r="Z512" t="s">
        <v>40</v>
      </c>
      <c r="AA512">
        <v>4</v>
      </c>
      <c r="AB512">
        <v>2</v>
      </c>
      <c r="AC512" t="s">
        <v>31</v>
      </c>
      <c r="AD512" t="s">
        <v>48</v>
      </c>
      <c r="AE512" t="s">
        <v>49</v>
      </c>
      <c r="AF512" s="3">
        <v>698</v>
      </c>
      <c r="AG512" s="3">
        <v>88</v>
      </c>
      <c r="AH512">
        <v>80</v>
      </c>
      <c r="AI512">
        <v>7</v>
      </c>
      <c r="AJ512">
        <v>0</v>
      </c>
      <c r="AL512">
        <v>0</v>
      </c>
      <c r="AM512">
        <v>1</v>
      </c>
      <c r="AN512" t="s">
        <v>768</v>
      </c>
      <c r="AO512" t="s">
        <v>41</v>
      </c>
    </row>
    <row r="513" spans="1:41" x14ac:dyDescent="0.25">
      <c r="A513">
        <v>50</v>
      </c>
      <c r="B513" t="s">
        <v>32</v>
      </c>
      <c r="C513" t="s">
        <v>33</v>
      </c>
      <c r="D513">
        <v>2</v>
      </c>
      <c r="E513" t="s">
        <v>34</v>
      </c>
      <c r="F513">
        <v>3</v>
      </c>
      <c r="G513">
        <v>4</v>
      </c>
      <c r="H513" t="s">
        <v>50</v>
      </c>
      <c r="I513">
        <v>3</v>
      </c>
      <c r="J513" t="s">
        <v>51</v>
      </c>
      <c r="K513">
        <v>17639</v>
      </c>
      <c r="L513">
        <v>5</v>
      </c>
      <c r="M513" t="s">
        <v>41</v>
      </c>
      <c r="N513">
        <v>16</v>
      </c>
      <c r="O513">
        <v>3</v>
      </c>
      <c r="P513">
        <v>0</v>
      </c>
      <c r="Q513">
        <v>30</v>
      </c>
      <c r="R513">
        <v>3</v>
      </c>
      <c r="S513">
        <v>4</v>
      </c>
      <c r="T513">
        <v>0</v>
      </c>
      <c r="U513">
        <v>3</v>
      </c>
      <c r="V513" t="s">
        <v>52</v>
      </c>
      <c r="W513" s="1" t="s">
        <v>287</v>
      </c>
      <c r="Y513" t="s">
        <v>39</v>
      </c>
      <c r="Z513" t="s">
        <v>40</v>
      </c>
      <c r="AA513">
        <v>1</v>
      </c>
      <c r="AB513">
        <v>3</v>
      </c>
      <c r="AC513" t="s">
        <v>31</v>
      </c>
      <c r="AD513" t="s">
        <v>65</v>
      </c>
      <c r="AE513" t="s">
        <v>49</v>
      </c>
      <c r="AF513" s="3">
        <v>699</v>
      </c>
      <c r="AG513" s="3">
        <v>48</v>
      </c>
      <c r="AH513">
        <v>80</v>
      </c>
      <c r="AI513">
        <v>2</v>
      </c>
      <c r="AJ513">
        <v>0</v>
      </c>
      <c r="AL513">
        <v>0</v>
      </c>
      <c r="AM513">
        <v>1</v>
      </c>
      <c r="AN513" t="s">
        <v>768</v>
      </c>
      <c r="AO513" t="s">
        <v>41</v>
      </c>
    </row>
    <row r="514" spans="1:41" x14ac:dyDescent="0.25">
      <c r="A514">
        <v>42</v>
      </c>
      <c r="B514" t="s">
        <v>32</v>
      </c>
      <c r="C514" t="s">
        <v>33</v>
      </c>
      <c r="D514">
        <v>1</v>
      </c>
      <c r="E514" t="s">
        <v>61</v>
      </c>
      <c r="F514">
        <v>2</v>
      </c>
      <c r="G514">
        <v>2</v>
      </c>
      <c r="H514" t="s">
        <v>78</v>
      </c>
      <c r="I514">
        <v>4</v>
      </c>
      <c r="J514" t="s">
        <v>51</v>
      </c>
      <c r="K514">
        <v>6062</v>
      </c>
      <c r="L514">
        <v>9</v>
      </c>
      <c r="M514" t="s">
        <v>31</v>
      </c>
      <c r="N514">
        <v>13</v>
      </c>
      <c r="O514">
        <v>3</v>
      </c>
      <c r="P514">
        <v>1</v>
      </c>
      <c r="Q514">
        <v>8</v>
      </c>
      <c r="R514">
        <v>4</v>
      </c>
      <c r="S514">
        <v>4</v>
      </c>
      <c r="T514">
        <v>0</v>
      </c>
      <c r="U514">
        <v>2</v>
      </c>
      <c r="V514" t="s">
        <v>37</v>
      </c>
      <c r="W514" s="2">
        <v>42917</v>
      </c>
      <c r="Y514" t="s">
        <v>46</v>
      </c>
      <c r="Z514" t="s">
        <v>47</v>
      </c>
      <c r="AA514">
        <v>0</v>
      </c>
      <c r="AB514">
        <v>0</v>
      </c>
      <c r="AC514" t="s">
        <v>41</v>
      </c>
      <c r="AD514" t="s">
        <v>42</v>
      </c>
      <c r="AE514" t="s">
        <v>60</v>
      </c>
      <c r="AF514" s="3">
        <v>700</v>
      </c>
      <c r="AG514" s="3">
        <v>54</v>
      </c>
      <c r="AH514">
        <v>80</v>
      </c>
      <c r="AI514">
        <v>2</v>
      </c>
      <c r="AJ514">
        <v>0</v>
      </c>
      <c r="AL514">
        <v>0</v>
      </c>
      <c r="AM514">
        <v>1</v>
      </c>
      <c r="AN514" t="s">
        <v>768</v>
      </c>
      <c r="AO514" t="s">
        <v>41</v>
      </c>
    </row>
    <row r="515" spans="1:41" x14ac:dyDescent="0.25">
      <c r="A515">
        <v>38</v>
      </c>
      <c r="B515" t="s">
        <v>66</v>
      </c>
      <c r="C515" t="s">
        <v>33</v>
      </c>
      <c r="D515">
        <v>12</v>
      </c>
      <c r="E515" t="s">
        <v>34</v>
      </c>
      <c r="F515">
        <v>2</v>
      </c>
      <c r="G515">
        <v>2</v>
      </c>
      <c r="H515" t="s">
        <v>89</v>
      </c>
      <c r="I515">
        <v>1</v>
      </c>
      <c r="J515" t="s">
        <v>57</v>
      </c>
      <c r="K515">
        <v>6288</v>
      </c>
      <c r="L515">
        <v>2</v>
      </c>
      <c r="M515" t="s">
        <v>41</v>
      </c>
      <c r="N515">
        <v>15</v>
      </c>
      <c r="O515">
        <v>3</v>
      </c>
      <c r="P515">
        <v>1</v>
      </c>
      <c r="Q515">
        <v>13</v>
      </c>
      <c r="R515">
        <v>3</v>
      </c>
      <c r="S515">
        <v>4</v>
      </c>
      <c r="T515">
        <v>1</v>
      </c>
      <c r="U515">
        <v>2</v>
      </c>
      <c r="V515" t="s">
        <v>52</v>
      </c>
      <c r="W515" s="2">
        <v>42918</v>
      </c>
      <c r="Y515" t="s">
        <v>54</v>
      </c>
      <c r="Z515" t="s">
        <v>40</v>
      </c>
      <c r="AA515">
        <v>1</v>
      </c>
      <c r="AB515">
        <v>3</v>
      </c>
      <c r="AC515" t="s">
        <v>31</v>
      </c>
      <c r="AD515" t="s">
        <v>48</v>
      </c>
      <c r="AE515" t="s">
        <v>43</v>
      </c>
      <c r="AF515" s="3">
        <v>701</v>
      </c>
      <c r="AG515" s="3">
        <v>32</v>
      </c>
      <c r="AH515">
        <v>80</v>
      </c>
      <c r="AI515">
        <v>0</v>
      </c>
      <c r="AJ515">
        <v>1</v>
      </c>
      <c r="AK515">
        <v>1</v>
      </c>
      <c r="AL515">
        <v>1</v>
      </c>
      <c r="AM515">
        <v>0</v>
      </c>
      <c r="AN515" t="s">
        <v>767</v>
      </c>
      <c r="AO515" t="s">
        <v>31</v>
      </c>
    </row>
    <row r="516" spans="1:41" x14ac:dyDescent="0.25">
      <c r="A516">
        <v>43</v>
      </c>
      <c r="B516" t="s">
        <v>32</v>
      </c>
      <c r="C516" t="s">
        <v>33</v>
      </c>
      <c r="D516">
        <v>14</v>
      </c>
      <c r="E516" t="s">
        <v>34</v>
      </c>
      <c r="F516">
        <v>3</v>
      </c>
      <c r="G516">
        <v>4</v>
      </c>
      <c r="H516" t="s">
        <v>50</v>
      </c>
      <c r="I516">
        <v>1</v>
      </c>
      <c r="J516" t="s">
        <v>51</v>
      </c>
      <c r="K516">
        <v>17159</v>
      </c>
      <c r="L516">
        <v>6</v>
      </c>
      <c r="M516" t="s">
        <v>41</v>
      </c>
      <c r="N516">
        <v>24</v>
      </c>
      <c r="O516">
        <v>4</v>
      </c>
      <c r="P516">
        <v>1</v>
      </c>
      <c r="Q516">
        <v>22</v>
      </c>
      <c r="R516">
        <v>3</v>
      </c>
      <c r="S516">
        <v>4</v>
      </c>
      <c r="T516">
        <v>1</v>
      </c>
      <c r="U516">
        <v>0</v>
      </c>
      <c r="V516" t="s">
        <v>52</v>
      </c>
      <c r="W516" s="1" t="s">
        <v>288</v>
      </c>
      <c r="Y516" t="s">
        <v>54</v>
      </c>
      <c r="Z516" t="s">
        <v>47</v>
      </c>
      <c r="AA516">
        <v>5</v>
      </c>
      <c r="AB516">
        <v>2</v>
      </c>
      <c r="AC516" t="s">
        <v>41</v>
      </c>
      <c r="AD516" t="s">
        <v>48</v>
      </c>
      <c r="AE516" t="s">
        <v>43</v>
      </c>
      <c r="AF516" s="3">
        <v>702</v>
      </c>
      <c r="AG516" s="3">
        <v>70</v>
      </c>
      <c r="AH516">
        <v>80</v>
      </c>
      <c r="AI516">
        <v>8</v>
      </c>
      <c r="AJ516">
        <v>1</v>
      </c>
      <c r="AK516">
        <v>1</v>
      </c>
      <c r="AL516">
        <v>1</v>
      </c>
      <c r="AM516">
        <v>0</v>
      </c>
      <c r="AN516" t="s">
        <v>767</v>
      </c>
      <c r="AO516" t="s">
        <v>31</v>
      </c>
    </row>
    <row r="517" spans="1:41" x14ac:dyDescent="0.25">
      <c r="A517">
        <v>25</v>
      </c>
      <c r="B517" t="s">
        <v>32</v>
      </c>
      <c r="C517" t="s">
        <v>33</v>
      </c>
      <c r="D517">
        <v>2</v>
      </c>
      <c r="E517" t="s">
        <v>34</v>
      </c>
      <c r="F517">
        <v>4</v>
      </c>
      <c r="G517">
        <v>1</v>
      </c>
      <c r="H517" t="s">
        <v>44</v>
      </c>
      <c r="I517">
        <v>1</v>
      </c>
      <c r="J517" t="s">
        <v>36</v>
      </c>
      <c r="K517">
        <v>3424</v>
      </c>
      <c r="L517">
        <v>7</v>
      </c>
      <c r="M517" t="s">
        <v>41</v>
      </c>
      <c r="N517">
        <v>13</v>
      </c>
      <c r="O517">
        <v>3</v>
      </c>
      <c r="P517">
        <v>0</v>
      </c>
      <c r="Q517">
        <v>6</v>
      </c>
      <c r="R517">
        <v>3</v>
      </c>
      <c r="S517">
        <v>4</v>
      </c>
      <c r="T517">
        <v>0</v>
      </c>
      <c r="U517">
        <v>1</v>
      </c>
      <c r="V517" t="s">
        <v>37</v>
      </c>
      <c r="W517" s="2">
        <v>42771</v>
      </c>
      <c r="Y517" t="s">
        <v>54</v>
      </c>
      <c r="Z517" t="s">
        <v>47</v>
      </c>
      <c r="AA517">
        <v>5</v>
      </c>
      <c r="AB517">
        <v>1</v>
      </c>
      <c r="AC517" t="s">
        <v>31</v>
      </c>
      <c r="AD517" t="s">
        <v>42</v>
      </c>
      <c r="AE517" t="s">
        <v>60</v>
      </c>
      <c r="AF517" s="3">
        <v>704</v>
      </c>
      <c r="AG517" s="3">
        <v>41</v>
      </c>
      <c r="AH517">
        <v>80</v>
      </c>
      <c r="AI517">
        <v>0</v>
      </c>
      <c r="AJ517">
        <v>0</v>
      </c>
      <c r="AL517">
        <v>0</v>
      </c>
      <c r="AM517">
        <v>1</v>
      </c>
      <c r="AN517" t="s">
        <v>768</v>
      </c>
      <c r="AO517" t="s">
        <v>41</v>
      </c>
    </row>
    <row r="518" spans="1:41" x14ac:dyDescent="0.25">
      <c r="A518">
        <v>49</v>
      </c>
      <c r="B518" t="s">
        <v>32</v>
      </c>
      <c r="C518" t="s">
        <v>33</v>
      </c>
      <c r="D518">
        <v>1</v>
      </c>
      <c r="E518" t="s">
        <v>61</v>
      </c>
      <c r="F518">
        <v>3</v>
      </c>
      <c r="G518">
        <v>1</v>
      </c>
      <c r="H518" t="s">
        <v>44</v>
      </c>
      <c r="I518">
        <v>1</v>
      </c>
      <c r="J518" t="s">
        <v>51</v>
      </c>
      <c r="K518">
        <v>3580</v>
      </c>
      <c r="L518">
        <v>2</v>
      </c>
      <c r="M518" t="s">
        <v>41</v>
      </c>
      <c r="N518">
        <v>16</v>
      </c>
      <c r="O518">
        <v>3</v>
      </c>
      <c r="P518">
        <v>1</v>
      </c>
      <c r="Q518">
        <v>7</v>
      </c>
      <c r="R518">
        <v>2</v>
      </c>
      <c r="S518">
        <v>4</v>
      </c>
      <c r="T518">
        <v>0</v>
      </c>
      <c r="U518">
        <v>2</v>
      </c>
      <c r="V518" t="s">
        <v>37</v>
      </c>
      <c r="W518" s="1" t="s">
        <v>289</v>
      </c>
      <c r="Y518" t="s">
        <v>69</v>
      </c>
      <c r="Z518" t="s">
        <v>40</v>
      </c>
      <c r="AA518">
        <v>3</v>
      </c>
      <c r="AB518">
        <v>1</v>
      </c>
      <c r="AC518" t="s">
        <v>31</v>
      </c>
      <c r="AD518" t="s">
        <v>48</v>
      </c>
      <c r="AE518" t="s">
        <v>43</v>
      </c>
      <c r="AF518" s="3">
        <v>705</v>
      </c>
      <c r="AG518" s="3">
        <v>58</v>
      </c>
      <c r="AH518">
        <v>80</v>
      </c>
      <c r="AI518">
        <v>2</v>
      </c>
      <c r="AJ518">
        <v>0</v>
      </c>
      <c r="AL518">
        <v>0</v>
      </c>
      <c r="AM518">
        <v>1</v>
      </c>
      <c r="AN518" t="s">
        <v>768</v>
      </c>
      <c r="AO518" t="s">
        <v>41</v>
      </c>
    </row>
    <row r="519" spans="1:41" x14ac:dyDescent="0.25">
      <c r="A519">
        <v>33</v>
      </c>
      <c r="B519" t="s">
        <v>32</v>
      </c>
      <c r="C519" t="s">
        <v>120</v>
      </c>
      <c r="D519">
        <v>3</v>
      </c>
      <c r="E519" t="s">
        <v>34</v>
      </c>
      <c r="F519">
        <v>3</v>
      </c>
      <c r="G519">
        <v>1</v>
      </c>
      <c r="H519" t="s">
        <v>120</v>
      </c>
      <c r="I519">
        <v>2</v>
      </c>
      <c r="J519" t="s">
        <v>57</v>
      </c>
      <c r="K519">
        <v>2277</v>
      </c>
      <c r="L519">
        <v>3</v>
      </c>
      <c r="M519" t="s">
        <v>31</v>
      </c>
      <c r="N519">
        <v>11</v>
      </c>
      <c r="O519">
        <v>3</v>
      </c>
      <c r="P519">
        <v>1</v>
      </c>
      <c r="Q519">
        <v>7</v>
      </c>
      <c r="R519">
        <v>4</v>
      </c>
      <c r="S519">
        <v>4</v>
      </c>
      <c r="T519">
        <v>0</v>
      </c>
      <c r="U519">
        <v>3</v>
      </c>
      <c r="V519" t="s">
        <v>37</v>
      </c>
      <c r="W519" s="1" t="s">
        <v>281</v>
      </c>
      <c r="Y519" t="s">
        <v>54</v>
      </c>
      <c r="Z519" t="s">
        <v>47</v>
      </c>
      <c r="AA519">
        <v>4</v>
      </c>
      <c r="AB519">
        <v>0</v>
      </c>
      <c r="AC519" t="s">
        <v>31</v>
      </c>
      <c r="AD519" t="s">
        <v>48</v>
      </c>
      <c r="AE519" t="s">
        <v>49</v>
      </c>
      <c r="AF519" s="3">
        <v>707</v>
      </c>
      <c r="AG519" s="3">
        <v>57</v>
      </c>
      <c r="AH519">
        <v>80</v>
      </c>
      <c r="AI519">
        <v>2</v>
      </c>
      <c r="AJ519">
        <v>0</v>
      </c>
      <c r="AL519">
        <v>0</v>
      </c>
      <c r="AM519">
        <v>1</v>
      </c>
      <c r="AN519" t="s">
        <v>768</v>
      </c>
      <c r="AO519" t="s">
        <v>41</v>
      </c>
    </row>
    <row r="520" spans="1:41" x14ac:dyDescent="0.25">
      <c r="A520">
        <v>29</v>
      </c>
      <c r="B520" t="s">
        <v>32</v>
      </c>
      <c r="C520" t="s">
        <v>33</v>
      </c>
      <c r="D520">
        <v>7</v>
      </c>
      <c r="E520" t="s">
        <v>61</v>
      </c>
      <c r="F520">
        <v>2</v>
      </c>
      <c r="G520">
        <v>1</v>
      </c>
      <c r="H520" t="s">
        <v>35</v>
      </c>
      <c r="I520">
        <v>4</v>
      </c>
      <c r="J520" t="s">
        <v>57</v>
      </c>
      <c r="K520">
        <v>2532</v>
      </c>
      <c r="L520">
        <v>6</v>
      </c>
      <c r="M520" t="s">
        <v>41</v>
      </c>
      <c r="N520">
        <v>14</v>
      </c>
      <c r="O520">
        <v>3</v>
      </c>
      <c r="P520">
        <v>3</v>
      </c>
      <c r="Q520">
        <v>8</v>
      </c>
      <c r="R520">
        <v>5</v>
      </c>
      <c r="S520">
        <v>4</v>
      </c>
      <c r="T520">
        <v>0</v>
      </c>
      <c r="U520">
        <v>3</v>
      </c>
      <c r="V520" t="s">
        <v>58</v>
      </c>
      <c r="W520" s="2">
        <v>43071</v>
      </c>
      <c r="Y520" t="s">
        <v>63</v>
      </c>
      <c r="Z520" t="s">
        <v>40</v>
      </c>
      <c r="AA520">
        <v>5</v>
      </c>
      <c r="AB520">
        <v>3</v>
      </c>
      <c r="AC520" t="s">
        <v>31</v>
      </c>
      <c r="AD520" t="s">
        <v>67</v>
      </c>
      <c r="AE520" t="s">
        <v>43</v>
      </c>
      <c r="AF520" s="3">
        <v>709</v>
      </c>
      <c r="AG520" s="3">
        <v>46</v>
      </c>
      <c r="AH520">
        <v>80</v>
      </c>
      <c r="AI520">
        <v>7</v>
      </c>
      <c r="AJ520">
        <v>0</v>
      </c>
      <c r="AL520">
        <v>0</v>
      </c>
      <c r="AM520">
        <v>1</v>
      </c>
      <c r="AN520" t="s">
        <v>768</v>
      </c>
      <c r="AO520" t="s">
        <v>41</v>
      </c>
    </row>
    <row r="521" spans="1:41" x14ac:dyDescent="0.25">
      <c r="A521">
        <v>28</v>
      </c>
      <c r="B521" t="s">
        <v>32</v>
      </c>
      <c r="C521" t="s">
        <v>55</v>
      </c>
      <c r="D521">
        <v>5</v>
      </c>
      <c r="E521" t="s">
        <v>34</v>
      </c>
      <c r="F521">
        <v>3</v>
      </c>
      <c r="G521">
        <v>2</v>
      </c>
      <c r="H521" t="s">
        <v>70</v>
      </c>
      <c r="I521">
        <v>4</v>
      </c>
      <c r="J521" t="s">
        <v>36</v>
      </c>
      <c r="K521">
        <v>4908</v>
      </c>
      <c r="L521">
        <v>1</v>
      </c>
      <c r="M521" t="s">
        <v>41</v>
      </c>
      <c r="N521">
        <v>14</v>
      </c>
      <c r="O521">
        <v>3</v>
      </c>
      <c r="P521">
        <v>0</v>
      </c>
      <c r="Q521">
        <v>4</v>
      </c>
      <c r="R521">
        <v>3</v>
      </c>
      <c r="S521">
        <v>4</v>
      </c>
      <c r="T521">
        <v>0</v>
      </c>
      <c r="U521">
        <v>2</v>
      </c>
      <c r="V521" t="s">
        <v>52</v>
      </c>
      <c r="W521" s="2">
        <v>42769</v>
      </c>
      <c r="Y521" t="s">
        <v>39</v>
      </c>
      <c r="Z521" t="s">
        <v>40</v>
      </c>
      <c r="AA521">
        <v>5</v>
      </c>
      <c r="AB521">
        <v>2</v>
      </c>
      <c r="AC521" t="s">
        <v>41</v>
      </c>
      <c r="AD521" t="s">
        <v>65</v>
      </c>
      <c r="AE521" t="s">
        <v>49</v>
      </c>
      <c r="AF521" s="3">
        <v>710</v>
      </c>
      <c r="AG521" s="3">
        <v>76</v>
      </c>
      <c r="AH521">
        <v>80</v>
      </c>
      <c r="AI521">
        <v>7</v>
      </c>
      <c r="AJ521">
        <v>0</v>
      </c>
      <c r="AL521">
        <v>0</v>
      </c>
      <c r="AM521">
        <v>1</v>
      </c>
      <c r="AN521" t="s">
        <v>768</v>
      </c>
      <c r="AO521" t="s">
        <v>41</v>
      </c>
    </row>
    <row r="522" spans="1:41" x14ac:dyDescent="0.25">
      <c r="A522">
        <v>24</v>
      </c>
      <c r="B522" t="s">
        <v>32</v>
      </c>
      <c r="C522" t="s">
        <v>33</v>
      </c>
      <c r="D522">
        <v>17</v>
      </c>
      <c r="E522" t="s">
        <v>61</v>
      </c>
      <c r="F522">
        <v>2</v>
      </c>
      <c r="G522">
        <v>2</v>
      </c>
      <c r="H522" t="s">
        <v>78</v>
      </c>
      <c r="I522">
        <v>3</v>
      </c>
      <c r="J522" t="s">
        <v>57</v>
      </c>
      <c r="K522">
        <v>4377</v>
      </c>
      <c r="L522">
        <v>1</v>
      </c>
      <c r="M522" t="s">
        <v>41</v>
      </c>
      <c r="N522">
        <v>15</v>
      </c>
      <c r="O522">
        <v>3</v>
      </c>
      <c r="P522">
        <v>2</v>
      </c>
      <c r="Q522">
        <v>5</v>
      </c>
      <c r="R522">
        <v>6</v>
      </c>
      <c r="S522">
        <v>4</v>
      </c>
      <c r="T522">
        <v>3</v>
      </c>
      <c r="U522">
        <v>2</v>
      </c>
      <c r="V522" t="s">
        <v>37</v>
      </c>
      <c r="W522" s="2">
        <v>42770</v>
      </c>
      <c r="Y522" t="s">
        <v>54</v>
      </c>
      <c r="Z522" t="s">
        <v>40</v>
      </c>
      <c r="AA522">
        <v>5</v>
      </c>
      <c r="AB522">
        <v>1</v>
      </c>
      <c r="AC522" t="s">
        <v>31</v>
      </c>
      <c r="AD522" t="s">
        <v>67</v>
      </c>
      <c r="AE522" t="s">
        <v>49</v>
      </c>
      <c r="AF522" s="3">
        <v>712</v>
      </c>
      <c r="AG522" s="3">
        <v>56</v>
      </c>
      <c r="AH522">
        <v>80</v>
      </c>
      <c r="AI522">
        <v>2</v>
      </c>
      <c r="AJ522">
        <v>0</v>
      </c>
      <c r="AL522">
        <v>0</v>
      </c>
      <c r="AM522">
        <v>1</v>
      </c>
      <c r="AN522" t="s">
        <v>768</v>
      </c>
      <c r="AO522" t="s">
        <v>41</v>
      </c>
    </row>
    <row r="523" spans="1:41" x14ac:dyDescent="0.25">
      <c r="A523">
        <v>35</v>
      </c>
      <c r="B523" t="s">
        <v>32</v>
      </c>
      <c r="C523" t="s">
        <v>33</v>
      </c>
      <c r="D523">
        <v>14</v>
      </c>
      <c r="E523" t="s">
        <v>34</v>
      </c>
      <c r="F523">
        <v>2</v>
      </c>
      <c r="G523">
        <v>1</v>
      </c>
      <c r="H523" t="s">
        <v>35</v>
      </c>
      <c r="I523">
        <v>2</v>
      </c>
      <c r="J523" t="s">
        <v>57</v>
      </c>
      <c r="K523">
        <v>3743</v>
      </c>
      <c r="L523">
        <v>1</v>
      </c>
      <c r="M523" t="s">
        <v>31</v>
      </c>
      <c r="N523">
        <v>24</v>
      </c>
      <c r="O523">
        <v>4</v>
      </c>
      <c r="P523">
        <v>1</v>
      </c>
      <c r="Q523">
        <v>5</v>
      </c>
      <c r="R523">
        <v>2</v>
      </c>
      <c r="S523">
        <v>4</v>
      </c>
      <c r="T523">
        <v>0</v>
      </c>
      <c r="U523">
        <v>2</v>
      </c>
      <c r="V523" t="s">
        <v>52</v>
      </c>
      <c r="W523" s="1" t="s">
        <v>290</v>
      </c>
      <c r="Y523" t="s">
        <v>69</v>
      </c>
      <c r="Z523" t="s">
        <v>40</v>
      </c>
      <c r="AA523">
        <v>5</v>
      </c>
      <c r="AB523">
        <v>1</v>
      </c>
      <c r="AC523" t="s">
        <v>31</v>
      </c>
      <c r="AD523" t="s">
        <v>67</v>
      </c>
      <c r="AE523" t="s">
        <v>43</v>
      </c>
      <c r="AF523" s="3">
        <v>714</v>
      </c>
      <c r="AG523" s="3">
        <v>71</v>
      </c>
      <c r="AH523">
        <v>80</v>
      </c>
      <c r="AI523">
        <v>5</v>
      </c>
      <c r="AJ523">
        <v>0</v>
      </c>
      <c r="AL523">
        <v>0</v>
      </c>
      <c r="AM523">
        <v>1</v>
      </c>
      <c r="AN523" t="s">
        <v>768</v>
      </c>
      <c r="AO523" t="s">
        <v>41</v>
      </c>
    </row>
    <row r="524" spans="1:41" x14ac:dyDescent="0.25">
      <c r="A524">
        <v>31</v>
      </c>
      <c r="B524" t="s">
        <v>66</v>
      </c>
      <c r="C524" t="s">
        <v>33</v>
      </c>
      <c r="D524">
        <v>1</v>
      </c>
      <c r="E524" t="s">
        <v>61</v>
      </c>
      <c r="F524">
        <v>3</v>
      </c>
      <c r="G524">
        <v>2</v>
      </c>
      <c r="H524" t="s">
        <v>78</v>
      </c>
      <c r="I524">
        <v>1</v>
      </c>
      <c r="J524" t="s">
        <v>51</v>
      </c>
      <c r="K524">
        <v>4148</v>
      </c>
      <c r="L524">
        <v>1</v>
      </c>
      <c r="M524" t="s">
        <v>41</v>
      </c>
      <c r="N524">
        <v>12</v>
      </c>
      <c r="O524">
        <v>3</v>
      </c>
      <c r="P524">
        <v>1</v>
      </c>
      <c r="Q524">
        <v>4</v>
      </c>
      <c r="R524">
        <v>1</v>
      </c>
      <c r="S524">
        <v>4</v>
      </c>
      <c r="T524">
        <v>0</v>
      </c>
      <c r="U524">
        <v>3</v>
      </c>
      <c r="V524" t="s">
        <v>52</v>
      </c>
      <c r="W524" s="1" t="s">
        <v>291</v>
      </c>
      <c r="Y524" t="s">
        <v>63</v>
      </c>
      <c r="Z524" t="s">
        <v>40</v>
      </c>
      <c r="AA524">
        <v>4</v>
      </c>
      <c r="AB524">
        <v>2</v>
      </c>
      <c r="AC524" t="s">
        <v>41</v>
      </c>
      <c r="AD524" t="s">
        <v>65</v>
      </c>
      <c r="AE524" t="s">
        <v>60</v>
      </c>
      <c r="AF524" s="3">
        <v>715</v>
      </c>
      <c r="AG524" s="3">
        <v>80</v>
      </c>
      <c r="AH524">
        <v>80</v>
      </c>
      <c r="AI524">
        <v>0</v>
      </c>
      <c r="AJ524">
        <v>0</v>
      </c>
      <c r="AL524">
        <v>0</v>
      </c>
      <c r="AM524">
        <v>1</v>
      </c>
      <c r="AN524" t="s">
        <v>768</v>
      </c>
      <c r="AO524" t="s">
        <v>41</v>
      </c>
    </row>
    <row r="525" spans="1:41" x14ac:dyDescent="0.25">
      <c r="A525">
        <v>22</v>
      </c>
      <c r="B525" t="s">
        <v>32</v>
      </c>
      <c r="C525" t="s">
        <v>33</v>
      </c>
      <c r="D525">
        <v>8</v>
      </c>
      <c r="E525" t="s">
        <v>34</v>
      </c>
      <c r="F525">
        <v>1</v>
      </c>
      <c r="G525">
        <v>1</v>
      </c>
      <c r="H525" t="s">
        <v>35</v>
      </c>
      <c r="I525">
        <v>1</v>
      </c>
      <c r="J525" t="s">
        <v>51</v>
      </c>
      <c r="K525">
        <v>2451</v>
      </c>
      <c r="L525">
        <v>1</v>
      </c>
      <c r="M525" t="s">
        <v>41</v>
      </c>
      <c r="N525">
        <v>15</v>
      </c>
      <c r="O525">
        <v>3</v>
      </c>
      <c r="P525">
        <v>1</v>
      </c>
      <c r="Q525">
        <v>4</v>
      </c>
      <c r="R525">
        <v>3</v>
      </c>
      <c r="S525">
        <v>4</v>
      </c>
      <c r="T525">
        <v>1</v>
      </c>
      <c r="U525">
        <v>1</v>
      </c>
      <c r="V525" t="s">
        <v>52</v>
      </c>
      <c r="W525" s="2">
        <v>43073</v>
      </c>
      <c r="Y525" t="s">
        <v>63</v>
      </c>
      <c r="Z525" t="s">
        <v>47</v>
      </c>
      <c r="AA525">
        <v>3</v>
      </c>
      <c r="AB525">
        <v>3</v>
      </c>
      <c r="AC525" t="s">
        <v>41</v>
      </c>
      <c r="AD525" t="s">
        <v>65</v>
      </c>
      <c r="AE525" t="s">
        <v>49</v>
      </c>
      <c r="AF525" s="3">
        <v>716</v>
      </c>
      <c r="AG525" s="3">
        <v>74</v>
      </c>
      <c r="AH525">
        <v>80</v>
      </c>
      <c r="AI525">
        <v>8</v>
      </c>
      <c r="AJ525">
        <v>0</v>
      </c>
      <c r="AL525">
        <v>0</v>
      </c>
      <c r="AM525">
        <v>1</v>
      </c>
      <c r="AN525" t="s">
        <v>768</v>
      </c>
      <c r="AO525" t="s">
        <v>41</v>
      </c>
    </row>
    <row r="526" spans="1:41" x14ac:dyDescent="0.25">
      <c r="A526">
        <v>37</v>
      </c>
      <c r="B526" t="s">
        <v>32</v>
      </c>
      <c r="C526" t="s">
        <v>33</v>
      </c>
      <c r="D526">
        <v>3</v>
      </c>
      <c r="E526" t="s">
        <v>61</v>
      </c>
      <c r="F526">
        <v>3</v>
      </c>
      <c r="G526">
        <v>2</v>
      </c>
      <c r="H526" t="s">
        <v>89</v>
      </c>
      <c r="I526">
        <v>2</v>
      </c>
      <c r="J526" t="s">
        <v>36</v>
      </c>
      <c r="K526">
        <v>4107</v>
      </c>
      <c r="L526">
        <v>3</v>
      </c>
      <c r="M526" t="s">
        <v>41</v>
      </c>
      <c r="N526">
        <v>15</v>
      </c>
      <c r="O526">
        <v>3</v>
      </c>
      <c r="P526">
        <v>0</v>
      </c>
      <c r="Q526">
        <v>8</v>
      </c>
      <c r="R526">
        <v>3</v>
      </c>
      <c r="S526">
        <v>4</v>
      </c>
      <c r="T526">
        <v>0</v>
      </c>
      <c r="U526">
        <v>1</v>
      </c>
      <c r="V526" t="s">
        <v>72</v>
      </c>
      <c r="W526" s="2">
        <v>43013</v>
      </c>
      <c r="Y526" t="s">
        <v>39</v>
      </c>
      <c r="Z526" t="s">
        <v>47</v>
      </c>
      <c r="AA526">
        <v>1</v>
      </c>
      <c r="AB526">
        <v>3</v>
      </c>
      <c r="AC526" t="s">
        <v>41</v>
      </c>
      <c r="AD526" t="s">
        <v>48</v>
      </c>
      <c r="AE526" t="s">
        <v>60</v>
      </c>
      <c r="AF526" s="3">
        <v>717</v>
      </c>
      <c r="AG526" s="3">
        <v>46</v>
      </c>
      <c r="AH526">
        <v>80</v>
      </c>
      <c r="AI526">
        <v>7</v>
      </c>
      <c r="AJ526">
        <v>0</v>
      </c>
      <c r="AL526">
        <v>0</v>
      </c>
      <c r="AM526">
        <v>1</v>
      </c>
      <c r="AN526" t="s">
        <v>768</v>
      </c>
      <c r="AO526" t="s">
        <v>41</v>
      </c>
    </row>
    <row r="527" spans="1:41" x14ac:dyDescent="0.25">
      <c r="A527">
        <v>28</v>
      </c>
      <c r="B527" t="s">
        <v>32</v>
      </c>
      <c r="C527" t="s">
        <v>33</v>
      </c>
      <c r="D527">
        <v>15</v>
      </c>
      <c r="E527" t="s">
        <v>34</v>
      </c>
      <c r="F527">
        <v>3</v>
      </c>
      <c r="G527">
        <v>1</v>
      </c>
      <c r="H527" t="s">
        <v>35</v>
      </c>
      <c r="I527">
        <v>3</v>
      </c>
      <c r="J527" t="s">
        <v>57</v>
      </c>
      <c r="K527">
        <v>2207</v>
      </c>
      <c r="L527">
        <v>1</v>
      </c>
      <c r="M527" t="s">
        <v>41</v>
      </c>
      <c r="N527">
        <v>16</v>
      </c>
      <c r="O527">
        <v>3</v>
      </c>
      <c r="P527">
        <v>1</v>
      </c>
      <c r="Q527">
        <v>4</v>
      </c>
      <c r="R527">
        <v>5</v>
      </c>
      <c r="S527">
        <v>4</v>
      </c>
      <c r="T527">
        <v>2</v>
      </c>
      <c r="U527">
        <v>2</v>
      </c>
      <c r="V527" t="s">
        <v>58</v>
      </c>
      <c r="W527" s="2">
        <v>42769</v>
      </c>
      <c r="Y527" t="s">
        <v>39</v>
      </c>
      <c r="Z527" t="s">
        <v>40</v>
      </c>
      <c r="AA527">
        <v>0</v>
      </c>
      <c r="AB527">
        <v>2</v>
      </c>
      <c r="AC527" t="s">
        <v>31</v>
      </c>
      <c r="AD527" t="s">
        <v>42</v>
      </c>
      <c r="AE527" t="s">
        <v>49</v>
      </c>
      <c r="AF527" s="3">
        <v>720</v>
      </c>
      <c r="AG527" s="3">
        <v>65</v>
      </c>
      <c r="AH527">
        <v>80</v>
      </c>
      <c r="AI527">
        <v>2</v>
      </c>
      <c r="AJ527">
        <v>1</v>
      </c>
      <c r="AK527">
        <v>1</v>
      </c>
      <c r="AL527">
        <v>1</v>
      </c>
      <c r="AM527">
        <v>0</v>
      </c>
      <c r="AN527" t="s">
        <v>767</v>
      </c>
      <c r="AO527" t="s">
        <v>31</v>
      </c>
    </row>
    <row r="528" spans="1:41" x14ac:dyDescent="0.25">
      <c r="A528">
        <v>27</v>
      </c>
      <c r="B528" t="s">
        <v>32</v>
      </c>
      <c r="C528" t="s">
        <v>33</v>
      </c>
      <c r="D528">
        <v>6</v>
      </c>
      <c r="E528" t="s">
        <v>34</v>
      </c>
      <c r="F528">
        <v>2</v>
      </c>
      <c r="G528">
        <v>1</v>
      </c>
      <c r="H528" t="s">
        <v>44</v>
      </c>
      <c r="I528">
        <v>3</v>
      </c>
      <c r="J528" t="s">
        <v>51</v>
      </c>
      <c r="K528">
        <v>2539</v>
      </c>
      <c r="L528">
        <v>1</v>
      </c>
      <c r="M528" t="s">
        <v>41</v>
      </c>
      <c r="N528">
        <v>13</v>
      </c>
      <c r="O528">
        <v>3</v>
      </c>
      <c r="P528">
        <v>1</v>
      </c>
      <c r="Q528">
        <v>4</v>
      </c>
      <c r="R528">
        <v>0</v>
      </c>
      <c r="S528">
        <v>4</v>
      </c>
      <c r="T528">
        <v>2</v>
      </c>
      <c r="U528">
        <v>2</v>
      </c>
      <c r="V528" t="s">
        <v>52</v>
      </c>
      <c r="W528" s="2">
        <v>42795</v>
      </c>
      <c r="Y528" t="s">
        <v>63</v>
      </c>
      <c r="Z528" t="s">
        <v>40</v>
      </c>
      <c r="AA528">
        <v>1</v>
      </c>
      <c r="AB528">
        <v>3</v>
      </c>
      <c r="AC528" t="s">
        <v>41</v>
      </c>
      <c r="AD528" t="s">
        <v>42</v>
      </c>
      <c r="AE528" t="s">
        <v>60</v>
      </c>
      <c r="AF528" s="3">
        <v>721</v>
      </c>
      <c r="AG528" s="3">
        <v>80</v>
      </c>
      <c r="AH528">
        <v>80</v>
      </c>
      <c r="AI528">
        <v>7</v>
      </c>
      <c r="AJ528">
        <v>0</v>
      </c>
      <c r="AL528">
        <v>0</v>
      </c>
      <c r="AM528">
        <v>1</v>
      </c>
      <c r="AN528" t="s">
        <v>768</v>
      </c>
      <c r="AO528" t="s">
        <v>41</v>
      </c>
    </row>
    <row r="529" spans="1:41" x14ac:dyDescent="0.25">
      <c r="A529">
        <v>24</v>
      </c>
      <c r="B529" t="s">
        <v>32</v>
      </c>
      <c r="C529" t="s">
        <v>33</v>
      </c>
      <c r="D529">
        <v>24</v>
      </c>
      <c r="E529" t="s">
        <v>34</v>
      </c>
      <c r="F529">
        <v>3</v>
      </c>
      <c r="G529">
        <v>1</v>
      </c>
      <c r="H529" t="s">
        <v>35</v>
      </c>
      <c r="I529">
        <v>2</v>
      </c>
      <c r="J529" t="s">
        <v>36</v>
      </c>
      <c r="K529">
        <v>3597</v>
      </c>
      <c r="L529">
        <v>8</v>
      </c>
      <c r="M529" t="s">
        <v>41</v>
      </c>
      <c r="N529">
        <v>22</v>
      </c>
      <c r="O529">
        <v>4</v>
      </c>
      <c r="P529">
        <v>0</v>
      </c>
      <c r="Q529">
        <v>6</v>
      </c>
      <c r="R529">
        <v>2</v>
      </c>
      <c r="S529">
        <v>4</v>
      </c>
      <c r="T529">
        <v>1</v>
      </c>
      <c r="U529">
        <v>2</v>
      </c>
      <c r="V529" t="s">
        <v>72</v>
      </c>
      <c r="W529" s="1" t="s">
        <v>292</v>
      </c>
      <c r="Y529" t="s">
        <v>54</v>
      </c>
      <c r="Z529" t="s">
        <v>40</v>
      </c>
      <c r="AA529">
        <v>2</v>
      </c>
      <c r="AB529">
        <v>1</v>
      </c>
      <c r="AC529" t="s">
        <v>41</v>
      </c>
      <c r="AD529" t="s">
        <v>42</v>
      </c>
      <c r="AE529" t="s">
        <v>49</v>
      </c>
      <c r="AF529" s="3">
        <v>722</v>
      </c>
      <c r="AG529" s="3">
        <v>55</v>
      </c>
      <c r="AH529">
        <v>80</v>
      </c>
      <c r="AI529">
        <v>7</v>
      </c>
      <c r="AJ529">
        <v>0</v>
      </c>
      <c r="AL529">
        <v>0</v>
      </c>
      <c r="AM529">
        <v>1</v>
      </c>
      <c r="AN529" t="s">
        <v>768</v>
      </c>
      <c r="AO529" t="s">
        <v>41</v>
      </c>
    </row>
    <row r="530" spans="1:41" x14ac:dyDescent="0.25">
      <c r="A530">
        <v>43</v>
      </c>
      <c r="B530" t="s">
        <v>32</v>
      </c>
      <c r="C530" t="s">
        <v>55</v>
      </c>
      <c r="D530">
        <v>9</v>
      </c>
      <c r="E530" t="s">
        <v>61</v>
      </c>
      <c r="F530">
        <v>1</v>
      </c>
      <c r="G530">
        <v>2</v>
      </c>
      <c r="H530" t="s">
        <v>70</v>
      </c>
      <c r="I530">
        <v>3</v>
      </c>
      <c r="J530" t="s">
        <v>36</v>
      </c>
      <c r="K530">
        <v>5346</v>
      </c>
      <c r="L530">
        <v>8</v>
      </c>
      <c r="M530" t="s">
        <v>41</v>
      </c>
      <c r="N530">
        <v>13</v>
      </c>
      <c r="O530">
        <v>3</v>
      </c>
      <c r="P530">
        <v>0</v>
      </c>
      <c r="Q530">
        <v>7</v>
      </c>
      <c r="R530">
        <v>2</v>
      </c>
      <c r="S530">
        <v>4</v>
      </c>
      <c r="T530">
        <v>1</v>
      </c>
      <c r="U530">
        <v>3</v>
      </c>
      <c r="V530" t="s">
        <v>58</v>
      </c>
      <c r="W530" s="2">
        <v>42738</v>
      </c>
      <c r="Y530" t="s">
        <v>63</v>
      </c>
      <c r="Z530" t="s">
        <v>40</v>
      </c>
      <c r="AA530">
        <v>5</v>
      </c>
      <c r="AB530">
        <v>0</v>
      </c>
      <c r="AC530" t="s">
        <v>31</v>
      </c>
      <c r="AD530" t="s">
        <v>48</v>
      </c>
      <c r="AE530" t="s">
        <v>49</v>
      </c>
      <c r="AF530" s="3">
        <v>723</v>
      </c>
      <c r="AG530" s="3">
        <v>50</v>
      </c>
      <c r="AH530">
        <v>80</v>
      </c>
      <c r="AI530">
        <v>3</v>
      </c>
      <c r="AJ530">
        <v>1</v>
      </c>
      <c r="AK530">
        <v>1</v>
      </c>
      <c r="AL530">
        <v>1</v>
      </c>
      <c r="AM530">
        <v>0</v>
      </c>
      <c r="AN530" t="s">
        <v>767</v>
      </c>
      <c r="AO530" t="s">
        <v>31</v>
      </c>
    </row>
    <row r="531" spans="1:41" x14ac:dyDescent="0.25">
      <c r="A531">
        <v>30</v>
      </c>
      <c r="B531" t="s">
        <v>32</v>
      </c>
      <c r="C531" t="s">
        <v>55</v>
      </c>
      <c r="D531">
        <v>29</v>
      </c>
      <c r="E531" t="s">
        <v>34</v>
      </c>
      <c r="F531">
        <v>3</v>
      </c>
      <c r="G531">
        <v>2</v>
      </c>
      <c r="H531" t="s">
        <v>70</v>
      </c>
      <c r="I531">
        <v>1</v>
      </c>
      <c r="J531" t="s">
        <v>57</v>
      </c>
      <c r="K531">
        <v>4115</v>
      </c>
      <c r="L531">
        <v>8</v>
      </c>
      <c r="M531" t="s">
        <v>41</v>
      </c>
      <c r="N531">
        <v>19</v>
      </c>
      <c r="O531">
        <v>3</v>
      </c>
      <c r="P531">
        <v>3</v>
      </c>
      <c r="Q531">
        <v>8</v>
      </c>
      <c r="R531">
        <v>3</v>
      </c>
      <c r="S531">
        <v>4</v>
      </c>
      <c r="T531">
        <v>0</v>
      </c>
      <c r="U531">
        <v>3</v>
      </c>
      <c r="V531" t="s">
        <v>58</v>
      </c>
      <c r="W531" s="2">
        <v>43073</v>
      </c>
      <c r="Y531" t="s">
        <v>69</v>
      </c>
      <c r="Z531" t="s">
        <v>47</v>
      </c>
      <c r="AA531">
        <v>2</v>
      </c>
      <c r="AB531">
        <v>1</v>
      </c>
      <c r="AC531" t="s">
        <v>41</v>
      </c>
      <c r="AD531" t="s">
        <v>42</v>
      </c>
      <c r="AE531" t="s">
        <v>43</v>
      </c>
      <c r="AF531" s="3">
        <v>724</v>
      </c>
      <c r="AG531" s="3">
        <v>33</v>
      </c>
      <c r="AH531">
        <v>80</v>
      </c>
      <c r="AI531">
        <v>7</v>
      </c>
      <c r="AJ531">
        <v>0</v>
      </c>
      <c r="AL531">
        <v>0</v>
      </c>
      <c r="AM531">
        <v>1</v>
      </c>
      <c r="AN531" t="s">
        <v>768</v>
      </c>
      <c r="AO531" t="s">
        <v>41</v>
      </c>
    </row>
    <row r="532" spans="1:41" x14ac:dyDescent="0.25">
      <c r="A532">
        <v>46</v>
      </c>
      <c r="B532" t="s">
        <v>32</v>
      </c>
      <c r="C532" t="s">
        <v>33</v>
      </c>
      <c r="D532">
        <v>15</v>
      </c>
      <c r="E532" t="s">
        <v>34</v>
      </c>
      <c r="F532">
        <v>3</v>
      </c>
      <c r="G532">
        <v>5</v>
      </c>
      <c r="H532" t="s">
        <v>50</v>
      </c>
      <c r="I532">
        <v>2</v>
      </c>
      <c r="J532" t="s">
        <v>51</v>
      </c>
      <c r="K532">
        <v>19081</v>
      </c>
      <c r="L532">
        <v>5</v>
      </c>
      <c r="M532" t="s">
        <v>41</v>
      </c>
      <c r="N532">
        <v>11</v>
      </c>
      <c r="O532">
        <v>3</v>
      </c>
      <c r="P532">
        <v>1</v>
      </c>
      <c r="Q532">
        <v>25</v>
      </c>
      <c r="R532">
        <v>2</v>
      </c>
      <c r="S532">
        <v>4</v>
      </c>
      <c r="T532">
        <v>0</v>
      </c>
      <c r="U532">
        <v>3</v>
      </c>
      <c r="V532" t="s">
        <v>37</v>
      </c>
      <c r="W532" s="1" t="s">
        <v>293</v>
      </c>
      <c r="Y532" t="s">
        <v>69</v>
      </c>
      <c r="Z532" t="s">
        <v>47</v>
      </c>
      <c r="AA532">
        <v>1</v>
      </c>
      <c r="AB532">
        <v>2</v>
      </c>
      <c r="AC532" t="s">
        <v>31</v>
      </c>
      <c r="AD532" t="s">
        <v>48</v>
      </c>
      <c r="AE532" t="s">
        <v>49</v>
      </c>
      <c r="AF532" s="3">
        <v>725</v>
      </c>
      <c r="AG532" s="3">
        <v>68</v>
      </c>
      <c r="AH532">
        <v>80</v>
      </c>
      <c r="AI532">
        <v>7</v>
      </c>
      <c r="AJ532">
        <v>0</v>
      </c>
      <c r="AL532">
        <v>0</v>
      </c>
      <c r="AM532">
        <v>1</v>
      </c>
      <c r="AN532" t="s">
        <v>768</v>
      </c>
      <c r="AO532" t="s">
        <v>41</v>
      </c>
    </row>
    <row r="533" spans="1:41" x14ac:dyDescent="0.25">
      <c r="A533">
        <v>42</v>
      </c>
      <c r="B533" t="s">
        <v>81</v>
      </c>
      <c r="C533" t="s">
        <v>120</v>
      </c>
      <c r="D533">
        <v>2</v>
      </c>
      <c r="E533" t="s">
        <v>34</v>
      </c>
      <c r="F533">
        <v>4</v>
      </c>
      <c r="G533">
        <v>2</v>
      </c>
      <c r="H533" t="s">
        <v>120</v>
      </c>
      <c r="I533">
        <v>1</v>
      </c>
      <c r="J533" t="s">
        <v>51</v>
      </c>
      <c r="K533">
        <v>6272</v>
      </c>
      <c r="L533">
        <v>7</v>
      </c>
      <c r="M533" t="s">
        <v>41</v>
      </c>
      <c r="N533">
        <v>16</v>
      </c>
      <c r="O533">
        <v>3</v>
      </c>
      <c r="P533">
        <v>1</v>
      </c>
      <c r="Q533">
        <v>10</v>
      </c>
      <c r="R533">
        <v>3</v>
      </c>
      <c r="S533">
        <v>4</v>
      </c>
      <c r="T533">
        <v>0</v>
      </c>
      <c r="U533">
        <v>3</v>
      </c>
      <c r="V533" t="s">
        <v>58</v>
      </c>
      <c r="W533" s="1" t="s">
        <v>294</v>
      </c>
      <c r="Y533" t="s">
        <v>69</v>
      </c>
      <c r="Z533" t="s">
        <v>40</v>
      </c>
      <c r="AA533">
        <v>4</v>
      </c>
      <c r="AB533">
        <v>3</v>
      </c>
      <c r="AC533" t="s">
        <v>41</v>
      </c>
      <c r="AD533" t="s">
        <v>65</v>
      </c>
      <c r="AE533" t="s">
        <v>49</v>
      </c>
      <c r="AF533" s="3">
        <v>727</v>
      </c>
      <c r="AG533" s="3">
        <v>39</v>
      </c>
      <c r="AH533">
        <v>80</v>
      </c>
      <c r="AI533">
        <v>7</v>
      </c>
      <c r="AJ533">
        <v>0</v>
      </c>
      <c r="AL533">
        <v>0</v>
      </c>
      <c r="AM533">
        <v>1</v>
      </c>
      <c r="AN533" t="s">
        <v>768</v>
      </c>
      <c r="AO533" t="s">
        <v>41</v>
      </c>
    </row>
    <row r="534" spans="1:41" x14ac:dyDescent="0.25">
      <c r="A534">
        <v>25</v>
      </c>
      <c r="B534" t="s">
        <v>32</v>
      </c>
      <c r="C534" t="s">
        <v>55</v>
      </c>
      <c r="D534">
        <v>10</v>
      </c>
      <c r="E534" t="s">
        <v>34</v>
      </c>
      <c r="F534">
        <v>3</v>
      </c>
      <c r="G534">
        <v>2</v>
      </c>
      <c r="H534" t="s">
        <v>70</v>
      </c>
      <c r="I534">
        <v>4</v>
      </c>
      <c r="J534" t="s">
        <v>36</v>
      </c>
      <c r="K534">
        <v>4950</v>
      </c>
      <c r="L534">
        <v>0</v>
      </c>
      <c r="M534" t="s">
        <v>41</v>
      </c>
      <c r="N534">
        <v>14</v>
      </c>
      <c r="O534">
        <v>3</v>
      </c>
      <c r="P534">
        <v>0</v>
      </c>
      <c r="Q534">
        <v>5</v>
      </c>
      <c r="R534">
        <v>4</v>
      </c>
      <c r="S534">
        <v>4</v>
      </c>
      <c r="T534">
        <v>1</v>
      </c>
      <c r="U534">
        <v>1</v>
      </c>
      <c r="V534" t="s">
        <v>37</v>
      </c>
      <c r="W534" s="1" t="s">
        <v>295</v>
      </c>
      <c r="Y534" t="s">
        <v>63</v>
      </c>
      <c r="Z534" t="s">
        <v>40</v>
      </c>
      <c r="AA534">
        <v>3</v>
      </c>
      <c r="AB534">
        <v>3</v>
      </c>
      <c r="AC534" t="s">
        <v>41</v>
      </c>
      <c r="AD534" t="s">
        <v>42</v>
      </c>
      <c r="AE534" t="s">
        <v>49</v>
      </c>
      <c r="AF534" s="3">
        <v>728</v>
      </c>
      <c r="AG534" s="3">
        <v>42</v>
      </c>
      <c r="AH534">
        <v>80</v>
      </c>
      <c r="AI534">
        <v>7</v>
      </c>
      <c r="AJ534">
        <v>0</v>
      </c>
      <c r="AL534">
        <v>0</v>
      </c>
      <c r="AM534">
        <v>1</v>
      </c>
      <c r="AN534" t="s">
        <v>768</v>
      </c>
      <c r="AO534" t="s">
        <v>41</v>
      </c>
    </row>
    <row r="535" spans="1:41" x14ac:dyDescent="0.25">
      <c r="A535">
        <v>28</v>
      </c>
      <c r="B535" t="s">
        <v>66</v>
      </c>
      <c r="C535" t="s">
        <v>33</v>
      </c>
      <c r="D535">
        <v>1</v>
      </c>
      <c r="E535" t="s">
        <v>34</v>
      </c>
      <c r="F535">
        <v>3</v>
      </c>
      <c r="G535">
        <v>1</v>
      </c>
      <c r="H535" t="s">
        <v>35</v>
      </c>
      <c r="I535">
        <v>3</v>
      </c>
      <c r="J535" t="s">
        <v>36</v>
      </c>
      <c r="K535">
        <v>2154</v>
      </c>
      <c r="L535">
        <v>0</v>
      </c>
      <c r="M535" t="s">
        <v>31</v>
      </c>
      <c r="N535">
        <v>11</v>
      </c>
      <c r="O535">
        <v>3</v>
      </c>
      <c r="P535">
        <v>0</v>
      </c>
      <c r="Q535">
        <v>5</v>
      </c>
      <c r="R535">
        <v>2</v>
      </c>
      <c r="S535">
        <v>4</v>
      </c>
      <c r="T535">
        <v>0</v>
      </c>
      <c r="U535">
        <v>2</v>
      </c>
      <c r="V535" t="s">
        <v>58</v>
      </c>
      <c r="W535" s="1" t="s">
        <v>271</v>
      </c>
      <c r="Y535" t="s">
        <v>46</v>
      </c>
      <c r="Z535" t="s">
        <v>47</v>
      </c>
      <c r="AA535">
        <v>2</v>
      </c>
      <c r="AB535">
        <v>3</v>
      </c>
      <c r="AC535" t="s">
        <v>41</v>
      </c>
      <c r="AD535" t="s">
        <v>67</v>
      </c>
      <c r="AE535" t="s">
        <v>43</v>
      </c>
      <c r="AF535" s="3">
        <v>729</v>
      </c>
      <c r="AG535" s="3">
        <v>48</v>
      </c>
      <c r="AH535">
        <v>80</v>
      </c>
      <c r="AI535">
        <v>13</v>
      </c>
      <c r="AJ535">
        <v>0</v>
      </c>
      <c r="AL535">
        <v>0</v>
      </c>
      <c r="AM535">
        <v>1</v>
      </c>
      <c r="AN535" t="s">
        <v>768</v>
      </c>
      <c r="AO535" t="s">
        <v>41</v>
      </c>
    </row>
    <row r="536" spans="1:41" x14ac:dyDescent="0.25">
      <c r="A536">
        <v>40</v>
      </c>
      <c r="B536" t="s">
        <v>81</v>
      </c>
      <c r="C536" t="s">
        <v>33</v>
      </c>
      <c r="D536">
        <v>16</v>
      </c>
      <c r="E536" t="s">
        <v>34</v>
      </c>
      <c r="F536">
        <v>3</v>
      </c>
      <c r="G536">
        <v>1</v>
      </c>
      <c r="H536" t="s">
        <v>44</v>
      </c>
      <c r="I536">
        <v>3</v>
      </c>
      <c r="J536" t="s">
        <v>57</v>
      </c>
      <c r="K536">
        <v>3544</v>
      </c>
      <c r="L536">
        <v>9</v>
      </c>
      <c r="M536" t="s">
        <v>41</v>
      </c>
      <c r="N536">
        <v>16</v>
      </c>
      <c r="O536">
        <v>3</v>
      </c>
      <c r="P536">
        <v>1</v>
      </c>
      <c r="Q536">
        <v>6</v>
      </c>
      <c r="R536">
        <v>0</v>
      </c>
      <c r="S536">
        <v>4</v>
      </c>
      <c r="T536">
        <v>0</v>
      </c>
      <c r="U536">
        <v>0</v>
      </c>
      <c r="V536" t="s">
        <v>72</v>
      </c>
      <c r="W536" s="1" t="s">
        <v>271</v>
      </c>
      <c r="Y536" t="s">
        <v>46</v>
      </c>
      <c r="Z536" t="s">
        <v>47</v>
      </c>
      <c r="AA536">
        <v>5</v>
      </c>
      <c r="AB536">
        <v>1</v>
      </c>
      <c r="AC536" t="s">
        <v>41</v>
      </c>
      <c r="AD536" t="s">
        <v>42</v>
      </c>
      <c r="AE536" t="s">
        <v>49</v>
      </c>
      <c r="AF536" s="3">
        <v>730</v>
      </c>
      <c r="AG536" s="3">
        <v>59</v>
      </c>
      <c r="AH536">
        <v>80</v>
      </c>
      <c r="AI536">
        <v>1</v>
      </c>
      <c r="AJ536">
        <v>0</v>
      </c>
      <c r="AL536">
        <v>0</v>
      </c>
      <c r="AM536">
        <v>1</v>
      </c>
      <c r="AN536" t="s">
        <v>768</v>
      </c>
      <c r="AO536" t="s">
        <v>41</v>
      </c>
    </row>
    <row r="537" spans="1:41" x14ac:dyDescent="0.25">
      <c r="A537">
        <v>40</v>
      </c>
      <c r="B537" t="s">
        <v>32</v>
      </c>
      <c r="C537" t="s">
        <v>33</v>
      </c>
      <c r="D537">
        <v>1</v>
      </c>
      <c r="E537" t="s">
        <v>34</v>
      </c>
      <c r="F537">
        <v>3</v>
      </c>
      <c r="G537">
        <v>1</v>
      </c>
      <c r="H537" t="s">
        <v>35</v>
      </c>
      <c r="I537">
        <v>2</v>
      </c>
      <c r="J537" t="s">
        <v>51</v>
      </c>
      <c r="K537">
        <v>2387</v>
      </c>
      <c r="L537">
        <v>3</v>
      </c>
      <c r="M537" t="s">
        <v>41</v>
      </c>
      <c r="N537">
        <v>22</v>
      </c>
      <c r="O537">
        <v>4</v>
      </c>
      <c r="P537">
        <v>1</v>
      </c>
      <c r="Q537">
        <v>7</v>
      </c>
      <c r="R537">
        <v>3</v>
      </c>
      <c r="S537">
        <v>4</v>
      </c>
      <c r="T537">
        <v>0</v>
      </c>
      <c r="U537">
        <v>3</v>
      </c>
      <c r="V537" t="s">
        <v>52</v>
      </c>
      <c r="W537" s="2">
        <v>42921</v>
      </c>
      <c r="Y537" t="s">
        <v>39</v>
      </c>
      <c r="Z537" t="s">
        <v>40</v>
      </c>
      <c r="AA537">
        <v>5</v>
      </c>
      <c r="AB537">
        <v>3</v>
      </c>
      <c r="AC537" t="s">
        <v>41</v>
      </c>
      <c r="AD537" t="s">
        <v>65</v>
      </c>
      <c r="AE537" t="s">
        <v>49</v>
      </c>
      <c r="AF537" s="3">
        <v>731</v>
      </c>
      <c r="AG537" s="3">
        <v>73</v>
      </c>
      <c r="AH537">
        <v>80</v>
      </c>
      <c r="AI537">
        <v>6</v>
      </c>
      <c r="AJ537">
        <v>0</v>
      </c>
      <c r="AL537">
        <v>0</v>
      </c>
      <c r="AM537">
        <v>1</v>
      </c>
      <c r="AN537" t="s">
        <v>768</v>
      </c>
      <c r="AO537" t="s">
        <v>41</v>
      </c>
    </row>
    <row r="538" spans="1:41" x14ac:dyDescent="0.25">
      <c r="A538">
        <v>35</v>
      </c>
      <c r="B538" t="s">
        <v>66</v>
      </c>
      <c r="C538" t="s">
        <v>55</v>
      </c>
      <c r="D538">
        <v>18</v>
      </c>
      <c r="E538" t="s">
        <v>61</v>
      </c>
      <c r="F538">
        <v>3</v>
      </c>
      <c r="G538">
        <v>2</v>
      </c>
      <c r="H538" t="s">
        <v>70</v>
      </c>
      <c r="I538">
        <v>3</v>
      </c>
      <c r="J538" t="s">
        <v>51</v>
      </c>
      <c r="K538">
        <v>4614</v>
      </c>
      <c r="L538">
        <v>0</v>
      </c>
      <c r="M538" t="s">
        <v>31</v>
      </c>
      <c r="N538">
        <v>18</v>
      </c>
      <c r="O538">
        <v>3</v>
      </c>
      <c r="P538">
        <v>1</v>
      </c>
      <c r="Q538">
        <v>5</v>
      </c>
      <c r="R538">
        <v>0</v>
      </c>
      <c r="S538">
        <v>4</v>
      </c>
      <c r="T538">
        <v>3</v>
      </c>
      <c r="U538">
        <v>2</v>
      </c>
      <c r="V538" t="s">
        <v>58</v>
      </c>
      <c r="W538" s="1" t="s">
        <v>296</v>
      </c>
      <c r="Y538" t="s">
        <v>54</v>
      </c>
      <c r="Z538" t="s">
        <v>40</v>
      </c>
      <c r="AA538">
        <v>4</v>
      </c>
      <c r="AB538">
        <v>2</v>
      </c>
      <c r="AC538" t="s">
        <v>31</v>
      </c>
      <c r="AD538" t="s">
        <v>48</v>
      </c>
      <c r="AE538" t="s">
        <v>60</v>
      </c>
      <c r="AF538" s="3">
        <v>732</v>
      </c>
      <c r="AG538" s="3">
        <v>84</v>
      </c>
      <c r="AH538">
        <v>80</v>
      </c>
      <c r="AI538">
        <v>2</v>
      </c>
      <c r="AJ538">
        <v>0</v>
      </c>
      <c r="AL538">
        <v>0</v>
      </c>
      <c r="AM538">
        <v>1</v>
      </c>
      <c r="AN538" t="s">
        <v>768</v>
      </c>
      <c r="AO538" t="s">
        <v>41</v>
      </c>
    </row>
    <row r="539" spans="1:41" x14ac:dyDescent="0.25">
      <c r="A539">
        <v>38</v>
      </c>
      <c r="B539" t="s">
        <v>66</v>
      </c>
      <c r="C539" t="s">
        <v>33</v>
      </c>
      <c r="D539">
        <v>7</v>
      </c>
      <c r="E539" t="s">
        <v>34</v>
      </c>
      <c r="F539">
        <v>4</v>
      </c>
      <c r="G539">
        <v>1</v>
      </c>
      <c r="H539" t="s">
        <v>44</v>
      </c>
      <c r="I539">
        <v>3</v>
      </c>
      <c r="J539" t="s">
        <v>57</v>
      </c>
      <c r="K539">
        <v>2610</v>
      </c>
      <c r="L539">
        <v>1</v>
      </c>
      <c r="M539" t="s">
        <v>41</v>
      </c>
      <c r="N539">
        <v>11</v>
      </c>
      <c r="O539">
        <v>3</v>
      </c>
      <c r="P539">
        <v>3</v>
      </c>
      <c r="Q539">
        <v>4</v>
      </c>
      <c r="R539">
        <v>2</v>
      </c>
      <c r="S539">
        <v>4</v>
      </c>
      <c r="T539">
        <v>0</v>
      </c>
      <c r="U539">
        <v>3</v>
      </c>
      <c r="V539" t="s">
        <v>37</v>
      </c>
      <c r="W539" s="2">
        <v>42890</v>
      </c>
      <c r="Y539" t="s">
        <v>39</v>
      </c>
      <c r="Z539" t="s">
        <v>47</v>
      </c>
      <c r="AA539">
        <v>4</v>
      </c>
      <c r="AB539">
        <v>3</v>
      </c>
      <c r="AC539" t="s">
        <v>31</v>
      </c>
      <c r="AD539" t="s">
        <v>67</v>
      </c>
      <c r="AE539" t="s">
        <v>60</v>
      </c>
      <c r="AF539" s="3">
        <v>733</v>
      </c>
      <c r="AG539" s="3">
        <v>32</v>
      </c>
      <c r="AH539">
        <v>80</v>
      </c>
      <c r="AI539">
        <v>7</v>
      </c>
      <c r="AJ539">
        <v>0</v>
      </c>
      <c r="AL539">
        <v>0</v>
      </c>
      <c r="AM539">
        <v>1</v>
      </c>
      <c r="AN539" t="s">
        <v>768</v>
      </c>
      <c r="AO539" t="s">
        <v>41</v>
      </c>
    </row>
    <row r="540" spans="1:41" x14ac:dyDescent="0.25">
      <c r="A540">
        <v>51</v>
      </c>
      <c r="B540" t="s">
        <v>66</v>
      </c>
      <c r="C540" t="s">
        <v>55</v>
      </c>
      <c r="D540">
        <v>2</v>
      </c>
      <c r="E540" t="s">
        <v>34</v>
      </c>
      <c r="F540">
        <v>3</v>
      </c>
      <c r="G540">
        <v>3</v>
      </c>
      <c r="H540" t="s">
        <v>70</v>
      </c>
      <c r="I540">
        <v>2</v>
      </c>
      <c r="J540" t="s">
        <v>51</v>
      </c>
      <c r="K540">
        <v>10596</v>
      </c>
      <c r="L540">
        <v>2</v>
      </c>
      <c r="M540" t="s">
        <v>41</v>
      </c>
      <c r="N540">
        <v>11</v>
      </c>
      <c r="O540">
        <v>3</v>
      </c>
      <c r="P540">
        <v>0</v>
      </c>
      <c r="Q540">
        <v>14</v>
      </c>
      <c r="R540">
        <v>5</v>
      </c>
      <c r="S540">
        <v>4</v>
      </c>
      <c r="T540">
        <v>3</v>
      </c>
      <c r="U540">
        <v>2</v>
      </c>
      <c r="V540" t="s">
        <v>72</v>
      </c>
      <c r="W540" s="2">
        <v>42740</v>
      </c>
      <c r="Y540" t="s">
        <v>69</v>
      </c>
      <c r="Z540" t="s">
        <v>40</v>
      </c>
      <c r="AA540">
        <v>0</v>
      </c>
      <c r="AB540">
        <v>1</v>
      </c>
      <c r="AC540" t="s">
        <v>41</v>
      </c>
      <c r="AD540" t="s">
        <v>48</v>
      </c>
      <c r="AE540" t="s">
        <v>49</v>
      </c>
      <c r="AF540" s="3">
        <v>734</v>
      </c>
      <c r="AG540" s="3">
        <v>59</v>
      </c>
      <c r="AH540">
        <v>80</v>
      </c>
      <c r="AI540">
        <v>7</v>
      </c>
      <c r="AJ540">
        <v>0</v>
      </c>
      <c r="AL540">
        <v>0</v>
      </c>
      <c r="AM540">
        <v>1</v>
      </c>
      <c r="AN540" t="s">
        <v>768</v>
      </c>
      <c r="AO540" t="s">
        <v>41</v>
      </c>
    </row>
    <row r="541" spans="1:41" x14ac:dyDescent="0.25">
      <c r="A541">
        <v>26</v>
      </c>
      <c r="B541" t="s">
        <v>32</v>
      </c>
      <c r="C541" t="s">
        <v>33</v>
      </c>
      <c r="D541">
        <v>2</v>
      </c>
      <c r="E541" t="s">
        <v>34</v>
      </c>
      <c r="F541">
        <v>2</v>
      </c>
      <c r="G541">
        <v>1</v>
      </c>
      <c r="H541" t="s">
        <v>44</v>
      </c>
      <c r="I541">
        <v>4</v>
      </c>
      <c r="J541" t="s">
        <v>36</v>
      </c>
      <c r="K541">
        <v>3904</v>
      </c>
      <c r="L541">
        <v>0</v>
      </c>
      <c r="M541" t="s">
        <v>41</v>
      </c>
      <c r="N541">
        <v>12</v>
      </c>
      <c r="O541">
        <v>3</v>
      </c>
      <c r="P541">
        <v>0</v>
      </c>
      <c r="Q541">
        <v>5</v>
      </c>
      <c r="R541">
        <v>2</v>
      </c>
      <c r="S541">
        <v>4</v>
      </c>
      <c r="T541">
        <v>1</v>
      </c>
      <c r="U541">
        <v>1</v>
      </c>
      <c r="V541" t="s">
        <v>58</v>
      </c>
      <c r="W541" s="1" t="s">
        <v>270</v>
      </c>
      <c r="Y541" t="s">
        <v>46</v>
      </c>
      <c r="Z541" t="s">
        <v>47</v>
      </c>
      <c r="AA541">
        <v>4</v>
      </c>
      <c r="AB541">
        <v>3</v>
      </c>
      <c r="AC541" t="s">
        <v>41</v>
      </c>
      <c r="AD541" t="s">
        <v>67</v>
      </c>
      <c r="AE541" t="s">
        <v>49</v>
      </c>
      <c r="AF541" s="3">
        <v>738</v>
      </c>
      <c r="AG541" s="3">
        <v>54</v>
      </c>
      <c r="AH541">
        <v>80</v>
      </c>
      <c r="AI541">
        <v>2</v>
      </c>
      <c r="AJ541">
        <v>0</v>
      </c>
      <c r="AL541">
        <v>0</v>
      </c>
      <c r="AM541">
        <v>1</v>
      </c>
      <c r="AN541" t="s">
        <v>768</v>
      </c>
      <c r="AO541" t="s">
        <v>41</v>
      </c>
    </row>
    <row r="542" spans="1:41" x14ac:dyDescent="0.25">
      <c r="A542">
        <v>49</v>
      </c>
      <c r="B542" t="s">
        <v>66</v>
      </c>
      <c r="C542" t="s">
        <v>33</v>
      </c>
      <c r="D542">
        <v>28</v>
      </c>
      <c r="E542" t="s">
        <v>34</v>
      </c>
      <c r="F542">
        <v>2</v>
      </c>
      <c r="G542">
        <v>2</v>
      </c>
      <c r="H542" t="s">
        <v>35</v>
      </c>
      <c r="I542">
        <v>1</v>
      </c>
      <c r="J542" t="s">
        <v>36</v>
      </c>
      <c r="K542">
        <v>4284</v>
      </c>
      <c r="L542">
        <v>3</v>
      </c>
      <c r="M542" t="s">
        <v>41</v>
      </c>
      <c r="N542">
        <v>20</v>
      </c>
      <c r="O542">
        <v>4</v>
      </c>
      <c r="P542">
        <v>0</v>
      </c>
      <c r="Q542">
        <v>20</v>
      </c>
      <c r="R542">
        <v>2</v>
      </c>
      <c r="S542">
        <v>4</v>
      </c>
      <c r="T542">
        <v>1</v>
      </c>
      <c r="U542">
        <v>3</v>
      </c>
      <c r="V542" t="s">
        <v>37</v>
      </c>
      <c r="W542" s="2">
        <v>42980</v>
      </c>
      <c r="Y542" t="s">
        <v>63</v>
      </c>
      <c r="Z542" t="s">
        <v>40</v>
      </c>
      <c r="AA542">
        <v>1</v>
      </c>
      <c r="AB542">
        <v>3</v>
      </c>
      <c r="AC542" t="s">
        <v>31</v>
      </c>
      <c r="AD542" t="s">
        <v>48</v>
      </c>
      <c r="AE542" t="s">
        <v>60</v>
      </c>
      <c r="AF542" s="3">
        <v>741</v>
      </c>
      <c r="AG542" s="3">
        <v>67</v>
      </c>
      <c r="AH542">
        <v>80</v>
      </c>
      <c r="AI542">
        <v>7</v>
      </c>
      <c r="AJ542">
        <v>1</v>
      </c>
      <c r="AK542">
        <v>1</v>
      </c>
      <c r="AL542">
        <v>1</v>
      </c>
      <c r="AM542">
        <v>0</v>
      </c>
      <c r="AN542" t="s">
        <v>767</v>
      </c>
      <c r="AO542" t="s">
        <v>31</v>
      </c>
    </row>
    <row r="543" spans="1:41" x14ac:dyDescent="0.25">
      <c r="A543">
        <v>34</v>
      </c>
      <c r="B543" t="s">
        <v>66</v>
      </c>
      <c r="C543" t="s">
        <v>33</v>
      </c>
      <c r="D543">
        <v>1</v>
      </c>
      <c r="E543" t="s">
        <v>34</v>
      </c>
      <c r="F543">
        <v>3</v>
      </c>
      <c r="G543">
        <v>1</v>
      </c>
      <c r="H543" t="s">
        <v>44</v>
      </c>
      <c r="I543">
        <v>1</v>
      </c>
      <c r="J543" t="s">
        <v>57</v>
      </c>
      <c r="K543">
        <v>2996</v>
      </c>
      <c r="L543">
        <v>5</v>
      </c>
      <c r="M543" t="s">
        <v>41</v>
      </c>
      <c r="N543">
        <v>14</v>
      </c>
      <c r="O543">
        <v>3</v>
      </c>
      <c r="P543">
        <v>2</v>
      </c>
      <c r="Q543">
        <v>10</v>
      </c>
      <c r="R543">
        <v>2</v>
      </c>
      <c r="S543">
        <v>4</v>
      </c>
      <c r="T543">
        <v>1</v>
      </c>
      <c r="U543">
        <v>3</v>
      </c>
      <c r="V543" t="s">
        <v>58</v>
      </c>
      <c r="W543" s="1" t="s">
        <v>297</v>
      </c>
      <c r="Y543" t="s">
        <v>69</v>
      </c>
      <c r="Z543" t="s">
        <v>47</v>
      </c>
      <c r="AA543">
        <v>0</v>
      </c>
      <c r="AB543">
        <v>3</v>
      </c>
      <c r="AC543" t="s">
        <v>41</v>
      </c>
      <c r="AD543" t="s">
        <v>67</v>
      </c>
      <c r="AE543" t="s">
        <v>43</v>
      </c>
      <c r="AF543" s="3">
        <v>742</v>
      </c>
      <c r="AG543" s="3">
        <v>63</v>
      </c>
      <c r="AH543">
        <v>80</v>
      </c>
      <c r="AI543">
        <v>7</v>
      </c>
      <c r="AJ543">
        <v>0</v>
      </c>
      <c r="AL543">
        <v>0</v>
      </c>
      <c r="AM543">
        <v>1</v>
      </c>
      <c r="AN543" t="s">
        <v>768</v>
      </c>
      <c r="AO543" t="s">
        <v>41</v>
      </c>
    </row>
    <row r="544" spans="1:41" x14ac:dyDescent="0.25">
      <c r="A544">
        <v>32</v>
      </c>
      <c r="B544" t="s">
        <v>32</v>
      </c>
      <c r="C544" t="s">
        <v>55</v>
      </c>
      <c r="D544">
        <v>7</v>
      </c>
      <c r="E544" t="s">
        <v>34</v>
      </c>
      <c r="F544">
        <v>3</v>
      </c>
      <c r="G544">
        <v>2</v>
      </c>
      <c r="H544" t="s">
        <v>70</v>
      </c>
      <c r="I544">
        <v>4</v>
      </c>
      <c r="J544" t="s">
        <v>51</v>
      </c>
      <c r="K544">
        <v>9204</v>
      </c>
      <c r="L544">
        <v>4</v>
      </c>
      <c r="M544" t="s">
        <v>41</v>
      </c>
      <c r="N544">
        <v>12</v>
      </c>
      <c r="O544">
        <v>3</v>
      </c>
      <c r="P544">
        <v>1</v>
      </c>
      <c r="Q544">
        <v>7</v>
      </c>
      <c r="R544">
        <v>3</v>
      </c>
      <c r="S544">
        <v>4</v>
      </c>
      <c r="T544">
        <v>0</v>
      </c>
      <c r="U544">
        <v>3</v>
      </c>
      <c r="V544" t="s">
        <v>58</v>
      </c>
      <c r="W544" s="1" t="s">
        <v>298</v>
      </c>
      <c r="Y544" t="s">
        <v>69</v>
      </c>
      <c r="Z544" t="s">
        <v>40</v>
      </c>
      <c r="AA544">
        <v>3</v>
      </c>
      <c r="AB544">
        <v>2</v>
      </c>
      <c r="AC544" t="s">
        <v>31</v>
      </c>
      <c r="AD544" t="s">
        <v>65</v>
      </c>
      <c r="AE544" t="s">
        <v>43</v>
      </c>
      <c r="AF544" s="3">
        <v>743</v>
      </c>
      <c r="AG544" s="3">
        <v>81</v>
      </c>
      <c r="AH544">
        <v>80</v>
      </c>
      <c r="AI544">
        <v>0</v>
      </c>
      <c r="AJ544">
        <v>0</v>
      </c>
      <c r="AL544">
        <v>0</v>
      </c>
      <c r="AM544">
        <v>1</v>
      </c>
      <c r="AN544" t="s">
        <v>768</v>
      </c>
      <c r="AO544" t="s">
        <v>41</v>
      </c>
    </row>
    <row r="545" spans="1:41" x14ac:dyDescent="0.25">
      <c r="A545">
        <v>41</v>
      </c>
      <c r="B545" t="s">
        <v>32</v>
      </c>
      <c r="C545" t="s">
        <v>33</v>
      </c>
      <c r="D545">
        <v>5</v>
      </c>
      <c r="E545" t="s">
        <v>34</v>
      </c>
      <c r="F545">
        <v>4</v>
      </c>
      <c r="G545">
        <v>1</v>
      </c>
      <c r="H545" t="s">
        <v>44</v>
      </c>
      <c r="I545">
        <v>3</v>
      </c>
      <c r="J545" t="s">
        <v>51</v>
      </c>
      <c r="K545">
        <v>2127</v>
      </c>
      <c r="L545">
        <v>2</v>
      </c>
      <c r="M545" t="s">
        <v>31</v>
      </c>
      <c r="N545">
        <v>12</v>
      </c>
      <c r="O545">
        <v>3</v>
      </c>
      <c r="P545">
        <v>0</v>
      </c>
      <c r="Q545">
        <v>7</v>
      </c>
      <c r="R545">
        <v>5</v>
      </c>
      <c r="S545">
        <v>4</v>
      </c>
      <c r="T545">
        <v>0</v>
      </c>
      <c r="U545">
        <v>3</v>
      </c>
      <c r="V545" t="s">
        <v>58</v>
      </c>
      <c r="W545" s="2">
        <v>42858</v>
      </c>
      <c r="Y545" t="s">
        <v>54</v>
      </c>
      <c r="Z545" t="s">
        <v>40</v>
      </c>
      <c r="AA545">
        <v>2</v>
      </c>
      <c r="AB545">
        <v>2</v>
      </c>
      <c r="AC545" t="s">
        <v>41</v>
      </c>
      <c r="AD545" t="s">
        <v>65</v>
      </c>
      <c r="AE545" t="s">
        <v>43</v>
      </c>
      <c r="AF545" s="3">
        <v>744</v>
      </c>
      <c r="AG545" s="3">
        <v>49</v>
      </c>
      <c r="AH545">
        <v>80</v>
      </c>
      <c r="AI545">
        <v>2</v>
      </c>
      <c r="AJ545">
        <v>0</v>
      </c>
      <c r="AL545">
        <v>0</v>
      </c>
      <c r="AM545">
        <v>1</v>
      </c>
      <c r="AN545" t="s">
        <v>768</v>
      </c>
      <c r="AO545" t="s">
        <v>41</v>
      </c>
    </row>
    <row r="546" spans="1:41" x14ac:dyDescent="0.25">
      <c r="A546">
        <v>33</v>
      </c>
      <c r="B546" t="s">
        <v>66</v>
      </c>
      <c r="C546" t="s">
        <v>55</v>
      </c>
      <c r="D546">
        <v>7</v>
      </c>
      <c r="E546" t="s">
        <v>34</v>
      </c>
      <c r="F546">
        <v>3</v>
      </c>
      <c r="G546">
        <v>2</v>
      </c>
      <c r="H546" t="s">
        <v>70</v>
      </c>
      <c r="I546">
        <v>1</v>
      </c>
      <c r="J546" t="s">
        <v>51</v>
      </c>
      <c r="K546">
        <v>4373</v>
      </c>
      <c r="L546">
        <v>0</v>
      </c>
      <c r="M546" t="s">
        <v>41</v>
      </c>
      <c r="N546">
        <v>14</v>
      </c>
      <c r="O546">
        <v>3</v>
      </c>
      <c r="P546">
        <v>2</v>
      </c>
      <c r="Q546">
        <v>5</v>
      </c>
      <c r="R546">
        <v>2</v>
      </c>
      <c r="S546">
        <v>4</v>
      </c>
      <c r="T546">
        <v>0</v>
      </c>
      <c r="U546">
        <v>3</v>
      </c>
      <c r="V546" t="s">
        <v>58</v>
      </c>
      <c r="W546" s="1" t="s">
        <v>299</v>
      </c>
      <c r="Y546" t="s">
        <v>39</v>
      </c>
      <c r="Z546" t="s">
        <v>47</v>
      </c>
      <c r="AA546">
        <v>3</v>
      </c>
      <c r="AB546">
        <v>2</v>
      </c>
      <c r="AC546" t="s">
        <v>31</v>
      </c>
      <c r="AD546" t="s">
        <v>67</v>
      </c>
      <c r="AE546" t="s">
        <v>49</v>
      </c>
      <c r="AF546" s="3">
        <v>746</v>
      </c>
      <c r="AG546" s="3">
        <v>49</v>
      </c>
      <c r="AH546">
        <v>80</v>
      </c>
      <c r="AI546">
        <v>2</v>
      </c>
      <c r="AJ546">
        <v>0</v>
      </c>
      <c r="AL546">
        <v>0</v>
      </c>
      <c r="AM546">
        <v>1</v>
      </c>
      <c r="AN546" t="s">
        <v>768</v>
      </c>
      <c r="AO546" t="s">
        <v>41</v>
      </c>
    </row>
    <row r="547" spans="1:41" x14ac:dyDescent="0.25">
      <c r="A547">
        <v>28</v>
      </c>
      <c r="B547" t="s">
        <v>66</v>
      </c>
      <c r="C547" t="s">
        <v>55</v>
      </c>
      <c r="D547">
        <v>7</v>
      </c>
      <c r="E547" t="s">
        <v>34</v>
      </c>
      <c r="F547">
        <v>3</v>
      </c>
      <c r="G547">
        <v>2</v>
      </c>
      <c r="H547" t="s">
        <v>70</v>
      </c>
      <c r="I547">
        <v>1</v>
      </c>
      <c r="J547" t="s">
        <v>36</v>
      </c>
      <c r="K547">
        <v>4898</v>
      </c>
      <c r="L547">
        <v>0</v>
      </c>
      <c r="M547" t="s">
        <v>41</v>
      </c>
      <c r="N547">
        <v>14</v>
      </c>
      <c r="O547">
        <v>3</v>
      </c>
      <c r="P547">
        <v>0</v>
      </c>
      <c r="Q547">
        <v>5</v>
      </c>
      <c r="R547">
        <v>5</v>
      </c>
      <c r="S547">
        <v>4</v>
      </c>
      <c r="T547">
        <v>1</v>
      </c>
      <c r="U547">
        <v>3</v>
      </c>
      <c r="V547" t="s">
        <v>58</v>
      </c>
      <c r="W547" s="1" t="s">
        <v>300</v>
      </c>
      <c r="Y547" t="s">
        <v>54</v>
      </c>
      <c r="Z547" t="s">
        <v>47</v>
      </c>
      <c r="AA547">
        <v>2</v>
      </c>
      <c r="AB547">
        <v>1</v>
      </c>
      <c r="AC547" t="s">
        <v>31</v>
      </c>
      <c r="AD547" t="s">
        <v>42</v>
      </c>
      <c r="AE547" t="s">
        <v>43</v>
      </c>
      <c r="AF547" s="3">
        <v>747</v>
      </c>
      <c r="AG547" s="3">
        <v>99</v>
      </c>
      <c r="AH547">
        <v>80</v>
      </c>
      <c r="AI547">
        <v>7</v>
      </c>
      <c r="AJ547">
        <v>0</v>
      </c>
      <c r="AL547">
        <v>0</v>
      </c>
      <c r="AM547">
        <v>1</v>
      </c>
      <c r="AN547" t="s">
        <v>768</v>
      </c>
      <c r="AO547" t="s">
        <v>41</v>
      </c>
    </row>
    <row r="548" spans="1:41" x14ac:dyDescent="0.25">
      <c r="A548">
        <v>23</v>
      </c>
      <c r="B548" t="s">
        <v>32</v>
      </c>
      <c r="C548" t="s">
        <v>33</v>
      </c>
      <c r="D548">
        <v>20</v>
      </c>
      <c r="E548" t="s">
        <v>34</v>
      </c>
      <c r="F548">
        <v>3</v>
      </c>
      <c r="G548">
        <v>2</v>
      </c>
      <c r="H548" t="s">
        <v>35</v>
      </c>
      <c r="I548">
        <v>3</v>
      </c>
      <c r="J548" t="s">
        <v>36</v>
      </c>
      <c r="K548">
        <v>2272</v>
      </c>
      <c r="L548">
        <v>0</v>
      </c>
      <c r="M548" t="s">
        <v>41</v>
      </c>
      <c r="N548">
        <v>14</v>
      </c>
      <c r="O548">
        <v>3</v>
      </c>
      <c r="P548">
        <v>0</v>
      </c>
      <c r="Q548">
        <v>5</v>
      </c>
      <c r="R548">
        <v>2</v>
      </c>
      <c r="S548">
        <v>4</v>
      </c>
      <c r="T548">
        <v>1</v>
      </c>
      <c r="U548">
        <v>2</v>
      </c>
      <c r="V548" t="s">
        <v>72</v>
      </c>
      <c r="W548" s="2">
        <v>42768</v>
      </c>
      <c r="Y548" t="s">
        <v>54</v>
      </c>
      <c r="Z548" t="s">
        <v>47</v>
      </c>
      <c r="AA548">
        <v>1</v>
      </c>
      <c r="AB548">
        <v>2</v>
      </c>
      <c r="AC548" t="s">
        <v>41</v>
      </c>
      <c r="AD548" t="s">
        <v>48</v>
      </c>
      <c r="AE548" t="s">
        <v>49</v>
      </c>
      <c r="AF548" s="3">
        <v>749</v>
      </c>
      <c r="AG548" s="3">
        <v>99</v>
      </c>
      <c r="AH548">
        <v>80</v>
      </c>
      <c r="AI548">
        <v>0</v>
      </c>
      <c r="AJ548">
        <v>0</v>
      </c>
      <c r="AL548">
        <v>0</v>
      </c>
      <c r="AM548">
        <v>1</v>
      </c>
      <c r="AN548" t="s">
        <v>768</v>
      </c>
      <c r="AO548" t="s">
        <v>41</v>
      </c>
    </row>
    <row r="549" spans="1:41" x14ac:dyDescent="0.25">
      <c r="A549">
        <v>30</v>
      </c>
      <c r="B549" t="s">
        <v>32</v>
      </c>
      <c r="C549" t="s">
        <v>55</v>
      </c>
      <c r="D549">
        <v>29</v>
      </c>
      <c r="E549" t="s">
        <v>34</v>
      </c>
      <c r="F549">
        <v>3</v>
      </c>
      <c r="G549">
        <v>3</v>
      </c>
      <c r="H549" t="s">
        <v>70</v>
      </c>
      <c r="I549">
        <v>2</v>
      </c>
      <c r="J549" t="s">
        <v>51</v>
      </c>
      <c r="K549">
        <v>9250</v>
      </c>
      <c r="L549">
        <v>3</v>
      </c>
      <c r="M549" t="s">
        <v>41</v>
      </c>
      <c r="N549">
        <v>12</v>
      </c>
      <c r="O549">
        <v>3</v>
      </c>
      <c r="P549">
        <v>1</v>
      </c>
      <c r="Q549">
        <v>9</v>
      </c>
      <c r="R549">
        <v>3</v>
      </c>
      <c r="S549">
        <v>4</v>
      </c>
      <c r="T549">
        <v>1</v>
      </c>
      <c r="U549">
        <v>3</v>
      </c>
      <c r="V549" t="s">
        <v>58</v>
      </c>
      <c r="W549" s="1" t="s">
        <v>293</v>
      </c>
      <c r="Y549" t="s">
        <v>46</v>
      </c>
      <c r="Z549" t="s">
        <v>47</v>
      </c>
      <c r="AA549">
        <v>1</v>
      </c>
      <c r="AB549">
        <v>0</v>
      </c>
      <c r="AC549" t="s">
        <v>41</v>
      </c>
      <c r="AD549" t="s">
        <v>67</v>
      </c>
      <c r="AE549" t="s">
        <v>60</v>
      </c>
      <c r="AF549" s="3">
        <v>752</v>
      </c>
      <c r="AG549" s="3">
        <v>57</v>
      </c>
      <c r="AH549">
        <v>80</v>
      </c>
      <c r="AI549">
        <v>2</v>
      </c>
      <c r="AJ549">
        <v>1</v>
      </c>
      <c r="AK549">
        <v>1</v>
      </c>
      <c r="AL549">
        <v>1</v>
      </c>
      <c r="AM549">
        <v>0</v>
      </c>
      <c r="AN549" t="s">
        <v>767</v>
      </c>
      <c r="AO549" t="s">
        <v>31</v>
      </c>
    </row>
    <row r="550" spans="1:41" x14ac:dyDescent="0.25">
      <c r="A550">
        <v>22</v>
      </c>
      <c r="B550" t="s">
        <v>81</v>
      </c>
      <c r="C550" t="s">
        <v>33</v>
      </c>
      <c r="D550">
        <v>26</v>
      </c>
      <c r="E550" t="s">
        <v>61</v>
      </c>
      <c r="F550">
        <v>2</v>
      </c>
      <c r="G550">
        <v>1</v>
      </c>
      <c r="H550" t="s">
        <v>44</v>
      </c>
      <c r="I550">
        <v>3</v>
      </c>
      <c r="J550" t="s">
        <v>51</v>
      </c>
      <c r="K550">
        <v>2814</v>
      </c>
      <c r="L550">
        <v>1</v>
      </c>
      <c r="M550" t="s">
        <v>31</v>
      </c>
      <c r="N550">
        <v>14</v>
      </c>
      <c r="O550">
        <v>3</v>
      </c>
      <c r="P550">
        <v>0</v>
      </c>
      <c r="Q550">
        <v>4</v>
      </c>
      <c r="R550">
        <v>2</v>
      </c>
      <c r="S550">
        <v>4</v>
      </c>
      <c r="T550">
        <v>1</v>
      </c>
      <c r="U550">
        <v>3</v>
      </c>
      <c r="V550" t="s">
        <v>72</v>
      </c>
      <c r="W550" s="1" t="s">
        <v>284</v>
      </c>
      <c r="Y550" t="s">
        <v>69</v>
      </c>
      <c r="Z550" t="s">
        <v>47</v>
      </c>
      <c r="AA550">
        <v>4</v>
      </c>
      <c r="AB550">
        <v>2</v>
      </c>
      <c r="AC550" t="s">
        <v>41</v>
      </c>
      <c r="AD550" t="s">
        <v>42</v>
      </c>
      <c r="AE550" t="s">
        <v>49</v>
      </c>
      <c r="AF550" s="3">
        <v>754</v>
      </c>
      <c r="AG550" s="3">
        <v>47</v>
      </c>
      <c r="AH550">
        <v>80</v>
      </c>
      <c r="AI550">
        <v>2</v>
      </c>
      <c r="AJ550">
        <v>0</v>
      </c>
      <c r="AL550">
        <v>0</v>
      </c>
      <c r="AM550">
        <v>1</v>
      </c>
      <c r="AN550" t="s">
        <v>768</v>
      </c>
      <c r="AO550" t="s">
        <v>41</v>
      </c>
    </row>
    <row r="551" spans="1:41" x14ac:dyDescent="0.25">
      <c r="A551">
        <v>37</v>
      </c>
      <c r="B551" t="s">
        <v>32</v>
      </c>
      <c r="C551" t="s">
        <v>33</v>
      </c>
      <c r="D551">
        <v>19</v>
      </c>
      <c r="E551" t="s">
        <v>34</v>
      </c>
      <c r="F551">
        <v>3</v>
      </c>
      <c r="G551">
        <v>2</v>
      </c>
      <c r="H551" t="s">
        <v>78</v>
      </c>
      <c r="I551">
        <v>3</v>
      </c>
      <c r="J551" t="s">
        <v>51</v>
      </c>
      <c r="K551">
        <v>5768</v>
      </c>
      <c r="L551">
        <v>3</v>
      </c>
      <c r="M551" t="s">
        <v>41</v>
      </c>
      <c r="N551">
        <v>17</v>
      </c>
      <c r="O551">
        <v>3</v>
      </c>
      <c r="P551">
        <v>3</v>
      </c>
      <c r="Q551">
        <v>9</v>
      </c>
      <c r="R551">
        <v>2</v>
      </c>
      <c r="S551">
        <v>4</v>
      </c>
      <c r="T551">
        <v>0</v>
      </c>
      <c r="U551">
        <v>2</v>
      </c>
      <c r="V551" t="s">
        <v>72</v>
      </c>
      <c r="W551" s="1" t="s">
        <v>301</v>
      </c>
      <c r="Y551" t="s">
        <v>54</v>
      </c>
      <c r="Z551" t="s">
        <v>40</v>
      </c>
      <c r="AA551">
        <v>1</v>
      </c>
      <c r="AB551">
        <v>1</v>
      </c>
      <c r="AC551" t="s">
        <v>41</v>
      </c>
      <c r="AD551" t="s">
        <v>65</v>
      </c>
      <c r="AE551" t="s">
        <v>60</v>
      </c>
      <c r="AF551" s="3">
        <v>757</v>
      </c>
      <c r="AG551" s="3">
        <v>96</v>
      </c>
      <c r="AH551">
        <v>80</v>
      </c>
      <c r="AI551">
        <v>1</v>
      </c>
      <c r="AJ551">
        <v>0</v>
      </c>
      <c r="AL551">
        <v>0</v>
      </c>
      <c r="AM551">
        <v>1</v>
      </c>
      <c r="AN551" t="s">
        <v>768</v>
      </c>
      <c r="AO551" t="s">
        <v>41</v>
      </c>
    </row>
    <row r="552" spans="1:41" x14ac:dyDescent="0.25">
      <c r="A552">
        <v>40</v>
      </c>
      <c r="B552" t="s">
        <v>32</v>
      </c>
      <c r="C552" t="s">
        <v>33</v>
      </c>
      <c r="D552">
        <v>16</v>
      </c>
      <c r="E552" t="s">
        <v>61</v>
      </c>
      <c r="F552">
        <v>3</v>
      </c>
      <c r="G552">
        <v>3</v>
      </c>
      <c r="H552" t="s">
        <v>78</v>
      </c>
      <c r="I552">
        <v>4</v>
      </c>
      <c r="J552" t="s">
        <v>36</v>
      </c>
      <c r="K552">
        <v>7945</v>
      </c>
      <c r="L552">
        <v>6</v>
      </c>
      <c r="M552" t="s">
        <v>31</v>
      </c>
      <c r="N552">
        <v>15</v>
      </c>
      <c r="O552">
        <v>3</v>
      </c>
      <c r="P552">
        <v>0</v>
      </c>
      <c r="Q552">
        <v>18</v>
      </c>
      <c r="R552">
        <v>2</v>
      </c>
      <c r="S552">
        <v>4</v>
      </c>
      <c r="T552">
        <v>3</v>
      </c>
      <c r="U552">
        <v>3</v>
      </c>
      <c r="V552" t="s">
        <v>72</v>
      </c>
      <c r="W552" s="2">
        <v>42799</v>
      </c>
      <c r="Y552" t="s">
        <v>46</v>
      </c>
      <c r="Z552" t="s">
        <v>47</v>
      </c>
      <c r="AA552">
        <v>0</v>
      </c>
      <c r="AB552">
        <v>3</v>
      </c>
      <c r="AC552" t="s">
        <v>41</v>
      </c>
      <c r="AD552" t="s">
        <v>65</v>
      </c>
      <c r="AE552" t="s">
        <v>43</v>
      </c>
      <c r="AF552" s="3">
        <v>758</v>
      </c>
      <c r="AG552" s="3">
        <v>37</v>
      </c>
      <c r="AH552">
        <v>80</v>
      </c>
      <c r="AI552">
        <v>3</v>
      </c>
      <c r="AJ552">
        <v>0</v>
      </c>
      <c r="AL552">
        <v>0</v>
      </c>
      <c r="AM552">
        <v>1</v>
      </c>
      <c r="AN552" t="s">
        <v>768</v>
      </c>
      <c r="AO552" t="s">
        <v>41</v>
      </c>
    </row>
    <row r="553" spans="1:41" x14ac:dyDescent="0.25">
      <c r="A553">
        <v>27</v>
      </c>
      <c r="B553" t="s">
        <v>66</v>
      </c>
      <c r="C553" t="s">
        <v>33</v>
      </c>
      <c r="D553">
        <v>2</v>
      </c>
      <c r="E553" t="s">
        <v>34</v>
      </c>
      <c r="F553">
        <v>3</v>
      </c>
      <c r="G553">
        <v>1</v>
      </c>
      <c r="H553" t="s">
        <v>44</v>
      </c>
      <c r="I553">
        <v>4</v>
      </c>
      <c r="J553" t="s">
        <v>36</v>
      </c>
      <c r="K553">
        <v>2580</v>
      </c>
      <c r="L553">
        <v>2</v>
      </c>
      <c r="M553" t="s">
        <v>41</v>
      </c>
      <c r="N553">
        <v>13</v>
      </c>
      <c r="O553">
        <v>3</v>
      </c>
      <c r="P553">
        <v>0</v>
      </c>
      <c r="Q553">
        <v>6</v>
      </c>
      <c r="R553">
        <v>0</v>
      </c>
      <c r="S553">
        <v>4</v>
      </c>
      <c r="T553">
        <v>1</v>
      </c>
      <c r="U553">
        <v>2</v>
      </c>
      <c r="V553" t="s">
        <v>72</v>
      </c>
      <c r="W553" s="1" t="s">
        <v>302</v>
      </c>
      <c r="Y553" t="s">
        <v>63</v>
      </c>
      <c r="Z553" t="s">
        <v>40</v>
      </c>
      <c r="AA553">
        <v>2</v>
      </c>
      <c r="AB553">
        <v>3</v>
      </c>
      <c r="AC553" t="s">
        <v>31</v>
      </c>
      <c r="AD553" t="s">
        <v>48</v>
      </c>
      <c r="AE553" t="s">
        <v>49</v>
      </c>
      <c r="AF553" s="3">
        <v>760</v>
      </c>
      <c r="AG553" s="3">
        <v>44</v>
      </c>
      <c r="AH553">
        <v>80</v>
      </c>
      <c r="AI553">
        <v>3</v>
      </c>
      <c r="AJ553">
        <v>0</v>
      </c>
      <c r="AL553">
        <v>0</v>
      </c>
      <c r="AM553">
        <v>1</v>
      </c>
      <c r="AN553" t="s">
        <v>768</v>
      </c>
      <c r="AO553" t="s">
        <v>41</v>
      </c>
    </row>
    <row r="554" spans="1:41" x14ac:dyDescent="0.25">
      <c r="A554">
        <v>40</v>
      </c>
      <c r="B554" t="s">
        <v>32</v>
      </c>
      <c r="C554" t="s">
        <v>33</v>
      </c>
      <c r="D554">
        <v>7</v>
      </c>
      <c r="E554" t="s">
        <v>34</v>
      </c>
      <c r="F554">
        <v>3</v>
      </c>
      <c r="G554">
        <v>1</v>
      </c>
      <c r="H554" t="s">
        <v>35</v>
      </c>
      <c r="I554">
        <v>1</v>
      </c>
      <c r="J554" t="s">
        <v>36</v>
      </c>
      <c r="K554">
        <v>2166</v>
      </c>
      <c r="L554">
        <v>3</v>
      </c>
      <c r="M554" t="s">
        <v>31</v>
      </c>
      <c r="N554">
        <v>14</v>
      </c>
      <c r="O554">
        <v>3</v>
      </c>
      <c r="P554">
        <v>0</v>
      </c>
      <c r="Q554">
        <v>10</v>
      </c>
      <c r="R554">
        <v>3</v>
      </c>
      <c r="S554">
        <v>4</v>
      </c>
      <c r="T554">
        <v>0</v>
      </c>
      <c r="U554">
        <v>3</v>
      </c>
      <c r="V554" t="s">
        <v>52</v>
      </c>
      <c r="W554" s="1" t="s">
        <v>302</v>
      </c>
      <c r="Y554" t="s">
        <v>69</v>
      </c>
      <c r="Z554" t="s">
        <v>47</v>
      </c>
      <c r="AA554">
        <v>1</v>
      </c>
      <c r="AB554">
        <v>1</v>
      </c>
      <c r="AC554" t="s">
        <v>41</v>
      </c>
      <c r="AD554" t="s">
        <v>67</v>
      </c>
      <c r="AE554" t="s">
        <v>60</v>
      </c>
      <c r="AF554" s="3">
        <v>762</v>
      </c>
      <c r="AG554" s="3">
        <v>81</v>
      </c>
      <c r="AH554">
        <v>80</v>
      </c>
      <c r="AI554">
        <v>7</v>
      </c>
      <c r="AJ554">
        <v>0</v>
      </c>
      <c r="AL554">
        <v>0</v>
      </c>
      <c r="AM554">
        <v>1</v>
      </c>
      <c r="AN554" t="s">
        <v>768</v>
      </c>
      <c r="AO554" t="s">
        <v>41</v>
      </c>
    </row>
    <row r="555" spans="1:41" x14ac:dyDescent="0.25">
      <c r="A555">
        <v>49</v>
      </c>
      <c r="B555" t="s">
        <v>32</v>
      </c>
      <c r="C555" t="s">
        <v>33</v>
      </c>
      <c r="D555">
        <v>22</v>
      </c>
      <c r="E555" t="s">
        <v>61</v>
      </c>
      <c r="F555">
        <v>3</v>
      </c>
      <c r="G555">
        <v>4</v>
      </c>
      <c r="H555" t="s">
        <v>50</v>
      </c>
      <c r="I555">
        <v>2</v>
      </c>
      <c r="J555" t="s">
        <v>51</v>
      </c>
      <c r="K555">
        <v>16413</v>
      </c>
      <c r="L555">
        <v>3</v>
      </c>
      <c r="M555" t="s">
        <v>41</v>
      </c>
      <c r="N555">
        <v>16</v>
      </c>
      <c r="O555">
        <v>3</v>
      </c>
      <c r="P555">
        <v>2</v>
      </c>
      <c r="Q555">
        <v>27</v>
      </c>
      <c r="R555">
        <v>2</v>
      </c>
      <c r="S555">
        <v>4</v>
      </c>
      <c r="T555">
        <v>1</v>
      </c>
      <c r="U555">
        <v>2</v>
      </c>
      <c r="V555" t="s">
        <v>37</v>
      </c>
      <c r="W555" s="1" t="s">
        <v>303</v>
      </c>
      <c r="Y555" t="s">
        <v>54</v>
      </c>
      <c r="Z555" t="s">
        <v>40</v>
      </c>
      <c r="AA555">
        <v>0</v>
      </c>
      <c r="AB555">
        <v>0</v>
      </c>
      <c r="AC555" t="s">
        <v>41</v>
      </c>
      <c r="AD555" t="s">
        <v>67</v>
      </c>
      <c r="AE555" t="s">
        <v>43</v>
      </c>
      <c r="AF555" s="3">
        <v>763</v>
      </c>
      <c r="AG555" s="3">
        <v>86</v>
      </c>
      <c r="AH555">
        <v>80</v>
      </c>
      <c r="AI555">
        <v>2</v>
      </c>
      <c r="AJ555">
        <v>0</v>
      </c>
      <c r="AL555">
        <v>0</v>
      </c>
      <c r="AM555">
        <v>1</v>
      </c>
      <c r="AN555" t="s">
        <v>768</v>
      </c>
      <c r="AO555" t="s">
        <v>41</v>
      </c>
    </row>
    <row r="556" spans="1:41" x14ac:dyDescent="0.25">
      <c r="A556">
        <v>36</v>
      </c>
      <c r="B556" t="s">
        <v>32</v>
      </c>
      <c r="C556" t="s">
        <v>33</v>
      </c>
      <c r="D556">
        <v>7</v>
      </c>
      <c r="E556" t="s">
        <v>34</v>
      </c>
      <c r="F556">
        <v>3</v>
      </c>
      <c r="G556">
        <v>1</v>
      </c>
      <c r="H556" t="s">
        <v>35</v>
      </c>
      <c r="I556">
        <v>2</v>
      </c>
      <c r="J556" t="s">
        <v>36</v>
      </c>
      <c r="K556">
        <v>2013</v>
      </c>
      <c r="L556">
        <v>2</v>
      </c>
      <c r="M556" t="s">
        <v>41</v>
      </c>
      <c r="N556">
        <v>11</v>
      </c>
      <c r="O556">
        <v>3</v>
      </c>
      <c r="P556">
        <v>0</v>
      </c>
      <c r="Q556">
        <v>15</v>
      </c>
      <c r="R556">
        <v>4</v>
      </c>
      <c r="S556">
        <v>4</v>
      </c>
      <c r="T556">
        <v>1</v>
      </c>
      <c r="U556">
        <v>3</v>
      </c>
      <c r="V556" t="s">
        <v>58</v>
      </c>
      <c r="W556" s="1" t="s">
        <v>304</v>
      </c>
      <c r="Y556" t="s">
        <v>46</v>
      </c>
      <c r="Z556" t="s">
        <v>47</v>
      </c>
      <c r="AA556">
        <v>4</v>
      </c>
      <c r="AB556">
        <v>0</v>
      </c>
      <c r="AC556" t="s">
        <v>31</v>
      </c>
      <c r="AD556" t="s">
        <v>48</v>
      </c>
      <c r="AE556" t="s">
        <v>43</v>
      </c>
      <c r="AF556" s="3">
        <v>764</v>
      </c>
      <c r="AG556" s="3">
        <v>55</v>
      </c>
      <c r="AH556">
        <v>80</v>
      </c>
      <c r="AI556">
        <v>6</v>
      </c>
      <c r="AJ556">
        <v>0</v>
      </c>
      <c r="AL556">
        <v>0</v>
      </c>
      <c r="AM556">
        <v>1</v>
      </c>
      <c r="AN556" t="s">
        <v>768</v>
      </c>
      <c r="AO556" t="s">
        <v>41</v>
      </c>
    </row>
    <row r="557" spans="1:41" x14ac:dyDescent="0.25">
      <c r="A557">
        <v>38</v>
      </c>
      <c r="B557" t="s">
        <v>66</v>
      </c>
      <c r="C557" t="s">
        <v>33</v>
      </c>
      <c r="D557">
        <v>2</v>
      </c>
      <c r="E557" t="s">
        <v>61</v>
      </c>
      <c r="F557">
        <v>2</v>
      </c>
      <c r="G557">
        <v>1</v>
      </c>
      <c r="H557" t="s">
        <v>35</v>
      </c>
      <c r="I557">
        <v>2</v>
      </c>
      <c r="J557" t="s">
        <v>36</v>
      </c>
      <c r="K557">
        <v>2440</v>
      </c>
      <c r="L557">
        <v>1</v>
      </c>
      <c r="M557" t="s">
        <v>41</v>
      </c>
      <c r="N557">
        <v>22</v>
      </c>
      <c r="O557">
        <v>4</v>
      </c>
      <c r="P557">
        <v>0</v>
      </c>
      <c r="Q557">
        <v>4</v>
      </c>
      <c r="R557">
        <v>3</v>
      </c>
      <c r="S557">
        <v>4</v>
      </c>
      <c r="T557">
        <v>3</v>
      </c>
      <c r="U557">
        <v>3</v>
      </c>
      <c r="V557" t="s">
        <v>37</v>
      </c>
      <c r="W557" s="2">
        <v>42920</v>
      </c>
      <c r="Y557" t="s">
        <v>69</v>
      </c>
      <c r="Z557" t="s">
        <v>47</v>
      </c>
      <c r="AA557">
        <v>5</v>
      </c>
      <c r="AB557">
        <v>1</v>
      </c>
      <c r="AC557" t="s">
        <v>41</v>
      </c>
      <c r="AD557" t="s">
        <v>65</v>
      </c>
      <c r="AE557" t="s">
        <v>43</v>
      </c>
      <c r="AF557" s="3">
        <v>766</v>
      </c>
      <c r="AG557" s="3">
        <v>83</v>
      </c>
      <c r="AH557">
        <v>80</v>
      </c>
      <c r="AI557">
        <v>2</v>
      </c>
      <c r="AJ557">
        <v>0</v>
      </c>
      <c r="AL557">
        <v>0</v>
      </c>
      <c r="AM557">
        <v>1</v>
      </c>
      <c r="AN557" t="s">
        <v>768</v>
      </c>
      <c r="AO557" t="s">
        <v>41</v>
      </c>
    </row>
    <row r="558" spans="1:41" x14ac:dyDescent="0.25">
      <c r="A558">
        <v>53</v>
      </c>
      <c r="B558" t="s">
        <v>32</v>
      </c>
      <c r="C558" t="s">
        <v>33</v>
      </c>
      <c r="D558">
        <v>24</v>
      </c>
      <c r="E558" t="s">
        <v>34</v>
      </c>
      <c r="F558">
        <v>4</v>
      </c>
      <c r="G558">
        <v>3</v>
      </c>
      <c r="H558" t="s">
        <v>89</v>
      </c>
      <c r="I558">
        <v>4</v>
      </c>
      <c r="J558" t="s">
        <v>51</v>
      </c>
      <c r="K558">
        <v>7005</v>
      </c>
      <c r="L558">
        <v>3</v>
      </c>
      <c r="M558" t="s">
        <v>41</v>
      </c>
      <c r="N558">
        <v>15</v>
      </c>
      <c r="O558">
        <v>3</v>
      </c>
      <c r="P558">
        <v>0</v>
      </c>
      <c r="Q558">
        <v>11</v>
      </c>
      <c r="R558">
        <v>2</v>
      </c>
      <c r="S558">
        <v>4</v>
      </c>
      <c r="T558">
        <v>1</v>
      </c>
      <c r="U558">
        <v>2</v>
      </c>
      <c r="V558" t="s">
        <v>58</v>
      </c>
      <c r="W558" s="1" t="s">
        <v>305</v>
      </c>
      <c r="Y558" t="s">
        <v>63</v>
      </c>
      <c r="Z558" t="s">
        <v>40</v>
      </c>
      <c r="AA558">
        <v>5</v>
      </c>
      <c r="AB558">
        <v>3</v>
      </c>
      <c r="AC558" t="s">
        <v>31</v>
      </c>
      <c r="AD558" t="s">
        <v>65</v>
      </c>
      <c r="AE558" t="s">
        <v>60</v>
      </c>
      <c r="AF558" s="3">
        <v>769</v>
      </c>
      <c r="AG558" s="3">
        <v>86</v>
      </c>
      <c r="AH558">
        <v>80</v>
      </c>
      <c r="AI558">
        <v>2</v>
      </c>
      <c r="AJ558">
        <v>0</v>
      </c>
      <c r="AL558">
        <v>0</v>
      </c>
      <c r="AM558">
        <v>1</v>
      </c>
      <c r="AN558" t="s">
        <v>768</v>
      </c>
      <c r="AO558" t="s">
        <v>41</v>
      </c>
    </row>
    <row r="559" spans="1:41" x14ac:dyDescent="0.25">
      <c r="A559">
        <v>55</v>
      </c>
      <c r="B559" t="s">
        <v>32</v>
      </c>
      <c r="C559" t="s">
        <v>33</v>
      </c>
      <c r="D559">
        <v>22</v>
      </c>
      <c r="E559" t="s">
        <v>34</v>
      </c>
      <c r="F559">
        <v>2</v>
      </c>
      <c r="G559">
        <v>1</v>
      </c>
      <c r="H559" t="s">
        <v>44</v>
      </c>
      <c r="I559">
        <v>2</v>
      </c>
      <c r="J559" t="s">
        <v>57</v>
      </c>
      <c r="K559">
        <v>3537</v>
      </c>
      <c r="L559">
        <v>5</v>
      </c>
      <c r="M559" t="s">
        <v>41</v>
      </c>
      <c r="N559">
        <v>12</v>
      </c>
      <c r="O559">
        <v>3</v>
      </c>
      <c r="P559">
        <v>1</v>
      </c>
      <c r="Q559">
        <v>8</v>
      </c>
      <c r="R559">
        <v>1</v>
      </c>
      <c r="S559">
        <v>4</v>
      </c>
      <c r="T559">
        <v>1</v>
      </c>
      <c r="U559">
        <v>2</v>
      </c>
      <c r="V559" t="s">
        <v>52</v>
      </c>
      <c r="W559" s="1" t="s">
        <v>306</v>
      </c>
      <c r="Y559" t="s">
        <v>63</v>
      </c>
      <c r="Z559" t="s">
        <v>47</v>
      </c>
      <c r="AA559">
        <v>5</v>
      </c>
      <c r="AB559">
        <v>1</v>
      </c>
      <c r="AC559" t="s">
        <v>31</v>
      </c>
      <c r="AD559" t="s">
        <v>48</v>
      </c>
      <c r="AE559" t="s">
        <v>43</v>
      </c>
      <c r="AF559" s="3">
        <v>771</v>
      </c>
      <c r="AG559" s="3">
        <v>61</v>
      </c>
      <c r="AH559">
        <v>80</v>
      </c>
      <c r="AI559">
        <v>0</v>
      </c>
      <c r="AJ559">
        <v>0</v>
      </c>
      <c r="AL559">
        <v>0</v>
      </c>
      <c r="AM559">
        <v>1</v>
      </c>
      <c r="AN559" t="s">
        <v>768</v>
      </c>
      <c r="AO559" t="s">
        <v>41</v>
      </c>
    </row>
    <row r="560" spans="1:41" x14ac:dyDescent="0.25">
      <c r="A560">
        <v>32</v>
      </c>
      <c r="B560" t="s">
        <v>32</v>
      </c>
      <c r="C560" t="s">
        <v>55</v>
      </c>
      <c r="D560">
        <v>19</v>
      </c>
      <c r="E560" t="s">
        <v>34</v>
      </c>
      <c r="F560">
        <v>1</v>
      </c>
      <c r="G560">
        <v>3</v>
      </c>
      <c r="H560" t="s">
        <v>70</v>
      </c>
      <c r="I560">
        <v>3</v>
      </c>
      <c r="J560" t="s">
        <v>51</v>
      </c>
      <c r="K560">
        <v>9610</v>
      </c>
      <c r="L560">
        <v>3</v>
      </c>
      <c r="M560" t="s">
        <v>41</v>
      </c>
      <c r="N560">
        <v>13</v>
      </c>
      <c r="O560">
        <v>3</v>
      </c>
      <c r="P560">
        <v>1</v>
      </c>
      <c r="Q560">
        <v>10</v>
      </c>
      <c r="R560">
        <v>2</v>
      </c>
      <c r="S560">
        <v>4</v>
      </c>
      <c r="T560">
        <v>0</v>
      </c>
      <c r="U560">
        <v>2</v>
      </c>
      <c r="V560" t="s">
        <v>52</v>
      </c>
      <c r="W560" s="1" t="s">
        <v>307</v>
      </c>
      <c r="Y560" t="s">
        <v>54</v>
      </c>
      <c r="Z560" t="s">
        <v>47</v>
      </c>
      <c r="AA560">
        <v>5</v>
      </c>
      <c r="AB560">
        <v>3</v>
      </c>
      <c r="AC560" t="s">
        <v>41</v>
      </c>
      <c r="AD560" t="s">
        <v>42</v>
      </c>
      <c r="AE560" t="s">
        <v>43</v>
      </c>
      <c r="AF560" s="3">
        <v>772</v>
      </c>
      <c r="AG560" s="3">
        <v>80</v>
      </c>
      <c r="AH560">
        <v>80</v>
      </c>
      <c r="AI560">
        <v>8</v>
      </c>
      <c r="AJ560">
        <v>0</v>
      </c>
      <c r="AL560">
        <v>0</v>
      </c>
      <c r="AM560">
        <v>1</v>
      </c>
      <c r="AN560" t="s">
        <v>768</v>
      </c>
      <c r="AO560" t="s">
        <v>41</v>
      </c>
    </row>
    <row r="561" spans="1:41" x14ac:dyDescent="0.25">
      <c r="A561">
        <v>30</v>
      </c>
      <c r="B561" t="s">
        <v>66</v>
      </c>
      <c r="C561" t="s">
        <v>120</v>
      </c>
      <c r="D561">
        <v>8</v>
      </c>
      <c r="E561" t="s">
        <v>61</v>
      </c>
      <c r="F561">
        <v>2</v>
      </c>
      <c r="G561">
        <v>1</v>
      </c>
      <c r="H561" t="s">
        <v>120</v>
      </c>
      <c r="I561">
        <v>4</v>
      </c>
      <c r="J561" t="s">
        <v>57</v>
      </c>
      <c r="K561">
        <v>2180</v>
      </c>
      <c r="L561">
        <v>6</v>
      </c>
      <c r="M561" t="s">
        <v>41</v>
      </c>
      <c r="N561">
        <v>11</v>
      </c>
      <c r="O561">
        <v>3</v>
      </c>
      <c r="P561">
        <v>1</v>
      </c>
      <c r="Q561">
        <v>6</v>
      </c>
      <c r="R561">
        <v>0</v>
      </c>
      <c r="S561">
        <v>4</v>
      </c>
      <c r="T561">
        <v>1</v>
      </c>
      <c r="U561">
        <v>2</v>
      </c>
      <c r="V561" t="s">
        <v>37</v>
      </c>
      <c r="W561" s="1" t="s">
        <v>308</v>
      </c>
      <c r="Y561" t="s">
        <v>54</v>
      </c>
      <c r="Z561" t="s">
        <v>47</v>
      </c>
      <c r="AA561">
        <v>4</v>
      </c>
      <c r="AB561">
        <v>1</v>
      </c>
      <c r="AC561" t="s">
        <v>31</v>
      </c>
      <c r="AD561" t="s">
        <v>67</v>
      </c>
      <c r="AE561" t="s">
        <v>43</v>
      </c>
      <c r="AF561" s="3">
        <v>773</v>
      </c>
      <c r="AG561" s="3">
        <v>92</v>
      </c>
      <c r="AH561">
        <v>80</v>
      </c>
      <c r="AI561">
        <v>0</v>
      </c>
      <c r="AJ561">
        <v>0</v>
      </c>
      <c r="AL561">
        <v>0</v>
      </c>
      <c r="AM561">
        <v>1</v>
      </c>
      <c r="AN561" t="s">
        <v>768</v>
      </c>
      <c r="AO561" t="s">
        <v>41</v>
      </c>
    </row>
    <row r="562" spans="1:41" x14ac:dyDescent="0.25">
      <c r="A562">
        <v>39</v>
      </c>
      <c r="B562" t="s">
        <v>32</v>
      </c>
      <c r="C562" t="s">
        <v>33</v>
      </c>
      <c r="D562">
        <v>10</v>
      </c>
      <c r="E562" t="s">
        <v>34</v>
      </c>
      <c r="F562">
        <v>3</v>
      </c>
      <c r="G562">
        <v>3</v>
      </c>
      <c r="H562" t="s">
        <v>50</v>
      </c>
      <c r="I562">
        <v>3</v>
      </c>
      <c r="J562" t="s">
        <v>36</v>
      </c>
      <c r="K562">
        <v>13464</v>
      </c>
      <c r="L562">
        <v>7</v>
      </c>
      <c r="M562" t="s">
        <v>41</v>
      </c>
      <c r="N562">
        <v>21</v>
      </c>
      <c r="O562">
        <v>4</v>
      </c>
      <c r="P562">
        <v>0</v>
      </c>
      <c r="Q562">
        <v>9</v>
      </c>
      <c r="R562">
        <v>3</v>
      </c>
      <c r="S562">
        <v>4</v>
      </c>
      <c r="T562">
        <v>2</v>
      </c>
      <c r="U562">
        <v>2</v>
      </c>
      <c r="V562" t="s">
        <v>52</v>
      </c>
      <c r="W562" s="1" t="s">
        <v>309</v>
      </c>
      <c r="Y562" t="s">
        <v>54</v>
      </c>
      <c r="Z562" t="s">
        <v>47</v>
      </c>
      <c r="AA562">
        <v>3</v>
      </c>
      <c r="AB562">
        <v>2</v>
      </c>
      <c r="AC562" t="s">
        <v>31</v>
      </c>
      <c r="AD562" t="s">
        <v>65</v>
      </c>
      <c r="AE562" t="s">
        <v>49</v>
      </c>
      <c r="AF562" s="3">
        <v>775</v>
      </c>
      <c r="AG562" s="3">
        <v>32</v>
      </c>
      <c r="AH562">
        <v>80</v>
      </c>
      <c r="AI562">
        <v>0</v>
      </c>
      <c r="AJ562">
        <v>0</v>
      </c>
      <c r="AL562">
        <v>0</v>
      </c>
      <c r="AM562">
        <v>1</v>
      </c>
      <c r="AN562" t="s">
        <v>768</v>
      </c>
      <c r="AO562" t="s">
        <v>41</v>
      </c>
    </row>
    <row r="563" spans="1:41" x14ac:dyDescent="0.25">
      <c r="A563">
        <v>40</v>
      </c>
      <c r="B563" t="s">
        <v>32</v>
      </c>
      <c r="C563" t="s">
        <v>33</v>
      </c>
      <c r="D563">
        <v>2</v>
      </c>
      <c r="E563" t="s">
        <v>61</v>
      </c>
      <c r="F563">
        <v>3</v>
      </c>
      <c r="G563">
        <v>1</v>
      </c>
      <c r="H563" t="s">
        <v>35</v>
      </c>
      <c r="I563">
        <v>1</v>
      </c>
      <c r="J563" t="s">
        <v>51</v>
      </c>
      <c r="K563">
        <v>3377</v>
      </c>
      <c r="L563">
        <v>4</v>
      </c>
      <c r="M563" t="s">
        <v>41</v>
      </c>
      <c r="N563">
        <v>17</v>
      </c>
      <c r="O563">
        <v>3</v>
      </c>
      <c r="P563">
        <v>1</v>
      </c>
      <c r="Q563">
        <v>7</v>
      </c>
      <c r="R563">
        <v>5</v>
      </c>
      <c r="S563">
        <v>4</v>
      </c>
      <c r="T563">
        <v>0</v>
      </c>
      <c r="U563">
        <v>2</v>
      </c>
      <c r="V563" t="s">
        <v>52</v>
      </c>
      <c r="W563" s="2">
        <v>42828</v>
      </c>
      <c r="Y563" t="s">
        <v>63</v>
      </c>
      <c r="Z563" t="s">
        <v>40</v>
      </c>
      <c r="AA563">
        <v>2</v>
      </c>
      <c r="AB563">
        <v>1</v>
      </c>
      <c r="AC563" t="s">
        <v>41</v>
      </c>
      <c r="AD563" t="s">
        <v>65</v>
      </c>
      <c r="AE563" t="s">
        <v>60</v>
      </c>
      <c r="AF563" s="3">
        <v>776</v>
      </c>
      <c r="AG563" s="3">
        <v>31</v>
      </c>
      <c r="AH563">
        <v>80</v>
      </c>
      <c r="AI563">
        <v>6</v>
      </c>
      <c r="AJ563">
        <v>0</v>
      </c>
      <c r="AL563">
        <v>0</v>
      </c>
      <c r="AM563">
        <v>1</v>
      </c>
      <c r="AN563" t="s">
        <v>768</v>
      </c>
      <c r="AO563" t="s">
        <v>41</v>
      </c>
    </row>
    <row r="564" spans="1:41" x14ac:dyDescent="0.25">
      <c r="A564">
        <v>38</v>
      </c>
      <c r="B564" t="s">
        <v>32</v>
      </c>
      <c r="C564" t="s">
        <v>55</v>
      </c>
      <c r="D564">
        <v>2</v>
      </c>
      <c r="E564" t="s">
        <v>61</v>
      </c>
      <c r="F564">
        <v>1</v>
      </c>
      <c r="G564">
        <v>2</v>
      </c>
      <c r="H564" t="s">
        <v>56</v>
      </c>
      <c r="I564">
        <v>4</v>
      </c>
      <c r="J564" t="s">
        <v>51</v>
      </c>
      <c r="K564">
        <v>5405</v>
      </c>
      <c r="L564">
        <v>2</v>
      </c>
      <c r="M564" t="s">
        <v>31</v>
      </c>
      <c r="N564">
        <v>20</v>
      </c>
      <c r="O564">
        <v>4</v>
      </c>
      <c r="P564">
        <v>2</v>
      </c>
      <c r="Q564">
        <v>20</v>
      </c>
      <c r="R564">
        <v>4</v>
      </c>
      <c r="S564">
        <v>4</v>
      </c>
      <c r="T564">
        <v>0</v>
      </c>
      <c r="U564">
        <v>3</v>
      </c>
      <c r="V564" t="s">
        <v>52</v>
      </c>
      <c r="W564" s="1" t="s">
        <v>310</v>
      </c>
      <c r="Y564" t="s">
        <v>46</v>
      </c>
      <c r="Z564" t="s">
        <v>40</v>
      </c>
      <c r="AA564">
        <v>5</v>
      </c>
      <c r="AB564">
        <v>3</v>
      </c>
      <c r="AC564" t="s">
        <v>31</v>
      </c>
      <c r="AD564" t="s">
        <v>42</v>
      </c>
      <c r="AE564" t="s">
        <v>60</v>
      </c>
      <c r="AF564" s="3">
        <v>780</v>
      </c>
      <c r="AG564" s="3">
        <v>63</v>
      </c>
      <c r="AH564">
        <v>80</v>
      </c>
      <c r="AI564">
        <v>9</v>
      </c>
      <c r="AJ564">
        <v>1</v>
      </c>
      <c r="AK564">
        <v>1</v>
      </c>
      <c r="AL564">
        <v>1</v>
      </c>
      <c r="AM564">
        <v>0</v>
      </c>
      <c r="AN564" t="s">
        <v>767</v>
      </c>
      <c r="AO564" t="s">
        <v>31</v>
      </c>
    </row>
    <row r="565" spans="1:41" x14ac:dyDescent="0.25">
      <c r="A565">
        <v>56</v>
      </c>
      <c r="B565" t="s">
        <v>32</v>
      </c>
      <c r="C565" t="s">
        <v>33</v>
      </c>
      <c r="D565">
        <v>24</v>
      </c>
      <c r="E565" t="s">
        <v>34</v>
      </c>
      <c r="F565">
        <v>3</v>
      </c>
      <c r="G565">
        <v>1</v>
      </c>
      <c r="H565" t="s">
        <v>35</v>
      </c>
      <c r="I565">
        <v>4</v>
      </c>
      <c r="J565" t="s">
        <v>36</v>
      </c>
      <c r="K565">
        <v>2587</v>
      </c>
      <c r="L565">
        <v>1</v>
      </c>
      <c r="M565" t="s">
        <v>41</v>
      </c>
      <c r="N565">
        <v>16</v>
      </c>
      <c r="O565">
        <v>3</v>
      </c>
      <c r="P565">
        <v>0</v>
      </c>
      <c r="Q565">
        <v>5</v>
      </c>
      <c r="R565">
        <v>3</v>
      </c>
      <c r="S565">
        <v>4</v>
      </c>
      <c r="T565">
        <v>1</v>
      </c>
      <c r="U565">
        <v>0</v>
      </c>
      <c r="V565" t="s">
        <v>37</v>
      </c>
      <c r="W565" s="1" t="s">
        <v>311</v>
      </c>
      <c r="Y565" t="s">
        <v>39</v>
      </c>
      <c r="Z565" t="s">
        <v>47</v>
      </c>
      <c r="AA565">
        <v>1</v>
      </c>
      <c r="AB565">
        <v>3</v>
      </c>
      <c r="AC565" t="s">
        <v>31</v>
      </c>
      <c r="AD565" t="s">
        <v>42</v>
      </c>
      <c r="AE565" t="s">
        <v>49</v>
      </c>
      <c r="AF565" s="3">
        <v>781</v>
      </c>
      <c r="AG565" s="3">
        <v>32</v>
      </c>
      <c r="AH565">
        <v>80</v>
      </c>
      <c r="AI565">
        <v>5</v>
      </c>
      <c r="AJ565">
        <v>0</v>
      </c>
      <c r="AL565">
        <v>0</v>
      </c>
      <c r="AM565">
        <v>1</v>
      </c>
      <c r="AN565" t="s">
        <v>768</v>
      </c>
      <c r="AO565" t="s">
        <v>41</v>
      </c>
    </row>
    <row r="566" spans="1:41" x14ac:dyDescent="0.25">
      <c r="A566">
        <v>36</v>
      </c>
      <c r="B566" t="s">
        <v>32</v>
      </c>
      <c r="C566" t="s">
        <v>55</v>
      </c>
      <c r="D566">
        <v>17</v>
      </c>
      <c r="E566" t="s">
        <v>34</v>
      </c>
      <c r="F566">
        <v>2</v>
      </c>
      <c r="G566">
        <v>2</v>
      </c>
      <c r="H566" t="s">
        <v>70</v>
      </c>
      <c r="I566">
        <v>2</v>
      </c>
      <c r="J566" t="s">
        <v>51</v>
      </c>
      <c r="K566">
        <v>5507</v>
      </c>
      <c r="L566">
        <v>2</v>
      </c>
      <c r="M566" t="s">
        <v>41</v>
      </c>
      <c r="N566">
        <v>16</v>
      </c>
      <c r="O566">
        <v>3</v>
      </c>
      <c r="P566">
        <v>2</v>
      </c>
      <c r="Q566">
        <v>12</v>
      </c>
      <c r="R566">
        <v>1</v>
      </c>
      <c r="S566">
        <v>4</v>
      </c>
      <c r="T566">
        <v>1</v>
      </c>
      <c r="U566">
        <v>3</v>
      </c>
      <c r="V566" t="s">
        <v>52</v>
      </c>
      <c r="W566" s="2">
        <v>42770</v>
      </c>
      <c r="Y566" t="s">
        <v>39</v>
      </c>
      <c r="Z566" t="s">
        <v>47</v>
      </c>
      <c r="AA566">
        <v>0</v>
      </c>
      <c r="AB566">
        <v>0</v>
      </c>
      <c r="AC566" t="s">
        <v>31</v>
      </c>
      <c r="AD566" t="s">
        <v>48</v>
      </c>
      <c r="AE566" t="s">
        <v>43</v>
      </c>
      <c r="AF566" s="3">
        <v>783</v>
      </c>
      <c r="AG566" s="3">
        <v>46</v>
      </c>
      <c r="AH566">
        <v>80</v>
      </c>
      <c r="AI566">
        <v>7</v>
      </c>
      <c r="AJ566">
        <v>0</v>
      </c>
      <c r="AL566">
        <v>0</v>
      </c>
      <c r="AM566">
        <v>1</v>
      </c>
      <c r="AN566" t="s">
        <v>768</v>
      </c>
      <c r="AO566" t="s">
        <v>41</v>
      </c>
    </row>
    <row r="567" spans="1:41" x14ac:dyDescent="0.25">
      <c r="A567">
        <v>34</v>
      </c>
      <c r="B567" t="s">
        <v>32</v>
      </c>
      <c r="C567" t="s">
        <v>55</v>
      </c>
      <c r="D567">
        <v>3</v>
      </c>
      <c r="E567" t="s">
        <v>61</v>
      </c>
      <c r="F567">
        <v>2</v>
      </c>
      <c r="G567">
        <v>2</v>
      </c>
      <c r="H567" t="s">
        <v>70</v>
      </c>
      <c r="I567">
        <v>4</v>
      </c>
      <c r="J567" t="s">
        <v>51</v>
      </c>
      <c r="K567">
        <v>8103</v>
      </c>
      <c r="L567">
        <v>3</v>
      </c>
      <c r="M567" t="s">
        <v>31</v>
      </c>
      <c r="N567">
        <v>12</v>
      </c>
      <c r="O567">
        <v>3</v>
      </c>
      <c r="P567">
        <v>0</v>
      </c>
      <c r="Q567">
        <v>9</v>
      </c>
      <c r="R567">
        <v>3</v>
      </c>
      <c r="S567">
        <v>4</v>
      </c>
      <c r="T567">
        <v>0</v>
      </c>
      <c r="U567">
        <v>1</v>
      </c>
      <c r="V567" t="s">
        <v>52</v>
      </c>
      <c r="W567" s="2">
        <v>42981</v>
      </c>
      <c r="Y567" t="s">
        <v>54</v>
      </c>
      <c r="Z567" t="s">
        <v>40</v>
      </c>
      <c r="AA567">
        <v>1</v>
      </c>
      <c r="AB567">
        <v>2</v>
      </c>
      <c r="AC567" t="s">
        <v>31</v>
      </c>
      <c r="AD567" t="s">
        <v>67</v>
      </c>
      <c r="AE567" t="s">
        <v>49</v>
      </c>
      <c r="AF567" s="3">
        <v>784</v>
      </c>
      <c r="AG567" s="3">
        <v>79</v>
      </c>
      <c r="AH567">
        <v>80</v>
      </c>
      <c r="AI567">
        <v>2</v>
      </c>
      <c r="AJ567">
        <v>0</v>
      </c>
      <c r="AL567">
        <v>0</v>
      </c>
      <c r="AM567">
        <v>1</v>
      </c>
      <c r="AN567" t="s">
        <v>768</v>
      </c>
      <c r="AO567" t="s">
        <v>41</v>
      </c>
    </row>
    <row r="568" spans="1:41" x14ac:dyDescent="0.25">
      <c r="A568">
        <v>45</v>
      </c>
      <c r="B568" t="s">
        <v>66</v>
      </c>
      <c r="C568" t="s">
        <v>33</v>
      </c>
      <c r="D568">
        <v>1</v>
      </c>
      <c r="E568" t="s">
        <v>34</v>
      </c>
      <c r="F568">
        <v>3</v>
      </c>
      <c r="G568">
        <v>2</v>
      </c>
      <c r="H568" t="s">
        <v>89</v>
      </c>
      <c r="I568">
        <v>3</v>
      </c>
      <c r="J568" t="s">
        <v>36</v>
      </c>
      <c r="K568">
        <v>5399</v>
      </c>
      <c r="L568">
        <v>4</v>
      </c>
      <c r="M568" t="s">
        <v>41</v>
      </c>
      <c r="N568">
        <v>12</v>
      </c>
      <c r="O568">
        <v>3</v>
      </c>
      <c r="P568">
        <v>0</v>
      </c>
      <c r="Q568">
        <v>12</v>
      </c>
      <c r="R568">
        <v>3</v>
      </c>
      <c r="S568">
        <v>4</v>
      </c>
      <c r="T568">
        <v>0</v>
      </c>
      <c r="U568">
        <v>3</v>
      </c>
      <c r="V568" t="s">
        <v>72</v>
      </c>
      <c r="W568" s="2">
        <v>43071</v>
      </c>
      <c r="Y568" t="s">
        <v>39</v>
      </c>
      <c r="Z568" t="s">
        <v>47</v>
      </c>
      <c r="AA568">
        <v>3</v>
      </c>
      <c r="AB568">
        <v>2</v>
      </c>
      <c r="AC568" t="s">
        <v>41</v>
      </c>
      <c r="AD568" t="s">
        <v>67</v>
      </c>
      <c r="AE568" t="s">
        <v>49</v>
      </c>
      <c r="AF568" s="3">
        <v>785</v>
      </c>
      <c r="AG568" s="3">
        <v>77</v>
      </c>
      <c r="AH568">
        <v>80</v>
      </c>
      <c r="AI568">
        <v>4</v>
      </c>
      <c r="AJ568">
        <v>1</v>
      </c>
      <c r="AK568">
        <v>1</v>
      </c>
      <c r="AL568">
        <v>1</v>
      </c>
      <c r="AM568">
        <v>0</v>
      </c>
      <c r="AN568" t="s">
        <v>767</v>
      </c>
      <c r="AO568" t="s">
        <v>31</v>
      </c>
    </row>
    <row r="569" spans="1:41" x14ac:dyDescent="0.25">
      <c r="A569">
        <v>32</v>
      </c>
      <c r="B569" t="s">
        <v>66</v>
      </c>
      <c r="C569" t="s">
        <v>33</v>
      </c>
      <c r="D569">
        <v>5</v>
      </c>
      <c r="E569" t="s">
        <v>61</v>
      </c>
      <c r="F569">
        <v>4</v>
      </c>
      <c r="G569">
        <v>1</v>
      </c>
      <c r="H569" t="s">
        <v>44</v>
      </c>
      <c r="I569">
        <v>3</v>
      </c>
      <c r="J569" t="s">
        <v>36</v>
      </c>
      <c r="K569">
        <v>2432</v>
      </c>
      <c r="L569">
        <v>3</v>
      </c>
      <c r="M569" t="s">
        <v>31</v>
      </c>
      <c r="N569">
        <v>14</v>
      </c>
      <c r="O569">
        <v>3</v>
      </c>
      <c r="P569">
        <v>0</v>
      </c>
      <c r="Q569">
        <v>8</v>
      </c>
      <c r="R569">
        <v>2</v>
      </c>
      <c r="S569">
        <v>4</v>
      </c>
      <c r="T569">
        <v>0</v>
      </c>
      <c r="U569">
        <v>3</v>
      </c>
      <c r="V569" t="s">
        <v>72</v>
      </c>
      <c r="W569" s="1" t="s">
        <v>312</v>
      </c>
      <c r="Y569" t="s">
        <v>69</v>
      </c>
      <c r="Z569" t="s">
        <v>40</v>
      </c>
      <c r="AA569">
        <v>4</v>
      </c>
      <c r="AB569">
        <v>1</v>
      </c>
      <c r="AC569" t="s">
        <v>31</v>
      </c>
      <c r="AD569" t="s">
        <v>65</v>
      </c>
      <c r="AE569" t="s">
        <v>49</v>
      </c>
      <c r="AF569" s="3">
        <v>786</v>
      </c>
      <c r="AG569" s="3">
        <v>60</v>
      </c>
      <c r="AH569">
        <v>80</v>
      </c>
      <c r="AI569">
        <v>5</v>
      </c>
      <c r="AJ569">
        <v>0</v>
      </c>
      <c r="AL569">
        <v>0</v>
      </c>
      <c r="AM569">
        <v>1</v>
      </c>
      <c r="AN569" t="s">
        <v>768</v>
      </c>
      <c r="AO569" t="s">
        <v>41</v>
      </c>
    </row>
    <row r="570" spans="1:41" x14ac:dyDescent="0.25">
      <c r="A570">
        <v>31</v>
      </c>
      <c r="B570" t="s">
        <v>81</v>
      </c>
      <c r="C570" t="s">
        <v>33</v>
      </c>
      <c r="D570">
        <v>3</v>
      </c>
      <c r="E570" t="s">
        <v>34</v>
      </c>
      <c r="F570">
        <v>3</v>
      </c>
      <c r="G570">
        <v>1</v>
      </c>
      <c r="H570" t="s">
        <v>44</v>
      </c>
      <c r="I570">
        <v>1</v>
      </c>
      <c r="J570" t="s">
        <v>57</v>
      </c>
      <c r="K570">
        <v>3065</v>
      </c>
      <c r="L570">
        <v>1</v>
      </c>
      <c r="M570" t="s">
        <v>31</v>
      </c>
      <c r="N570">
        <v>13</v>
      </c>
      <c r="O570">
        <v>3</v>
      </c>
      <c r="P570">
        <v>1</v>
      </c>
      <c r="Q570">
        <v>4</v>
      </c>
      <c r="R570">
        <v>3</v>
      </c>
      <c r="S570">
        <v>4</v>
      </c>
      <c r="T570">
        <v>2</v>
      </c>
      <c r="U570">
        <v>3</v>
      </c>
      <c r="V570" t="s">
        <v>37</v>
      </c>
      <c r="W570" s="2">
        <v>42921</v>
      </c>
      <c r="Y570" t="s">
        <v>54</v>
      </c>
      <c r="Z570" t="s">
        <v>40</v>
      </c>
      <c r="AA570">
        <v>1</v>
      </c>
      <c r="AB570">
        <v>0</v>
      </c>
      <c r="AC570" t="s">
        <v>31</v>
      </c>
      <c r="AD570" t="s">
        <v>42</v>
      </c>
      <c r="AE570" t="s">
        <v>60</v>
      </c>
      <c r="AF570" s="3">
        <v>787</v>
      </c>
      <c r="AG570" s="3">
        <v>78</v>
      </c>
      <c r="AH570">
        <v>80</v>
      </c>
      <c r="AI570">
        <v>2</v>
      </c>
      <c r="AJ570">
        <v>1</v>
      </c>
      <c r="AK570">
        <v>1</v>
      </c>
      <c r="AL570">
        <v>1</v>
      </c>
      <c r="AM570">
        <v>0</v>
      </c>
      <c r="AN570" t="s">
        <v>767</v>
      </c>
      <c r="AO570" t="s">
        <v>31</v>
      </c>
    </row>
    <row r="571" spans="1:41" x14ac:dyDescent="0.25">
      <c r="A571">
        <v>28</v>
      </c>
      <c r="B571" t="s">
        <v>32</v>
      </c>
      <c r="C571" t="s">
        <v>33</v>
      </c>
      <c r="D571">
        <v>17</v>
      </c>
      <c r="E571" t="s">
        <v>34</v>
      </c>
      <c r="F571">
        <v>2</v>
      </c>
      <c r="G571">
        <v>1</v>
      </c>
      <c r="H571" t="s">
        <v>35</v>
      </c>
      <c r="I571">
        <v>4</v>
      </c>
      <c r="J571" t="s">
        <v>57</v>
      </c>
      <c r="K571">
        <v>2367</v>
      </c>
      <c r="L571">
        <v>5</v>
      </c>
      <c r="M571" t="s">
        <v>41</v>
      </c>
      <c r="N571">
        <v>12</v>
      </c>
      <c r="O571">
        <v>3</v>
      </c>
      <c r="P571">
        <v>1</v>
      </c>
      <c r="Q571">
        <v>6</v>
      </c>
      <c r="R571">
        <v>2</v>
      </c>
      <c r="S571">
        <v>4</v>
      </c>
      <c r="T571">
        <v>0</v>
      </c>
      <c r="U571">
        <v>3</v>
      </c>
      <c r="V571" t="s">
        <v>52</v>
      </c>
      <c r="W571" s="1" t="s">
        <v>290</v>
      </c>
      <c r="Y571" t="s">
        <v>46</v>
      </c>
      <c r="Z571" t="s">
        <v>47</v>
      </c>
      <c r="AA571">
        <v>0</v>
      </c>
      <c r="AB571">
        <v>2</v>
      </c>
      <c r="AC571" t="s">
        <v>41</v>
      </c>
      <c r="AD571" t="s">
        <v>48</v>
      </c>
      <c r="AE571" t="s">
        <v>49</v>
      </c>
      <c r="AF571" s="3">
        <v>789</v>
      </c>
      <c r="AG571" s="3">
        <v>76</v>
      </c>
      <c r="AH571">
        <v>80</v>
      </c>
      <c r="AI571">
        <v>7</v>
      </c>
      <c r="AJ571">
        <v>0</v>
      </c>
      <c r="AL571">
        <v>0</v>
      </c>
      <c r="AM571">
        <v>1</v>
      </c>
      <c r="AN571" t="s">
        <v>768</v>
      </c>
      <c r="AO571" t="s">
        <v>41</v>
      </c>
    </row>
    <row r="572" spans="1:41" x14ac:dyDescent="0.25">
      <c r="A572">
        <v>54</v>
      </c>
      <c r="B572" t="s">
        <v>32</v>
      </c>
      <c r="C572" t="s">
        <v>33</v>
      </c>
      <c r="D572">
        <v>9</v>
      </c>
      <c r="E572" t="s">
        <v>61</v>
      </c>
      <c r="F572">
        <v>3</v>
      </c>
      <c r="G572">
        <v>2</v>
      </c>
      <c r="H572" t="s">
        <v>44</v>
      </c>
      <c r="I572">
        <v>3</v>
      </c>
      <c r="J572" t="s">
        <v>51</v>
      </c>
      <c r="K572">
        <v>2897</v>
      </c>
      <c r="L572">
        <v>3</v>
      </c>
      <c r="M572" t="s">
        <v>41</v>
      </c>
      <c r="N572">
        <v>11</v>
      </c>
      <c r="O572">
        <v>3</v>
      </c>
      <c r="P572">
        <v>2</v>
      </c>
      <c r="Q572">
        <v>9</v>
      </c>
      <c r="R572">
        <v>6</v>
      </c>
      <c r="S572">
        <v>4</v>
      </c>
      <c r="T572">
        <v>2</v>
      </c>
      <c r="U572">
        <v>3</v>
      </c>
      <c r="V572" t="s">
        <v>52</v>
      </c>
      <c r="W572" s="1" t="s">
        <v>304</v>
      </c>
      <c r="Y572" t="s">
        <v>54</v>
      </c>
      <c r="Z572" t="s">
        <v>47</v>
      </c>
      <c r="AA572">
        <v>5</v>
      </c>
      <c r="AB572">
        <v>1</v>
      </c>
      <c r="AC572" t="s">
        <v>31</v>
      </c>
      <c r="AD572" t="s">
        <v>65</v>
      </c>
      <c r="AE572" t="s">
        <v>43</v>
      </c>
      <c r="AF572" s="3">
        <v>791</v>
      </c>
      <c r="AG572" s="3">
        <v>41</v>
      </c>
      <c r="AH572">
        <v>80</v>
      </c>
      <c r="AI572">
        <v>3</v>
      </c>
      <c r="AJ572">
        <v>0</v>
      </c>
      <c r="AL572">
        <v>0</v>
      </c>
      <c r="AM572">
        <v>1</v>
      </c>
      <c r="AN572" t="s">
        <v>768</v>
      </c>
      <c r="AO572" t="s">
        <v>41</v>
      </c>
    </row>
    <row r="573" spans="1:41" x14ac:dyDescent="0.25">
      <c r="A573">
        <v>24</v>
      </c>
      <c r="B573" t="s">
        <v>32</v>
      </c>
      <c r="C573" t="s">
        <v>33</v>
      </c>
      <c r="D573">
        <v>1</v>
      </c>
      <c r="E573" t="s">
        <v>34</v>
      </c>
      <c r="F573">
        <v>2</v>
      </c>
      <c r="G573">
        <v>2</v>
      </c>
      <c r="H573" t="s">
        <v>89</v>
      </c>
      <c r="I573">
        <v>3</v>
      </c>
      <c r="J573" t="s">
        <v>36</v>
      </c>
      <c r="K573">
        <v>4617</v>
      </c>
      <c r="L573">
        <v>1</v>
      </c>
      <c r="M573" t="s">
        <v>41</v>
      </c>
      <c r="N573">
        <v>12</v>
      </c>
      <c r="O573">
        <v>3</v>
      </c>
      <c r="P573">
        <v>0</v>
      </c>
      <c r="Q573">
        <v>4</v>
      </c>
      <c r="R573">
        <v>2</v>
      </c>
      <c r="S573">
        <v>4</v>
      </c>
      <c r="T573">
        <v>1</v>
      </c>
      <c r="U573">
        <v>2</v>
      </c>
      <c r="V573" t="s">
        <v>37</v>
      </c>
      <c r="W573" s="2">
        <v>42741</v>
      </c>
      <c r="Y573" t="s">
        <v>54</v>
      </c>
      <c r="Z573" t="s">
        <v>47</v>
      </c>
      <c r="AA573">
        <v>0</v>
      </c>
      <c r="AB573">
        <v>1</v>
      </c>
      <c r="AC573" t="s">
        <v>41</v>
      </c>
      <c r="AD573" t="s">
        <v>67</v>
      </c>
      <c r="AE573" t="s">
        <v>49</v>
      </c>
      <c r="AF573" s="3">
        <v>792</v>
      </c>
      <c r="AG573" s="3">
        <v>71</v>
      </c>
      <c r="AH573">
        <v>80</v>
      </c>
      <c r="AI573">
        <v>2</v>
      </c>
      <c r="AJ573">
        <v>0</v>
      </c>
      <c r="AL573">
        <v>0</v>
      </c>
      <c r="AM573">
        <v>1</v>
      </c>
      <c r="AN573" t="s">
        <v>768</v>
      </c>
      <c r="AO573" t="s">
        <v>41</v>
      </c>
    </row>
    <row r="574" spans="1:41" x14ac:dyDescent="0.25">
      <c r="A574">
        <v>42</v>
      </c>
      <c r="B574" t="s">
        <v>32</v>
      </c>
      <c r="C574" t="s">
        <v>33</v>
      </c>
      <c r="D574">
        <v>18</v>
      </c>
      <c r="E574" t="s">
        <v>34</v>
      </c>
      <c r="F574">
        <v>3</v>
      </c>
      <c r="G574">
        <v>2</v>
      </c>
      <c r="H574" t="s">
        <v>44</v>
      </c>
      <c r="I574">
        <v>1</v>
      </c>
      <c r="J574" t="s">
        <v>57</v>
      </c>
      <c r="K574">
        <v>5410</v>
      </c>
      <c r="L574">
        <v>6</v>
      </c>
      <c r="M574" t="s">
        <v>31</v>
      </c>
      <c r="N574">
        <v>17</v>
      </c>
      <c r="O574">
        <v>3</v>
      </c>
      <c r="P574">
        <v>1</v>
      </c>
      <c r="Q574">
        <v>9</v>
      </c>
      <c r="R574">
        <v>3</v>
      </c>
      <c r="S574">
        <v>4</v>
      </c>
      <c r="T574">
        <v>1</v>
      </c>
      <c r="U574">
        <v>2</v>
      </c>
      <c r="V574" t="s">
        <v>58</v>
      </c>
      <c r="W574" s="2">
        <v>42741</v>
      </c>
      <c r="Y574" t="s">
        <v>69</v>
      </c>
      <c r="Z574" t="s">
        <v>47</v>
      </c>
      <c r="AA574">
        <v>3</v>
      </c>
      <c r="AB574">
        <v>0</v>
      </c>
      <c r="AC574" t="s">
        <v>31</v>
      </c>
      <c r="AD574" t="s">
        <v>65</v>
      </c>
      <c r="AE574" t="s">
        <v>60</v>
      </c>
      <c r="AF574" s="3">
        <v>793</v>
      </c>
      <c r="AG574" s="3">
        <v>66</v>
      </c>
      <c r="AH574">
        <v>80</v>
      </c>
      <c r="AI574">
        <v>7</v>
      </c>
      <c r="AJ574">
        <v>0</v>
      </c>
      <c r="AL574">
        <v>0</v>
      </c>
      <c r="AM574">
        <v>1</v>
      </c>
      <c r="AN574" t="s">
        <v>768</v>
      </c>
      <c r="AO574" t="s">
        <v>41</v>
      </c>
    </row>
    <row r="575" spans="1:41" x14ac:dyDescent="0.25">
      <c r="A575">
        <v>44</v>
      </c>
      <c r="B575" t="s">
        <v>32</v>
      </c>
      <c r="C575" t="s">
        <v>33</v>
      </c>
      <c r="D575">
        <v>1</v>
      </c>
      <c r="E575" t="s">
        <v>34</v>
      </c>
      <c r="F575">
        <v>3</v>
      </c>
      <c r="G575">
        <v>1</v>
      </c>
      <c r="H575" t="s">
        <v>44</v>
      </c>
      <c r="I575">
        <v>4</v>
      </c>
      <c r="J575" t="s">
        <v>36</v>
      </c>
      <c r="K575">
        <v>2436</v>
      </c>
      <c r="L575">
        <v>6</v>
      </c>
      <c r="M575" t="s">
        <v>31</v>
      </c>
      <c r="N575">
        <v>12</v>
      </c>
      <c r="O575">
        <v>3</v>
      </c>
      <c r="P575">
        <v>0</v>
      </c>
      <c r="Q575">
        <v>6</v>
      </c>
      <c r="R575">
        <v>2</v>
      </c>
      <c r="S575">
        <v>4</v>
      </c>
      <c r="T575">
        <v>1</v>
      </c>
      <c r="U575">
        <v>2</v>
      </c>
      <c r="V575" t="s">
        <v>52</v>
      </c>
      <c r="W575" s="1" t="s">
        <v>307</v>
      </c>
      <c r="Y575" t="s">
        <v>39</v>
      </c>
      <c r="Z575" t="s">
        <v>47</v>
      </c>
      <c r="AA575">
        <v>2</v>
      </c>
      <c r="AB575">
        <v>2</v>
      </c>
      <c r="AC575" t="s">
        <v>41</v>
      </c>
      <c r="AD575" t="s">
        <v>67</v>
      </c>
      <c r="AE575" t="s">
        <v>60</v>
      </c>
      <c r="AF575" s="3">
        <v>796</v>
      </c>
      <c r="AG575" s="3">
        <v>38</v>
      </c>
      <c r="AH575">
        <v>80</v>
      </c>
      <c r="AI575">
        <v>3</v>
      </c>
      <c r="AJ575">
        <v>1</v>
      </c>
      <c r="AK575">
        <v>1</v>
      </c>
      <c r="AL575">
        <v>1</v>
      </c>
      <c r="AM575">
        <v>0</v>
      </c>
      <c r="AN575" t="s">
        <v>767</v>
      </c>
      <c r="AO575" t="s">
        <v>31</v>
      </c>
    </row>
    <row r="576" spans="1:41" x14ac:dyDescent="0.25">
      <c r="A576">
        <v>36</v>
      </c>
      <c r="B576" t="s">
        <v>66</v>
      </c>
      <c r="C576" t="s">
        <v>33</v>
      </c>
      <c r="D576">
        <v>4</v>
      </c>
      <c r="E576" t="s">
        <v>61</v>
      </c>
      <c r="F576">
        <v>3</v>
      </c>
      <c r="G576">
        <v>2</v>
      </c>
      <c r="H576" t="s">
        <v>78</v>
      </c>
      <c r="I576">
        <v>2</v>
      </c>
      <c r="J576" t="s">
        <v>57</v>
      </c>
      <c r="K576">
        <v>5131</v>
      </c>
      <c r="L576">
        <v>7</v>
      </c>
      <c r="M576" t="s">
        <v>41</v>
      </c>
      <c r="N576">
        <v>13</v>
      </c>
      <c r="O576">
        <v>3</v>
      </c>
      <c r="P576">
        <v>3</v>
      </c>
      <c r="Q576">
        <v>18</v>
      </c>
      <c r="R576">
        <v>3</v>
      </c>
      <c r="S576">
        <v>4</v>
      </c>
      <c r="T576">
        <v>0</v>
      </c>
      <c r="U576">
        <v>2</v>
      </c>
      <c r="V576" t="s">
        <v>72</v>
      </c>
      <c r="W576" s="1" t="s">
        <v>313</v>
      </c>
      <c r="Y576" t="s">
        <v>69</v>
      </c>
      <c r="Z576" t="s">
        <v>40</v>
      </c>
      <c r="AA576">
        <v>3</v>
      </c>
      <c r="AB576">
        <v>1</v>
      </c>
      <c r="AC576" t="s">
        <v>41</v>
      </c>
      <c r="AD576" t="s">
        <v>67</v>
      </c>
      <c r="AE576" t="s">
        <v>49</v>
      </c>
      <c r="AF576" s="3">
        <v>797</v>
      </c>
      <c r="AG576" s="3">
        <v>72</v>
      </c>
      <c r="AH576">
        <v>80</v>
      </c>
      <c r="AI576">
        <v>2</v>
      </c>
      <c r="AJ576">
        <v>0</v>
      </c>
      <c r="AL576">
        <v>0</v>
      </c>
      <c r="AM576">
        <v>1</v>
      </c>
      <c r="AN576" t="s">
        <v>768</v>
      </c>
      <c r="AO576" t="s">
        <v>41</v>
      </c>
    </row>
    <row r="577" spans="1:41" x14ac:dyDescent="0.25">
      <c r="A577">
        <v>32</v>
      </c>
      <c r="B577" t="s">
        <v>32</v>
      </c>
      <c r="C577" t="s">
        <v>33</v>
      </c>
      <c r="D577">
        <v>2</v>
      </c>
      <c r="E577" t="s">
        <v>34</v>
      </c>
      <c r="F577">
        <v>3</v>
      </c>
      <c r="G577">
        <v>1</v>
      </c>
      <c r="H577" t="s">
        <v>44</v>
      </c>
      <c r="I577">
        <v>1</v>
      </c>
      <c r="J577" t="s">
        <v>36</v>
      </c>
      <c r="K577">
        <v>2439</v>
      </c>
      <c r="L577">
        <v>1</v>
      </c>
      <c r="M577" t="s">
        <v>41</v>
      </c>
      <c r="N577">
        <v>14</v>
      </c>
      <c r="O577">
        <v>3</v>
      </c>
      <c r="P577">
        <v>0</v>
      </c>
      <c r="Q577">
        <v>4</v>
      </c>
      <c r="R577">
        <v>4</v>
      </c>
      <c r="S577">
        <v>4</v>
      </c>
      <c r="T577">
        <v>1</v>
      </c>
      <c r="U577">
        <v>2</v>
      </c>
      <c r="V577" t="s">
        <v>72</v>
      </c>
      <c r="W577" s="1" t="s">
        <v>314</v>
      </c>
      <c r="Y577" t="s">
        <v>63</v>
      </c>
      <c r="Z577" t="s">
        <v>40</v>
      </c>
      <c r="AA577">
        <v>4</v>
      </c>
      <c r="AB577">
        <v>2</v>
      </c>
      <c r="AC577" t="s">
        <v>31</v>
      </c>
      <c r="AD577" t="s">
        <v>65</v>
      </c>
      <c r="AE577" t="s">
        <v>49</v>
      </c>
      <c r="AF577" s="3">
        <v>799</v>
      </c>
      <c r="AG577" s="3">
        <v>95</v>
      </c>
      <c r="AH577">
        <v>80</v>
      </c>
      <c r="AI577">
        <v>3</v>
      </c>
      <c r="AJ577">
        <v>0</v>
      </c>
      <c r="AL577">
        <v>0</v>
      </c>
      <c r="AM577">
        <v>1</v>
      </c>
      <c r="AN577" t="s">
        <v>768</v>
      </c>
      <c r="AO577" t="s">
        <v>41</v>
      </c>
    </row>
    <row r="578" spans="1:41" x14ac:dyDescent="0.25">
      <c r="A578">
        <v>35</v>
      </c>
      <c r="B578" t="s">
        <v>32</v>
      </c>
      <c r="C578" t="s">
        <v>33</v>
      </c>
      <c r="D578">
        <v>1</v>
      </c>
      <c r="E578" t="s">
        <v>61</v>
      </c>
      <c r="F578">
        <v>1</v>
      </c>
      <c r="G578">
        <v>1</v>
      </c>
      <c r="H578" t="s">
        <v>44</v>
      </c>
      <c r="I578">
        <v>4</v>
      </c>
      <c r="J578" t="s">
        <v>51</v>
      </c>
      <c r="K578">
        <v>2977</v>
      </c>
      <c r="L578">
        <v>1</v>
      </c>
      <c r="M578" t="s">
        <v>41</v>
      </c>
      <c r="N578">
        <v>12</v>
      </c>
      <c r="O578">
        <v>3</v>
      </c>
      <c r="P578">
        <v>1</v>
      </c>
      <c r="Q578">
        <v>4</v>
      </c>
      <c r="R578">
        <v>5</v>
      </c>
      <c r="S578">
        <v>4</v>
      </c>
      <c r="T578">
        <v>1</v>
      </c>
      <c r="U578">
        <v>1</v>
      </c>
      <c r="V578" t="s">
        <v>37</v>
      </c>
      <c r="W578" s="1" t="s">
        <v>306</v>
      </c>
      <c r="Y578" t="s">
        <v>46</v>
      </c>
      <c r="Z578" t="s">
        <v>47</v>
      </c>
      <c r="AA578">
        <v>4</v>
      </c>
      <c r="AB578">
        <v>0</v>
      </c>
      <c r="AC578" t="s">
        <v>31</v>
      </c>
      <c r="AD578" t="s">
        <v>48</v>
      </c>
      <c r="AE578" t="s">
        <v>49</v>
      </c>
      <c r="AF578" s="3">
        <v>800</v>
      </c>
      <c r="AG578" s="3">
        <v>84</v>
      </c>
      <c r="AH578">
        <v>80</v>
      </c>
      <c r="AI578">
        <v>2</v>
      </c>
      <c r="AJ578">
        <v>0</v>
      </c>
      <c r="AL578">
        <v>0</v>
      </c>
      <c r="AM578">
        <v>1</v>
      </c>
      <c r="AN578" t="s">
        <v>768</v>
      </c>
      <c r="AO578" t="s">
        <v>41</v>
      </c>
    </row>
    <row r="579" spans="1:41" x14ac:dyDescent="0.25">
      <c r="A579">
        <v>29</v>
      </c>
      <c r="B579" t="s">
        <v>32</v>
      </c>
      <c r="C579" t="s">
        <v>33</v>
      </c>
      <c r="D579">
        <v>13</v>
      </c>
      <c r="E579" t="s">
        <v>34</v>
      </c>
      <c r="F579">
        <v>2</v>
      </c>
      <c r="G579">
        <v>2</v>
      </c>
      <c r="H579" t="s">
        <v>35</v>
      </c>
      <c r="I579">
        <v>2</v>
      </c>
      <c r="J579" t="s">
        <v>51</v>
      </c>
      <c r="K579">
        <v>4025</v>
      </c>
      <c r="L579">
        <v>4</v>
      </c>
      <c r="M579" t="s">
        <v>31</v>
      </c>
      <c r="N579">
        <v>13</v>
      </c>
      <c r="O579">
        <v>3</v>
      </c>
      <c r="P579">
        <v>1</v>
      </c>
      <c r="Q579">
        <v>10</v>
      </c>
      <c r="R579">
        <v>2</v>
      </c>
      <c r="S579">
        <v>4</v>
      </c>
      <c r="T579">
        <v>0</v>
      </c>
      <c r="U579">
        <v>3</v>
      </c>
      <c r="V579" t="s">
        <v>72</v>
      </c>
      <c r="W579" s="1" t="s">
        <v>301</v>
      </c>
      <c r="Y579" t="s">
        <v>46</v>
      </c>
      <c r="Z579" t="s">
        <v>40</v>
      </c>
      <c r="AA579">
        <v>5</v>
      </c>
      <c r="AB579">
        <v>2</v>
      </c>
      <c r="AC579" t="s">
        <v>41</v>
      </c>
      <c r="AD579" t="s">
        <v>65</v>
      </c>
      <c r="AE579" t="s">
        <v>60</v>
      </c>
      <c r="AF579" s="3">
        <v>802</v>
      </c>
      <c r="AG579" s="3">
        <v>82</v>
      </c>
      <c r="AH579">
        <v>80</v>
      </c>
      <c r="AI579">
        <v>3</v>
      </c>
      <c r="AJ579">
        <v>0</v>
      </c>
      <c r="AL579">
        <v>0</v>
      </c>
      <c r="AM579">
        <v>1</v>
      </c>
      <c r="AN579" t="s">
        <v>768</v>
      </c>
      <c r="AO579" t="s">
        <v>41</v>
      </c>
    </row>
    <row r="580" spans="1:41" x14ac:dyDescent="0.25">
      <c r="A580">
        <v>26</v>
      </c>
      <c r="B580" t="s">
        <v>32</v>
      </c>
      <c r="C580" t="s">
        <v>55</v>
      </c>
      <c r="D580">
        <v>5</v>
      </c>
      <c r="E580" t="s">
        <v>61</v>
      </c>
      <c r="F580">
        <v>2</v>
      </c>
      <c r="G580">
        <v>1</v>
      </c>
      <c r="H580" t="s">
        <v>56</v>
      </c>
      <c r="I580">
        <v>3</v>
      </c>
      <c r="J580" t="s">
        <v>36</v>
      </c>
      <c r="K580">
        <v>2966</v>
      </c>
      <c r="L580">
        <v>0</v>
      </c>
      <c r="M580" t="s">
        <v>41</v>
      </c>
      <c r="N580">
        <v>18</v>
      </c>
      <c r="O580">
        <v>3</v>
      </c>
      <c r="P580">
        <v>0</v>
      </c>
      <c r="Q580">
        <v>5</v>
      </c>
      <c r="R580">
        <v>2</v>
      </c>
      <c r="S580">
        <v>4</v>
      </c>
      <c r="T580">
        <v>0</v>
      </c>
      <c r="U580">
        <v>0</v>
      </c>
      <c r="V580" t="s">
        <v>58</v>
      </c>
      <c r="W580" s="2">
        <v>42737</v>
      </c>
      <c r="Y580" t="s">
        <v>69</v>
      </c>
      <c r="Z580" t="s">
        <v>47</v>
      </c>
      <c r="AA580">
        <v>4</v>
      </c>
      <c r="AB580">
        <v>2</v>
      </c>
      <c r="AC580" t="s">
        <v>31</v>
      </c>
      <c r="AD580" t="s">
        <v>48</v>
      </c>
      <c r="AE580" t="s">
        <v>60</v>
      </c>
      <c r="AF580" s="3">
        <v>803</v>
      </c>
      <c r="AG580" s="3">
        <v>75</v>
      </c>
      <c r="AH580">
        <v>80</v>
      </c>
      <c r="AI580">
        <v>7</v>
      </c>
      <c r="AJ580">
        <v>0</v>
      </c>
      <c r="AL580">
        <v>0</v>
      </c>
      <c r="AM580">
        <v>1</v>
      </c>
      <c r="AN580" t="s">
        <v>768</v>
      </c>
      <c r="AO580" t="s">
        <v>41</v>
      </c>
    </row>
    <row r="581" spans="1:41" x14ac:dyDescent="0.25">
      <c r="A581">
        <v>34</v>
      </c>
      <c r="B581" t="s">
        <v>32</v>
      </c>
      <c r="C581" t="s">
        <v>33</v>
      </c>
      <c r="D581">
        <v>8</v>
      </c>
      <c r="E581" t="s">
        <v>34</v>
      </c>
      <c r="F581">
        <v>4</v>
      </c>
      <c r="G581">
        <v>2</v>
      </c>
      <c r="H581" t="s">
        <v>35</v>
      </c>
      <c r="I581">
        <v>3</v>
      </c>
      <c r="J581" t="s">
        <v>51</v>
      </c>
      <c r="K581">
        <v>4404</v>
      </c>
      <c r="L581">
        <v>2</v>
      </c>
      <c r="M581" t="s">
        <v>41</v>
      </c>
      <c r="N581">
        <v>12</v>
      </c>
      <c r="O581">
        <v>3</v>
      </c>
      <c r="P581">
        <v>0</v>
      </c>
      <c r="Q581">
        <v>6</v>
      </c>
      <c r="R581">
        <v>3</v>
      </c>
      <c r="S581">
        <v>4</v>
      </c>
      <c r="T581">
        <v>1</v>
      </c>
      <c r="U581">
        <v>2</v>
      </c>
      <c r="V581" t="s">
        <v>37</v>
      </c>
      <c r="W581" s="1" t="s">
        <v>315</v>
      </c>
      <c r="Y581" t="s">
        <v>46</v>
      </c>
      <c r="Z581" t="s">
        <v>40</v>
      </c>
      <c r="AA581">
        <v>5</v>
      </c>
      <c r="AB581">
        <v>3</v>
      </c>
      <c r="AC581" t="s">
        <v>41</v>
      </c>
      <c r="AD581" t="s">
        <v>67</v>
      </c>
      <c r="AE581" t="s">
        <v>49</v>
      </c>
      <c r="AF581" s="3">
        <v>804</v>
      </c>
      <c r="AG581" s="3">
        <v>86</v>
      </c>
      <c r="AH581">
        <v>80</v>
      </c>
      <c r="AI581">
        <v>5</v>
      </c>
      <c r="AJ581">
        <v>0</v>
      </c>
      <c r="AL581">
        <v>0</v>
      </c>
      <c r="AM581">
        <v>1</v>
      </c>
      <c r="AN581" t="s">
        <v>768</v>
      </c>
      <c r="AO581" t="s">
        <v>41</v>
      </c>
    </row>
    <row r="582" spans="1:41" x14ac:dyDescent="0.25">
      <c r="A582">
        <v>35</v>
      </c>
      <c r="B582" t="s">
        <v>32</v>
      </c>
      <c r="C582" t="s">
        <v>33</v>
      </c>
      <c r="D582">
        <v>16</v>
      </c>
      <c r="E582" t="s">
        <v>34</v>
      </c>
      <c r="F582">
        <v>4</v>
      </c>
      <c r="G582">
        <v>1</v>
      </c>
      <c r="H582" t="s">
        <v>35</v>
      </c>
      <c r="I582">
        <v>2</v>
      </c>
      <c r="J582" t="s">
        <v>51</v>
      </c>
      <c r="K582">
        <v>2426</v>
      </c>
      <c r="L582">
        <v>0</v>
      </c>
      <c r="M582" t="s">
        <v>41</v>
      </c>
      <c r="N582">
        <v>13</v>
      </c>
      <c r="O582">
        <v>3</v>
      </c>
      <c r="P582">
        <v>1</v>
      </c>
      <c r="Q582">
        <v>6</v>
      </c>
      <c r="R582">
        <v>5</v>
      </c>
      <c r="S582">
        <v>5</v>
      </c>
      <c r="T582">
        <v>0</v>
      </c>
      <c r="U582">
        <v>3</v>
      </c>
      <c r="V582" t="s">
        <v>58</v>
      </c>
      <c r="W582" s="1" t="s">
        <v>316</v>
      </c>
      <c r="Y582" t="s">
        <v>54</v>
      </c>
      <c r="Z582" t="s">
        <v>40</v>
      </c>
      <c r="AA582">
        <v>1</v>
      </c>
      <c r="AB582">
        <v>3</v>
      </c>
      <c r="AC582" t="s">
        <v>31</v>
      </c>
      <c r="AD582" t="s">
        <v>65</v>
      </c>
      <c r="AE582" t="s">
        <v>43</v>
      </c>
      <c r="AF582" s="3">
        <v>805</v>
      </c>
      <c r="AG582" s="3">
        <v>72</v>
      </c>
      <c r="AH582">
        <v>80</v>
      </c>
      <c r="AI582">
        <v>2</v>
      </c>
      <c r="AJ582">
        <v>0</v>
      </c>
      <c r="AL582">
        <v>0</v>
      </c>
      <c r="AM582">
        <v>1</v>
      </c>
      <c r="AN582" t="s">
        <v>768</v>
      </c>
      <c r="AO582" t="s">
        <v>41</v>
      </c>
    </row>
    <row r="583" spans="1:41" x14ac:dyDescent="0.25">
      <c r="A583">
        <v>31</v>
      </c>
      <c r="B583" t="s">
        <v>32</v>
      </c>
      <c r="C583" t="s">
        <v>33</v>
      </c>
      <c r="D583">
        <v>26</v>
      </c>
      <c r="E583" t="s">
        <v>34</v>
      </c>
      <c r="F583">
        <v>3</v>
      </c>
      <c r="G583">
        <v>1</v>
      </c>
      <c r="H583" t="s">
        <v>44</v>
      </c>
      <c r="I583">
        <v>3</v>
      </c>
      <c r="J583" t="s">
        <v>57</v>
      </c>
      <c r="K583">
        <v>2911</v>
      </c>
      <c r="L583">
        <v>1</v>
      </c>
      <c r="M583" t="s">
        <v>41</v>
      </c>
      <c r="N583">
        <v>17</v>
      </c>
      <c r="O583">
        <v>3</v>
      </c>
      <c r="P583">
        <v>1</v>
      </c>
      <c r="Q583">
        <v>5</v>
      </c>
      <c r="R583">
        <v>1</v>
      </c>
      <c r="S583">
        <v>5</v>
      </c>
      <c r="T583">
        <v>4</v>
      </c>
      <c r="U583">
        <v>3</v>
      </c>
      <c r="V583" t="s">
        <v>58</v>
      </c>
      <c r="W583" s="1" t="s">
        <v>317</v>
      </c>
      <c r="Y583" t="s">
        <v>39</v>
      </c>
      <c r="Z583" t="s">
        <v>47</v>
      </c>
      <c r="AA583">
        <v>3</v>
      </c>
      <c r="AB583">
        <v>2</v>
      </c>
      <c r="AC583" t="s">
        <v>31</v>
      </c>
      <c r="AD583" t="s">
        <v>67</v>
      </c>
      <c r="AE583" t="s">
        <v>43</v>
      </c>
      <c r="AF583" s="3">
        <v>806</v>
      </c>
      <c r="AG583" s="3">
        <v>38</v>
      </c>
      <c r="AH583">
        <v>80</v>
      </c>
      <c r="AI583">
        <v>2</v>
      </c>
      <c r="AJ583">
        <v>0</v>
      </c>
      <c r="AL583">
        <v>0</v>
      </c>
      <c r="AM583">
        <v>1</v>
      </c>
      <c r="AN583" t="s">
        <v>768</v>
      </c>
      <c r="AO583" t="s">
        <v>41</v>
      </c>
    </row>
    <row r="584" spans="1:41" x14ac:dyDescent="0.25">
      <c r="A584">
        <v>36</v>
      </c>
      <c r="B584" t="s">
        <v>32</v>
      </c>
      <c r="C584" t="s">
        <v>55</v>
      </c>
      <c r="D584">
        <v>9</v>
      </c>
      <c r="E584" t="s">
        <v>34</v>
      </c>
      <c r="F584">
        <v>2</v>
      </c>
      <c r="G584">
        <v>1</v>
      </c>
      <c r="H584" t="s">
        <v>56</v>
      </c>
      <c r="I584">
        <v>1</v>
      </c>
      <c r="J584" t="s">
        <v>36</v>
      </c>
      <c r="K584">
        <v>3407</v>
      </c>
      <c r="L584">
        <v>7</v>
      </c>
      <c r="M584" t="s">
        <v>41</v>
      </c>
      <c r="N584">
        <v>23</v>
      </c>
      <c r="O584">
        <v>4</v>
      </c>
      <c r="P584">
        <v>0</v>
      </c>
      <c r="Q584">
        <v>10</v>
      </c>
      <c r="R584">
        <v>4</v>
      </c>
      <c r="S584">
        <v>5</v>
      </c>
      <c r="T584">
        <v>0</v>
      </c>
      <c r="U584">
        <v>3</v>
      </c>
      <c r="V584" t="s">
        <v>58</v>
      </c>
      <c r="W584" s="1" t="s">
        <v>318</v>
      </c>
      <c r="Y584" t="s">
        <v>54</v>
      </c>
      <c r="Z584" t="s">
        <v>47</v>
      </c>
      <c r="AA584">
        <v>3</v>
      </c>
      <c r="AB584">
        <v>2</v>
      </c>
      <c r="AC584" t="s">
        <v>41</v>
      </c>
      <c r="AD584" t="s">
        <v>48</v>
      </c>
      <c r="AE584" t="s">
        <v>43</v>
      </c>
      <c r="AF584" s="3">
        <v>807</v>
      </c>
      <c r="AG584" s="3">
        <v>38</v>
      </c>
      <c r="AH584">
        <v>80</v>
      </c>
      <c r="AI584">
        <v>7</v>
      </c>
      <c r="AJ584">
        <v>0</v>
      </c>
      <c r="AL584">
        <v>0</v>
      </c>
      <c r="AM584">
        <v>1</v>
      </c>
      <c r="AN584" t="s">
        <v>768</v>
      </c>
      <c r="AO584" t="s">
        <v>41</v>
      </c>
    </row>
    <row r="585" spans="1:41" x14ac:dyDescent="0.25">
      <c r="A585">
        <v>43</v>
      </c>
      <c r="B585" t="s">
        <v>32</v>
      </c>
      <c r="C585" t="s">
        <v>33</v>
      </c>
      <c r="D585">
        <v>2</v>
      </c>
      <c r="E585" t="s">
        <v>61</v>
      </c>
      <c r="F585">
        <v>4</v>
      </c>
      <c r="G585">
        <v>1</v>
      </c>
      <c r="H585" t="s">
        <v>44</v>
      </c>
      <c r="I585">
        <v>3</v>
      </c>
      <c r="J585" t="s">
        <v>57</v>
      </c>
      <c r="K585">
        <v>2645</v>
      </c>
      <c r="L585">
        <v>1</v>
      </c>
      <c r="M585" t="s">
        <v>41</v>
      </c>
      <c r="N585">
        <v>12</v>
      </c>
      <c r="O585">
        <v>3</v>
      </c>
      <c r="P585">
        <v>2</v>
      </c>
      <c r="Q585">
        <v>6</v>
      </c>
      <c r="R585">
        <v>3</v>
      </c>
      <c r="S585">
        <v>5</v>
      </c>
      <c r="T585">
        <v>1</v>
      </c>
      <c r="U585">
        <v>4</v>
      </c>
      <c r="V585" t="s">
        <v>72</v>
      </c>
      <c r="W585" s="2">
        <v>42614</v>
      </c>
      <c r="Y585" t="s">
        <v>54</v>
      </c>
      <c r="Z585" t="s">
        <v>40</v>
      </c>
      <c r="AA585">
        <v>0</v>
      </c>
      <c r="AB585">
        <v>0</v>
      </c>
      <c r="AC585" t="s">
        <v>31</v>
      </c>
      <c r="AD585" t="s">
        <v>67</v>
      </c>
      <c r="AE585" t="s">
        <v>60</v>
      </c>
      <c r="AF585" s="3">
        <v>808</v>
      </c>
      <c r="AG585" s="3">
        <v>93</v>
      </c>
      <c r="AH585">
        <v>80</v>
      </c>
      <c r="AI585">
        <v>2</v>
      </c>
      <c r="AJ585">
        <v>0</v>
      </c>
      <c r="AL585">
        <v>0</v>
      </c>
      <c r="AM585">
        <v>1</v>
      </c>
      <c r="AN585" t="s">
        <v>768</v>
      </c>
      <c r="AO585" t="s">
        <v>41</v>
      </c>
    </row>
    <row r="586" spans="1:41" x14ac:dyDescent="0.25">
      <c r="A586">
        <v>33</v>
      </c>
      <c r="B586" t="s">
        <v>66</v>
      </c>
      <c r="C586" t="s">
        <v>55</v>
      </c>
      <c r="D586">
        <v>1</v>
      </c>
      <c r="E586" t="s">
        <v>61</v>
      </c>
      <c r="F586">
        <v>4</v>
      </c>
      <c r="G586">
        <v>2</v>
      </c>
      <c r="H586" t="s">
        <v>70</v>
      </c>
      <c r="I586">
        <v>1</v>
      </c>
      <c r="J586" t="s">
        <v>51</v>
      </c>
      <c r="K586">
        <v>5376</v>
      </c>
      <c r="L586">
        <v>2</v>
      </c>
      <c r="M586" t="s">
        <v>41</v>
      </c>
      <c r="N586">
        <v>19</v>
      </c>
      <c r="O586">
        <v>3</v>
      </c>
      <c r="P586">
        <v>2</v>
      </c>
      <c r="Q586">
        <v>10</v>
      </c>
      <c r="R586">
        <v>3</v>
      </c>
      <c r="S586">
        <v>5</v>
      </c>
      <c r="T586">
        <v>1</v>
      </c>
      <c r="U586">
        <v>3</v>
      </c>
      <c r="V586" t="s">
        <v>37</v>
      </c>
      <c r="W586" s="1" t="s">
        <v>319</v>
      </c>
      <c r="Y586" t="s">
        <v>63</v>
      </c>
      <c r="Z586" t="s">
        <v>47</v>
      </c>
      <c r="AA586">
        <v>4</v>
      </c>
      <c r="AB586">
        <v>3</v>
      </c>
      <c r="AC586" t="s">
        <v>41</v>
      </c>
      <c r="AD586" t="s">
        <v>48</v>
      </c>
      <c r="AE586" t="s">
        <v>60</v>
      </c>
      <c r="AF586" s="3">
        <v>809</v>
      </c>
      <c r="AG586" s="3">
        <v>66</v>
      </c>
      <c r="AH586">
        <v>80</v>
      </c>
      <c r="AI586">
        <v>7</v>
      </c>
      <c r="AJ586">
        <v>0</v>
      </c>
      <c r="AL586">
        <v>0</v>
      </c>
      <c r="AM586">
        <v>1</v>
      </c>
      <c r="AN586" t="s">
        <v>768</v>
      </c>
      <c r="AO586" t="s">
        <v>41</v>
      </c>
    </row>
    <row r="587" spans="1:41" x14ac:dyDescent="0.25">
      <c r="A587">
        <v>55</v>
      </c>
      <c r="B587" t="s">
        <v>32</v>
      </c>
      <c r="C587" t="s">
        <v>33</v>
      </c>
      <c r="D587">
        <v>8</v>
      </c>
      <c r="E587" t="s">
        <v>61</v>
      </c>
      <c r="F587">
        <v>3</v>
      </c>
      <c r="G587">
        <v>4</v>
      </c>
      <c r="H587" t="s">
        <v>75</v>
      </c>
      <c r="I587">
        <v>3</v>
      </c>
      <c r="J587" t="s">
        <v>57</v>
      </c>
      <c r="K587">
        <v>14756</v>
      </c>
      <c r="L587">
        <v>2</v>
      </c>
      <c r="M587" t="s">
        <v>31</v>
      </c>
      <c r="N587">
        <v>14</v>
      </c>
      <c r="O587">
        <v>3</v>
      </c>
      <c r="P587">
        <v>3</v>
      </c>
      <c r="Q587">
        <v>21</v>
      </c>
      <c r="R587">
        <v>2</v>
      </c>
      <c r="S587">
        <v>5</v>
      </c>
      <c r="T587">
        <v>0</v>
      </c>
      <c r="U587">
        <v>2</v>
      </c>
      <c r="V587" t="s">
        <v>58</v>
      </c>
      <c r="W587" s="2">
        <v>42675</v>
      </c>
      <c r="Y587" t="s">
        <v>39</v>
      </c>
      <c r="Z587" t="s">
        <v>47</v>
      </c>
      <c r="AA587">
        <v>5</v>
      </c>
      <c r="AB587">
        <v>3</v>
      </c>
      <c r="AC587" t="s">
        <v>41</v>
      </c>
      <c r="AD587" t="s">
        <v>42</v>
      </c>
      <c r="AE587" t="s">
        <v>60</v>
      </c>
      <c r="AF587" s="3">
        <v>811</v>
      </c>
      <c r="AG587" s="3">
        <v>63</v>
      </c>
      <c r="AH587">
        <v>80</v>
      </c>
      <c r="AI587">
        <v>0</v>
      </c>
      <c r="AJ587">
        <v>1</v>
      </c>
      <c r="AK587">
        <v>1</v>
      </c>
      <c r="AL587">
        <v>1</v>
      </c>
      <c r="AM587">
        <v>0</v>
      </c>
      <c r="AN587" t="s">
        <v>767</v>
      </c>
      <c r="AO587" t="s">
        <v>31</v>
      </c>
    </row>
    <row r="588" spans="1:41" x14ac:dyDescent="0.25">
      <c r="A588">
        <v>29</v>
      </c>
      <c r="B588" t="s">
        <v>32</v>
      </c>
      <c r="C588" t="s">
        <v>33</v>
      </c>
      <c r="D588">
        <v>2</v>
      </c>
      <c r="E588" t="s">
        <v>34</v>
      </c>
      <c r="F588">
        <v>3</v>
      </c>
      <c r="G588">
        <v>1</v>
      </c>
      <c r="H588" t="s">
        <v>44</v>
      </c>
      <c r="I588">
        <v>2</v>
      </c>
      <c r="J588" t="s">
        <v>51</v>
      </c>
      <c r="K588">
        <v>2703</v>
      </c>
      <c r="L588">
        <v>0</v>
      </c>
      <c r="M588" t="s">
        <v>41</v>
      </c>
      <c r="N588">
        <v>23</v>
      </c>
      <c r="O588">
        <v>4</v>
      </c>
      <c r="P588">
        <v>1</v>
      </c>
      <c r="Q588">
        <v>6</v>
      </c>
      <c r="R588">
        <v>3</v>
      </c>
      <c r="S588">
        <v>5</v>
      </c>
      <c r="T588">
        <v>0</v>
      </c>
      <c r="U588">
        <v>4</v>
      </c>
      <c r="V588" t="s">
        <v>37</v>
      </c>
      <c r="W588" s="1" t="s">
        <v>320</v>
      </c>
      <c r="Y588" t="s">
        <v>46</v>
      </c>
      <c r="Z588" t="s">
        <v>40</v>
      </c>
      <c r="AA588">
        <v>0</v>
      </c>
      <c r="AB588">
        <v>3</v>
      </c>
      <c r="AC588" t="s">
        <v>31</v>
      </c>
      <c r="AD588" t="s">
        <v>67</v>
      </c>
      <c r="AE588" t="s">
        <v>49</v>
      </c>
      <c r="AF588" s="3">
        <v>812</v>
      </c>
      <c r="AG588" s="3">
        <v>60</v>
      </c>
      <c r="AH588">
        <v>80</v>
      </c>
      <c r="AI588">
        <v>0</v>
      </c>
      <c r="AJ588">
        <v>0</v>
      </c>
      <c r="AL588">
        <v>0</v>
      </c>
      <c r="AM588">
        <v>1</v>
      </c>
      <c r="AN588" t="s">
        <v>768</v>
      </c>
      <c r="AO588" t="s">
        <v>41</v>
      </c>
    </row>
    <row r="589" spans="1:41" x14ac:dyDescent="0.25">
      <c r="A589">
        <v>37</v>
      </c>
      <c r="B589" t="s">
        <v>32</v>
      </c>
      <c r="C589" t="s">
        <v>33</v>
      </c>
      <c r="D589">
        <v>7</v>
      </c>
      <c r="E589" t="s">
        <v>34</v>
      </c>
      <c r="F589">
        <v>3</v>
      </c>
      <c r="G589">
        <v>3</v>
      </c>
      <c r="H589" t="s">
        <v>50</v>
      </c>
      <c r="I589">
        <v>3</v>
      </c>
      <c r="J589" t="s">
        <v>36</v>
      </c>
      <c r="K589">
        <v>13664</v>
      </c>
      <c r="L589">
        <v>4</v>
      </c>
      <c r="M589" t="s">
        <v>41</v>
      </c>
      <c r="N589">
        <v>13</v>
      </c>
      <c r="O589">
        <v>3</v>
      </c>
      <c r="P589">
        <v>0</v>
      </c>
      <c r="Q589">
        <v>16</v>
      </c>
      <c r="R589">
        <v>3</v>
      </c>
      <c r="S589">
        <v>5</v>
      </c>
      <c r="T589">
        <v>0</v>
      </c>
      <c r="U589">
        <v>2</v>
      </c>
      <c r="V589" t="s">
        <v>37</v>
      </c>
      <c r="W589" s="1" t="s">
        <v>321</v>
      </c>
      <c r="Y589" t="s">
        <v>46</v>
      </c>
      <c r="Z589" t="s">
        <v>47</v>
      </c>
      <c r="AA589">
        <v>3</v>
      </c>
      <c r="AB589">
        <v>0</v>
      </c>
      <c r="AC589" t="s">
        <v>31</v>
      </c>
      <c r="AD589" t="s">
        <v>48</v>
      </c>
      <c r="AE589" t="s">
        <v>43</v>
      </c>
      <c r="AF589" s="3">
        <v>813</v>
      </c>
      <c r="AG589" s="3">
        <v>82</v>
      </c>
      <c r="AH589">
        <v>80</v>
      </c>
      <c r="AI589">
        <v>2</v>
      </c>
      <c r="AJ589">
        <v>0</v>
      </c>
      <c r="AL589">
        <v>0</v>
      </c>
      <c r="AM589">
        <v>1</v>
      </c>
      <c r="AN589" t="s">
        <v>768</v>
      </c>
      <c r="AO589" t="s">
        <v>41</v>
      </c>
    </row>
    <row r="590" spans="1:41" x14ac:dyDescent="0.25">
      <c r="A590">
        <v>34</v>
      </c>
      <c r="B590" t="s">
        <v>32</v>
      </c>
      <c r="C590" t="s">
        <v>33</v>
      </c>
      <c r="D590">
        <v>1</v>
      </c>
      <c r="E590" t="s">
        <v>34</v>
      </c>
      <c r="F590">
        <v>3</v>
      </c>
      <c r="G590">
        <v>2</v>
      </c>
      <c r="H590" t="s">
        <v>78</v>
      </c>
      <c r="I590">
        <v>2</v>
      </c>
      <c r="J590" t="s">
        <v>51</v>
      </c>
      <c r="K590">
        <v>4325</v>
      </c>
      <c r="L590">
        <v>1</v>
      </c>
      <c r="M590" t="s">
        <v>41</v>
      </c>
      <c r="N590">
        <v>15</v>
      </c>
      <c r="O590">
        <v>3</v>
      </c>
      <c r="P590">
        <v>0</v>
      </c>
      <c r="Q590">
        <v>5</v>
      </c>
      <c r="R590">
        <v>2</v>
      </c>
      <c r="S590">
        <v>5</v>
      </c>
      <c r="T590">
        <v>1</v>
      </c>
      <c r="U590">
        <v>3</v>
      </c>
      <c r="V590" t="s">
        <v>37</v>
      </c>
      <c r="W590" s="1" t="s">
        <v>322</v>
      </c>
      <c r="Y590" t="s">
        <v>69</v>
      </c>
      <c r="Z590" t="s">
        <v>40</v>
      </c>
      <c r="AA590">
        <v>1</v>
      </c>
      <c r="AB590">
        <v>1</v>
      </c>
      <c r="AC590" t="s">
        <v>41</v>
      </c>
      <c r="AD590" t="s">
        <v>42</v>
      </c>
      <c r="AE590" t="s">
        <v>49</v>
      </c>
      <c r="AF590" s="3">
        <v>815</v>
      </c>
      <c r="AG590" s="3">
        <v>64</v>
      </c>
      <c r="AH590">
        <v>80</v>
      </c>
      <c r="AI590">
        <v>3</v>
      </c>
      <c r="AJ590">
        <v>0</v>
      </c>
      <c r="AL590">
        <v>0</v>
      </c>
      <c r="AM590">
        <v>1</v>
      </c>
      <c r="AN590" t="s">
        <v>768</v>
      </c>
      <c r="AO590" t="s">
        <v>41</v>
      </c>
    </row>
    <row r="591" spans="1:41" x14ac:dyDescent="0.25">
      <c r="A591">
        <v>28</v>
      </c>
      <c r="B591" t="s">
        <v>81</v>
      </c>
      <c r="C591" t="s">
        <v>55</v>
      </c>
      <c r="D591">
        <v>4</v>
      </c>
      <c r="E591" t="s">
        <v>34</v>
      </c>
      <c r="F591">
        <v>3</v>
      </c>
      <c r="G591">
        <v>2</v>
      </c>
      <c r="H591" t="s">
        <v>70</v>
      </c>
      <c r="I591">
        <v>3</v>
      </c>
      <c r="J591" t="s">
        <v>51</v>
      </c>
      <c r="K591">
        <v>4221</v>
      </c>
      <c r="L591">
        <v>1</v>
      </c>
      <c r="M591" t="s">
        <v>41</v>
      </c>
      <c r="N591">
        <v>15</v>
      </c>
      <c r="O591">
        <v>3</v>
      </c>
      <c r="P591">
        <v>0</v>
      </c>
      <c r="Q591">
        <v>5</v>
      </c>
      <c r="R591">
        <v>3</v>
      </c>
      <c r="S591">
        <v>5</v>
      </c>
      <c r="T591">
        <v>0</v>
      </c>
      <c r="U591">
        <v>4</v>
      </c>
      <c r="V591" t="s">
        <v>58</v>
      </c>
      <c r="W591" s="1" t="s">
        <v>323</v>
      </c>
      <c r="Y591" t="s">
        <v>54</v>
      </c>
      <c r="Z591" t="s">
        <v>40</v>
      </c>
      <c r="AA591">
        <v>2</v>
      </c>
      <c r="AB591">
        <v>1</v>
      </c>
      <c r="AC591" t="s">
        <v>41</v>
      </c>
      <c r="AD591" t="s">
        <v>42</v>
      </c>
      <c r="AE591" t="s">
        <v>49</v>
      </c>
      <c r="AF591" s="3">
        <v>816</v>
      </c>
      <c r="AG591" s="3">
        <v>36</v>
      </c>
      <c r="AH591">
        <v>80</v>
      </c>
      <c r="AI591">
        <v>0</v>
      </c>
      <c r="AJ591">
        <v>1</v>
      </c>
      <c r="AK591">
        <v>1</v>
      </c>
      <c r="AL591">
        <v>1</v>
      </c>
      <c r="AM591">
        <v>0</v>
      </c>
      <c r="AN591" t="s">
        <v>767</v>
      </c>
      <c r="AO591" t="s">
        <v>31</v>
      </c>
    </row>
    <row r="592" spans="1:41" x14ac:dyDescent="0.25">
      <c r="A592">
        <v>54</v>
      </c>
      <c r="B592" t="s">
        <v>81</v>
      </c>
      <c r="C592" t="s">
        <v>120</v>
      </c>
      <c r="D592">
        <v>26</v>
      </c>
      <c r="E592" t="s">
        <v>61</v>
      </c>
      <c r="F592">
        <v>4</v>
      </c>
      <c r="G592">
        <v>4</v>
      </c>
      <c r="H592" t="s">
        <v>75</v>
      </c>
      <c r="I592">
        <v>4</v>
      </c>
      <c r="J592" t="s">
        <v>36</v>
      </c>
      <c r="K592">
        <v>17328</v>
      </c>
      <c r="L592">
        <v>2</v>
      </c>
      <c r="M592" t="s">
        <v>31</v>
      </c>
      <c r="N592">
        <v>12</v>
      </c>
      <c r="O592">
        <v>3</v>
      </c>
      <c r="P592">
        <v>0</v>
      </c>
      <c r="Q592">
        <v>23</v>
      </c>
      <c r="R592">
        <v>3</v>
      </c>
      <c r="S592">
        <v>5</v>
      </c>
      <c r="T592">
        <v>4</v>
      </c>
      <c r="U592">
        <v>4</v>
      </c>
      <c r="V592" t="s">
        <v>58</v>
      </c>
      <c r="W592" s="1" t="s">
        <v>324</v>
      </c>
      <c r="Y592" t="s">
        <v>39</v>
      </c>
      <c r="Z592" t="s">
        <v>40</v>
      </c>
      <c r="AA592">
        <v>1</v>
      </c>
      <c r="AB592">
        <v>3</v>
      </c>
      <c r="AC592" t="s">
        <v>41</v>
      </c>
      <c r="AD592" t="s">
        <v>42</v>
      </c>
      <c r="AE592" t="s">
        <v>49</v>
      </c>
      <c r="AF592" s="3">
        <v>817</v>
      </c>
      <c r="AG592" s="3">
        <v>49</v>
      </c>
      <c r="AH592">
        <v>80</v>
      </c>
      <c r="AI592">
        <v>9</v>
      </c>
      <c r="AJ592">
        <v>0</v>
      </c>
      <c r="AL592">
        <v>0</v>
      </c>
      <c r="AM592">
        <v>1</v>
      </c>
      <c r="AN592" t="s">
        <v>768</v>
      </c>
      <c r="AO592" t="s">
        <v>41</v>
      </c>
    </row>
    <row r="593" spans="1:41" x14ac:dyDescent="0.25">
      <c r="A593">
        <v>24</v>
      </c>
      <c r="B593" t="s">
        <v>32</v>
      </c>
      <c r="C593" t="s">
        <v>33</v>
      </c>
      <c r="D593">
        <v>18</v>
      </c>
      <c r="E593" t="s">
        <v>34</v>
      </c>
      <c r="F593">
        <v>3</v>
      </c>
      <c r="G593">
        <v>1</v>
      </c>
      <c r="H593" t="s">
        <v>35</v>
      </c>
      <c r="I593">
        <v>3</v>
      </c>
      <c r="J593" t="s">
        <v>51</v>
      </c>
      <c r="K593">
        <v>2774</v>
      </c>
      <c r="L593">
        <v>0</v>
      </c>
      <c r="M593" t="s">
        <v>41</v>
      </c>
      <c r="N593">
        <v>12</v>
      </c>
      <c r="O593">
        <v>3</v>
      </c>
      <c r="P593">
        <v>1</v>
      </c>
      <c r="Q593">
        <v>6</v>
      </c>
      <c r="R593">
        <v>2</v>
      </c>
      <c r="S593">
        <v>5</v>
      </c>
      <c r="T593">
        <v>1</v>
      </c>
      <c r="U593">
        <v>2</v>
      </c>
      <c r="V593" t="s">
        <v>52</v>
      </c>
      <c r="W593" s="2">
        <v>42587</v>
      </c>
      <c r="Y593" t="s">
        <v>69</v>
      </c>
      <c r="Z593" t="s">
        <v>40</v>
      </c>
      <c r="AA593">
        <v>3</v>
      </c>
      <c r="AB593">
        <v>0</v>
      </c>
      <c r="AC593" t="s">
        <v>31</v>
      </c>
      <c r="AD593" t="s">
        <v>48</v>
      </c>
      <c r="AE593" t="s">
        <v>43</v>
      </c>
      <c r="AF593" s="3">
        <v>819</v>
      </c>
      <c r="AG593" s="3">
        <v>69</v>
      </c>
      <c r="AH593">
        <v>80</v>
      </c>
      <c r="AI593">
        <v>2</v>
      </c>
      <c r="AJ593">
        <v>1</v>
      </c>
      <c r="AK593">
        <v>1</v>
      </c>
      <c r="AL593">
        <v>1</v>
      </c>
      <c r="AM593">
        <v>0</v>
      </c>
      <c r="AN593" t="s">
        <v>767</v>
      </c>
      <c r="AO593" t="s">
        <v>31</v>
      </c>
    </row>
    <row r="594" spans="1:41" x14ac:dyDescent="0.25">
      <c r="A594">
        <v>37</v>
      </c>
      <c r="B594" t="s">
        <v>32</v>
      </c>
      <c r="C594" t="s">
        <v>55</v>
      </c>
      <c r="D594">
        <v>3</v>
      </c>
      <c r="E594" t="s">
        <v>34</v>
      </c>
      <c r="F594">
        <v>3</v>
      </c>
      <c r="G594">
        <v>3</v>
      </c>
      <c r="H594" t="s">
        <v>70</v>
      </c>
      <c r="I594">
        <v>4</v>
      </c>
      <c r="J594" t="s">
        <v>36</v>
      </c>
      <c r="K594">
        <v>7428</v>
      </c>
      <c r="L594">
        <v>2</v>
      </c>
      <c r="M594" t="s">
        <v>41</v>
      </c>
      <c r="N594">
        <v>12</v>
      </c>
      <c r="O594">
        <v>3</v>
      </c>
      <c r="P594">
        <v>0</v>
      </c>
      <c r="Q594">
        <v>12</v>
      </c>
      <c r="R594">
        <v>3</v>
      </c>
      <c r="S594">
        <v>5</v>
      </c>
      <c r="T594">
        <v>1</v>
      </c>
      <c r="U594">
        <v>3</v>
      </c>
      <c r="V594" t="s">
        <v>58</v>
      </c>
      <c r="W594" s="1" t="s">
        <v>325</v>
      </c>
      <c r="Y594" t="s">
        <v>69</v>
      </c>
      <c r="Z594" t="s">
        <v>47</v>
      </c>
      <c r="AA594">
        <v>5</v>
      </c>
      <c r="AB594">
        <v>3</v>
      </c>
      <c r="AC594" t="s">
        <v>41</v>
      </c>
      <c r="AD594" t="s">
        <v>42</v>
      </c>
      <c r="AE594" t="s">
        <v>49</v>
      </c>
      <c r="AF594" s="3">
        <v>820</v>
      </c>
      <c r="AG594" s="3">
        <v>33</v>
      </c>
      <c r="AH594">
        <v>80</v>
      </c>
      <c r="AI594">
        <v>14</v>
      </c>
      <c r="AJ594">
        <v>0</v>
      </c>
      <c r="AL594">
        <v>0</v>
      </c>
      <c r="AM594">
        <v>1</v>
      </c>
      <c r="AN594" t="s">
        <v>768</v>
      </c>
      <c r="AO594" t="s">
        <v>41</v>
      </c>
    </row>
    <row r="595" spans="1:41" x14ac:dyDescent="0.25">
      <c r="A595">
        <v>56</v>
      </c>
      <c r="B595" t="s">
        <v>32</v>
      </c>
      <c r="C595" t="s">
        <v>33</v>
      </c>
      <c r="D595">
        <v>14</v>
      </c>
      <c r="E595" t="s">
        <v>61</v>
      </c>
      <c r="F595">
        <v>3</v>
      </c>
      <c r="G595">
        <v>1</v>
      </c>
      <c r="H595" t="s">
        <v>44</v>
      </c>
      <c r="I595">
        <v>2</v>
      </c>
      <c r="J595" t="s">
        <v>51</v>
      </c>
      <c r="K595">
        <v>4963</v>
      </c>
      <c r="L595">
        <v>9</v>
      </c>
      <c r="M595" t="s">
        <v>31</v>
      </c>
      <c r="N595">
        <v>18</v>
      </c>
      <c r="O595">
        <v>3</v>
      </c>
      <c r="P595">
        <v>3</v>
      </c>
      <c r="Q595">
        <v>7</v>
      </c>
      <c r="R595">
        <v>2</v>
      </c>
      <c r="S595">
        <v>5</v>
      </c>
      <c r="T595">
        <v>4</v>
      </c>
      <c r="U595">
        <v>3</v>
      </c>
      <c r="V595" t="s">
        <v>37</v>
      </c>
      <c r="W595" s="2">
        <v>42553</v>
      </c>
      <c r="Y595" t="s">
        <v>39</v>
      </c>
      <c r="Z595" t="s">
        <v>47</v>
      </c>
      <c r="AA595">
        <v>0</v>
      </c>
      <c r="AB595">
        <v>3</v>
      </c>
      <c r="AC595" t="s">
        <v>31</v>
      </c>
      <c r="AD595" t="s">
        <v>42</v>
      </c>
      <c r="AE595" t="s">
        <v>43</v>
      </c>
      <c r="AF595" s="3">
        <v>823</v>
      </c>
      <c r="AG595" s="3">
        <v>35</v>
      </c>
      <c r="AH595">
        <v>80</v>
      </c>
      <c r="AI595">
        <v>7</v>
      </c>
      <c r="AJ595">
        <v>0</v>
      </c>
      <c r="AL595">
        <v>0</v>
      </c>
      <c r="AM595">
        <v>1</v>
      </c>
      <c r="AN595" t="s">
        <v>768</v>
      </c>
      <c r="AO595" t="s">
        <v>41</v>
      </c>
    </row>
    <row r="596" spans="1:41" x14ac:dyDescent="0.25">
      <c r="A596">
        <v>26</v>
      </c>
      <c r="B596" t="s">
        <v>32</v>
      </c>
      <c r="C596" t="s">
        <v>33</v>
      </c>
      <c r="D596">
        <v>6</v>
      </c>
      <c r="E596" t="s">
        <v>61</v>
      </c>
      <c r="F596">
        <v>2</v>
      </c>
      <c r="G596">
        <v>1</v>
      </c>
      <c r="H596" t="s">
        <v>44</v>
      </c>
      <c r="I596">
        <v>2</v>
      </c>
      <c r="J596" t="s">
        <v>51</v>
      </c>
      <c r="K596">
        <v>2368</v>
      </c>
      <c r="L596">
        <v>1</v>
      </c>
      <c r="M596" t="s">
        <v>41</v>
      </c>
      <c r="N596">
        <v>19</v>
      </c>
      <c r="O596">
        <v>3</v>
      </c>
      <c r="P596">
        <v>0</v>
      </c>
      <c r="Q596">
        <v>5</v>
      </c>
      <c r="R596">
        <v>3</v>
      </c>
      <c r="S596">
        <v>5</v>
      </c>
      <c r="T596">
        <v>4</v>
      </c>
      <c r="U596">
        <v>3</v>
      </c>
      <c r="V596" t="s">
        <v>37</v>
      </c>
      <c r="W596" s="1" t="s">
        <v>326</v>
      </c>
      <c r="Y596" t="s">
        <v>54</v>
      </c>
      <c r="Z596" t="s">
        <v>47</v>
      </c>
      <c r="AA596">
        <v>0</v>
      </c>
      <c r="AB596">
        <v>3</v>
      </c>
      <c r="AC596" t="s">
        <v>31</v>
      </c>
      <c r="AD596" t="s">
        <v>65</v>
      </c>
      <c r="AE596" t="s">
        <v>43</v>
      </c>
      <c r="AF596" s="3">
        <v>824</v>
      </c>
      <c r="AG596" s="3">
        <v>81</v>
      </c>
      <c r="AH596">
        <v>80</v>
      </c>
      <c r="AI596">
        <v>7</v>
      </c>
      <c r="AJ596">
        <v>0</v>
      </c>
      <c r="AL596">
        <v>0</v>
      </c>
      <c r="AM596">
        <v>1</v>
      </c>
      <c r="AN596" t="s">
        <v>768</v>
      </c>
      <c r="AO596" t="s">
        <v>41</v>
      </c>
    </row>
    <row r="597" spans="1:41" x14ac:dyDescent="0.25">
      <c r="A597">
        <v>32</v>
      </c>
      <c r="B597" t="s">
        <v>32</v>
      </c>
      <c r="C597" t="s">
        <v>33</v>
      </c>
      <c r="D597">
        <v>9</v>
      </c>
      <c r="E597" t="s">
        <v>61</v>
      </c>
      <c r="F597">
        <v>3</v>
      </c>
      <c r="G597">
        <v>1</v>
      </c>
      <c r="H597" t="s">
        <v>35</v>
      </c>
      <c r="I597">
        <v>1</v>
      </c>
      <c r="J597" t="s">
        <v>36</v>
      </c>
      <c r="K597">
        <v>4200</v>
      </c>
      <c r="L597">
        <v>7</v>
      </c>
      <c r="M597" t="s">
        <v>41</v>
      </c>
      <c r="N597">
        <v>22</v>
      </c>
      <c r="O597">
        <v>4</v>
      </c>
      <c r="P597">
        <v>0</v>
      </c>
      <c r="Q597">
        <v>10</v>
      </c>
      <c r="R597">
        <v>2</v>
      </c>
      <c r="S597">
        <v>5</v>
      </c>
      <c r="T597">
        <v>0</v>
      </c>
      <c r="U597">
        <v>4</v>
      </c>
      <c r="V597" t="s">
        <v>72</v>
      </c>
      <c r="W597" s="1" t="s">
        <v>327</v>
      </c>
      <c r="Y597" t="s">
        <v>69</v>
      </c>
      <c r="Z597" t="s">
        <v>47</v>
      </c>
      <c r="AA597">
        <v>5</v>
      </c>
      <c r="AB597">
        <v>1</v>
      </c>
      <c r="AC597" t="s">
        <v>31</v>
      </c>
      <c r="AD597" t="s">
        <v>67</v>
      </c>
      <c r="AE597" t="s">
        <v>43</v>
      </c>
      <c r="AF597" s="3">
        <v>825</v>
      </c>
      <c r="AG597" s="3">
        <v>31</v>
      </c>
      <c r="AH597">
        <v>80</v>
      </c>
      <c r="AI597">
        <v>15</v>
      </c>
      <c r="AJ597">
        <v>1</v>
      </c>
      <c r="AK597">
        <v>1</v>
      </c>
      <c r="AL597">
        <v>1</v>
      </c>
      <c r="AM597">
        <v>0</v>
      </c>
      <c r="AN597" t="s">
        <v>767</v>
      </c>
      <c r="AO597" t="s">
        <v>31</v>
      </c>
    </row>
    <row r="598" spans="1:41" x14ac:dyDescent="0.25">
      <c r="A598">
        <v>30</v>
      </c>
      <c r="B598" t="s">
        <v>32</v>
      </c>
      <c r="C598" t="s">
        <v>33</v>
      </c>
      <c r="D598">
        <v>18</v>
      </c>
      <c r="E598" t="s">
        <v>61</v>
      </c>
      <c r="F598">
        <v>3</v>
      </c>
      <c r="G598">
        <v>1</v>
      </c>
      <c r="H598" t="s">
        <v>44</v>
      </c>
      <c r="I598">
        <v>3</v>
      </c>
      <c r="J598" t="s">
        <v>36</v>
      </c>
      <c r="K598">
        <v>2632</v>
      </c>
      <c r="L598">
        <v>1</v>
      </c>
      <c r="M598" t="s">
        <v>41</v>
      </c>
      <c r="N598">
        <v>14</v>
      </c>
      <c r="O598">
        <v>3</v>
      </c>
      <c r="P598">
        <v>0</v>
      </c>
      <c r="Q598">
        <v>5</v>
      </c>
      <c r="R598">
        <v>4</v>
      </c>
      <c r="S598">
        <v>5</v>
      </c>
      <c r="T598">
        <v>0</v>
      </c>
      <c r="U598">
        <v>4</v>
      </c>
      <c r="V598" t="s">
        <v>72</v>
      </c>
      <c r="W598" s="2">
        <v>42372</v>
      </c>
      <c r="Y598" t="s">
        <v>46</v>
      </c>
      <c r="Z598" t="s">
        <v>40</v>
      </c>
      <c r="AA598">
        <v>1</v>
      </c>
      <c r="AB598">
        <v>3</v>
      </c>
      <c r="AC598" t="s">
        <v>41</v>
      </c>
      <c r="AD598" t="s">
        <v>42</v>
      </c>
      <c r="AE598" t="s">
        <v>60</v>
      </c>
      <c r="AF598" s="3">
        <v>826</v>
      </c>
      <c r="AG598" s="3">
        <v>40</v>
      </c>
      <c r="AH598">
        <v>80</v>
      </c>
      <c r="AI598">
        <v>2</v>
      </c>
      <c r="AJ598">
        <v>0</v>
      </c>
      <c r="AL598">
        <v>0</v>
      </c>
      <c r="AM598">
        <v>1</v>
      </c>
      <c r="AN598" t="s">
        <v>768</v>
      </c>
      <c r="AO598" t="s">
        <v>41</v>
      </c>
    </row>
    <row r="599" spans="1:41" x14ac:dyDescent="0.25">
      <c r="A599">
        <v>30</v>
      </c>
      <c r="B599" t="s">
        <v>32</v>
      </c>
      <c r="C599" t="s">
        <v>33</v>
      </c>
      <c r="D599">
        <v>2</v>
      </c>
      <c r="E599" t="s">
        <v>34</v>
      </c>
      <c r="F599">
        <v>2</v>
      </c>
      <c r="G599">
        <v>1</v>
      </c>
      <c r="H599" t="s">
        <v>35</v>
      </c>
      <c r="I599">
        <v>4</v>
      </c>
      <c r="J599" t="s">
        <v>36</v>
      </c>
      <c r="K599">
        <v>2720</v>
      </c>
      <c r="L599">
        <v>0</v>
      </c>
      <c r="M599" t="s">
        <v>41</v>
      </c>
      <c r="N599">
        <v>13</v>
      </c>
      <c r="O599">
        <v>3</v>
      </c>
      <c r="P599">
        <v>0</v>
      </c>
      <c r="Q599">
        <v>6</v>
      </c>
      <c r="R599">
        <v>3</v>
      </c>
      <c r="S599">
        <v>5</v>
      </c>
      <c r="T599">
        <v>1</v>
      </c>
      <c r="U599">
        <v>2</v>
      </c>
      <c r="V599" t="s">
        <v>58</v>
      </c>
      <c r="W599" s="2">
        <v>42496</v>
      </c>
      <c r="Y599" t="s">
        <v>63</v>
      </c>
      <c r="Z599" t="s">
        <v>47</v>
      </c>
      <c r="AA599">
        <v>1</v>
      </c>
      <c r="AB599">
        <v>1</v>
      </c>
      <c r="AC599" t="s">
        <v>31</v>
      </c>
      <c r="AD599" t="s">
        <v>42</v>
      </c>
      <c r="AE599" t="s">
        <v>43</v>
      </c>
      <c r="AF599" s="3">
        <v>827</v>
      </c>
      <c r="AG599" s="3">
        <v>43</v>
      </c>
      <c r="AH599">
        <v>80</v>
      </c>
      <c r="AI599">
        <v>3</v>
      </c>
      <c r="AJ599">
        <v>0</v>
      </c>
      <c r="AL599">
        <v>0</v>
      </c>
      <c r="AM599">
        <v>1</v>
      </c>
      <c r="AN599" t="s">
        <v>768</v>
      </c>
      <c r="AO599" t="s">
        <v>41</v>
      </c>
    </row>
    <row r="600" spans="1:41" x14ac:dyDescent="0.25">
      <c r="A600">
        <v>41</v>
      </c>
      <c r="B600" t="s">
        <v>32</v>
      </c>
      <c r="C600" t="s">
        <v>33</v>
      </c>
      <c r="D600">
        <v>9</v>
      </c>
      <c r="E600" t="s">
        <v>34</v>
      </c>
      <c r="F600">
        <v>3</v>
      </c>
      <c r="G600">
        <v>1</v>
      </c>
      <c r="H600" t="s">
        <v>35</v>
      </c>
      <c r="I600">
        <v>1</v>
      </c>
      <c r="J600" t="s">
        <v>51</v>
      </c>
      <c r="K600">
        <v>2238</v>
      </c>
      <c r="L600">
        <v>2</v>
      </c>
      <c r="M600" t="s">
        <v>41</v>
      </c>
      <c r="N600">
        <v>21</v>
      </c>
      <c r="O600">
        <v>4</v>
      </c>
      <c r="P600">
        <v>1</v>
      </c>
      <c r="Q600">
        <v>7</v>
      </c>
      <c r="R600">
        <v>2</v>
      </c>
      <c r="S600">
        <v>5</v>
      </c>
      <c r="T600">
        <v>1</v>
      </c>
      <c r="U600">
        <v>4</v>
      </c>
      <c r="V600" t="s">
        <v>52</v>
      </c>
      <c r="W600" s="2">
        <v>42402</v>
      </c>
      <c r="Y600" t="s">
        <v>69</v>
      </c>
      <c r="Z600" t="s">
        <v>47</v>
      </c>
      <c r="AA600">
        <v>1</v>
      </c>
      <c r="AB600">
        <v>2</v>
      </c>
      <c r="AC600" t="s">
        <v>41</v>
      </c>
      <c r="AD600" t="s">
        <v>48</v>
      </c>
      <c r="AE600" t="s">
        <v>49</v>
      </c>
      <c r="AF600" s="3">
        <v>828</v>
      </c>
      <c r="AG600" s="3">
        <v>46</v>
      </c>
      <c r="AH600">
        <v>80</v>
      </c>
      <c r="AI600">
        <v>2</v>
      </c>
      <c r="AJ600">
        <v>1</v>
      </c>
      <c r="AK600">
        <v>1</v>
      </c>
      <c r="AL600">
        <v>1</v>
      </c>
      <c r="AM600">
        <v>0</v>
      </c>
      <c r="AN600" t="s">
        <v>767</v>
      </c>
      <c r="AO600" t="s">
        <v>31</v>
      </c>
    </row>
    <row r="601" spans="1:41" x14ac:dyDescent="0.25">
      <c r="A601">
        <v>28</v>
      </c>
      <c r="B601" t="s">
        <v>32</v>
      </c>
      <c r="C601" t="s">
        <v>33</v>
      </c>
      <c r="D601">
        <v>21</v>
      </c>
      <c r="E601" t="s">
        <v>34</v>
      </c>
      <c r="F601">
        <v>3</v>
      </c>
      <c r="G601">
        <v>1</v>
      </c>
      <c r="H601" t="s">
        <v>44</v>
      </c>
      <c r="I601">
        <v>4</v>
      </c>
      <c r="J601" t="s">
        <v>51</v>
      </c>
      <c r="K601">
        <v>2713</v>
      </c>
      <c r="L601">
        <v>1</v>
      </c>
      <c r="M601" t="s">
        <v>41</v>
      </c>
      <c r="N601">
        <v>11</v>
      </c>
      <c r="O601">
        <v>3</v>
      </c>
      <c r="P601">
        <v>1</v>
      </c>
      <c r="Q601">
        <v>5</v>
      </c>
      <c r="R601">
        <v>2</v>
      </c>
      <c r="S601">
        <v>5</v>
      </c>
      <c r="T601">
        <v>0</v>
      </c>
      <c r="U601">
        <v>2</v>
      </c>
      <c r="V601" t="s">
        <v>52</v>
      </c>
      <c r="W601" s="1" t="s">
        <v>328</v>
      </c>
      <c r="Y601" t="s">
        <v>69</v>
      </c>
      <c r="Z601" t="s">
        <v>47</v>
      </c>
      <c r="AA601">
        <v>2</v>
      </c>
      <c r="AB601">
        <v>0</v>
      </c>
      <c r="AC601" t="s">
        <v>41</v>
      </c>
      <c r="AD601" t="s">
        <v>42</v>
      </c>
      <c r="AE601" t="s">
        <v>60</v>
      </c>
      <c r="AF601" s="3">
        <v>829</v>
      </c>
      <c r="AG601" s="3">
        <v>36</v>
      </c>
      <c r="AH601">
        <v>80</v>
      </c>
      <c r="AI601">
        <v>2</v>
      </c>
      <c r="AJ601">
        <v>0</v>
      </c>
      <c r="AL601">
        <v>0</v>
      </c>
      <c r="AM601">
        <v>1</v>
      </c>
      <c r="AN601" t="s">
        <v>768</v>
      </c>
      <c r="AO601" t="s">
        <v>41</v>
      </c>
    </row>
    <row r="602" spans="1:41" x14ac:dyDescent="0.25">
      <c r="A602">
        <v>57</v>
      </c>
      <c r="B602" t="s">
        <v>32</v>
      </c>
      <c r="C602" t="s">
        <v>33</v>
      </c>
      <c r="D602">
        <v>24</v>
      </c>
      <c r="E602" t="s">
        <v>34</v>
      </c>
      <c r="F602">
        <v>4</v>
      </c>
      <c r="G602">
        <v>3</v>
      </c>
      <c r="H602" t="s">
        <v>89</v>
      </c>
      <c r="I602">
        <v>4</v>
      </c>
      <c r="J602" t="s">
        <v>57</v>
      </c>
      <c r="K602">
        <v>9439</v>
      </c>
      <c r="L602">
        <v>3</v>
      </c>
      <c r="M602" t="s">
        <v>31</v>
      </c>
      <c r="N602">
        <v>16</v>
      </c>
      <c r="O602">
        <v>3</v>
      </c>
      <c r="P602">
        <v>1</v>
      </c>
      <c r="Q602">
        <v>12</v>
      </c>
      <c r="R602">
        <v>2</v>
      </c>
      <c r="S602">
        <v>5</v>
      </c>
      <c r="T602">
        <v>1</v>
      </c>
      <c r="U602">
        <v>4</v>
      </c>
      <c r="V602" t="s">
        <v>72</v>
      </c>
      <c r="W602" s="1" t="s">
        <v>329</v>
      </c>
      <c r="Y602" t="s">
        <v>69</v>
      </c>
      <c r="Z602" t="s">
        <v>47</v>
      </c>
      <c r="AA602">
        <v>4</v>
      </c>
      <c r="AB602">
        <v>2</v>
      </c>
      <c r="AC602" t="s">
        <v>31</v>
      </c>
      <c r="AD602" t="s">
        <v>65</v>
      </c>
      <c r="AE602" t="s">
        <v>60</v>
      </c>
      <c r="AF602" s="3">
        <v>830</v>
      </c>
      <c r="AG602" s="3">
        <v>98</v>
      </c>
      <c r="AH602">
        <v>80</v>
      </c>
      <c r="AI602">
        <v>13</v>
      </c>
      <c r="AJ602">
        <v>0</v>
      </c>
      <c r="AL602">
        <v>0</v>
      </c>
      <c r="AM602">
        <v>1</v>
      </c>
      <c r="AN602" t="s">
        <v>768</v>
      </c>
      <c r="AO602" t="s">
        <v>41</v>
      </c>
    </row>
    <row r="603" spans="1:41" x14ac:dyDescent="0.25">
      <c r="A603">
        <v>50</v>
      </c>
      <c r="B603" t="s">
        <v>32</v>
      </c>
      <c r="C603" t="s">
        <v>33</v>
      </c>
      <c r="D603">
        <v>11</v>
      </c>
      <c r="E603" t="s">
        <v>61</v>
      </c>
      <c r="F603">
        <v>3</v>
      </c>
      <c r="G603">
        <v>5</v>
      </c>
      <c r="H603" t="s">
        <v>75</v>
      </c>
      <c r="I603">
        <v>2</v>
      </c>
      <c r="J603" t="s">
        <v>36</v>
      </c>
      <c r="K603">
        <v>19926</v>
      </c>
      <c r="L603">
        <v>3</v>
      </c>
      <c r="M603" t="s">
        <v>41</v>
      </c>
      <c r="N603">
        <v>15</v>
      </c>
      <c r="O603">
        <v>3</v>
      </c>
      <c r="P603">
        <v>0</v>
      </c>
      <c r="Q603">
        <v>21</v>
      </c>
      <c r="R603">
        <v>5</v>
      </c>
      <c r="S603">
        <v>5</v>
      </c>
      <c r="T603">
        <v>4</v>
      </c>
      <c r="U603">
        <v>4</v>
      </c>
      <c r="V603" t="s">
        <v>37</v>
      </c>
      <c r="W603" s="2">
        <v>42405</v>
      </c>
      <c r="Y603" t="s">
        <v>46</v>
      </c>
      <c r="Z603" t="s">
        <v>40</v>
      </c>
      <c r="AA603">
        <v>2</v>
      </c>
      <c r="AB603">
        <v>1</v>
      </c>
      <c r="AC603" t="s">
        <v>31</v>
      </c>
      <c r="AD603" t="s">
        <v>65</v>
      </c>
      <c r="AE603" t="s">
        <v>49</v>
      </c>
      <c r="AF603" s="3">
        <v>832</v>
      </c>
      <c r="AG603" s="3">
        <v>51</v>
      </c>
      <c r="AH603">
        <v>80</v>
      </c>
      <c r="AI603">
        <v>0</v>
      </c>
      <c r="AJ603">
        <v>0</v>
      </c>
      <c r="AL603">
        <v>0</v>
      </c>
      <c r="AM603">
        <v>1</v>
      </c>
      <c r="AN603" t="s">
        <v>768</v>
      </c>
      <c r="AO603" t="s">
        <v>41</v>
      </c>
    </row>
    <row r="604" spans="1:41" x14ac:dyDescent="0.25">
      <c r="A604">
        <v>32</v>
      </c>
      <c r="B604" t="s">
        <v>32</v>
      </c>
      <c r="C604" t="s">
        <v>33</v>
      </c>
      <c r="D604">
        <v>6</v>
      </c>
      <c r="E604" t="s">
        <v>34</v>
      </c>
      <c r="F604">
        <v>3</v>
      </c>
      <c r="G604">
        <v>1</v>
      </c>
      <c r="H604" t="s">
        <v>44</v>
      </c>
      <c r="I604">
        <v>3</v>
      </c>
      <c r="J604" t="s">
        <v>36</v>
      </c>
      <c r="K604">
        <v>3038</v>
      </c>
      <c r="L604">
        <v>3</v>
      </c>
      <c r="M604" t="s">
        <v>41</v>
      </c>
      <c r="N604">
        <v>20</v>
      </c>
      <c r="O604">
        <v>4</v>
      </c>
      <c r="P604">
        <v>0</v>
      </c>
      <c r="Q604">
        <v>8</v>
      </c>
      <c r="R604">
        <v>2</v>
      </c>
      <c r="S604">
        <v>5</v>
      </c>
      <c r="T604">
        <v>1</v>
      </c>
      <c r="U604">
        <v>4</v>
      </c>
      <c r="V604" t="s">
        <v>58</v>
      </c>
      <c r="W604" s="2">
        <v>42644</v>
      </c>
      <c r="Y604" t="s">
        <v>63</v>
      </c>
      <c r="Z604" t="s">
        <v>40</v>
      </c>
      <c r="AA604">
        <v>4</v>
      </c>
      <c r="AB604">
        <v>1</v>
      </c>
      <c r="AC604" t="s">
        <v>41</v>
      </c>
      <c r="AD604" t="s">
        <v>65</v>
      </c>
      <c r="AE604" t="s">
        <v>49</v>
      </c>
      <c r="AF604" s="3">
        <v>833</v>
      </c>
      <c r="AG604" s="3">
        <v>52</v>
      </c>
      <c r="AH604">
        <v>80</v>
      </c>
      <c r="AI604">
        <v>0</v>
      </c>
      <c r="AJ604">
        <v>0</v>
      </c>
      <c r="AL604">
        <v>0</v>
      </c>
      <c r="AM604">
        <v>1</v>
      </c>
      <c r="AN604" t="s">
        <v>768</v>
      </c>
      <c r="AO604" t="s">
        <v>41</v>
      </c>
    </row>
    <row r="605" spans="1:41" x14ac:dyDescent="0.25">
      <c r="A605">
        <v>27</v>
      </c>
      <c r="B605" t="s">
        <v>32</v>
      </c>
      <c r="C605" t="s">
        <v>33</v>
      </c>
      <c r="D605">
        <v>17</v>
      </c>
      <c r="E605" t="s">
        <v>34</v>
      </c>
      <c r="F605">
        <v>3</v>
      </c>
      <c r="G605">
        <v>1</v>
      </c>
      <c r="H605" t="s">
        <v>44</v>
      </c>
      <c r="I605">
        <v>2</v>
      </c>
      <c r="J605" t="s">
        <v>51</v>
      </c>
      <c r="K605">
        <v>3058</v>
      </c>
      <c r="L605">
        <v>0</v>
      </c>
      <c r="M605" t="s">
        <v>31</v>
      </c>
      <c r="N605">
        <v>16</v>
      </c>
      <c r="O605">
        <v>3</v>
      </c>
      <c r="P605">
        <v>1</v>
      </c>
      <c r="Q605">
        <v>6</v>
      </c>
      <c r="R605">
        <v>3</v>
      </c>
      <c r="S605">
        <v>5</v>
      </c>
      <c r="T605">
        <v>1</v>
      </c>
      <c r="U605">
        <v>1</v>
      </c>
      <c r="V605" t="s">
        <v>72</v>
      </c>
      <c r="W605" s="1" t="s">
        <v>330</v>
      </c>
      <c r="Y605" t="s">
        <v>46</v>
      </c>
      <c r="Z605" t="s">
        <v>47</v>
      </c>
      <c r="AA605">
        <v>3</v>
      </c>
      <c r="AB605">
        <v>2</v>
      </c>
      <c r="AC605" t="s">
        <v>41</v>
      </c>
      <c r="AD605" t="s">
        <v>67</v>
      </c>
      <c r="AE605" t="s">
        <v>43</v>
      </c>
      <c r="AF605" s="3">
        <v>834</v>
      </c>
      <c r="AG605" s="3">
        <v>95</v>
      </c>
      <c r="AH605">
        <v>80</v>
      </c>
      <c r="AI605">
        <v>0</v>
      </c>
      <c r="AJ605">
        <v>0</v>
      </c>
      <c r="AL605">
        <v>0</v>
      </c>
      <c r="AM605">
        <v>1</v>
      </c>
      <c r="AN605" t="s">
        <v>768</v>
      </c>
      <c r="AO605" t="s">
        <v>41</v>
      </c>
    </row>
    <row r="606" spans="1:41" x14ac:dyDescent="0.25">
      <c r="A606">
        <v>45</v>
      </c>
      <c r="B606" t="s">
        <v>32</v>
      </c>
      <c r="C606" t="s">
        <v>55</v>
      </c>
      <c r="D606">
        <v>4</v>
      </c>
      <c r="E606" t="s">
        <v>61</v>
      </c>
      <c r="F606">
        <v>3</v>
      </c>
      <c r="G606">
        <v>2</v>
      </c>
      <c r="H606" t="s">
        <v>70</v>
      </c>
      <c r="I606">
        <v>1</v>
      </c>
      <c r="J606" t="s">
        <v>57</v>
      </c>
      <c r="K606">
        <v>5006</v>
      </c>
      <c r="L606">
        <v>4</v>
      </c>
      <c r="M606" t="s">
        <v>31</v>
      </c>
      <c r="N606">
        <v>11</v>
      </c>
      <c r="O606">
        <v>3</v>
      </c>
      <c r="P606">
        <v>1</v>
      </c>
      <c r="Q606">
        <v>9</v>
      </c>
      <c r="R606">
        <v>3</v>
      </c>
      <c r="S606">
        <v>5</v>
      </c>
      <c r="T606">
        <v>0</v>
      </c>
      <c r="U606">
        <v>3</v>
      </c>
      <c r="V606" t="s">
        <v>58</v>
      </c>
      <c r="W606" s="2">
        <v>42494</v>
      </c>
      <c r="Y606" t="s">
        <v>69</v>
      </c>
      <c r="Z606" t="s">
        <v>47</v>
      </c>
      <c r="AA606">
        <v>2</v>
      </c>
      <c r="AB606">
        <v>3</v>
      </c>
      <c r="AC606" t="s">
        <v>41</v>
      </c>
      <c r="AD606" t="s">
        <v>42</v>
      </c>
      <c r="AE606" t="s">
        <v>43</v>
      </c>
      <c r="AF606" s="3">
        <v>836</v>
      </c>
      <c r="AG606" s="3">
        <v>98</v>
      </c>
      <c r="AH606">
        <v>80</v>
      </c>
      <c r="AI606">
        <v>8</v>
      </c>
      <c r="AJ606">
        <v>0</v>
      </c>
      <c r="AL606">
        <v>0</v>
      </c>
      <c r="AM606">
        <v>1</v>
      </c>
      <c r="AN606" t="s">
        <v>768</v>
      </c>
      <c r="AO606" t="s">
        <v>41</v>
      </c>
    </row>
    <row r="607" spans="1:41" x14ac:dyDescent="0.25">
      <c r="A607">
        <v>43</v>
      </c>
      <c r="B607" t="s">
        <v>81</v>
      </c>
      <c r="C607" t="s">
        <v>33</v>
      </c>
      <c r="D607">
        <v>7</v>
      </c>
      <c r="E607" t="s">
        <v>34</v>
      </c>
      <c r="F607">
        <v>4</v>
      </c>
      <c r="G607">
        <v>1</v>
      </c>
      <c r="H607" t="s">
        <v>44</v>
      </c>
      <c r="I607">
        <v>4</v>
      </c>
      <c r="J607" t="s">
        <v>57</v>
      </c>
      <c r="K607">
        <v>2089</v>
      </c>
      <c r="L607">
        <v>4</v>
      </c>
      <c r="M607" t="s">
        <v>41</v>
      </c>
      <c r="N607">
        <v>14</v>
      </c>
      <c r="O607">
        <v>3</v>
      </c>
      <c r="P607">
        <v>3</v>
      </c>
      <c r="Q607">
        <v>7</v>
      </c>
      <c r="R607">
        <v>3</v>
      </c>
      <c r="S607">
        <v>5</v>
      </c>
      <c r="T607">
        <v>2</v>
      </c>
      <c r="U607">
        <v>2</v>
      </c>
      <c r="V607" t="s">
        <v>72</v>
      </c>
      <c r="W607" s="2">
        <v>42461</v>
      </c>
      <c r="Y607" t="s">
        <v>63</v>
      </c>
      <c r="Z607" t="s">
        <v>47</v>
      </c>
      <c r="AA607">
        <v>3</v>
      </c>
      <c r="AB607">
        <v>3</v>
      </c>
      <c r="AC607" t="s">
        <v>41</v>
      </c>
      <c r="AD607" t="s">
        <v>48</v>
      </c>
      <c r="AE607" t="s">
        <v>60</v>
      </c>
      <c r="AF607" s="3">
        <v>837</v>
      </c>
      <c r="AG607" s="3">
        <v>45</v>
      </c>
      <c r="AH607">
        <v>80</v>
      </c>
      <c r="AI607">
        <v>3</v>
      </c>
      <c r="AJ607">
        <v>0</v>
      </c>
      <c r="AL607">
        <v>0</v>
      </c>
      <c r="AM607">
        <v>1</v>
      </c>
      <c r="AN607" t="s">
        <v>768</v>
      </c>
      <c r="AO607" t="s">
        <v>41</v>
      </c>
    </row>
    <row r="608" spans="1:41" x14ac:dyDescent="0.25">
      <c r="A608">
        <v>42</v>
      </c>
      <c r="B608" t="s">
        <v>81</v>
      </c>
      <c r="C608" t="s">
        <v>33</v>
      </c>
      <c r="D608">
        <v>21</v>
      </c>
      <c r="E608" t="s">
        <v>61</v>
      </c>
      <c r="F608">
        <v>3</v>
      </c>
      <c r="G608">
        <v>2</v>
      </c>
      <c r="H608" t="s">
        <v>78</v>
      </c>
      <c r="I608">
        <v>3</v>
      </c>
      <c r="J608" t="s">
        <v>57</v>
      </c>
      <c r="K608">
        <v>5265</v>
      </c>
      <c r="L608">
        <v>2</v>
      </c>
      <c r="M608" t="s">
        <v>41</v>
      </c>
      <c r="N608">
        <v>16</v>
      </c>
      <c r="O608">
        <v>3</v>
      </c>
      <c r="P608">
        <v>1</v>
      </c>
      <c r="Q608">
        <v>11</v>
      </c>
      <c r="R608">
        <v>5</v>
      </c>
      <c r="S608">
        <v>5</v>
      </c>
      <c r="T608">
        <v>0</v>
      </c>
      <c r="U608">
        <v>2</v>
      </c>
      <c r="V608" t="s">
        <v>72</v>
      </c>
      <c r="W608" s="2">
        <v>42406</v>
      </c>
      <c r="Y608" t="s">
        <v>63</v>
      </c>
      <c r="Z608" t="s">
        <v>47</v>
      </c>
      <c r="AA608">
        <v>2</v>
      </c>
      <c r="AB608">
        <v>0</v>
      </c>
      <c r="AC608" t="s">
        <v>41</v>
      </c>
      <c r="AD608" t="s">
        <v>67</v>
      </c>
      <c r="AE608" t="s">
        <v>43</v>
      </c>
      <c r="AF608" s="3">
        <v>838</v>
      </c>
      <c r="AG608" s="3">
        <v>100</v>
      </c>
      <c r="AH608">
        <v>80</v>
      </c>
      <c r="AI608">
        <v>2</v>
      </c>
      <c r="AJ608">
        <v>0</v>
      </c>
      <c r="AL608">
        <v>0</v>
      </c>
      <c r="AM608">
        <v>1</v>
      </c>
      <c r="AN608" t="s">
        <v>768</v>
      </c>
      <c r="AO608" t="s">
        <v>41</v>
      </c>
    </row>
    <row r="609" spans="1:41" x14ac:dyDescent="0.25">
      <c r="A609">
        <v>34</v>
      </c>
      <c r="B609" t="s">
        <v>66</v>
      </c>
      <c r="C609" t="s">
        <v>33</v>
      </c>
      <c r="D609">
        <v>10</v>
      </c>
      <c r="E609" t="s">
        <v>34</v>
      </c>
      <c r="F609">
        <v>3</v>
      </c>
      <c r="G609">
        <v>1</v>
      </c>
      <c r="H609" t="s">
        <v>44</v>
      </c>
      <c r="I609">
        <v>3</v>
      </c>
      <c r="J609" t="s">
        <v>57</v>
      </c>
      <c r="K609">
        <v>3815</v>
      </c>
      <c r="L609">
        <v>1</v>
      </c>
      <c r="M609" t="s">
        <v>31</v>
      </c>
      <c r="N609">
        <v>17</v>
      </c>
      <c r="O609">
        <v>3</v>
      </c>
      <c r="P609">
        <v>1</v>
      </c>
      <c r="Q609">
        <v>5</v>
      </c>
      <c r="R609">
        <v>4</v>
      </c>
      <c r="S609">
        <v>5</v>
      </c>
      <c r="T609">
        <v>2</v>
      </c>
      <c r="U609">
        <v>0</v>
      </c>
      <c r="V609" t="s">
        <v>58</v>
      </c>
      <c r="W609" s="1" t="s">
        <v>331</v>
      </c>
      <c r="Y609" t="s">
        <v>39</v>
      </c>
      <c r="Z609" t="s">
        <v>40</v>
      </c>
      <c r="AA609">
        <v>0</v>
      </c>
      <c r="AB609">
        <v>2</v>
      </c>
      <c r="AC609" t="s">
        <v>31</v>
      </c>
      <c r="AD609" t="s">
        <v>42</v>
      </c>
      <c r="AE609" t="s">
        <v>43</v>
      </c>
      <c r="AF609" s="3">
        <v>840</v>
      </c>
      <c r="AG609" s="3">
        <v>43</v>
      </c>
      <c r="AH609">
        <v>80</v>
      </c>
      <c r="AI609">
        <v>8</v>
      </c>
      <c r="AJ609">
        <v>1</v>
      </c>
      <c r="AK609">
        <v>1</v>
      </c>
      <c r="AL609">
        <v>1</v>
      </c>
      <c r="AM609">
        <v>0</v>
      </c>
      <c r="AN609" t="s">
        <v>767</v>
      </c>
      <c r="AO609" t="s">
        <v>31</v>
      </c>
    </row>
    <row r="610" spans="1:41" x14ac:dyDescent="0.25">
      <c r="A610">
        <v>30</v>
      </c>
      <c r="B610" t="s">
        <v>32</v>
      </c>
      <c r="C610" t="s">
        <v>33</v>
      </c>
      <c r="D610">
        <v>3</v>
      </c>
      <c r="E610" t="s">
        <v>61</v>
      </c>
      <c r="F610">
        <v>3</v>
      </c>
      <c r="G610">
        <v>1</v>
      </c>
      <c r="H610" t="s">
        <v>44</v>
      </c>
      <c r="I610">
        <v>1</v>
      </c>
      <c r="J610" t="s">
        <v>36</v>
      </c>
      <c r="K610">
        <v>2657</v>
      </c>
      <c r="L610">
        <v>5</v>
      </c>
      <c r="M610" t="s">
        <v>31</v>
      </c>
      <c r="N610">
        <v>11</v>
      </c>
      <c r="O610">
        <v>3</v>
      </c>
      <c r="P610">
        <v>0</v>
      </c>
      <c r="Q610">
        <v>8</v>
      </c>
      <c r="R610">
        <v>5</v>
      </c>
      <c r="S610">
        <v>5</v>
      </c>
      <c r="T610">
        <v>0</v>
      </c>
      <c r="U610">
        <v>4</v>
      </c>
      <c r="V610" t="s">
        <v>37</v>
      </c>
      <c r="W610" s="1" t="s">
        <v>332</v>
      </c>
      <c r="Y610" t="s">
        <v>46</v>
      </c>
      <c r="Z610" t="s">
        <v>40</v>
      </c>
      <c r="AA610">
        <v>4</v>
      </c>
      <c r="AB610">
        <v>0</v>
      </c>
      <c r="AC610" t="s">
        <v>41</v>
      </c>
      <c r="AD610" t="s">
        <v>67</v>
      </c>
      <c r="AE610" t="s">
        <v>43</v>
      </c>
      <c r="AF610" s="3">
        <v>842</v>
      </c>
      <c r="AG610" s="3">
        <v>37</v>
      </c>
      <c r="AH610">
        <v>80</v>
      </c>
      <c r="AI610">
        <v>7</v>
      </c>
      <c r="AJ610">
        <v>1</v>
      </c>
      <c r="AK610">
        <v>1</v>
      </c>
      <c r="AL610">
        <v>1</v>
      </c>
      <c r="AM610">
        <v>0</v>
      </c>
      <c r="AN610" t="s">
        <v>767</v>
      </c>
      <c r="AO610" t="s">
        <v>31</v>
      </c>
    </row>
    <row r="611" spans="1:41" x14ac:dyDescent="0.25">
      <c r="A611">
        <v>31</v>
      </c>
      <c r="B611" t="s">
        <v>81</v>
      </c>
      <c r="C611" t="s">
        <v>33</v>
      </c>
      <c r="D611">
        <v>1</v>
      </c>
      <c r="E611" t="s">
        <v>34</v>
      </c>
      <c r="F611">
        <v>1</v>
      </c>
      <c r="G611">
        <v>2</v>
      </c>
      <c r="H611" t="s">
        <v>78</v>
      </c>
      <c r="I611">
        <v>3</v>
      </c>
      <c r="J611" t="s">
        <v>51</v>
      </c>
      <c r="K611">
        <v>4345</v>
      </c>
      <c r="L611">
        <v>0</v>
      </c>
      <c r="M611" t="s">
        <v>41</v>
      </c>
      <c r="N611">
        <v>12</v>
      </c>
      <c r="O611">
        <v>3</v>
      </c>
      <c r="P611">
        <v>1</v>
      </c>
      <c r="Q611">
        <v>6</v>
      </c>
      <c r="R611">
        <v>2</v>
      </c>
      <c r="S611">
        <v>5</v>
      </c>
      <c r="T611">
        <v>1</v>
      </c>
      <c r="U611">
        <v>4</v>
      </c>
      <c r="V611" t="s">
        <v>52</v>
      </c>
      <c r="W611" s="1" t="s">
        <v>325</v>
      </c>
      <c r="Y611" t="s">
        <v>63</v>
      </c>
      <c r="Z611" t="s">
        <v>47</v>
      </c>
      <c r="AA611">
        <v>5</v>
      </c>
      <c r="AB611">
        <v>1</v>
      </c>
      <c r="AC611" t="s">
        <v>41</v>
      </c>
      <c r="AD611" t="s">
        <v>65</v>
      </c>
      <c r="AE611" t="s">
        <v>49</v>
      </c>
      <c r="AF611" s="3">
        <v>843</v>
      </c>
      <c r="AG611" s="3">
        <v>94</v>
      </c>
      <c r="AH611">
        <v>80</v>
      </c>
      <c r="AI611">
        <v>1</v>
      </c>
      <c r="AJ611">
        <v>0</v>
      </c>
      <c r="AL611">
        <v>0</v>
      </c>
      <c r="AM611">
        <v>1</v>
      </c>
      <c r="AN611" t="s">
        <v>768</v>
      </c>
      <c r="AO611" t="s">
        <v>41</v>
      </c>
    </row>
    <row r="612" spans="1:41" x14ac:dyDescent="0.25">
      <c r="A612">
        <v>33</v>
      </c>
      <c r="B612" t="s">
        <v>32</v>
      </c>
      <c r="C612" t="s">
        <v>33</v>
      </c>
      <c r="D612">
        <v>14</v>
      </c>
      <c r="E612" t="s">
        <v>34</v>
      </c>
      <c r="F612">
        <v>3</v>
      </c>
      <c r="G612">
        <v>1</v>
      </c>
      <c r="H612" t="s">
        <v>35</v>
      </c>
      <c r="I612">
        <v>4</v>
      </c>
      <c r="J612" t="s">
        <v>51</v>
      </c>
      <c r="K612">
        <v>2436</v>
      </c>
      <c r="L612">
        <v>5</v>
      </c>
      <c r="M612" t="s">
        <v>31</v>
      </c>
      <c r="N612">
        <v>13</v>
      </c>
      <c r="O612">
        <v>3</v>
      </c>
      <c r="P612">
        <v>1</v>
      </c>
      <c r="Q612">
        <v>8</v>
      </c>
      <c r="R612">
        <v>2</v>
      </c>
      <c r="S612">
        <v>5</v>
      </c>
      <c r="T612">
        <v>0</v>
      </c>
      <c r="U612">
        <v>4</v>
      </c>
      <c r="V612" t="s">
        <v>58</v>
      </c>
      <c r="W612" s="2">
        <v>42588</v>
      </c>
      <c r="Y612" t="s">
        <v>39</v>
      </c>
      <c r="Z612" t="s">
        <v>47</v>
      </c>
      <c r="AA612">
        <v>1</v>
      </c>
      <c r="AB612">
        <v>1</v>
      </c>
      <c r="AC612" t="s">
        <v>31</v>
      </c>
      <c r="AD612" t="s">
        <v>65</v>
      </c>
      <c r="AE612" t="s">
        <v>43</v>
      </c>
      <c r="AF612" s="3">
        <v>844</v>
      </c>
      <c r="AG612" s="3">
        <v>42</v>
      </c>
      <c r="AH612">
        <v>80</v>
      </c>
      <c r="AI612">
        <v>8</v>
      </c>
      <c r="AJ612">
        <v>0</v>
      </c>
      <c r="AL612">
        <v>0</v>
      </c>
      <c r="AM612">
        <v>1</v>
      </c>
      <c r="AN612" t="s">
        <v>768</v>
      </c>
      <c r="AO612" t="s">
        <v>41</v>
      </c>
    </row>
    <row r="613" spans="1:41" x14ac:dyDescent="0.25">
      <c r="A613">
        <v>31</v>
      </c>
      <c r="B613" t="s">
        <v>66</v>
      </c>
      <c r="C613" t="s">
        <v>33</v>
      </c>
      <c r="D613">
        <v>29</v>
      </c>
      <c r="E613" t="s">
        <v>34</v>
      </c>
      <c r="F613">
        <v>2</v>
      </c>
      <c r="G613">
        <v>1</v>
      </c>
      <c r="H613" t="s">
        <v>35</v>
      </c>
      <c r="I613">
        <v>2</v>
      </c>
      <c r="J613" t="s">
        <v>36</v>
      </c>
      <c r="K613">
        <v>3479</v>
      </c>
      <c r="L613">
        <v>0</v>
      </c>
      <c r="M613" t="s">
        <v>41</v>
      </c>
      <c r="N613">
        <v>11</v>
      </c>
      <c r="O613">
        <v>3</v>
      </c>
      <c r="P613">
        <v>0</v>
      </c>
      <c r="Q613">
        <v>6</v>
      </c>
      <c r="R613">
        <v>2</v>
      </c>
      <c r="S613">
        <v>5</v>
      </c>
      <c r="T613">
        <v>1</v>
      </c>
      <c r="U613">
        <v>4</v>
      </c>
      <c r="V613" t="s">
        <v>52</v>
      </c>
      <c r="W613" s="2">
        <v>42680</v>
      </c>
      <c r="Y613" t="s">
        <v>46</v>
      </c>
      <c r="Z613" t="s">
        <v>47</v>
      </c>
      <c r="AA613">
        <v>3</v>
      </c>
      <c r="AB613">
        <v>2</v>
      </c>
      <c r="AC613" t="s">
        <v>41</v>
      </c>
      <c r="AD613" t="s">
        <v>42</v>
      </c>
      <c r="AE613" t="s">
        <v>43</v>
      </c>
      <c r="AF613" s="3">
        <v>845</v>
      </c>
      <c r="AG613" s="3">
        <v>59</v>
      </c>
      <c r="AH613">
        <v>80</v>
      </c>
      <c r="AI613">
        <v>5</v>
      </c>
      <c r="AJ613">
        <v>0</v>
      </c>
      <c r="AL613">
        <v>0</v>
      </c>
      <c r="AM613">
        <v>1</v>
      </c>
      <c r="AN613" t="s">
        <v>768</v>
      </c>
      <c r="AO613" t="s">
        <v>41</v>
      </c>
    </row>
    <row r="614" spans="1:41" x14ac:dyDescent="0.25">
      <c r="A614">
        <v>32</v>
      </c>
      <c r="B614" t="s">
        <v>66</v>
      </c>
      <c r="C614" t="s">
        <v>33</v>
      </c>
      <c r="D614">
        <v>7</v>
      </c>
      <c r="E614" t="s">
        <v>34</v>
      </c>
      <c r="F614">
        <v>4</v>
      </c>
      <c r="G614">
        <v>1</v>
      </c>
      <c r="H614" t="s">
        <v>35</v>
      </c>
      <c r="I614">
        <v>2</v>
      </c>
      <c r="J614" t="s">
        <v>51</v>
      </c>
      <c r="K614">
        <v>2794</v>
      </c>
      <c r="L614">
        <v>1</v>
      </c>
      <c r="M614" t="s">
        <v>41</v>
      </c>
      <c r="N614">
        <v>20</v>
      </c>
      <c r="O614">
        <v>4</v>
      </c>
      <c r="P614">
        <v>0</v>
      </c>
      <c r="Q614">
        <v>5</v>
      </c>
      <c r="R614">
        <v>3</v>
      </c>
      <c r="S614">
        <v>5</v>
      </c>
      <c r="T614">
        <v>0</v>
      </c>
      <c r="U614">
        <v>3</v>
      </c>
      <c r="V614" t="s">
        <v>58</v>
      </c>
      <c r="W614" s="2">
        <v>42401</v>
      </c>
      <c r="Y614" t="s">
        <v>39</v>
      </c>
      <c r="Z614" t="s">
        <v>47</v>
      </c>
      <c r="AA614">
        <v>4</v>
      </c>
      <c r="AB614">
        <v>1</v>
      </c>
      <c r="AC614" t="s">
        <v>41</v>
      </c>
      <c r="AD614" t="s">
        <v>67</v>
      </c>
      <c r="AE614" t="s">
        <v>49</v>
      </c>
      <c r="AF614" s="3">
        <v>846</v>
      </c>
      <c r="AG614" s="3">
        <v>81</v>
      </c>
      <c r="AH614">
        <v>80</v>
      </c>
      <c r="AI614">
        <v>7</v>
      </c>
      <c r="AJ614">
        <v>0</v>
      </c>
      <c r="AL614">
        <v>0</v>
      </c>
      <c r="AM614">
        <v>1</v>
      </c>
      <c r="AN614" t="s">
        <v>768</v>
      </c>
      <c r="AO614" t="s">
        <v>41</v>
      </c>
    </row>
    <row r="615" spans="1:41" x14ac:dyDescent="0.25">
      <c r="A615">
        <v>28</v>
      </c>
      <c r="B615" t="s">
        <v>32</v>
      </c>
      <c r="C615" t="s">
        <v>33</v>
      </c>
      <c r="D615">
        <v>9</v>
      </c>
      <c r="E615" t="s">
        <v>34</v>
      </c>
      <c r="F615">
        <v>3</v>
      </c>
      <c r="G615">
        <v>1</v>
      </c>
      <c r="H615" t="s">
        <v>44</v>
      </c>
      <c r="I615">
        <v>4</v>
      </c>
      <c r="J615" t="s">
        <v>51</v>
      </c>
      <c r="K615">
        <v>2070</v>
      </c>
      <c r="L615">
        <v>1</v>
      </c>
      <c r="M615" t="s">
        <v>41</v>
      </c>
      <c r="N615">
        <v>23</v>
      </c>
      <c r="O615">
        <v>4</v>
      </c>
      <c r="P615">
        <v>1</v>
      </c>
      <c r="Q615">
        <v>5</v>
      </c>
      <c r="R615">
        <v>3</v>
      </c>
      <c r="S615">
        <v>5</v>
      </c>
      <c r="T615">
        <v>0</v>
      </c>
      <c r="U615">
        <v>4</v>
      </c>
      <c r="V615" t="s">
        <v>52</v>
      </c>
      <c r="W615" s="2">
        <v>42588</v>
      </c>
      <c r="Y615" t="s">
        <v>39</v>
      </c>
      <c r="Z615" t="s">
        <v>47</v>
      </c>
      <c r="AA615">
        <v>5</v>
      </c>
      <c r="AB615">
        <v>0</v>
      </c>
      <c r="AC615" t="s">
        <v>41</v>
      </c>
      <c r="AD615" t="s">
        <v>42</v>
      </c>
      <c r="AE615" t="s">
        <v>60</v>
      </c>
      <c r="AF615" s="3">
        <v>847</v>
      </c>
      <c r="AG615" s="3">
        <v>88</v>
      </c>
      <c r="AH615">
        <v>80</v>
      </c>
      <c r="AI615">
        <v>2</v>
      </c>
      <c r="AJ615">
        <v>0</v>
      </c>
      <c r="AL615">
        <v>0</v>
      </c>
      <c r="AM615">
        <v>1</v>
      </c>
      <c r="AN615" t="s">
        <v>768</v>
      </c>
      <c r="AO615" t="s">
        <v>41</v>
      </c>
    </row>
    <row r="616" spans="1:41" x14ac:dyDescent="0.25">
      <c r="A616">
        <v>37</v>
      </c>
      <c r="B616" t="s">
        <v>32</v>
      </c>
      <c r="C616" t="s">
        <v>55</v>
      </c>
      <c r="D616">
        <v>6</v>
      </c>
      <c r="E616" t="s">
        <v>34</v>
      </c>
      <c r="F616">
        <v>3</v>
      </c>
      <c r="G616">
        <v>2</v>
      </c>
      <c r="H616" t="s">
        <v>70</v>
      </c>
      <c r="I616">
        <v>4</v>
      </c>
      <c r="J616" t="s">
        <v>51</v>
      </c>
      <c r="K616">
        <v>6502</v>
      </c>
      <c r="L616">
        <v>4</v>
      </c>
      <c r="M616" t="s">
        <v>41</v>
      </c>
      <c r="N616">
        <v>14</v>
      </c>
      <c r="O616">
        <v>3</v>
      </c>
      <c r="P616">
        <v>1</v>
      </c>
      <c r="Q616">
        <v>7</v>
      </c>
      <c r="R616">
        <v>5</v>
      </c>
      <c r="S616">
        <v>5</v>
      </c>
      <c r="T616">
        <v>0</v>
      </c>
      <c r="U616">
        <v>1</v>
      </c>
      <c r="V616" t="s">
        <v>72</v>
      </c>
      <c r="W616" s="2">
        <v>42587</v>
      </c>
      <c r="Y616" t="s">
        <v>54</v>
      </c>
      <c r="Z616" t="s">
        <v>47</v>
      </c>
      <c r="AA616">
        <v>3</v>
      </c>
      <c r="AB616">
        <v>2</v>
      </c>
      <c r="AC616" t="s">
        <v>31</v>
      </c>
      <c r="AD616" t="s">
        <v>67</v>
      </c>
      <c r="AE616" t="s">
        <v>43</v>
      </c>
      <c r="AF616" s="3">
        <v>848</v>
      </c>
      <c r="AG616" s="3">
        <v>88</v>
      </c>
      <c r="AH616">
        <v>80</v>
      </c>
      <c r="AI616">
        <v>7</v>
      </c>
      <c r="AJ616">
        <v>1</v>
      </c>
      <c r="AK616">
        <v>1</v>
      </c>
      <c r="AL616">
        <v>1</v>
      </c>
      <c r="AM616">
        <v>0</v>
      </c>
      <c r="AN616" t="s">
        <v>767</v>
      </c>
      <c r="AO616" t="s">
        <v>31</v>
      </c>
    </row>
    <row r="617" spans="1:41" x14ac:dyDescent="0.25">
      <c r="A617">
        <v>37</v>
      </c>
      <c r="B617" t="s">
        <v>81</v>
      </c>
      <c r="C617" t="s">
        <v>33</v>
      </c>
      <c r="D617">
        <v>1</v>
      </c>
      <c r="E617" t="s">
        <v>61</v>
      </c>
      <c r="F617">
        <v>3</v>
      </c>
      <c r="G617">
        <v>3</v>
      </c>
      <c r="H617" t="s">
        <v>50</v>
      </c>
      <c r="I617">
        <v>4</v>
      </c>
      <c r="J617" t="s">
        <v>57</v>
      </c>
      <c r="K617">
        <v>13603</v>
      </c>
      <c r="L617">
        <v>2</v>
      </c>
      <c r="M617" t="s">
        <v>31</v>
      </c>
      <c r="N617">
        <v>18</v>
      </c>
      <c r="O617">
        <v>3</v>
      </c>
      <c r="P617">
        <v>2</v>
      </c>
      <c r="Q617">
        <v>15</v>
      </c>
      <c r="R617">
        <v>2</v>
      </c>
      <c r="S617">
        <v>5</v>
      </c>
      <c r="T617">
        <v>0</v>
      </c>
      <c r="U617">
        <v>2</v>
      </c>
      <c r="V617" t="s">
        <v>58</v>
      </c>
      <c r="W617" s="1" t="s">
        <v>333</v>
      </c>
      <c r="Y617" t="s">
        <v>39</v>
      </c>
      <c r="Z617" t="s">
        <v>40</v>
      </c>
      <c r="AA617">
        <v>2</v>
      </c>
      <c r="AB617">
        <v>2</v>
      </c>
      <c r="AC617" t="s">
        <v>41</v>
      </c>
      <c r="AD617" t="s">
        <v>67</v>
      </c>
      <c r="AE617" t="s">
        <v>49</v>
      </c>
      <c r="AF617" s="3">
        <v>850</v>
      </c>
      <c r="AG617" s="3">
        <v>50</v>
      </c>
      <c r="AH617">
        <v>80</v>
      </c>
      <c r="AI617">
        <v>0</v>
      </c>
      <c r="AJ617">
        <v>0</v>
      </c>
      <c r="AL617">
        <v>0</v>
      </c>
      <c r="AM617">
        <v>1</v>
      </c>
      <c r="AN617" t="s">
        <v>768</v>
      </c>
      <c r="AO617" t="s">
        <v>41</v>
      </c>
    </row>
    <row r="618" spans="1:41" x14ac:dyDescent="0.25">
      <c r="A618">
        <v>53</v>
      </c>
      <c r="B618" t="s">
        <v>32</v>
      </c>
      <c r="C618" t="s">
        <v>33</v>
      </c>
      <c r="D618">
        <v>3</v>
      </c>
      <c r="E618" t="s">
        <v>34</v>
      </c>
      <c r="F618">
        <v>3</v>
      </c>
      <c r="G618">
        <v>4</v>
      </c>
      <c r="H618" t="s">
        <v>50</v>
      </c>
      <c r="I618">
        <v>3</v>
      </c>
      <c r="J618" t="s">
        <v>51</v>
      </c>
      <c r="K618">
        <v>17584</v>
      </c>
      <c r="L618">
        <v>3</v>
      </c>
      <c r="M618" t="s">
        <v>31</v>
      </c>
      <c r="N618">
        <v>16</v>
      </c>
      <c r="O618">
        <v>3</v>
      </c>
      <c r="P618">
        <v>3</v>
      </c>
      <c r="Q618">
        <v>21</v>
      </c>
      <c r="R618">
        <v>5</v>
      </c>
      <c r="S618">
        <v>5</v>
      </c>
      <c r="T618">
        <v>1</v>
      </c>
      <c r="U618">
        <v>3</v>
      </c>
      <c r="V618" t="s">
        <v>72</v>
      </c>
      <c r="W618" s="1" t="s">
        <v>322</v>
      </c>
      <c r="Y618" t="s">
        <v>63</v>
      </c>
      <c r="Z618" t="s">
        <v>40</v>
      </c>
      <c r="AA618">
        <v>0</v>
      </c>
      <c r="AB618">
        <v>0</v>
      </c>
      <c r="AC618" t="s">
        <v>31</v>
      </c>
      <c r="AD618" t="s">
        <v>42</v>
      </c>
      <c r="AE618" t="s">
        <v>49</v>
      </c>
      <c r="AF618" s="3">
        <v>851</v>
      </c>
      <c r="AG618" s="3">
        <v>66</v>
      </c>
      <c r="AH618">
        <v>80</v>
      </c>
      <c r="AI618">
        <v>6</v>
      </c>
      <c r="AJ618">
        <v>0</v>
      </c>
      <c r="AL618">
        <v>0</v>
      </c>
      <c r="AM618">
        <v>1</v>
      </c>
      <c r="AN618" t="s">
        <v>768</v>
      </c>
      <c r="AO618" t="s">
        <v>41</v>
      </c>
    </row>
    <row r="619" spans="1:41" x14ac:dyDescent="0.25">
      <c r="A619">
        <v>26</v>
      </c>
      <c r="B619" t="s">
        <v>66</v>
      </c>
      <c r="C619" t="s">
        <v>33</v>
      </c>
      <c r="D619">
        <v>11</v>
      </c>
      <c r="E619" t="s">
        <v>34</v>
      </c>
      <c r="F619">
        <v>3</v>
      </c>
      <c r="G619">
        <v>2</v>
      </c>
      <c r="H619" t="s">
        <v>89</v>
      </c>
      <c r="I619">
        <v>1</v>
      </c>
      <c r="J619" t="s">
        <v>51</v>
      </c>
      <c r="K619">
        <v>4741</v>
      </c>
      <c r="L619">
        <v>1</v>
      </c>
      <c r="M619" t="s">
        <v>31</v>
      </c>
      <c r="N619">
        <v>13</v>
      </c>
      <c r="O619">
        <v>3</v>
      </c>
      <c r="P619">
        <v>1</v>
      </c>
      <c r="Q619">
        <v>5</v>
      </c>
      <c r="R619">
        <v>3</v>
      </c>
      <c r="S619">
        <v>5</v>
      </c>
      <c r="T619">
        <v>3</v>
      </c>
      <c r="U619">
        <v>3</v>
      </c>
      <c r="V619" t="s">
        <v>58</v>
      </c>
      <c r="W619" s="2">
        <v>42524</v>
      </c>
      <c r="Y619" t="s">
        <v>54</v>
      </c>
      <c r="Z619" t="s">
        <v>47</v>
      </c>
      <c r="AA619">
        <v>4</v>
      </c>
      <c r="AB619">
        <v>1</v>
      </c>
      <c r="AC619" t="s">
        <v>31</v>
      </c>
      <c r="AD619" t="s">
        <v>67</v>
      </c>
      <c r="AE619" t="s">
        <v>49</v>
      </c>
      <c r="AF619" s="3">
        <v>852</v>
      </c>
      <c r="AG619" s="3">
        <v>50</v>
      </c>
      <c r="AH619">
        <v>80</v>
      </c>
      <c r="AI619">
        <v>2</v>
      </c>
      <c r="AJ619">
        <v>0</v>
      </c>
      <c r="AL619">
        <v>0</v>
      </c>
      <c r="AM619">
        <v>1</v>
      </c>
      <c r="AN619" t="s">
        <v>768</v>
      </c>
      <c r="AO619" t="s">
        <v>41</v>
      </c>
    </row>
    <row r="620" spans="1:41" x14ac:dyDescent="0.25">
      <c r="A620">
        <v>28</v>
      </c>
      <c r="B620" t="s">
        <v>32</v>
      </c>
      <c r="C620" t="s">
        <v>33</v>
      </c>
      <c r="D620">
        <v>8</v>
      </c>
      <c r="E620" t="s">
        <v>61</v>
      </c>
      <c r="F620">
        <v>3</v>
      </c>
      <c r="G620">
        <v>1</v>
      </c>
      <c r="H620" t="s">
        <v>44</v>
      </c>
      <c r="I620">
        <v>4</v>
      </c>
      <c r="J620" t="s">
        <v>36</v>
      </c>
      <c r="K620">
        <v>3310</v>
      </c>
      <c r="L620">
        <v>1</v>
      </c>
      <c r="M620" t="s">
        <v>41</v>
      </c>
      <c r="N620">
        <v>21</v>
      </c>
      <c r="O620">
        <v>4</v>
      </c>
      <c r="P620">
        <v>0</v>
      </c>
      <c r="Q620">
        <v>5</v>
      </c>
      <c r="R620">
        <v>3</v>
      </c>
      <c r="S620">
        <v>5</v>
      </c>
      <c r="T620">
        <v>0</v>
      </c>
      <c r="U620">
        <v>2</v>
      </c>
      <c r="V620" t="s">
        <v>72</v>
      </c>
      <c r="W620" s="1" t="s">
        <v>334</v>
      </c>
      <c r="Y620" t="s">
        <v>46</v>
      </c>
      <c r="Z620" t="s">
        <v>47</v>
      </c>
      <c r="AA620">
        <v>5</v>
      </c>
      <c r="AB620">
        <v>3</v>
      </c>
      <c r="AC620" t="s">
        <v>31</v>
      </c>
      <c r="AD620" t="s">
        <v>42</v>
      </c>
      <c r="AE620" t="s">
        <v>60</v>
      </c>
      <c r="AF620" s="3">
        <v>854</v>
      </c>
      <c r="AG620" s="3">
        <v>65</v>
      </c>
      <c r="AH620">
        <v>80</v>
      </c>
      <c r="AI620">
        <v>3</v>
      </c>
      <c r="AJ620">
        <v>0</v>
      </c>
      <c r="AL620">
        <v>0</v>
      </c>
      <c r="AM620">
        <v>1</v>
      </c>
      <c r="AN620" t="s">
        <v>768</v>
      </c>
      <c r="AO620" t="s">
        <v>41</v>
      </c>
    </row>
    <row r="621" spans="1:41" x14ac:dyDescent="0.25">
      <c r="A621">
        <v>58</v>
      </c>
      <c r="B621" t="s">
        <v>81</v>
      </c>
      <c r="C621" t="s">
        <v>33</v>
      </c>
      <c r="D621">
        <v>1</v>
      </c>
      <c r="E621" t="s">
        <v>34</v>
      </c>
      <c r="F621">
        <v>1</v>
      </c>
      <c r="G621">
        <v>2</v>
      </c>
      <c r="H621" t="s">
        <v>89</v>
      </c>
      <c r="I621">
        <v>3</v>
      </c>
      <c r="J621" t="s">
        <v>57</v>
      </c>
      <c r="K621">
        <v>5660</v>
      </c>
      <c r="L621">
        <v>2</v>
      </c>
      <c r="M621" t="s">
        <v>31</v>
      </c>
      <c r="N621">
        <v>13</v>
      </c>
      <c r="O621">
        <v>3</v>
      </c>
      <c r="P621">
        <v>1</v>
      </c>
      <c r="Q621">
        <v>12</v>
      </c>
      <c r="R621">
        <v>2</v>
      </c>
      <c r="S621">
        <v>5</v>
      </c>
      <c r="T621">
        <v>1</v>
      </c>
      <c r="U621">
        <v>2</v>
      </c>
      <c r="V621" t="s">
        <v>72</v>
      </c>
      <c r="W621" s="2">
        <v>42644</v>
      </c>
      <c r="Y621" t="s">
        <v>54</v>
      </c>
      <c r="Z621" t="s">
        <v>40</v>
      </c>
      <c r="AA621">
        <v>4</v>
      </c>
      <c r="AB621">
        <v>2</v>
      </c>
      <c r="AC621" t="s">
        <v>31</v>
      </c>
      <c r="AD621" t="s">
        <v>67</v>
      </c>
      <c r="AE621" t="s">
        <v>49</v>
      </c>
      <c r="AF621" s="3">
        <v>855</v>
      </c>
      <c r="AG621" s="3">
        <v>48</v>
      </c>
      <c r="AH621">
        <v>80</v>
      </c>
      <c r="AI621">
        <v>8</v>
      </c>
      <c r="AJ621">
        <v>0</v>
      </c>
      <c r="AL621">
        <v>0</v>
      </c>
      <c r="AM621">
        <v>1</v>
      </c>
      <c r="AN621" t="s">
        <v>768</v>
      </c>
      <c r="AO621" t="s">
        <v>41</v>
      </c>
    </row>
    <row r="622" spans="1:41" x14ac:dyDescent="0.25">
      <c r="A622">
        <v>31</v>
      </c>
      <c r="B622" t="s">
        <v>32</v>
      </c>
      <c r="C622" t="s">
        <v>33</v>
      </c>
      <c r="D622">
        <v>5</v>
      </c>
      <c r="E622" t="s">
        <v>34</v>
      </c>
      <c r="F622">
        <v>3</v>
      </c>
      <c r="G622">
        <v>1</v>
      </c>
      <c r="H622" t="s">
        <v>44</v>
      </c>
      <c r="I622">
        <v>4</v>
      </c>
      <c r="J622" t="s">
        <v>51</v>
      </c>
      <c r="K622">
        <v>4821</v>
      </c>
      <c r="L622">
        <v>0</v>
      </c>
      <c r="M622" t="s">
        <v>31</v>
      </c>
      <c r="N622">
        <v>12</v>
      </c>
      <c r="O622">
        <v>3</v>
      </c>
      <c r="P622">
        <v>1</v>
      </c>
      <c r="Q622">
        <v>6</v>
      </c>
      <c r="R622">
        <v>4</v>
      </c>
      <c r="S622">
        <v>5</v>
      </c>
      <c r="T622">
        <v>0</v>
      </c>
      <c r="U622">
        <v>3</v>
      </c>
      <c r="V622" t="s">
        <v>37</v>
      </c>
      <c r="W622" s="1" t="s">
        <v>335</v>
      </c>
      <c r="Y622" t="s">
        <v>54</v>
      </c>
      <c r="Z622" t="s">
        <v>47</v>
      </c>
      <c r="AA622">
        <v>1</v>
      </c>
      <c r="AB622">
        <v>0</v>
      </c>
      <c r="AC622" t="s">
        <v>31</v>
      </c>
      <c r="AD622" t="s">
        <v>48</v>
      </c>
      <c r="AE622" t="s">
        <v>49</v>
      </c>
      <c r="AF622" s="3">
        <v>856</v>
      </c>
      <c r="AG622" s="3">
        <v>53</v>
      </c>
      <c r="AH622">
        <v>80</v>
      </c>
      <c r="AI622">
        <v>5</v>
      </c>
      <c r="AJ622">
        <v>0</v>
      </c>
      <c r="AL622">
        <v>0</v>
      </c>
      <c r="AM622">
        <v>1</v>
      </c>
      <c r="AN622" t="s">
        <v>768</v>
      </c>
      <c r="AO622" t="s">
        <v>41</v>
      </c>
    </row>
    <row r="623" spans="1:41" x14ac:dyDescent="0.25">
      <c r="A623">
        <v>27</v>
      </c>
      <c r="B623" t="s">
        <v>32</v>
      </c>
      <c r="C623" t="s">
        <v>55</v>
      </c>
      <c r="D623">
        <v>2</v>
      </c>
      <c r="E623" t="s">
        <v>34</v>
      </c>
      <c r="F623">
        <v>3</v>
      </c>
      <c r="G623">
        <v>2</v>
      </c>
      <c r="H623" t="s">
        <v>70</v>
      </c>
      <c r="I623">
        <v>3</v>
      </c>
      <c r="J623" t="s">
        <v>36</v>
      </c>
      <c r="K623">
        <v>4478</v>
      </c>
      <c r="L623">
        <v>1</v>
      </c>
      <c r="M623" t="s">
        <v>31</v>
      </c>
      <c r="N623">
        <v>11</v>
      </c>
      <c r="O623">
        <v>3</v>
      </c>
      <c r="P623">
        <v>0</v>
      </c>
      <c r="Q623">
        <v>5</v>
      </c>
      <c r="R623">
        <v>3</v>
      </c>
      <c r="S623">
        <v>5</v>
      </c>
      <c r="T623">
        <v>0</v>
      </c>
      <c r="U623">
        <v>4</v>
      </c>
      <c r="V623" t="s">
        <v>72</v>
      </c>
      <c r="W623" s="1" t="s">
        <v>319</v>
      </c>
      <c r="Y623" t="s">
        <v>63</v>
      </c>
      <c r="Z623" t="s">
        <v>47</v>
      </c>
      <c r="AA623">
        <v>5</v>
      </c>
      <c r="AB623">
        <v>2</v>
      </c>
      <c r="AC623" t="s">
        <v>31</v>
      </c>
      <c r="AD623" t="s">
        <v>65</v>
      </c>
      <c r="AE623" t="s">
        <v>49</v>
      </c>
      <c r="AF623" s="3">
        <v>857</v>
      </c>
      <c r="AG623" s="3">
        <v>56</v>
      </c>
      <c r="AH623">
        <v>80</v>
      </c>
      <c r="AI623">
        <v>14</v>
      </c>
      <c r="AJ623">
        <v>0</v>
      </c>
      <c r="AL623">
        <v>0</v>
      </c>
      <c r="AM623">
        <v>1</v>
      </c>
      <c r="AN623" t="s">
        <v>768</v>
      </c>
      <c r="AO623" t="s">
        <v>41</v>
      </c>
    </row>
    <row r="624" spans="1:41" x14ac:dyDescent="0.25">
      <c r="A624">
        <v>27</v>
      </c>
      <c r="B624" t="s">
        <v>81</v>
      </c>
      <c r="C624" t="s">
        <v>55</v>
      </c>
      <c r="D624">
        <v>1</v>
      </c>
      <c r="E624" t="s">
        <v>34</v>
      </c>
      <c r="F624">
        <v>3</v>
      </c>
      <c r="G624">
        <v>2</v>
      </c>
      <c r="H624" t="s">
        <v>70</v>
      </c>
      <c r="I624">
        <v>2</v>
      </c>
      <c r="J624" t="s">
        <v>51</v>
      </c>
      <c r="K624">
        <v>6349</v>
      </c>
      <c r="L624">
        <v>0</v>
      </c>
      <c r="M624" t="s">
        <v>31</v>
      </c>
      <c r="N624">
        <v>13</v>
      </c>
      <c r="O624">
        <v>3</v>
      </c>
      <c r="P624">
        <v>1</v>
      </c>
      <c r="Q624">
        <v>6</v>
      </c>
      <c r="R624">
        <v>0</v>
      </c>
      <c r="S624">
        <v>5</v>
      </c>
      <c r="T624">
        <v>1</v>
      </c>
      <c r="U624">
        <v>4</v>
      </c>
      <c r="V624" t="s">
        <v>58</v>
      </c>
      <c r="W624" s="1" t="s">
        <v>336</v>
      </c>
      <c r="Y624" t="s">
        <v>39</v>
      </c>
      <c r="Z624" t="s">
        <v>40</v>
      </c>
      <c r="AA624">
        <v>2</v>
      </c>
      <c r="AB624">
        <v>2</v>
      </c>
      <c r="AC624" t="s">
        <v>41</v>
      </c>
      <c r="AD624" t="s">
        <v>48</v>
      </c>
      <c r="AE624" t="s">
        <v>60</v>
      </c>
      <c r="AF624" s="3">
        <v>859</v>
      </c>
      <c r="AG624" s="3">
        <v>73</v>
      </c>
      <c r="AH624">
        <v>80</v>
      </c>
      <c r="AI624">
        <v>2</v>
      </c>
      <c r="AJ624">
        <v>0</v>
      </c>
      <c r="AL624">
        <v>0</v>
      </c>
      <c r="AM624">
        <v>1</v>
      </c>
      <c r="AN624" t="s">
        <v>768</v>
      </c>
      <c r="AO624" t="s">
        <v>41</v>
      </c>
    </row>
    <row r="625" spans="1:41" x14ac:dyDescent="0.25">
      <c r="A625">
        <v>41</v>
      </c>
      <c r="B625" t="s">
        <v>32</v>
      </c>
      <c r="C625" t="s">
        <v>33</v>
      </c>
      <c r="D625">
        <v>6</v>
      </c>
      <c r="E625" t="s">
        <v>34</v>
      </c>
      <c r="F625">
        <v>2</v>
      </c>
      <c r="G625">
        <v>2</v>
      </c>
      <c r="H625" t="s">
        <v>78</v>
      </c>
      <c r="I625">
        <v>2</v>
      </c>
      <c r="J625" t="s">
        <v>36</v>
      </c>
      <c r="K625">
        <v>6032</v>
      </c>
      <c r="L625">
        <v>6</v>
      </c>
      <c r="M625" t="s">
        <v>31</v>
      </c>
      <c r="N625">
        <v>15</v>
      </c>
      <c r="O625">
        <v>3</v>
      </c>
      <c r="P625">
        <v>0</v>
      </c>
      <c r="Q625">
        <v>8</v>
      </c>
      <c r="R625">
        <v>3</v>
      </c>
      <c r="S625">
        <v>5</v>
      </c>
      <c r="T625">
        <v>1</v>
      </c>
      <c r="U625">
        <v>2</v>
      </c>
      <c r="V625" t="s">
        <v>72</v>
      </c>
      <c r="W625" s="1" t="s">
        <v>333</v>
      </c>
      <c r="Y625" t="s">
        <v>54</v>
      </c>
      <c r="Z625" t="s">
        <v>47</v>
      </c>
      <c r="AA625">
        <v>1</v>
      </c>
      <c r="AB625">
        <v>1</v>
      </c>
      <c r="AC625" t="s">
        <v>41</v>
      </c>
      <c r="AD625" t="s">
        <v>65</v>
      </c>
      <c r="AE625" t="s">
        <v>49</v>
      </c>
      <c r="AF625" s="3">
        <v>861</v>
      </c>
      <c r="AG625" s="3">
        <v>75</v>
      </c>
      <c r="AH625">
        <v>80</v>
      </c>
      <c r="AI625">
        <v>4</v>
      </c>
      <c r="AJ625">
        <v>0</v>
      </c>
      <c r="AL625">
        <v>0</v>
      </c>
      <c r="AM625">
        <v>1</v>
      </c>
      <c r="AN625" t="s">
        <v>768</v>
      </c>
      <c r="AO625" t="s">
        <v>41</v>
      </c>
    </row>
    <row r="626" spans="1:41" x14ac:dyDescent="0.25">
      <c r="A626">
        <v>37</v>
      </c>
      <c r="B626" t="s">
        <v>32</v>
      </c>
      <c r="C626" t="s">
        <v>33</v>
      </c>
      <c r="D626">
        <v>10</v>
      </c>
      <c r="E626" t="s">
        <v>61</v>
      </c>
      <c r="F626">
        <v>3</v>
      </c>
      <c r="G626">
        <v>1</v>
      </c>
      <c r="H626" t="s">
        <v>35</v>
      </c>
      <c r="I626">
        <v>1</v>
      </c>
      <c r="J626" t="s">
        <v>51</v>
      </c>
      <c r="K626">
        <v>3452</v>
      </c>
      <c r="L626">
        <v>6</v>
      </c>
      <c r="M626" t="s">
        <v>41</v>
      </c>
      <c r="N626">
        <v>20</v>
      </c>
      <c r="O626">
        <v>4</v>
      </c>
      <c r="P626">
        <v>1</v>
      </c>
      <c r="Q626">
        <v>17</v>
      </c>
      <c r="R626">
        <v>3</v>
      </c>
      <c r="S626">
        <v>5</v>
      </c>
      <c r="T626">
        <v>0</v>
      </c>
      <c r="U626">
        <v>3</v>
      </c>
      <c r="V626" t="s">
        <v>58</v>
      </c>
      <c r="W626" s="1" t="s">
        <v>331</v>
      </c>
      <c r="Y626" t="s">
        <v>39</v>
      </c>
      <c r="Z626" t="s">
        <v>40</v>
      </c>
      <c r="AA626">
        <v>4</v>
      </c>
      <c r="AB626">
        <v>1</v>
      </c>
      <c r="AC626" t="s">
        <v>41</v>
      </c>
      <c r="AD626" t="s">
        <v>65</v>
      </c>
      <c r="AE626" t="s">
        <v>43</v>
      </c>
      <c r="AF626" s="3">
        <v>862</v>
      </c>
      <c r="AG626" s="3">
        <v>78</v>
      </c>
      <c r="AH626">
        <v>80</v>
      </c>
      <c r="AI626">
        <v>2</v>
      </c>
      <c r="AJ626">
        <v>0</v>
      </c>
      <c r="AL626">
        <v>0</v>
      </c>
      <c r="AM626">
        <v>1</v>
      </c>
      <c r="AN626" t="s">
        <v>768</v>
      </c>
      <c r="AO626" t="s">
        <v>41</v>
      </c>
    </row>
    <row r="627" spans="1:41" x14ac:dyDescent="0.25">
      <c r="A627">
        <v>27</v>
      </c>
      <c r="B627" t="s">
        <v>32</v>
      </c>
      <c r="C627" t="s">
        <v>33</v>
      </c>
      <c r="D627">
        <v>1</v>
      </c>
      <c r="E627" t="s">
        <v>34</v>
      </c>
      <c r="F627">
        <v>3</v>
      </c>
      <c r="G627">
        <v>1</v>
      </c>
      <c r="H627" t="s">
        <v>35</v>
      </c>
      <c r="I627">
        <v>2</v>
      </c>
      <c r="J627" t="s">
        <v>57</v>
      </c>
      <c r="K627">
        <v>3816</v>
      </c>
      <c r="L627">
        <v>1</v>
      </c>
      <c r="M627" t="s">
        <v>41</v>
      </c>
      <c r="N627">
        <v>11</v>
      </c>
      <c r="O627">
        <v>3</v>
      </c>
      <c r="P627">
        <v>1</v>
      </c>
      <c r="Q627">
        <v>5</v>
      </c>
      <c r="R627">
        <v>2</v>
      </c>
      <c r="S627">
        <v>5</v>
      </c>
      <c r="T627">
        <v>0</v>
      </c>
      <c r="U627">
        <v>4</v>
      </c>
      <c r="V627" t="s">
        <v>72</v>
      </c>
      <c r="W627" s="1" t="s">
        <v>337</v>
      </c>
      <c r="Y627" t="s">
        <v>54</v>
      </c>
      <c r="Z627" t="s">
        <v>47</v>
      </c>
      <c r="AA627">
        <v>5</v>
      </c>
      <c r="AB627">
        <v>0</v>
      </c>
      <c r="AC627" t="s">
        <v>31</v>
      </c>
      <c r="AD627" t="s">
        <v>65</v>
      </c>
      <c r="AE627" t="s">
        <v>43</v>
      </c>
      <c r="AF627" s="3">
        <v>864</v>
      </c>
      <c r="AG627" s="3">
        <v>74</v>
      </c>
      <c r="AH627">
        <v>80</v>
      </c>
      <c r="AI627">
        <v>4</v>
      </c>
      <c r="AJ627">
        <v>0</v>
      </c>
      <c r="AL627">
        <v>0</v>
      </c>
      <c r="AM627">
        <v>1</v>
      </c>
      <c r="AN627" t="s">
        <v>768</v>
      </c>
      <c r="AO627" t="s">
        <v>41</v>
      </c>
    </row>
    <row r="628" spans="1:41" x14ac:dyDescent="0.25">
      <c r="A628">
        <v>49</v>
      </c>
      <c r="B628" t="s">
        <v>32</v>
      </c>
      <c r="C628" t="s">
        <v>33</v>
      </c>
      <c r="D628">
        <v>7</v>
      </c>
      <c r="E628" t="s">
        <v>34</v>
      </c>
      <c r="F628">
        <v>2</v>
      </c>
      <c r="G628">
        <v>3</v>
      </c>
      <c r="H628" t="s">
        <v>89</v>
      </c>
      <c r="I628">
        <v>3</v>
      </c>
      <c r="J628" t="s">
        <v>36</v>
      </c>
      <c r="K628">
        <v>10965</v>
      </c>
      <c r="L628">
        <v>8</v>
      </c>
      <c r="M628" t="s">
        <v>41</v>
      </c>
      <c r="N628">
        <v>24</v>
      </c>
      <c r="O628">
        <v>4</v>
      </c>
      <c r="P628">
        <v>0</v>
      </c>
      <c r="Q628">
        <v>26</v>
      </c>
      <c r="R628">
        <v>2</v>
      </c>
      <c r="S628">
        <v>5</v>
      </c>
      <c r="T628">
        <v>0</v>
      </c>
      <c r="U628">
        <v>0</v>
      </c>
      <c r="V628" t="s">
        <v>37</v>
      </c>
      <c r="W628" s="2">
        <v>42555</v>
      </c>
      <c r="Y628" t="s">
        <v>54</v>
      </c>
      <c r="Z628" t="s">
        <v>40</v>
      </c>
      <c r="AA628">
        <v>3</v>
      </c>
      <c r="AB628">
        <v>0</v>
      </c>
      <c r="AC628" t="s">
        <v>31</v>
      </c>
      <c r="AD628" t="s">
        <v>67</v>
      </c>
      <c r="AE628" t="s">
        <v>49</v>
      </c>
      <c r="AF628" s="3">
        <v>865</v>
      </c>
      <c r="AG628" s="3">
        <v>91</v>
      </c>
      <c r="AH628">
        <v>80</v>
      </c>
      <c r="AI628">
        <v>3</v>
      </c>
      <c r="AJ628">
        <v>0</v>
      </c>
      <c r="AL628">
        <v>0</v>
      </c>
      <c r="AM628">
        <v>1</v>
      </c>
      <c r="AN628" t="s">
        <v>768</v>
      </c>
      <c r="AO628" t="s">
        <v>41</v>
      </c>
    </row>
    <row r="629" spans="1:41" x14ac:dyDescent="0.25">
      <c r="A629">
        <v>34</v>
      </c>
      <c r="B629" t="s">
        <v>81</v>
      </c>
      <c r="C629" t="s">
        <v>55</v>
      </c>
      <c r="D629">
        <v>19</v>
      </c>
      <c r="E629" t="s">
        <v>34</v>
      </c>
      <c r="F629">
        <v>4</v>
      </c>
      <c r="G629">
        <v>2</v>
      </c>
      <c r="H629" t="s">
        <v>70</v>
      </c>
      <c r="I629">
        <v>4</v>
      </c>
      <c r="J629" t="s">
        <v>36</v>
      </c>
      <c r="K629">
        <v>5304</v>
      </c>
      <c r="L629">
        <v>8</v>
      </c>
      <c r="M629" t="s">
        <v>31</v>
      </c>
      <c r="N629">
        <v>13</v>
      </c>
      <c r="O629">
        <v>3</v>
      </c>
      <c r="P629">
        <v>0</v>
      </c>
      <c r="Q629">
        <v>9</v>
      </c>
      <c r="R629">
        <v>3</v>
      </c>
      <c r="S629">
        <v>5</v>
      </c>
      <c r="T629">
        <v>0</v>
      </c>
      <c r="U629">
        <v>4</v>
      </c>
      <c r="V629" t="s">
        <v>72</v>
      </c>
      <c r="W629" s="2">
        <v>42373</v>
      </c>
      <c r="Y629" t="s">
        <v>63</v>
      </c>
      <c r="Z629" t="s">
        <v>47</v>
      </c>
      <c r="AA629">
        <v>0</v>
      </c>
      <c r="AB629">
        <v>3</v>
      </c>
      <c r="AC629" t="s">
        <v>31</v>
      </c>
      <c r="AD629" t="s">
        <v>42</v>
      </c>
      <c r="AE629" t="s">
        <v>43</v>
      </c>
      <c r="AF629" s="3">
        <v>867</v>
      </c>
      <c r="AG629" s="3">
        <v>81</v>
      </c>
      <c r="AH629">
        <v>80</v>
      </c>
      <c r="AI629">
        <v>8</v>
      </c>
      <c r="AJ629">
        <v>0</v>
      </c>
      <c r="AL629">
        <v>0</v>
      </c>
      <c r="AM629">
        <v>1</v>
      </c>
      <c r="AN629" t="s">
        <v>768</v>
      </c>
      <c r="AO629" t="s">
        <v>41</v>
      </c>
    </row>
    <row r="630" spans="1:41" x14ac:dyDescent="0.25">
      <c r="A630">
        <v>55</v>
      </c>
      <c r="B630" t="s">
        <v>32</v>
      </c>
      <c r="C630" t="s">
        <v>33</v>
      </c>
      <c r="D630">
        <v>2</v>
      </c>
      <c r="E630" t="s">
        <v>61</v>
      </c>
      <c r="F630">
        <v>3</v>
      </c>
      <c r="G630">
        <v>4</v>
      </c>
      <c r="H630" t="s">
        <v>75</v>
      </c>
      <c r="I630">
        <v>4</v>
      </c>
      <c r="J630" t="s">
        <v>36</v>
      </c>
      <c r="K630">
        <v>16659</v>
      </c>
      <c r="L630">
        <v>2</v>
      </c>
      <c r="M630" t="s">
        <v>31</v>
      </c>
      <c r="N630">
        <v>13</v>
      </c>
      <c r="O630">
        <v>3</v>
      </c>
      <c r="P630">
        <v>0</v>
      </c>
      <c r="Q630">
        <v>30</v>
      </c>
      <c r="R630">
        <v>2</v>
      </c>
      <c r="S630">
        <v>5</v>
      </c>
      <c r="T630">
        <v>1</v>
      </c>
      <c r="U630">
        <v>2</v>
      </c>
      <c r="V630" t="s">
        <v>37</v>
      </c>
      <c r="W630" s="2">
        <v>42552</v>
      </c>
      <c r="Y630" t="s">
        <v>39</v>
      </c>
      <c r="Z630" t="s">
        <v>40</v>
      </c>
      <c r="AA630">
        <v>0</v>
      </c>
      <c r="AB630">
        <v>3</v>
      </c>
      <c r="AC630" t="s">
        <v>31</v>
      </c>
      <c r="AD630" t="s">
        <v>65</v>
      </c>
      <c r="AE630" t="s">
        <v>60</v>
      </c>
      <c r="AF630" s="3">
        <v>868</v>
      </c>
      <c r="AG630" s="3">
        <v>66</v>
      </c>
      <c r="AH630">
        <v>80</v>
      </c>
      <c r="AI630">
        <v>0</v>
      </c>
      <c r="AJ630">
        <v>0</v>
      </c>
      <c r="AL630">
        <v>0</v>
      </c>
      <c r="AM630">
        <v>1</v>
      </c>
      <c r="AN630" t="s">
        <v>768</v>
      </c>
      <c r="AO630" t="s">
        <v>41</v>
      </c>
    </row>
    <row r="631" spans="1:41" x14ac:dyDescent="0.25">
      <c r="A631">
        <v>24</v>
      </c>
      <c r="B631" t="s">
        <v>32</v>
      </c>
      <c r="C631" t="s">
        <v>55</v>
      </c>
      <c r="D631">
        <v>10</v>
      </c>
      <c r="E631" t="s">
        <v>61</v>
      </c>
      <c r="F631">
        <v>3</v>
      </c>
      <c r="G631">
        <v>2</v>
      </c>
      <c r="H631" t="s">
        <v>70</v>
      </c>
      <c r="I631">
        <v>3</v>
      </c>
      <c r="J631" t="s">
        <v>57</v>
      </c>
      <c r="K631">
        <v>4260</v>
      </c>
      <c r="L631">
        <v>1</v>
      </c>
      <c r="M631" t="s">
        <v>31</v>
      </c>
      <c r="N631">
        <v>12</v>
      </c>
      <c r="O631">
        <v>3</v>
      </c>
      <c r="P631">
        <v>1</v>
      </c>
      <c r="Q631">
        <v>5</v>
      </c>
      <c r="R631">
        <v>2</v>
      </c>
      <c r="S631">
        <v>5</v>
      </c>
      <c r="T631">
        <v>0</v>
      </c>
      <c r="U631">
        <v>3</v>
      </c>
      <c r="V631" t="s">
        <v>72</v>
      </c>
      <c r="W631" s="2">
        <v>42583</v>
      </c>
      <c r="Y631" t="s">
        <v>63</v>
      </c>
      <c r="Z631" t="s">
        <v>47</v>
      </c>
      <c r="AA631">
        <v>2</v>
      </c>
      <c r="AB631">
        <v>0</v>
      </c>
      <c r="AC631" t="s">
        <v>41</v>
      </c>
      <c r="AD631" t="s">
        <v>65</v>
      </c>
      <c r="AE631" t="s">
        <v>60</v>
      </c>
      <c r="AF631" s="3">
        <v>869</v>
      </c>
      <c r="AG631" s="3">
        <v>63</v>
      </c>
      <c r="AH631">
        <v>80</v>
      </c>
      <c r="AI631">
        <v>1</v>
      </c>
      <c r="AJ631">
        <v>0</v>
      </c>
      <c r="AL631">
        <v>0</v>
      </c>
      <c r="AM631">
        <v>1</v>
      </c>
      <c r="AN631" t="s">
        <v>768</v>
      </c>
      <c r="AO631" t="s">
        <v>41</v>
      </c>
    </row>
    <row r="632" spans="1:41" x14ac:dyDescent="0.25">
      <c r="A632">
        <v>40</v>
      </c>
      <c r="B632" t="s">
        <v>32</v>
      </c>
      <c r="C632" t="s">
        <v>55</v>
      </c>
      <c r="D632">
        <v>2</v>
      </c>
      <c r="E632" t="s">
        <v>61</v>
      </c>
      <c r="F632">
        <v>3</v>
      </c>
      <c r="G632">
        <v>2</v>
      </c>
      <c r="H632" t="s">
        <v>70</v>
      </c>
      <c r="I632">
        <v>2</v>
      </c>
      <c r="J632" t="s">
        <v>57</v>
      </c>
      <c r="K632">
        <v>5715</v>
      </c>
      <c r="L632">
        <v>7</v>
      </c>
      <c r="M632" t="s">
        <v>41</v>
      </c>
      <c r="N632">
        <v>12</v>
      </c>
      <c r="O632">
        <v>3</v>
      </c>
      <c r="P632">
        <v>2</v>
      </c>
      <c r="Q632">
        <v>8</v>
      </c>
      <c r="R632">
        <v>5</v>
      </c>
      <c r="S632">
        <v>5</v>
      </c>
      <c r="T632">
        <v>1</v>
      </c>
      <c r="U632">
        <v>3</v>
      </c>
      <c r="V632" t="s">
        <v>58</v>
      </c>
      <c r="W632" s="2">
        <v>42615</v>
      </c>
      <c r="Y632" t="s">
        <v>63</v>
      </c>
      <c r="Z632" t="s">
        <v>47</v>
      </c>
      <c r="AA632">
        <v>3</v>
      </c>
      <c r="AB632">
        <v>3</v>
      </c>
      <c r="AC632" t="s">
        <v>31</v>
      </c>
      <c r="AD632" t="s">
        <v>48</v>
      </c>
      <c r="AE632" t="s">
        <v>60</v>
      </c>
      <c r="AF632" s="3">
        <v>872</v>
      </c>
      <c r="AG632" s="3">
        <v>33</v>
      </c>
      <c r="AH632">
        <v>80</v>
      </c>
      <c r="AI632">
        <v>2</v>
      </c>
      <c r="AJ632">
        <v>0</v>
      </c>
      <c r="AL632">
        <v>0</v>
      </c>
      <c r="AM632">
        <v>1</v>
      </c>
      <c r="AN632" t="s">
        <v>768</v>
      </c>
      <c r="AO632" t="s">
        <v>41</v>
      </c>
    </row>
    <row r="633" spans="1:41" x14ac:dyDescent="0.25">
      <c r="A633">
        <v>42</v>
      </c>
      <c r="B633" t="s">
        <v>32</v>
      </c>
      <c r="C633" t="s">
        <v>33</v>
      </c>
      <c r="D633">
        <v>1</v>
      </c>
      <c r="E633" t="s">
        <v>61</v>
      </c>
      <c r="F633">
        <v>3</v>
      </c>
      <c r="G633">
        <v>1</v>
      </c>
      <c r="H633" t="s">
        <v>35</v>
      </c>
      <c r="I633">
        <v>1</v>
      </c>
      <c r="J633" t="s">
        <v>57</v>
      </c>
      <c r="K633">
        <v>2576</v>
      </c>
      <c r="L633">
        <v>3</v>
      </c>
      <c r="M633" t="s">
        <v>41</v>
      </c>
      <c r="N633">
        <v>16</v>
      </c>
      <c r="O633">
        <v>3</v>
      </c>
      <c r="P633">
        <v>1</v>
      </c>
      <c r="Q633">
        <v>8</v>
      </c>
      <c r="R633">
        <v>5</v>
      </c>
      <c r="S633">
        <v>5</v>
      </c>
      <c r="T633">
        <v>1</v>
      </c>
      <c r="U633">
        <v>2</v>
      </c>
      <c r="V633" t="s">
        <v>37</v>
      </c>
      <c r="W633" s="1" t="s">
        <v>324</v>
      </c>
      <c r="Y633" t="s">
        <v>69</v>
      </c>
      <c r="Z633" t="s">
        <v>47</v>
      </c>
      <c r="AA633">
        <v>4</v>
      </c>
      <c r="AB633">
        <v>2</v>
      </c>
      <c r="AC633" t="s">
        <v>41</v>
      </c>
      <c r="AD633" t="s">
        <v>42</v>
      </c>
      <c r="AE633" t="s">
        <v>43</v>
      </c>
      <c r="AF633" s="3">
        <v>874</v>
      </c>
      <c r="AG633" s="3">
        <v>62</v>
      </c>
      <c r="AH633">
        <v>80</v>
      </c>
      <c r="AI633">
        <v>2</v>
      </c>
      <c r="AJ633">
        <v>0</v>
      </c>
      <c r="AL633">
        <v>0</v>
      </c>
      <c r="AM633">
        <v>1</v>
      </c>
      <c r="AN633" t="s">
        <v>768</v>
      </c>
      <c r="AO633" t="s">
        <v>41</v>
      </c>
    </row>
    <row r="634" spans="1:41" x14ac:dyDescent="0.25">
      <c r="A634">
        <v>43</v>
      </c>
      <c r="B634" t="s">
        <v>32</v>
      </c>
      <c r="C634" t="s">
        <v>33</v>
      </c>
      <c r="D634">
        <v>8</v>
      </c>
      <c r="E634" t="s">
        <v>61</v>
      </c>
      <c r="F634">
        <v>3</v>
      </c>
      <c r="G634">
        <v>2</v>
      </c>
      <c r="H634" t="s">
        <v>89</v>
      </c>
      <c r="I634">
        <v>3</v>
      </c>
      <c r="J634" t="s">
        <v>57</v>
      </c>
      <c r="K634">
        <v>4522</v>
      </c>
      <c r="L634">
        <v>4</v>
      </c>
      <c r="M634" t="s">
        <v>31</v>
      </c>
      <c r="N634">
        <v>14</v>
      </c>
      <c r="O634">
        <v>3</v>
      </c>
      <c r="P634">
        <v>0</v>
      </c>
      <c r="Q634">
        <v>8</v>
      </c>
      <c r="R634">
        <v>3</v>
      </c>
      <c r="S634">
        <v>5</v>
      </c>
      <c r="T634">
        <v>0</v>
      </c>
      <c r="U634">
        <v>2</v>
      </c>
      <c r="V634" t="s">
        <v>72</v>
      </c>
      <c r="W634" s="1" t="s">
        <v>338</v>
      </c>
      <c r="Y634" t="s">
        <v>46</v>
      </c>
      <c r="Z634" t="s">
        <v>40</v>
      </c>
      <c r="AA634">
        <v>3</v>
      </c>
      <c r="AB634">
        <v>2</v>
      </c>
      <c r="AC634" t="s">
        <v>41</v>
      </c>
      <c r="AD634" t="s">
        <v>65</v>
      </c>
      <c r="AE634" t="s">
        <v>43</v>
      </c>
      <c r="AF634" s="3">
        <v>875</v>
      </c>
      <c r="AG634" s="3">
        <v>35</v>
      </c>
      <c r="AH634">
        <v>80</v>
      </c>
      <c r="AI634">
        <v>1</v>
      </c>
      <c r="AJ634">
        <v>0</v>
      </c>
      <c r="AL634">
        <v>0</v>
      </c>
      <c r="AM634">
        <v>1</v>
      </c>
      <c r="AN634" t="s">
        <v>768</v>
      </c>
      <c r="AO634" t="s">
        <v>41</v>
      </c>
    </row>
    <row r="635" spans="1:41" x14ac:dyDescent="0.25">
      <c r="A635">
        <v>25</v>
      </c>
      <c r="B635" t="s">
        <v>32</v>
      </c>
      <c r="C635" t="s">
        <v>55</v>
      </c>
      <c r="D635">
        <v>4</v>
      </c>
      <c r="E635" t="s">
        <v>61</v>
      </c>
      <c r="F635">
        <v>2</v>
      </c>
      <c r="G635">
        <v>2</v>
      </c>
      <c r="H635" t="s">
        <v>70</v>
      </c>
      <c r="I635">
        <v>4</v>
      </c>
      <c r="J635" t="s">
        <v>36</v>
      </c>
      <c r="K635">
        <v>4487</v>
      </c>
      <c r="L635">
        <v>1</v>
      </c>
      <c r="M635" t="s">
        <v>31</v>
      </c>
      <c r="N635">
        <v>11</v>
      </c>
      <c r="O635">
        <v>3</v>
      </c>
      <c r="P635">
        <v>0</v>
      </c>
      <c r="Q635">
        <v>5</v>
      </c>
      <c r="R635">
        <v>3</v>
      </c>
      <c r="S635">
        <v>5</v>
      </c>
      <c r="T635">
        <v>1</v>
      </c>
      <c r="U635">
        <v>3</v>
      </c>
      <c r="V635" t="s">
        <v>52</v>
      </c>
      <c r="W635" s="1" t="s">
        <v>339</v>
      </c>
      <c r="Y635" t="s">
        <v>39</v>
      </c>
      <c r="Z635" t="s">
        <v>47</v>
      </c>
      <c r="AA635">
        <v>1</v>
      </c>
      <c r="AB635">
        <v>1</v>
      </c>
      <c r="AC635" t="s">
        <v>31</v>
      </c>
      <c r="AD635" t="s">
        <v>48</v>
      </c>
      <c r="AE635" t="s">
        <v>49</v>
      </c>
      <c r="AF635" s="3">
        <v>878</v>
      </c>
      <c r="AG635" s="3">
        <v>77</v>
      </c>
      <c r="AH635">
        <v>80</v>
      </c>
      <c r="AI635">
        <v>4</v>
      </c>
      <c r="AJ635">
        <v>0</v>
      </c>
      <c r="AL635">
        <v>0</v>
      </c>
      <c r="AM635">
        <v>1</v>
      </c>
      <c r="AN635" t="s">
        <v>768</v>
      </c>
      <c r="AO635" t="s">
        <v>41</v>
      </c>
    </row>
    <row r="636" spans="1:41" x14ac:dyDescent="0.25">
      <c r="A636">
        <v>30</v>
      </c>
      <c r="B636" t="s">
        <v>32</v>
      </c>
      <c r="C636" t="s">
        <v>55</v>
      </c>
      <c r="D636">
        <v>12</v>
      </c>
      <c r="E636" t="s">
        <v>61</v>
      </c>
      <c r="F636">
        <v>3</v>
      </c>
      <c r="G636">
        <v>2</v>
      </c>
      <c r="H636" t="s">
        <v>70</v>
      </c>
      <c r="I636">
        <v>3</v>
      </c>
      <c r="J636" t="s">
        <v>36</v>
      </c>
      <c r="K636">
        <v>6577</v>
      </c>
      <c r="L636">
        <v>0</v>
      </c>
      <c r="M636" t="s">
        <v>41</v>
      </c>
      <c r="N636">
        <v>11</v>
      </c>
      <c r="O636">
        <v>3</v>
      </c>
      <c r="P636">
        <v>0</v>
      </c>
      <c r="Q636">
        <v>6</v>
      </c>
      <c r="R636">
        <v>6</v>
      </c>
      <c r="S636">
        <v>5</v>
      </c>
      <c r="T636">
        <v>4</v>
      </c>
      <c r="U636">
        <v>4</v>
      </c>
      <c r="V636" t="s">
        <v>58</v>
      </c>
      <c r="W636" s="1" t="s">
        <v>340</v>
      </c>
      <c r="Y636" t="s">
        <v>39</v>
      </c>
      <c r="Z636" t="s">
        <v>47</v>
      </c>
      <c r="AA636">
        <v>1</v>
      </c>
      <c r="AB636">
        <v>1</v>
      </c>
      <c r="AC636" t="s">
        <v>31</v>
      </c>
      <c r="AD636" t="s">
        <v>42</v>
      </c>
      <c r="AE636" t="s">
        <v>43</v>
      </c>
      <c r="AF636" s="3">
        <v>879</v>
      </c>
      <c r="AG636" s="3">
        <v>98</v>
      </c>
      <c r="AH636">
        <v>80</v>
      </c>
      <c r="AI636">
        <v>3</v>
      </c>
      <c r="AJ636">
        <v>0</v>
      </c>
      <c r="AL636">
        <v>0</v>
      </c>
      <c r="AM636">
        <v>1</v>
      </c>
      <c r="AN636" t="s">
        <v>768</v>
      </c>
      <c r="AO636" t="s">
        <v>41</v>
      </c>
    </row>
    <row r="637" spans="1:41" x14ac:dyDescent="0.25">
      <c r="A637">
        <v>52</v>
      </c>
      <c r="B637" t="s">
        <v>32</v>
      </c>
      <c r="C637" t="s">
        <v>33</v>
      </c>
      <c r="D637">
        <v>3</v>
      </c>
      <c r="E637" t="s">
        <v>34</v>
      </c>
      <c r="F637">
        <v>2</v>
      </c>
      <c r="G637">
        <v>3</v>
      </c>
      <c r="H637" t="s">
        <v>78</v>
      </c>
      <c r="I637">
        <v>3</v>
      </c>
      <c r="J637" t="s">
        <v>51</v>
      </c>
      <c r="K637">
        <v>7969</v>
      </c>
      <c r="L637">
        <v>2</v>
      </c>
      <c r="M637" t="s">
        <v>31</v>
      </c>
      <c r="N637">
        <v>14</v>
      </c>
      <c r="O637">
        <v>3</v>
      </c>
      <c r="P637">
        <v>0</v>
      </c>
      <c r="Q637">
        <v>28</v>
      </c>
      <c r="R637">
        <v>4</v>
      </c>
      <c r="S637">
        <v>5</v>
      </c>
      <c r="T637">
        <v>0</v>
      </c>
      <c r="U637">
        <v>4</v>
      </c>
      <c r="V637" t="s">
        <v>58</v>
      </c>
      <c r="W637" s="1" t="s">
        <v>341</v>
      </c>
      <c r="Y637" t="s">
        <v>39</v>
      </c>
      <c r="Z637" t="s">
        <v>47</v>
      </c>
      <c r="AA637">
        <v>5</v>
      </c>
      <c r="AB637">
        <v>1</v>
      </c>
      <c r="AC637" t="s">
        <v>31</v>
      </c>
      <c r="AD637" t="s">
        <v>67</v>
      </c>
      <c r="AE637" t="s">
        <v>60</v>
      </c>
      <c r="AF637" s="3">
        <v>880</v>
      </c>
      <c r="AG637" s="3">
        <v>66</v>
      </c>
      <c r="AH637">
        <v>80</v>
      </c>
      <c r="AI637">
        <v>14</v>
      </c>
      <c r="AJ637">
        <v>0</v>
      </c>
      <c r="AL637">
        <v>0</v>
      </c>
      <c r="AM637">
        <v>1</v>
      </c>
      <c r="AN637" t="s">
        <v>768</v>
      </c>
      <c r="AO637" t="s">
        <v>41</v>
      </c>
    </row>
    <row r="638" spans="1:41" x14ac:dyDescent="0.25">
      <c r="A638">
        <v>52</v>
      </c>
      <c r="B638" t="s">
        <v>32</v>
      </c>
      <c r="C638" t="s">
        <v>33</v>
      </c>
      <c r="D638">
        <v>4</v>
      </c>
      <c r="E638" t="s">
        <v>61</v>
      </c>
      <c r="F638">
        <v>3</v>
      </c>
      <c r="G638">
        <v>4</v>
      </c>
      <c r="H638" t="s">
        <v>75</v>
      </c>
      <c r="I638">
        <v>4</v>
      </c>
      <c r="J638" t="s">
        <v>51</v>
      </c>
      <c r="K638">
        <v>16555</v>
      </c>
      <c r="L638">
        <v>2</v>
      </c>
      <c r="M638" t="s">
        <v>41</v>
      </c>
      <c r="N638">
        <v>13</v>
      </c>
      <c r="O638">
        <v>3</v>
      </c>
      <c r="P638">
        <v>0</v>
      </c>
      <c r="Q638">
        <v>31</v>
      </c>
      <c r="R638">
        <v>2</v>
      </c>
      <c r="S638">
        <v>5</v>
      </c>
      <c r="T638">
        <v>1</v>
      </c>
      <c r="U638">
        <v>4</v>
      </c>
      <c r="V638" t="s">
        <v>58</v>
      </c>
      <c r="W638" s="2">
        <v>42373</v>
      </c>
      <c r="Y638" t="s">
        <v>46</v>
      </c>
      <c r="Z638" t="s">
        <v>47</v>
      </c>
      <c r="AA638">
        <v>5</v>
      </c>
      <c r="AB638">
        <v>2</v>
      </c>
      <c r="AC638" t="s">
        <v>31</v>
      </c>
      <c r="AD638" t="s">
        <v>48</v>
      </c>
      <c r="AE638" t="s">
        <v>49</v>
      </c>
      <c r="AF638" s="3">
        <v>881</v>
      </c>
      <c r="AG638" s="3">
        <v>96</v>
      </c>
      <c r="AH638">
        <v>80</v>
      </c>
      <c r="AI638">
        <v>2</v>
      </c>
      <c r="AJ638">
        <v>1</v>
      </c>
      <c r="AK638">
        <v>1</v>
      </c>
      <c r="AL638">
        <v>1</v>
      </c>
      <c r="AM638">
        <v>0</v>
      </c>
      <c r="AN638" t="s">
        <v>767</v>
      </c>
      <c r="AO638" t="s">
        <v>31</v>
      </c>
    </row>
    <row r="639" spans="1:41" x14ac:dyDescent="0.25">
      <c r="A639">
        <v>42</v>
      </c>
      <c r="B639" t="s">
        <v>66</v>
      </c>
      <c r="C639" t="s">
        <v>33</v>
      </c>
      <c r="D639">
        <v>29</v>
      </c>
      <c r="E639" t="s">
        <v>61</v>
      </c>
      <c r="F639">
        <v>3</v>
      </c>
      <c r="G639">
        <v>2</v>
      </c>
      <c r="H639" t="s">
        <v>44</v>
      </c>
      <c r="I639">
        <v>3</v>
      </c>
      <c r="J639" t="s">
        <v>57</v>
      </c>
      <c r="K639">
        <v>4556</v>
      </c>
      <c r="L639">
        <v>2</v>
      </c>
      <c r="M639" t="s">
        <v>41</v>
      </c>
      <c r="N639">
        <v>11</v>
      </c>
      <c r="O639">
        <v>3</v>
      </c>
      <c r="P639">
        <v>1</v>
      </c>
      <c r="Q639">
        <v>19</v>
      </c>
      <c r="R639">
        <v>3</v>
      </c>
      <c r="S639">
        <v>5</v>
      </c>
      <c r="T639">
        <v>0</v>
      </c>
      <c r="U639">
        <v>2</v>
      </c>
      <c r="V639" t="s">
        <v>58</v>
      </c>
      <c r="W639" s="2">
        <v>42706</v>
      </c>
      <c r="Y639" t="s">
        <v>54</v>
      </c>
      <c r="Z639" t="s">
        <v>47</v>
      </c>
      <c r="AA639">
        <v>0</v>
      </c>
      <c r="AB639">
        <v>2</v>
      </c>
      <c r="AC639" t="s">
        <v>41</v>
      </c>
      <c r="AD639" t="s">
        <v>67</v>
      </c>
      <c r="AE639" t="s">
        <v>49</v>
      </c>
      <c r="AF639" s="3">
        <v>882</v>
      </c>
      <c r="AG639" s="3">
        <v>61</v>
      </c>
      <c r="AH639">
        <v>80</v>
      </c>
      <c r="AI639">
        <v>0</v>
      </c>
      <c r="AJ639">
        <v>0</v>
      </c>
      <c r="AL639">
        <v>0</v>
      </c>
      <c r="AM639">
        <v>1</v>
      </c>
      <c r="AN639" t="s">
        <v>768</v>
      </c>
      <c r="AO639" t="s">
        <v>41</v>
      </c>
    </row>
    <row r="640" spans="1:41" x14ac:dyDescent="0.25">
      <c r="A640">
        <v>30</v>
      </c>
      <c r="B640" t="s">
        <v>32</v>
      </c>
      <c r="C640" t="s">
        <v>33</v>
      </c>
      <c r="D640">
        <v>2</v>
      </c>
      <c r="E640" t="s">
        <v>61</v>
      </c>
      <c r="F640">
        <v>1</v>
      </c>
      <c r="G640">
        <v>2</v>
      </c>
      <c r="H640" t="s">
        <v>78</v>
      </c>
      <c r="I640">
        <v>4</v>
      </c>
      <c r="J640" t="s">
        <v>36</v>
      </c>
      <c r="K640">
        <v>6091</v>
      </c>
      <c r="L640">
        <v>2</v>
      </c>
      <c r="M640" t="s">
        <v>41</v>
      </c>
      <c r="N640">
        <v>20</v>
      </c>
      <c r="O640">
        <v>4</v>
      </c>
      <c r="P640">
        <v>0</v>
      </c>
      <c r="Q640">
        <v>11</v>
      </c>
      <c r="R640">
        <v>2</v>
      </c>
      <c r="S640">
        <v>5</v>
      </c>
      <c r="T640">
        <v>0</v>
      </c>
      <c r="U640">
        <v>2</v>
      </c>
      <c r="V640" t="s">
        <v>72</v>
      </c>
      <c r="W640" s="1" t="s">
        <v>342</v>
      </c>
      <c r="Y640" t="s">
        <v>54</v>
      </c>
      <c r="Z640" t="s">
        <v>47</v>
      </c>
      <c r="AA640">
        <v>4</v>
      </c>
      <c r="AB640">
        <v>2</v>
      </c>
      <c r="AC640" t="s">
        <v>31</v>
      </c>
      <c r="AD640" t="s">
        <v>48</v>
      </c>
      <c r="AE640" t="s">
        <v>60</v>
      </c>
      <c r="AF640" s="3">
        <v>885</v>
      </c>
      <c r="AG640" s="3">
        <v>87</v>
      </c>
      <c r="AH640">
        <v>80</v>
      </c>
      <c r="AI640">
        <v>2</v>
      </c>
      <c r="AJ640">
        <v>0</v>
      </c>
      <c r="AL640">
        <v>0</v>
      </c>
      <c r="AM640">
        <v>1</v>
      </c>
      <c r="AN640" t="s">
        <v>768</v>
      </c>
      <c r="AO640" t="s">
        <v>41</v>
      </c>
    </row>
    <row r="641" spans="1:41" x14ac:dyDescent="0.25">
      <c r="A641">
        <v>24</v>
      </c>
      <c r="B641" t="s">
        <v>32</v>
      </c>
      <c r="C641" t="s">
        <v>55</v>
      </c>
      <c r="D641">
        <v>1</v>
      </c>
      <c r="E641" t="s">
        <v>61</v>
      </c>
      <c r="F641">
        <v>3</v>
      </c>
      <c r="G641">
        <v>1</v>
      </c>
      <c r="H641" t="s">
        <v>56</v>
      </c>
      <c r="I641">
        <v>2</v>
      </c>
      <c r="J641" t="s">
        <v>36</v>
      </c>
      <c r="K641">
        <v>3202</v>
      </c>
      <c r="L641">
        <v>1</v>
      </c>
      <c r="M641" t="s">
        <v>31</v>
      </c>
      <c r="N641">
        <v>16</v>
      </c>
      <c r="O641">
        <v>3</v>
      </c>
      <c r="P641">
        <v>0</v>
      </c>
      <c r="Q641">
        <v>6</v>
      </c>
      <c r="R641">
        <v>4</v>
      </c>
      <c r="S641">
        <v>5</v>
      </c>
      <c r="T641">
        <v>1</v>
      </c>
      <c r="U641">
        <v>4</v>
      </c>
      <c r="V641" t="s">
        <v>37</v>
      </c>
      <c r="W641" s="1" t="s">
        <v>343</v>
      </c>
      <c r="Y641" t="s">
        <v>54</v>
      </c>
      <c r="Z641" t="s">
        <v>47</v>
      </c>
      <c r="AA641">
        <v>4</v>
      </c>
      <c r="AB641">
        <v>3</v>
      </c>
      <c r="AC641" t="s">
        <v>41</v>
      </c>
      <c r="AD641" t="s">
        <v>48</v>
      </c>
      <c r="AE641" t="s">
        <v>60</v>
      </c>
      <c r="AF641" s="3">
        <v>887</v>
      </c>
      <c r="AG641" s="3">
        <v>36</v>
      </c>
      <c r="AH641">
        <v>80</v>
      </c>
      <c r="AI641">
        <v>2</v>
      </c>
      <c r="AJ641">
        <v>0</v>
      </c>
      <c r="AL641">
        <v>0</v>
      </c>
      <c r="AM641">
        <v>1</v>
      </c>
      <c r="AN641" t="s">
        <v>768</v>
      </c>
      <c r="AO641" t="s">
        <v>41</v>
      </c>
    </row>
    <row r="642" spans="1:41" x14ac:dyDescent="0.25">
      <c r="A642">
        <v>30</v>
      </c>
      <c r="B642" t="s">
        <v>81</v>
      </c>
      <c r="C642" t="s">
        <v>33</v>
      </c>
      <c r="D642">
        <v>3</v>
      </c>
      <c r="E642" t="s">
        <v>34</v>
      </c>
      <c r="F642">
        <v>3</v>
      </c>
      <c r="G642">
        <v>1</v>
      </c>
      <c r="H642" t="s">
        <v>35</v>
      </c>
      <c r="I642">
        <v>4</v>
      </c>
      <c r="J642" t="s">
        <v>51</v>
      </c>
      <c r="K642">
        <v>2097</v>
      </c>
      <c r="L642">
        <v>4</v>
      </c>
      <c r="M642" t="s">
        <v>41</v>
      </c>
      <c r="N642">
        <v>15</v>
      </c>
      <c r="O642">
        <v>3</v>
      </c>
      <c r="P642">
        <v>1</v>
      </c>
      <c r="Q642">
        <v>9</v>
      </c>
      <c r="R642">
        <v>3</v>
      </c>
      <c r="S642">
        <v>5</v>
      </c>
      <c r="T642">
        <v>1</v>
      </c>
      <c r="U642">
        <v>4</v>
      </c>
      <c r="V642" t="s">
        <v>37</v>
      </c>
      <c r="W642" s="1" t="s">
        <v>344</v>
      </c>
      <c r="Y642" t="s">
        <v>46</v>
      </c>
      <c r="Z642" t="s">
        <v>40</v>
      </c>
      <c r="AA642">
        <v>3</v>
      </c>
      <c r="AB642">
        <v>3</v>
      </c>
      <c r="AC642" t="s">
        <v>31</v>
      </c>
      <c r="AD642" t="s">
        <v>67</v>
      </c>
      <c r="AE642" t="s">
        <v>49</v>
      </c>
      <c r="AF642" s="3">
        <v>888</v>
      </c>
      <c r="AG642" s="3">
        <v>46</v>
      </c>
      <c r="AH642">
        <v>80</v>
      </c>
      <c r="AI642">
        <v>2</v>
      </c>
      <c r="AJ642">
        <v>0</v>
      </c>
      <c r="AL642">
        <v>0</v>
      </c>
      <c r="AM642">
        <v>1</v>
      </c>
      <c r="AN642" t="s">
        <v>768</v>
      </c>
      <c r="AO642" t="s">
        <v>41</v>
      </c>
    </row>
    <row r="643" spans="1:41" x14ac:dyDescent="0.25">
      <c r="A643">
        <v>47</v>
      </c>
      <c r="B643" t="s">
        <v>32</v>
      </c>
      <c r="C643" t="s">
        <v>33</v>
      </c>
      <c r="D643">
        <v>2</v>
      </c>
      <c r="E643" t="s">
        <v>61</v>
      </c>
      <c r="F643">
        <v>3</v>
      </c>
      <c r="G643">
        <v>2</v>
      </c>
      <c r="H643" t="s">
        <v>78</v>
      </c>
      <c r="I643">
        <v>4</v>
      </c>
      <c r="J643" t="s">
        <v>57</v>
      </c>
      <c r="K643">
        <v>5070</v>
      </c>
      <c r="L643">
        <v>5</v>
      </c>
      <c r="M643" t="s">
        <v>41</v>
      </c>
      <c r="N643">
        <v>13</v>
      </c>
      <c r="O643">
        <v>3</v>
      </c>
      <c r="P643">
        <v>3</v>
      </c>
      <c r="Q643">
        <v>20</v>
      </c>
      <c r="R643">
        <v>2</v>
      </c>
      <c r="S643">
        <v>5</v>
      </c>
      <c r="T643">
        <v>0</v>
      </c>
      <c r="U643">
        <v>4</v>
      </c>
      <c r="V643" t="s">
        <v>37</v>
      </c>
      <c r="W643" s="1" t="s">
        <v>345</v>
      </c>
      <c r="Y643" t="s">
        <v>69</v>
      </c>
      <c r="Z643" t="s">
        <v>47</v>
      </c>
      <c r="AA643">
        <v>3</v>
      </c>
      <c r="AB643">
        <v>3</v>
      </c>
      <c r="AC643" t="s">
        <v>31</v>
      </c>
      <c r="AD643" t="s">
        <v>42</v>
      </c>
      <c r="AE643" t="s">
        <v>60</v>
      </c>
      <c r="AF643" s="3">
        <v>889</v>
      </c>
      <c r="AG643" s="3">
        <v>48</v>
      </c>
      <c r="AH643">
        <v>80</v>
      </c>
      <c r="AI643">
        <v>8</v>
      </c>
      <c r="AJ643">
        <v>0</v>
      </c>
      <c r="AL643">
        <v>0</v>
      </c>
      <c r="AM643">
        <v>1</v>
      </c>
      <c r="AN643" t="s">
        <v>768</v>
      </c>
      <c r="AO643" t="s">
        <v>41</v>
      </c>
    </row>
    <row r="644" spans="1:41" x14ac:dyDescent="0.25">
      <c r="A644">
        <v>35</v>
      </c>
      <c r="B644" t="s">
        <v>32</v>
      </c>
      <c r="C644" t="s">
        <v>33</v>
      </c>
      <c r="D644">
        <v>22</v>
      </c>
      <c r="E644" t="s">
        <v>34</v>
      </c>
      <c r="F644">
        <v>1</v>
      </c>
      <c r="G644">
        <v>1</v>
      </c>
      <c r="H644" t="s">
        <v>35</v>
      </c>
      <c r="I644">
        <v>3</v>
      </c>
      <c r="J644" t="s">
        <v>36</v>
      </c>
      <c r="K644">
        <v>4230</v>
      </c>
      <c r="L644">
        <v>0</v>
      </c>
      <c r="M644" t="s">
        <v>41</v>
      </c>
      <c r="N644">
        <v>15</v>
      </c>
      <c r="O644">
        <v>3</v>
      </c>
      <c r="P644">
        <v>0</v>
      </c>
      <c r="Q644">
        <v>6</v>
      </c>
      <c r="R644">
        <v>2</v>
      </c>
      <c r="S644">
        <v>5</v>
      </c>
      <c r="T644">
        <v>4</v>
      </c>
      <c r="U644">
        <v>3</v>
      </c>
      <c r="V644" t="s">
        <v>52</v>
      </c>
      <c r="W644" s="1" t="s">
        <v>346</v>
      </c>
      <c r="Y644" t="s">
        <v>39</v>
      </c>
      <c r="Z644" t="s">
        <v>47</v>
      </c>
      <c r="AA644">
        <v>3</v>
      </c>
      <c r="AB644">
        <v>1</v>
      </c>
      <c r="AC644" t="s">
        <v>31</v>
      </c>
      <c r="AD644" t="s">
        <v>65</v>
      </c>
      <c r="AE644" t="s">
        <v>49</v>
      </c>
      <c r="AF644" s="3">
        <v>893</v>
      </c>
      <c r="AG644" s="3">
        <v>98</v>
      </c>
      <c r="AH644">
        <v>80</v>
      </c>
      <c r="AI644">
        <v>2</v>
      </c>
      <c r="AJ644">
        <v>0</v>
      </c>
      <c r="AL644">
        <v>0</v>
      </c>
      <c r="AM644">
        <v>1</v>
      </c>
      <c r="AN644" t="s">
        <v>768</v>
      </c>
      <c r="AO644" t="s">
        <v>41</v>
      </c>
    </row>
    <row r="645" spans="1:41" x14ac:dyDescent="0.25">
      <c r="A645">
        <v>31</v>
      </c>
      <c r="B645" t="s">
        <v>32</v>
      </c>
      <c r="C645" t="s">
        <v>55</v>
      </c>
      <c r="D645">
        <v>7</v>
      </c>
      <c r="E645" t="s">
        <v>34</v>
      </c>
      <c r="F645">
        <v>2</v>
      </c>
      <c r="G645">
        <v>3</v>
      </c>
      <c r="H645" t="s">
        <v>75</v>
      </c>
      <c r="I645">
        <v>4</v>
      </c>
      <c r="J645" t="s">
        <v>57</v>
      </c>
      <c r="K645">
        <v>11557</v>
      </c>
      <c r="L645">
        <v>9</v>
      </c>
      <c r="M645" t="s">
        <v>41</v>
      </c>
      <c r="N645">
        <v>21</v>
      </c>
      <c r="O645">
        <v>4</v>
      </c>
      <c r="P645">
        <v>1</v>
      </c>
      <c r="Q645">
        <v>10</v>
      </c>
      <c r="R645">
        <v>3</v>
      </c>
      <c r="S645">
        <v>5</v>
      </c>
      <c r="T645">
        <v>0</v>
      </c>
      <c r="U645">
        <v>1</v>
      </c>
      <c r="V645" t="s">
        <v>58</v>
      </c>
      <c r="W645" s="1" t="s">
        <v>347</v>
      </c>
      <c r="Y645" t="s">
        <v>54</v>
      </c>
      <c r="Z645" t="s">
        <v>47</v>
      </c>
      <c r="AA645">
        <v>0</v>
      </c>
      <c r="AB645">
        <v>0</v>
      </c>
      <c r="AC645" t="s">
        <v>41</v>
      </c>
      <c r="AD645" t="s">
        <v>42</v>
      </c>
      <c r="AE645" t="s">
        <v>43</v>
      </c>
      <c r="AF645" s="3">
        <v>894</v>
      </c>
      <c r="AG645" s="3">
        <v>95</v>
      </c>
      <c r="AH645">
        <v>80</v>
      </c>
      <c r="AI645">
        <v>3</v>
      </c>
      <c r="AJ645">
        <v>0</v>
      </c>
      <c r="AL645">
        <v>0</v>
      </c>
      <c r="AM645">
        <v>1</v>
      </c>
      <c r="AN645" t="s">
        <v>768</v>
      </c>
      <c r="AO645" t="s">
        <v>41</v>
      </c>
    </row>
    <row r="646" spans="1:41" x14ac:dyDescent="0.25">
      <c r="A646">
        <v>35</v>
      </c>
      <c r="B646" t="s">
        <v>32</v>
      </c>
      <c r="C646" t="s">
        <v>55</v>
      </c>
      <c r="D646">
        <v>1</v>
      </c>
      <c r="E646" t="s">
        <v>61</v>
      </c>
      <c r="F646">
        <v>3</v>
      </c>
      <c r="G646">
        <v>2</v>
      </c>
      <c r="H646" t="s">
        <v>70</v>
      </c>
      <c r="I646">
        <v>3</v>
      </c>
      <c r="J646" t="s">
        <v>36</v>
      </c>
      <c r="K646">
        <v>4859</v>
      </c>
      <c r="L646">
        <v>1</v>
      </c>
      <c r="M646" t="s">
        <v>41</v>
      </c>
      <c r="N646">
        <v>16</v>
      </c>
      <c r="O646">
        <v>3</v>
      </c>
      <c r="P646">
        <v>0</v>
      </c>
      <c r="Q646">
        <v>5</v>
      </c>
      <c r="R646">
        <v>3</v>
      </c>
      <c r="S646">
        <v>5</v>
      </c>
      <c r="T646">
        <v>0</v>
      </c>
      <c r="U646">
        <v>3</v>
      </c>
      <c r="V646" t="s">
        <v>52</v>
      </c>
      <c r="W646" s="2">
        <v>42525</v>
      </c>
      <c r="Y646" t="s">
        <v>63</v>
      </c>
      <c r="Z646" t="s">
        <v>47</v>
      </c>
      <c r="AA646">
        <v>3</v>
      </c>
      <c r="AB646">
        <v>2</v>
      </c>
      <c r="AC646" t="s">
        <v>41</v>
      </c>
      <c r="AD646" t="s">
        <v>48</v>
      </c>
      <c r="AE646" t="s">
        <v>49</v>
      </c>
      <c r="AF646" s="3">
        <v>895</v>
      </c>
      <c r="AG646" s="3">
        <v>48</v>
      </c>
      <c r="AH646">
        <v>80</v>
      </c>
      <c r="AI646">
        <v>4</v>
      </c>
      <c r="AJ646">
        <v>0</v>
      </c>
      <c r="AL646">
        <v>0</v>
      </c>
      <c r="AM646">
        <v>1</v>
      </c>
      <c r="AN646" t="s">
        <v>768</v>
      </c>
      <c r="AO646" t="s">
        <v>41</v>
      </c>
    </row>
    <row r="647" spans="1:41" x14ac:dyDescent="0.25">
      <c r="A647">
        <v>26</v>
      </c>
      <c r="B647" t="s">
        <v>32</v>
      </c>
      <c r="C647" t="s">
        <v>55</v>
      </c>
      <c r="D647">
        <v>28</v>
      </c>
      <c r="E647" t="s">
        <v>34</v>
      </c>
      <c r="F647">
        <v>3</v>
      </c>
      <c r="G647">
        <v>2</v>
      </c>
      <c r="H647" t="s">
        <v>70</v>
      </c>
      <c r="I647">
        <v>2</v>
      </c>
      <c r="J647" t="s">
        <v>51</v>
      </c>
      <c r="K647">
        <v>6272</v>
      </c>
      <c r="L647">
        <v>1</v>
      </c>
      <c r="M647" t="s">
        <v>41</v>
      </c>
      <c r="N647">
        <v>20</v>
      </c>
      <c r="O647">
        <v>4</v>
      </c>
      <c r="P647">
        <v>2</v>
      </c>
      <c r="Q647">
        <v>6</v>
      </c>
      <c r="R647">
        <v>5</v>
      </c>
      <c r="S647">
        <v>5</v>
      </c>
      <c r="T647">
        <v>1</v>
      </c>
      <c r="U647">
        <v>4</v>
      </c>
      <c r="V647" t="s">
        <v>37</v>
      </c>
      <c r="W647" s="1" t="s">
        <v>348</v>
      </c>
      <c r="Y647" t="s">
        <v>63</v>
      </c>
      <c r="Z647" t="s">
        <v>47</v>
      </c>
      <c r="AA647">
        <v>3</v>
      </c>
      <c r="AB647">
        <v>1</v>
      </c>
      <c r="AC647" t="s">
        <v>31</v>
      </c>
      <c r="AD647" t="s">
        <v>67</v>
      </c>
      <c r="AE647" t="s">
        <v>43</v>
      </c>
      <c r="AF647" s="3">
        <v>896</v>
      </c>
      <c r="AG647" s="3">
        <v>48</v>
      </c>
      <c r="AH647">
        <v>80</v>
      </c>
      <c r="AI647">
        <v>2</v>
      </c>
      <c r="AJ647">
        <v>1</v>
      </c>
      <c r="AK647">
        <v>1</v>
      </c>
      <c r="AL647">
        <v>1</v>
      </c>
      <c r="AM647">
        <v>0</v>
      </c>
      <c r="AN647" t="s">
        <v>767</v>
      </c>
      <c r="AO647" t="s">
        <v>31</v>
      </c>
    </row>
    <row r="648" spans="1:41" x14ac:dyDescent="0.25">
      <c r="A648">
        <v>27</v>
      </c>
      <c r="B648" t="s">
        <v>32</v>
      </c>
      <c r="C648" t="s">
        <v>33</v>
      </c>
      <c r="D648">
        <v>6</v>
      </c>
      <c r="E648" t="s">
        <v>61</v>
      </c>
      <c r="F648">
        <v>2</v>
      </c>
      <c r="G648">
        <v>1</v>
      </c>
      <c r="H648" t="s">
        <v>44</v>
      </c>
      <c r="I648">
        <v>3</v>
      </c>
      <c r="J648" t="s">
        <v>57</v>
      </c>
      <c r="K648">
        <v>2187</v>
      </c>
      <c r="L648">
        <v>0</v>
      </c>
      <c r="M648" t="s">
        <v>41</v>
      </c>
      <c r="N648">
        <v>12</v>
      </c>
      <c r="O648">
        <v>3</v>
      </c>
      <c r="P648">
        <v>2</v>
      </c>
      <c r="Q648">
        <v>6</v>
      </c>
      <c r="R648">
        <v>5</v>
      </c>
      <c r="S648">
        <v>5</v>
      </c>
      <c r="T648">
        <v>0</v>
      </c>
      <c r="U648">
        <v>3</v>
      </c>
      <c r="V648" t="s">
        <v>58</v>
      </c>
      <c r="W648" s="1" t="s">
        <v>349</v>
      </c>
      <c r="Y648" t="s">
        <v>46</v>
      </c>
      <c r="Z648" t="s">
        <v>40</v>
      </c>
      <c r="AA648">
        <v>3</v>
      </c>
      <c r="AB648">
        <v>2</v>
      </c>
      <c r="AC648" t="s">
        <v>31</v>
      </c>
      <c r="AD648" t="s">
        <v>48</v>
      </c>
      <c r="AE648" t="s">
        <v>60</v>
      </c>
      <c r="AF648" s="3">
        <v>897</v>
      </c>
      <c r="AG648" s="3">
        <v>73</v>
      </c>
      <c r="AH648">
        <v>80</v>
      </c>
      <c r="AI648">
        <v>0</v>
      </c>
      <c r="AJ648">
        <v>0</v>
      </c>
      <c r="AL648">
        <v>0</v>
      </c>
      <c r="AM648">
        <v>1</v>
      </c>
      <c r="AN648" t="s">
        <v>768</v>
      </c>
      <c r="AO648" t="s">
        <v>41</v>
      </c>
    </row>
    <row r="649" spans="1:41" x14ac:dyDescent="0.25">
      <c r="A649">
        <v>33</v>
      </c>
      <c r="B649" t="s">
        <v>32</v>
      </c>
      <c r="C649" t="s">
        <v>55</v>
      </c>
      <c r="D649">
        <v>8</v>
      </c>
      <c r="E649" t="s">
        <v>34</v>
      </c>
      <c r="F649">
        <v>3</v>
      </c>
      <c r="G649">
        <v>2</v>
      </c>
      <c r="H649" t="s">
        <v>70</v>
      </c>
      <c r="I649">
        <v>3</v>
      </c>
      <c r="J649" t="s">
        <v>57</v>
      </c>
      <c r="K649">
        <v>7104</v>
      </c>
      <c r="L649">
        <v>0</v>
      </c>
      <c r="M649" t="s">
        <v>41</v>
      </c>
      <c r="N649">
        <v>12</v>
      </c>
      <c r="O649">
        <v>3</v>
      </c>
      <c r="P649">
        <v>0</v>
      </c>
      <c r="Q649">
        <v>6</v>
      </c>
      <c r="R649">
        <v>3</v>
      </c>
      <c r="S649">
        <v>5</v>
      </c>
      <c r="T649">
        <v>1</v>
      </c>
      <c r="U649">
        <v>2</v>
      </c>
      <c r="V649" t="s">
        <v>72</v>
      </c>
      <c r="W649" s="1" t="s">
        <v>335</v>
      </c>
      <c r="Y649" t="s">
        <v>39</v>
      </c>
      <c r="Z649" t="s">
        <v>40</v>
      </c>
      <c r="AA649">
        <v>1</v>
      </c>
      <c r="AB649">
        <v>0</v>
      </c>
      <c r="AC649" t="s">
        <v>41</v>
      </c>
      <c r="AD649" t="s">
        <v>48</v>
      </c>
      <c r="AE649" t="s">
        <v>60</v>
      </c>
      <c r="AF649" s="3">
        <v>899</v>
      </c>
      <c r="AG649" s="3">
        <v>78</v>
      </c>
      <c r="AH649">
        <v>80</v>
      </c>
      <c r="AI649">
        <v>10</v>
      </c>
      <c r="AJ649">
        <v>0</v>
      </c>
      <c r="AL649">
        <v>0</v>
      </c>
      <c r="AM649">
        <v>1</v>
      </c>
      <c r="AN649" t="s">
        <v>768</v>
      </c>
      <c r="AO649" t="s">
        <v>41</v>
      </c>
    </row>
    <row r="650" spans="1:41" x14ac:dyDescent="0.25">
      <c r="A650">
        <v>53</v>
      </c>
      <c r="B650" t="s">
        <v>32</v>
      </c>
      <c r="C650" t="s">
        <v>33</v>
      </c>
      <c r="D650">
        <v>7</v>
      </c>
      <c r="E650" t="s">
        <v>34</v>
      </c>
      <c r="F650">
        <v>4</v>
      </c>
      <c r="G650">
        <v>4</v>
      </c>
      <c r="H650" t="s">
        <v>50</v>
      </c>
      <c r="I650">
        <v>3</v>
      </c>
      <c r="J650" t="s">
        <v>51</v>
      </c>
      <c r="K650">
        <v>14814</v>
      </c>
      <c r="L650">
        <v>3</v>
      </c>
      <c r="M650" t="s">
        <v>41</v>
      </c>
      <c r="N650">
        <v>19</v>
      </c>
      <c r="O650">
        <v>3</v>
      </c>
      <c r="P650">
        <v>0</v>
      </c>
      <c r="Q650">
        <v>32</v>
      </c>
      <c r="R650">
        <v>3</v>
      </c>
      <c r="S650">
        <v>5</v>
      </c>
      <c r="T650">
        <v>1</v>
      </c>
      <c r="U650">
        <v>3</v>
      </c>
      <c r="V650" t="s">
        <v>72</v>
      </c>
      <c r="W650" s="1" t="s">
        <v>350</v>
      </c>
      <c r="Y650" t="s">
        <v>63</v>
      </c>
      <c r="Z650" t="s">
        <v>47</v>
      </c>
      <c r="AA650">
        <v>5</v>
      </c>
      <c r="AB650">
        <v>0</v>
      </c>
      <c r="AC650" t="s">
        <v>31</v>
      </c>
      <c r="AD650" t="s">
        <v>67</v>
      </c>
      <c r="AE650" t="s">
        <v>60</v>
      </c>
      <c r="AF650" s="3">
        <v>900</v>
      </c>
      <c r="AG650" s="3">
        <v>54</v>
      </c>
      <c r="AH650">
        <v>80</v>
      </c>
      <c r="AI650">
        <v>4</v>
      </c>
      <c r="AJ650">
        <v>0</v>
      </c>
      <c r="AL650">
        <v>0</v>
      </c>
      <c r="AM650">
        <v>1</v>
      </c>
      <c r="AN650" t="s">
        <v>768</v>
      </c>
      <c r="AO650" t="s">
        <v>41</v>
      </c>
    </row>
    <row r="651" spans="1:41" x14ac:dyDescent="0.25">
      <c r="A651">
        <v>44</v>
      </c>
      <c r="B651" t="s">
        <v>81</v>
      </c>
      <c r="C651" t="s">
        <v>33</v>
      </c>
      <c r="D651">
        <v>24</v>
      </c>
      <c r="E651" t="s">
        <v>34</v>
      </c>
      <c r="F651">
        <v>1</v>
      </c>
      <c r="G651">
        <v>1</v>
      </c>
      <c r="H651" t="s">
        <v>35</v>
      </c>
      <c r="I651">
        <v>3</v>
      </c>
      <c r="J651" t="s">
        <v>36</v>
      </c>
      <c r="K651">
        <v>3708</v>
      </c>
      <c r="L651">
        <v>2</v>
      </c>
      <c r="M651" t="s">
        <v>41</v>
      </c>
      <c r="N651">
        <v>14</v>
      </c>
      <c r="O651">
        <v>3</v>
      </c>
      <c r="P651">
        <v>0</v>
      </c>
      <c r="Q651">
        <v>9</v>
      </c>
      <c r="R651">
        <v>5</v>
      </c>
      <c r="S651">
        <v>5</v>
      </c>
      <c r="T651">
        <v>1</v>
      </c>
      <c r="U651">
        <v>4</v>
      </c>
      <c r="V651" t="s">
        <v>52</v>
      </c>
      <c r="W651" s="1" t="s">
        <v>351</v>
      </c>
      <c r="Y651" t="s">
        <v>54</v>
      </c>
      <c r="Z651" t="s">
        <v>47</v>
      </c>
      <c r="AA651">
        <v>0</v>
      </c>
      <c r="AB651">
        <v>1</v>
      </c>
      <c r="AC651" t="s">
        <v>41</v>
      </c>
      <c r="AD651" t="s">
        <v>42</v>
      </c>
      <c r="AE651" t="s">
        <v>60</v>
      </c>
      <c r="AF651" s="3">
        <v>901</v>
      </c>
      <c r="AG651" s="3">
        <v>72</v>
      </c>
      <c r="AH651">
        <v>80</v>
      </c>
      <c r="AI651">
        <v>9</v>
      </c>
      <c r="AJ651">
        <v>0</v>
      </c>
      <c r="AL651">
        <v>0</v>
      </c>
      <c r="AM651">
        <v>1</v>
      </c>
      <c r="AN651" t="s">
        <v>768</v>
      </c>
      <c r="AO651" t="s">
        <v>41</v>
      </c>
    </row>
    <row r="652" spans="1:41" x14ac:dyDescent="0.25">
      <c r="A652">
        <v>34</v>
      </c>
      <c r="B652" t="s">
        <v>32</v>
      </c>
      <c r="C652" t="s">
        <v>33</v>
      </c>
      <c r="D652">
        <v>8</v>
      </c>
      <c r="E652" t="s">
        <v>61</v>
      </c>
      <c r="F652">
        <v>3</v>
      </c>
      <c r="G652">
        <v>2</v>
      </c>
      <c r="H652" t="s">
        <v>89</v>
      </c>
      <c r="I652">
        <v>3</v>
      </c>
      <c r="J652" t="s">
        <v>36</v>
      </c>
      <c r="K652">
        <v>6142</v>
      </c>
      <c r="L652">
        <v>3</v>
      </c>
      <c r="M652" t="s">
        <v>41</v>
      </c>
      <c r="N652">
        <v>11</v>
      </c>
      <c r="O652">
        <v>3</v>
      </c>
      <c r="P652">
        <v>0</v>
      </c>
      <c r="Q652">
        <v>10</v>
      </c>
      <c r="R652">
        <v>2</v>
      </c>
      <c r="S652">
        <v>5</v>
      </c>
      <c r="T652">
        <v>4</v>
      </c>
      <c r="U652">
        <v>3</v>
      </c>
      <c r="V652" t="s">
        <v>37</v>
      </c>
      <c r="W652" s="2">
        <v>42705</v>
      </c>
      <c r="Y652" t="s">
        <v>63</v>
      </c>
      <c r="Z652" t="s">
        <v>40</v>
      </c>
      <c r="AA652">
        <v>5</v>
      </c>
      <c r="AB652">
        <v>1</v>
      </c>
      <c r="AC652" t="s">
        <v>31</v>
      </c>
      <c r="AD652" t="s">
        <v>42</v>
      </c>
      <c r="AE652" t="s">
        <v>43</v>
      </c>
      <c r="AF652" s="3">
        <v>902</v>
      </c>
      <c r="AG652" s="3">
        <v>33</v>
      </c>
      <c r="AH652">
        <v>80</v>
      </c>
      <c r="AI652">
        <v>2</v>
      </c>
      <c r="AJ652">
        <v>0</v>
      </c>
      <c r="AL652">
        <v>0</v>
      </c>
      <c r="AM652">
        <v>1</v>
      </c>
      <c r="AN652" t="s">
        <v>768</v>
      </c>
      <c r="AO652" t="s">
        <v>41</v>
      </c>
    </row>
    <row r="653" spans="1:41" x14ac:dyDescent="0.25">
      <c r="A653">
        <v>47</v>
      </c>
      <c r="B653" t="s">
        <v>66</v>
      </c>
      <c r="C653" t="s">
        <v>55</v>
      </c>
      <c r="D653">
        <v>27</v>
      </c>
      <c r="E653" t="s">
        <v>61</v>
      </c>
      <c r="F653">
        <v>4</v>
      </c>
      <c r="G653">
        <v>2</v>
      </c>
      <c r="H653" t="s">
        <v>70</v>
      </c>
      <c r="I653">
        <v>3</v>
      </c>
      <c r="J653" t="s">
        <v>36</v>
      </c>
      <c r="K653">
        <v>6397</v>
      </c>
      <c r="L653">
        <v>4</v>
      </c>
      <c r="M653" t="s">
        <v>31</v>
      </c>
      <c r="N653">
        <v>12</v>
      </c>
      <c r="O653">
        <v>3</v>
      </c>
      <c r="P653">
        <v>0</v>
      </c>
      <c r="Q653">
        <v>8</v>
      </c>
      <c r="R653">
        <v>2</v>
      </c>
      <c r="S653">
        <v>5</v>
      </c>
      <c r="T653">
        <v>1</v>
      </c>
      <c r="U653">
        <v>3</v>
      </c>
      <c r="V653" t="s">
        <v>58</v>
      </c>
      <c r="W653" s="1" t="s">
        <v>352</v>
      </c>
      <c r="Y653" t="s">
        <v>63</v>
      </c>
      <c r="Z653" t="s">
        <v>47</v>
      </c>
      <c r="AA653">
        <v>0</v>
      </c>
      <c r="AB653">
        <v>0</v>
      </c>
      <c r="AC653" t="s">
        <v>41</v>
      </c>
      <c r="AD653" t="s">
        <v>67</v>
      </c>
      <c r="AE653" t="s">
        <v>49</v>
      </c>
      <c r="AF653" s="3">
        <v>903</v>
      </c>
      <c r="AG653" s="3">
        <v>35</v>
      </c>
      <c r="AH653">
        <v>80</v>
      </c>
      <c r="AI653">
        <v>6</v>
      </c>
      <c r="AJ653">
        <v>0</v>
      </c>
      <c r="AL653">
        <v>0</v>
      </c>
      <c r="AM653">
        <v>1</v>
      </c>
      <c r="AN653" t="s">
        <v>768</v>
      </c>
      <c r="AO653" t="s">
        <v>41</v>
      </c>
    </row>
    <row r="654" spans="1:41" x14ac:dyDescent="0.25">
      <c r="A654">
        <v>55</v>
      </c>
      <c r="B654" t="s">
        <v>32</v>
      </c>
      <c r="C654" t="s">
        <v>33</v>
      </c>
      <c r="D654">
        <v>2</v>
      </c>
      <c r="E654" t="s">
        <v>34</v>
      </c>
      <c r="F654">
        <v>3</v>
      </c>
      <c r="G654">
        <v>5</v>
      </c>
      <c r="H654" t="s">
        <v>75</v>
      </c>
      <c r="I654">
        <v>1</v>
      </c>
      <c r="J654" t="s">
        <v>51</v>
      </c>
      <c r="K654">
        <v>19859</v>
      </c>
      <c r="L654">
        <v>5</v>
      </c>
      <c r="M654" t="s">
        <v>31</v>
      </c>
      <c r="N654">
        <v>13</v>
      </c>
      <c r="O654">
        <v>3</v>
      </c>
      <c r="P654">
        <v>1</v>
      </c>
      <c r="Q654">
        <v>24</v>
      </c>
      <c r="R654">
        <v>2</v>
      </c>
      <c r="S654">
        <v>5</v>
      </c>
      <c r="T654">
        <v>1</v>
      </c>
      <c r="U654">
        <v>4</v>
      </c>
      <c r="V654" t="s">
        <v>52</v>
      </c>
      <c r="W654" s="1" t="s">
        <v>353</v>
      </c>
      <c r="Y654" t="s">
        <v>46</v>
      </c>
      <c r="Z654" t="s">
        <v>40</v>
      </c>
      <c r="AA654">
        <v>5</v>
      </c>
      <c r="AB654">
        <v>2</v>
      </c>
      <c r="AC654" t="s">
        <v>31</v>
      </c>
      <c r="AD654" t="s">
        <v>67</v>
      </c>
      <c r="AE654" t="s">
        <v>60</v>
      </c>
      <c r="AF654" s="3">
        <v>904</v>
      </c>
      <c r="AG654" s="3">
        <v>32</v>
      </c>
      <c r="AH654">
        <v>80</v>
      </c>
      <c r="AI654">
        <v>0</v>
      </c>
      <c r="AJ654">
        <v>0</v>
      </c>
      <c r="AL654">
        <v>0</v>
      </c>
      <c r="AM654">
        <v>1</v>
      </c>
      <c r="AN654" t="s">
        <v>768</v>
      </c>
      <c r="AO654" t="s">
        <v>41</v>
      </c>
    </row>
    <row r="655" spans="1:41" x14ac:dyDescent="0.25">
      <c r="A655">
        <v>54</v>
      </c>
      <c r="B655" t="s">
        <v>32</v>
      </c>
      <c r="C655" t="s">
        <v>33</v>
      </c>
      <c r="D655">
        <v>19</v>
      </c>
      <c r="E655" t="s">
        <v>61</v>
      </c>
      <c r="F655">
        <v>3</v>
      </c>
      <c r="G655">
        <v>2</v>
      </c>
      <c r="H655" t="s">
        <v>78</v>
      </c>
      <c r="I655">
        <v>1</v>
      </c>
      <c r="J655" t="s">
        <v>57</v>
      </c>
      <c r="K655">
        <v>5485</v>
      </c>
      <c r="L655">
        <v>9</v>
      </c>
      <c r="M655" t="s">
        <v>31</v>
      </c>
      <c r="N655">
        <v>11</v>
      </c>
      <c r="O655">
        <v>3</v>
      </c>
      <c r="P655">
        <v>2</v>
      </c>
      <c r="Q655">
        <v>9</v>
      </c>
      <c r="R655">
        <v>4</v>
      </c>
      <c r="S655">
        <v>5</v>
      </c>
      <c r="T655">
        <v>1</v>
      </c>
      <c r="U655">
        <v>4</v>
      </c>
      <c r="V655" t="s">
        <v>52</v>
      </c>
      <c r="W655" s="1" t="s">
        <v>354</v>
      </c>
      <c r="Y655" t="s">
        <v>54</v>
      </c>
      <c r="Z655" t="s">
        <v>40</v>
      </c>
      <c r="AA655">
        <v>4</v>
      </c>
      <c r="AB655">
        <v>1</v>
      </c>
      <c r="AC655" t="s">
        <v>41</v>
      </c>
      <c r="AD655" t="s">
        <v>48</v>
      </c>
      <c r="AE655" t="s">
        <v>49</v>
      </c>
      <c r="AF655" s="3">
        <v>905</v>
      </c>
      <c r="AG655" s="3">
        <v>98</v>
      </c>
      <c r="AH655">
        <v>80</v>
      </c>
      <c r="AI655">
        <v>6</v>
      </c>
      <c r="AJ655">
        <v>0</v>
      </c>
      <c r="AL655">
        <v>0</v>
      </c>
      <c r="AM655">
        <v>1</v>
      </c>
      <c r="AN655" t="s">
        <v>768</v>
      </c>
      <c r="AO655" t="s">
        <v>41</v>
      </c>
    </row>
    <row r="656" spans="1:41" x14ac:dyDescent="0.25">
      <c r="A656">
        <v>37</v>
      </c>
      <c r="B656" t="s">
        <v>32</v>
      </c>
      <c r="C656" t="s">
        <v>33</v>
      </c>
      <c r="D656">
        <v>10</v>
      </c>
      <c r="E656" t="s">
        <v>61</v>
      </c>
      <c r="F656">
        <v>3</v>
      </c>
      <c r="G656">
        <v>1</v>
      </c>
      <c r="H656" t="s">
        <v>44</v>
      </c>
      <c r="I656">
        <v>1</v>
      </c>
      <c r="J656" t="s">
        <v>57</v>
      </c>
      <c r="K656">
        <v>2782</v>
      </c>
      <c r="L656">
        <v>0</v>
      </c>
      <c r="M656" t="s">
        <v>31</v>
      </c>
      <c r="N656">
        <v>13</v>
      </c>
      <c r="O656">
        <v>3</v>
      </c>
      <c r="P656">
        <v>2</v>
      </c>
      <c r="Q656">
        <v>6</v>
      </c>
      <c r="R656">
        <v>3</v>
      </c>
      <c r="S656">
        <v>5</v>
      </c>
      <c r="T656">
        <v>4</v>
      </c>
      <c r="U656">
        <v>3</v>
      </c>
      <c r="V656" t="s">
        <v>37</v>
      </c>
      <c r="W656" s="1" t="s">
        <v>316</v>
      </c>
      <c r="Y656" t="s">
        <v>39</v>
      </c>
      <c r="Z656" t="s">
        <v>47</v>
      </c>
      <c r="AA656">
        <v>1</v>
      </c>
      <c r="AB656">
        <v>1</v>
      </c>
      <c r="AC656" t="s">
        <v>41</v>
      </c>
      <c r="AD656" t="s">
        <v>48</v>
      </c>
      <c r="AE656" t="s">
        <v>49</v>
      </c>
      <c r="AF656" s="3">
        <v>909</v>
      </c>
      <c r="AG656" s="3">
        <v>42</v>
      </c>
      <c r="AH656">
        <v>80</v>
      </c>
      <c r="AI656">
        <v>4</v>
      </c>
      <c r="AJ656">
        <v>0</v>
      </c>
      <c r="AL656">
        <v>0</v>
      </c>
      <c r="AM656">
        <v>1</v>
      </c>
      <c r="AN656" t="s">
        <v>768</v>
      </c>
      <c r="AO656" t="s">
        <v>41</v>
      </c>
    </row>
    <row r="657" spans="1:41" x14ac:dyDescent="0.25">
      <c r="A657">
        <v>52</v>
      </c>
      <c r="B657" t="s">
        <v>32</v>
      </c>
      <c r="C657" t="s">
        <v>33</v>
      </c>
      <c r="D657">
        <v>11</v>
      </c>
      <c r="E657" t="s">
        <v>61</v>
      </c>
      <c r="F657">
        <v>3</v>
      </c>
      <c r="G657">
        <v>2</v>
      </c>
      <c r="H657" t="s">
        <v>35</v>
      </c>
      <c r="I657">
        <v>3</v>
      </c>
      <c r="J657" t="s">
        <v>51</v>
      </c>
      <c r="K657">
        <v>3149</v>
      </c>
      <c r="L657">
        <v>8</v>
      </c>
      <c r="M657" t="s">
        <v>41</v>
      </c>
      <c r="N657">
        <v>20</v>
      </c>
      <c r="O657">
        <v>4</v>
      </c>
      <c r="P657">
        <v>1</v>
      </c>
      <c r="Q657">
        <v>9</v>
      </c>
      <c r="R657">
        <v>3</v>
      </c>
      <c r="S657">
        <v>5</v>
      </c>
      <c r="T657">
        <v>1</v>
      </c>
      <c r="U657">
        <v>4</v>
      </c>
      <c r="V657" t="s">
        <v>72</v>
      </c>
      <c r="W657" s="1" t="s">
        <v>355</v>
      </c>
      <c r="Y657" t="s">
        <v>69</v>
      </c>
      <c r="Z657" t="s">
        <v>40</v>
      </c>
      <c r="AA657">
        <v>1</v>
      </c>
      <c r="AB657">
        <v>3</v>
      </c>
      <c r="AC657" t="s">
        <v>41</v>
      </c>
      <c r="AD657" t="s">
        <v>67</v>
      </c>
      <c r="AE657" t="s">
        <v>60</v>
      </c>
      <c r="AF657" s="3">
        <v>910</v>
      </c>
      <c r="AG657" s="3">
        <v>57</v>
      </c>
      <c r="AH657">
        <v>80</v>
      </c>
      <c r="AI657">
        <v>3</v>
      </c>
      <c r="AJ657">
        <v>0</v>
      </c>
      <c r="AL657">
        <v>0</v>
      </c>
      <c r="AM657">
        <v>1</v>
      </c>
      <c r="AN657" t="s">
        <v>768</v>
      </c>
      <c r="AO657" t="s">
        <v>41</v>
      </c>
    </row>
    <row r="658" spans="1:41" x14ac:dyDescent="0.25">
      <c r="A658">
        <v>36</v>
      </c>
      <c r="B658" t="s">
        <v>32</v>
      </c>
      <c r="C658" t="s">
        <v>120</v>
      </c>
      <c r="D658">
        <v>13</v>
      </c>
      <c r="E658" t="s">
        <v>34</v>
      </c>
      <c r="F658">
        <v>3</v>
      </c>
      <c r="G658">
        <v>1</v>
      </c>
      <c r="H658" t="s">
        <v>120</v>
      </c>
      <c r="I658">
        <v>2</v>
      </c>
      <c r="J658" t="s">
        <v>51</v>
      </c>
      <c r="K658">
        <v>2143</v>
      </c>
      <c r="L658">
        <v>4</v>
      </c>
      <c r="M658" t="s">
        <v>41</v>
      </c>
      <c r="N658">
        <v>13</v>
      </c>
      <c r="O658">
        <v>3</v>
      </c>
      <c r="P658">
        <v>1</v>
      </c>
      <c r="Q658">
        <v>8</v>
      </c>
      <c r="R658">
        <v>2</v>
      </c>
      <c r="S658">
        <v>5</v>
      </c>
      <c r="T658">
        <v>0</v>
      </c>
      <c r="U658">
        <v>4</v>
      </c>
      <c r="V658" t="s">
        <v>72</v>
      </c>
      <c r="W658" s="2">
        <v>42679</v>
      </c>
      <c r="Y658" t="s">
        <v>46</v>
      </c>
      <c r="Z658" t="s">
        <v>40</v>
      </c>
      <c r="AA658">
        <v>5</v>
      </c>
      <c r="AB658">
        <v>3</v>
      </c>
      <c r="AC658" t="s">
        <v>31</v>
      </c>
      <c r="AD658" t="s">
        <v>67</v>
      </c>
      <c r="AE658" t="s">
        <v>43</v>
      </c>
      <c r="AF658" s="3">
        <v>911</v>
      </c>
      <c r="AG658" s="3">
        <v>87</v>
      </c>
      <c r="AH658">
        <v>80</v>
      </c>
      <c r="AI658">
        <v>0</v>
      </c>
      <c r="AJ658">
        <v>1</v>
      </c>
      <c r="AK658">
        <v>1</v>
      </c>
      <c r="AL658">
        <v>1</v>
      </c>
      <c r="AM658">
        <v>0</v>
      </c>
      <c r="AN658" t="s">
        <v>767</v>
      </c>
      <c r="AO658" t="s">
        <v>31</v>
      </c>
    </row>
    <row r="659" spans="1:41" x14ac:dyDescent="0.25">
      <c r="A659">
        <v>34</v>
      </c>
      <c r="B659" t="s">
        <v>66</v>
      </c>
      <c r="C659" t="s">
        <v>33</v>
      </c>
      <c r="D659">
        <v>16</v>
      </c>
      <c r="E659" t="s">
        <v>61</v>
      </c>
      <c r="F659">
        <v>2</v>
      </c>
      <c r="G659">
        <v>1</v>
      </c>
      <c r="H659" t="s">
        <v>44</v>
      </c>
      <c r="I659">
        <v>4</v>
      </c>
      <c r="J659" t="s">
        <v>36</v>
      </c>
      <c r="K659">
        <v>2553</v>
      </c>
      <c r="L659">
        <v>1</v>
      </c>
      <c r="M659" t="s">
        <v>41</v>
      </c>
      <c r="N659">
        <v>16</v>
      </c>
      <c r="O659">
        <v>3</v>
      </c>
      <c r="P659">
        <v>0</v>
      </c>
      <c r="Q659">
        <v>6</v>
      </c>
      <c r="R659">
        <v>3</v>
      </c>
      <c r="S659">
        <v>5</v>
      </c>
      <c r="T659">
        <v>1</v>
      </c>
      <c r="U659">
        <v>3</v>
      </c>
      <c r="V659" t="s">
        <v>72</v>
      </c>
      <c r="W659" s="1" t="s">
        <v>356</v>
      </c>
      <c r="Y659" t="s">
        <v>46</v>
      </c>
      <c r="Z659" t="s">
        <v>47</v>
      </c>
      <c r="AA659">
        <v>4</v>
      </c>
      <c r="AB659">
        <v>3</v>
      </c>
      <c r="AC659" t="s">
        <v>31</v>
      </c>
      <c r="AD659" t="s">
        <v>48</v>
      </c>
      <c r="AE659" t="s">
        <v>49</v>
      </c>
      <c r="AF659" s="3">
        <v>912</v>
      </c>
      <c r="AG659" s="3">
        <v>62</v>
      </c>
      <c r="AH659">
        <v>80</v>
      </c>
      <c r="AI659">
        <v>3</v>
      </c>
      <c r="AJ659">
        <v>0</v>
      </c>
      <c r="AL659">
        <v>0</v>
      </c>
      <c r="AM659">
        <v>1</v>
      </c>
      <c r="AN659" t="s">
        <v>768</v>
      </c>
      <c r="AO659" t="s">
        <v>41</v>
      </c>
    </row>
    <row r="660" spans="1:41" x14ac:dyDescent="0.25">
      <c r="A660">
        <v>44</v>
      </c>
      <c r="B660" t="s">
        <v>32</v>
      </c>
      <c r="C660" t="s">
        <v>33</v>
      </c>
      <c r="D660">
        <v>4</v>
      </c>
      <c r="E660" t="s">
        <v>34</v>
      </c>
      <c r="F660">
        <v>3</v>
      </c>
      <c r="G660">
        <v>2</v>
      </c>
      <c r="H660" t="s">
        <v>89</v>
      </c>
      <c r="I660">
        <v>2</v>
      </c>
      <c r="J660" t="s">
        <v>36</v>
      </c>
      <c r="K660">
        <v>5933</v>
      </c>
      <c r="L660">
        <v>9</v>
      </c>
      <c r="M660" t="s">
        <v>41</v>
      </c>
      <c r="N660">
        <v>12</v>
      </c>
      <c r="O660">
        <v>3</v>
      </c>
      <c r="P660">
        <v>0</v>
      </c>
      <c r="Q660">
        <v>10</v>
      </c>
      <c r="R660">
        <v>2</v>
      </c>
      <c r="S660">
        <v>5</v>
      </c>
      <c r="T660">
        <v>2</v>
      </c>
      <c r="U660">
        <v>3</v>
      </c>
      <c r="V660" t="s">
        <v>52</v>
      </c>
      <c r="W660" s="1" t="s">
        <v>322</v>
      </c>
      <c r="Y660" t="s">
        <v>69</v>
      </c>
      <c r="Z660" t="s">
        <v>40</v>
      </c>
      <c r="AA660">
        <v>1</v>
      </c>
      <c r="AB660">
        <v>2</v>
      </c>
      <c r="AC660" t="s">
        <v>41</v>
      </c>
      <c r="AD660" t="s">
        <v>48</v>
      </c>
      <c r="AE660" t="s">
        <v>60</v>
      </c>
      <c r="AF660" s="3">
        <v>913</v>
      </c>
      <c r="AG660" s="3">
        <v>61</v>
      </c>
      <c r="AH660">
        <v>80</v>
      </c>
      <c r="AI660">
        <v>7</v>
      </c>
      <c r="AJ660">
        <v>0</v>
      </c>
      <c r="AL660">
        <v>0</v>
      </c>
      <c r="AM660">
        <v>1</v>
      </c>
      <c r="AN660" t="s">
        <v>768</v>
      </c>
      <c r="AO660" t="s">
        <v>41</v>
      </c>
    </row>
    <row r="661" spans="1:41" x14ac:dyDescent="0.25">
      <c r="A661">
        <v>32</v>
      </c>
      <c r="B661" t="s">
        <v>32</v>
      </c>
      <c r="C661" t="s">
        <v>55</v>
      </c>
      <c r="D661">
        <v>13</v>
      </c>
      <c r="E661" t="s">
        <v>34</v>
      </c>
      <c r="F661">
        <v>3</v>
      </c>
      <c r="G661">
        <v>2</v>
      </c>
      <c r="H661" t="s">
        <v>70</v>
      </c>
      <c r="I661">
        <v>4</v>
      </c>
      <c r="J661" t="s">
        <v>57</v>
      </c>
      <c r="K661">
        <v>4403</v>
      </c>
      <c r="L661">
        <v>2</v>
      </c>
      <c r="M661" t="s">
        <v>41</v>
      </c>
      <c r="N661">
        <v>11</v>
      </c>
      <c r="O661">
        <v>3</v>
      </c>
      <c r="P661">
        <v>1</v>
      </c>
      <c r="Q661">
        <v>8</v>
      </c>
      <c r="R661">
        <v>3</v>
      </c>
      <c r="S661">
        <v>5</v>
      </c>
      <c r="T661">
        <v>0</v>
      </c>
      <c r="U661">
        <v>3</v>
      </c>
      <c r="V661" t="s">
        <v>52</v>
      </c>
      <c r="W661" s="2">
        <v>42705</v>
      </c>
      <c r="Y661" t="s">
        <v>39</v>
      </c>
      <c r="Z661" t="s">
        <v>40</v>
      </c>
      <c r="AA661">
        <v>0</v>
      </c>
      <c r="AB661">
        <v>1</v>
      </c>
      <c r="AC661" t="s">
        <v>31</v>
      </c>
      <c r="AD661" t="s">
        <v>65</v>
      </c>
      <c r="AE661" t="s">
        <v>49</v>
      </c>
      <c r="AF661" s="3">
        <v>916</v>
      </c>
      <c r="AG661" s="3">
        <v>98</v>
      </c>
      <c r="AH661">
        <v>80</v>
      </c>
      <c r="AI661">
        <v>2</v>
      </c>
      <c r="AJ661">
        <v>0</v>
      </c>
      <c r="AL661">
        <v>0</v>
      </c>
      <c r="AM661">
        <v>1</v>
      </c>
      <c r="AN661" t="s">
        <v>768</v>
      </c>
      <c r="AO661" t="s">
        <v>41</v>
      </c>
    </row>
    <row r="662" spans="1:41" x14ac:dyDescent="0.25">
      <c r="A662">
        <v>30</v>
      </c>
      <c r="B662" t="s">
        <v>66</v>
      </c>
      <c r="C662" t="s">
        <v>33</v>
      </c>
      <c r="D662">
        <v>5</v>
      </c>
      <c r="E662" t="s">
        <v>34</v>
      </c>
      <c r="F662">
        <v>2</v>
      </c>
      <c r="G662">
        <v>1</v>
      </c>
      <c r="H662" t="s">
        <v>44</v>
      </c>
      <c r="I662">
        <v>4</v>
      </c>
      <c r="J662" t="s">
        <v>57</v>
      </c>
      <c r="K662">
        <v>3761</v>
      </c>
      <c r="L662">
        <v>9</v>
      </c>
      <c r="M662" t="s">
        <v>41</v>
      </c>
      <c r="N662">
        <v>12</v>
      </c>
      <c r="O662">
        <v>3</v>
      </c>
      <c r="P662">
        <v>1</v>
      </c>
      <c r="Q662">
        <v>10</v>
      </c>
      <c r="R662">
        <v>3</v>
      </c>
      <c r="S662">
        <v>5</v>
      </c>
      <c r="T662">
        <v>0</v>
      </c>
      <c r="U662">
        <v>3</v>
      </c>
      <c r="V662" t="s">
        <v>37</v>
      </c>
      <c r="W662" s="1" t="s">
        <v>331</v>
      </c>
      <c r="Y662" t="s">
        <v>54</v>
      </c>
      <c r="Z662" t="s">
        <v>47</v>
      </c>
      <c r="AA662">
        <v>4</v>
      </c>
      <c r="AB662">
        <v>1</v>
      </c>
      <c r="AC662" t="s">
        <v>31</v>
      </c>
      <c r="AD662" t="s">
        <v>67</v>
      </c>
      <c r="AE662" t="s">
        <v>43</v>
      </c>
      <c r="AF662" s="3">
        <v>918</v>
      </c>
      <c r="AG662" s="3">
        <v>57</v>
      </c>
      <c r="AH662">
        <v>80</v>
      </c>
      <c r="AI662">
        <v>0</v>
      </c>
      <c r="AJ662">
        <v>1</v>
      </c>
      <c r="AK662">
        <v>1</v>
      </c>
      <c r="AL662">
        <v>1</v>
      </c>
      <c r="AM662">
        <v>0</v>
      </c>
      <c r="AN662" t="s">
        <v>767</v>
      </c>
      <c r="AO662" t="s">
        <v>31</v>
      </c>
    </row>
    <row r="663" spans="1:41" x14ac:dyDescent="0.25">
      <c r="A663">
        <v>53</v>
      </c>
      <c r="B663" t="s">
        <v>32</v>
      </c>
      <c r="C663" t="s">
        <v>55</v>
      </c>
      <c r="D663">
        <v>7</v>
      </c>
      <c r="E663" t="s">
        <v>61</v>
      </c>
      <c r="F663">
        <v>2</v>
      </c>
      <c r="G663">
        <v>3</v>
      </c>
      <c r="H663" t="s">
        <v>70</v>
      </c>
      <c r="I663">
        <v>4</v>
      </c>
      <c r="J663" t="s">
        <v>51</v>
      </c>
      <c r="K663">
        <v>10934</v>
      </c>
      <c r="L663">
        <v>7</v>
      </c>
      <c r="M663" t="s">
        <v>31</v>
      </c>
      <c r="N663">
        <v>18</v>
      </c>
      <c r="O663">
        <v>3</v>
      </c>
      <c r="P663">
        <v>1</v>
      </c>
      <c r="Q663">
        <v>35</v>
      </c>
      <c r="R663">
        <v>3</v>
      </c>
      <c r="S663">
        <v>5</v>
      </c>
      <c r="T663">
        <v>0</v>
      </c>
      <c r="U663">
        <v>4</v>
      </c>
      <c r="V663" t="s">
        <v>72</v>
      </c>
      <c r="W663" s="1" t="s">
        <v>357</v>
      </c>
      <c r="Y663" t="s">
        <v>63</v>
      </c>
      <c r="Z663" t="s">
        <v>47</v>
      </c>
      <c r="AA663">
        <v>2</v>
      </c>
      <c r="AB663">
        <v>0</v>
      </c>
      <c r="AC663" t="s">
        <v>31</v>
      </c>
      <c r="AD663" t="s">
        <v>42</v>
      </c>
      <c r="AE663" t="s">
        <v>60</v>
      </c>
      <c r="AF663" s="3">
        <v>920</v>
      </c>
      <c r="AG663" s="3">
        <v>55</v>
      </c>
      <c r="AH663">
        <v>80</v>
      </c>
      <c r="AI663">
        <v>0</v>
      </c>
      <c r="AJ663">
        <v>0</v>
      </c>
      <c r="AL663">
        <v>0</v>
      </c>
      <c r="AM663">
        <v>1</v>
      </c>
      <c r="AN663" t="s">
        <v>768</v>
      </c>
      <c r="AO663" t="s">
        <v>41</v>
      </c>
    </row>
    <row r="664" spans="1:41" x14ac:dyDescent="0.25">
      <c r="A664">
        <v>45</v>
      </c>
      <c r="B664" t="s">
        <v>32</v>
      </c>
      <c r="C664" t="s">
        <v>55</v>
      </c>
      <c r="D664">
        <v>9</v>
      </c>
      <c r="E664" t="s">
        <v>34</v>
      </c>
      <c r="F664">
        <v>3</v>
      </c>
      <c r="G664">
        <v>3</v>
      </c>
      <c r="H664" t="s">
        <v>70</v>
      </c>
      <c r="I664">
        <v>1</v>
      </c>
      <c r="J664" t="s">
        <v>57</v>
      </c>
      <c r="K664">
        <v>10761</v>
      </c>
      <c r="L664">
        <v>4</v>
      </c>
      <c r="M664" t="s">
        <v>31</v>
      </c>
      <c r="N664">
        <v>12</v>
      </c>
      <c r="O664">
        <v>3</v>
      </c>
      <c r="P664">
        <v>1</v>
      </c>
      <c r="Q664">
        <v>18</v>
      </c>
      <c r="R664">
        <v>2</v>
      </c>
      <c r="S664">
        <v>5</v>
      </c>
      <c r="T664">
        <v>0</v>
      </c>
      <c r="U664">
        <v>2</v>
      </c>
      <c r="V664" t="s">
        <v>58</v>
      </c>
      <c r="W664" s="1" t="s">
        <v>335</v>
      </c>
      <c r="Y664" t="s">
        <v>39</v>
      </c>
      <c r="Z664" t="s">
        <v>47</v>
      </c>
      <c r="AA664">
        <v>4</v>
      </c>
      <c r="AB664">
        <v>1</v>
      </c>
      <c r="AC664" t="s">
        <v>31</v>
      </c>
      <c r="AD664" t="s">
        <v>48</v>
      </c>
      <c r="AE664" t="s">
        <v>43</v>
      </c>
      <c r="AF664" s="3">
        <v>922</v>
      </c>
      <c r="AG664" s="3">
        <v>49</v>
      </c>
      <c r="AH664">
        <v>80</v>
      </c>
      <c r="AI664">
        <v>2</v>
      </c>
      <c r="AJ664">
        <v>1</v>
      </c>
      <c r="AK664">
        <v>1</v>
      </c>
      <c r="AL664">
        <v>1</v>
      </c>
      <c r="AM664">
        <v>0</v>
      </c>
      <c r="AN664" t="s">
        <v>767</v>
      </c>
      <c r="AO664" t="s">
        <v>31</v>
      </c>
    </row>
    <row r="665" spans="1:41" x14ac:dyDescent="0.25">
      <c r="A665">
        <v>32</v>
      </c>
      <c r="B665" t="s">
        <v>32</v>
      </c>
      <c r="C665" t="s">
        <v>33</v>
      </c>
      <c r="D665">
        <v>8</v>
      </c>
      <c r="E665" t="s">
        <v>61</v>
      </c>
      <c r="F665">
        <v>4</v>
      </c>
      <c r="G665">
        <v>2</v>
      </c>
      <c r="H665" t="s">
        <v>44</v>
      </c>
      <c r="I665">
        <v>3</v>
      </c>
      <c r="J665" t="s">
        <v>51</v>
      </c>
      <c r="K665">
        <v>5175</v>
      </c>
      <c r="L665">
        <v>5</v>
      </c>
      <c r="M665" t="s">
        <v>41</v>
      </c>
      <c r="N665">
        <v>12</v>
      </c>
      <c r="O665">
        <v>3</v>
      </c>
      <c r="P665">
        <v>1</v>
      </c>
      <c r="Q665">
        <v>9</v>
      </c>
      <c r="R665">
        <v>3</v>
      </c>
      <c r="S665">
        <v>5</v>
      </c>
      <c r="T665">
        <v>1</v>
      </c>
      <c r="U665">
        <v>3</v>
      </c>
      <c r="V665" t="s">
        <v>58</v>
      </c>
      <c r="W665" s="1" t="s">
        <v>358</v>
      </c>
      <c r="Y665" t="s">
        <v>46</v>
      </c>
      <c r="Z665" t="s">
        <v>47</v>
      </c>
      <c r="AA665">
        <v>5</v>
      </c>
      <c r="AB665">
        <v>1</v>
      </c>
      <c r="AC665" t="s">
        <v>31</v>
      </c>
      <c r="AD665" t="s">
        <v>48</v>
      </c>
      <c r="AE665" t="s">
        <v>60</v>
      </c>
      <c r="AF665" s="3">
        <v>923</v>
      </c>
      <c r="AG665" s="3">
        <v>65</v>
      </c>
      <c r="AH665">
        <v>80</v>
      </c>
      <c r="AI665">
        <v>0</v>
      </c>
      <c r="AJ665">
        <v>1</v>
      </c>
      <c r="AK665">
        <v>1</v>
      </c>
      <c r="AL665">
        <v>1</v>
      </c>
      <c r="AM665">
        <v>0</v>
      </c>
      <c r="AN665" t="s">
        <v>767</v>
      </c>
      <c r="AO665" t="s">
        <v>31</v>
      </c>
    </row>
    <row r="666" spans="1:41" x14ac:dyDescent="0.25">
      <c r="A666">
        <v>28</v>
      </c>
      <c r="B666" t="s">
        <v>32</v>
      </c>
      <c r="C666" t="s">
        <v>120</v>
      </c>
      <c r="D666">
        <v>8</v>
      </c>
      <c r="E666" t="s">
        <v>34</v>
      </c>
      <c r="F666">
        <v>2</v>
      </c>
      <c r="G666">
        <v>1</v>
      </c>
      <c r="H666" t="s">
        <v>120</v>
      </c>
      <c r="I666">
        <v>4</v>
      </c>
      <c r="J666" t="s">
        <v>57</v>
      </c>
      <c r="K666">
        <v>4936</v>
      </c>
      <c r="L666">
        <v>1</v>
      </c>
      <c r="M666" t="s">
        <v>41</v>
      </c>
      <c r="N666">
        <v>13</v>
      </c>
      <c r="O666">
        <v>3</v>
      </c>
      <c r="P666">
        <v>1</v>
      </c>
      <c r="Q666">
        <v>6</v>
      </c>
      <c r="R666">
        <v>6</v>
      </c>
      <c r="S666">
        <v>5</v>
      </c>
      <c r="T666">
        <v>0</v>
      </c>
      <c r="U666">
        <v>4</v>
      </c>
      <c r="V666" t="s">
        <v>58</v>
      </c>
      <c r="W666" s="1" t="s">
        <v>359</v>
      </c>
      <c r="Y666" t="s">
        <v>69</v>
      </c>
      <c r="Z666" t="s">
        <v>47</v>
      </c>
      <c r="AA666">
        <v>1</v>
      </c>
      <c r="AB666">
        <v>0</v>
      </c>
      <c r="AC666" t="s">
        <v>41</v>
      </c>
      <c r="AD666" t="s">
        <v>42</v>
      </c>
      <c r="AE666" t="s">
        <v>60</v>
      </c>
      <c r="AF666" s="3">
        <v>924</v>
      </c>
      <c r="AG666" s="3">
        <v>68</v>
      </c>
      <c r="AH666">
        <v>80</v>
      </c>
      <c r="AI666">
        <v>8</v>
      </c>
      <c r="AJ666">
        <v>0</v>
      </c>
      <c r="AL666">
        <v>0</v>
      </c>
      <c r="AM666">
        <v>1</v>
      </c>
      <c r="AN666" t="s">
        <v>768</v>
      </c>
      <c r="AO666" t="s">
        <v>41</v>
      </c>
    </row>
    <row r="667" spans="1:41" x14ac:dyDescent="0.25">
      <c r="A667">
        <v>36</v>
      </c>
      <c r="B667" t="s">
        <v>32</v>
      </c>
      <c r="C667" t="s">
        <v>120</v>
      </c>
      <c r="D667">
        <v>8</v>
      </c>
      <c r="E667" t="s">
        <v>34</v>
      </c>
      <c r="F667">
        <v>2</v>
      </c>
      <c r="G667">
        <v>1</v>
      </c>
      <c r="H667" t="s">
        <v>120</v>
      </c>
      <c r="I667">
        <v>1</v>
      </c>
      <c r="J667" t="s">
        <v>51</v>
      </c>
      <c r="K667">
        <v>2342</v>
      </c>
      <c r="L667">
        <v>0</v>
      </c>
      <c r="M667" t="s">
        <v>41</v>
      </c>
      <c r="N667">
        <v>21</v>
      </c>
      <c r="O667">
        <v>4</v>
      </c>
      <c r="P667">
        <v>0</v>
      </c>
      <c r="Q667">
        <v>6</v>
      </c>
      <c r="R667">
        <v>3</v>
      </c>
      <c r="S667">
        <v>5</v>
      </c>
      <c r="T667">
        <v>0</v>
      </c>
      <c r="U667">
        <v>3</v>
      </c>
      <c r="V667" t="s">
        <v>58</v>
      </c>
      <c r="W667" s="1" t="s">
        <v>330</v>
      </c>
      <c r="Y667" t="s">
        <v>69</v>
      </c>
      <c r="Z667" t="s">
        <v>40</v>
      </c>
      <c r="AA667">
        <v>4</v>
      </c>
      <c r="AB667">
        <v>0</v>
      </c>
      <c r="AC667" t="s">
        <v>31</v>
      </c>
      <c r="AD667" t="s">
        <v>65</v>
      </c>
      <c r="AE667" t="s">
        <v>49</v>
      </c>
      <c r="AF667" s="3">
        <v>925</v>
      </c>
      <c r="AG667" s="3">
        <v>65</v>
      </c>
      <c r="AH667">
        <v>80</v>
      </c>
      <c r="AI667">
        <v>2</v>
      </c>
      <c r="AJ667">
        <v>0</v>
      </c>
      <c r="AL667">
        <v>0</v>
      </c>
      <c r="AM667">
        <v>1</v>
      </c>
      <c r="AN667" t="s">
        <v>768</v>
      </c>
      <c r="AO667" t="s">
        <v>41</v>
      </c>
    </row>
    <row r="668" spans="1:41" x14ac:dyDescent="0.25">
      <c r="A668">
        <v>25</v>
      </c>
      <c r="B668" t="s">
        <v>32</v>
      </c>
      <c r="C668" t="s">
        <v>55</v>
      </c>
      <c r="D668">
        <v>3</v>
      </c>
      <c r="E668" t="s">
        <v>34</v>
      </c>
      <c r="F668">
        <v>3</v>
      </c>
      <c r="G668">
        <v>2</v>
      </c>
      <c r="H668" t="s">
        <v>70</v>
      </c>
      <c r="I668">
        <v>1</v>
      </c>
      <c r="J668" t="s">
        <v>51</v>
      </c>
      <c r="K668">
        <v>4194</v>
      </c>
      <c r="L668">
        <v>1</v>
      </c>
      <c r="M668" t="s">
        <v>31</v>
      </c>
      <c r="N668">
        <v>18</v>
      </c>
      <c r="O668">
        <v>3</v>
      </c>
      <c r="P668">
        <v>0</v>
      </c>
      <c r="Q668">
        <v>5</v>
      </c>
      <c r="R668">
        <v>3</v>
      </c>
      <c r="S668">
        <v>5</v>
      </c>
      <c r="T668">
        <v>0</v>
      </c>
      <c r="U668">
        <v>3</v>
      </c>
      <c r="V668" t="s">
        <v>37</v>
      </c>
      <c r="W668" s="1" t="s">
        <v>356</v>
      </c>
      <c r="Y668" t="s">
        <v>46</v>
      </c>
      <c r="Z668" t="s">
        <v>47</v>
      </c>
      <c r="AA668">
        <v>2</v>
      </c>
      <c r="AB668">
        <v>2</v>
      </c>
      <c r="AC668" t="s">
        <v>31</v>
      </c>
      <c r="AD668" t="s">
        <v>42</v>
      </c>
      <c r="AE668" t="s">
        <v>49</v>
      </c>
      <c r="AF668" s="3">
        <v>926</v>
      </c>
      <c r="AG668" s="3">
        <v>34</v>
      </c>
      <c r="AH668">
        <v>80</v>
      </c>
      <c r="AI668">
        <v>2</v>
      </c>
      <c r="AJ668">
        <v>1</v>
      </c>
      <c r="AK668">
        <v>1</v>
      </c>
      <c r="AL668">
        <v>1</v>
      </c>
      <c r="AM668">
        <v>0</v>
      </c>
      <c r="AN668" t="s">
        <v>767</v>
      </c>
      <c r="AO668" t="s">
        <v>31</v>
      </c>
    </row>
    <row r="669" spans="1:41" x14ac:dyDescent="0.25">
      <c r="A669">
        <v>25</v>
      </c>
      <c r="B669" t="s">
        <v>32</v>
      </c>
      <c r="C669" t="s">
        <v>55</v>
      </c>
      <c r="D669">
        <v>4</v>
      </c>
      <c r="E669" t="s">
        <v>34</v>
      </c>
      <c r="F669">
        <v>2</v>
      </c>
      <c r="G669">
        <v>2</v>
      </c>
      <c r="H669" t="s">
        <v>70</v>
      </c>
      <c r="I669">
        <v>1</v>
      </c>
      <c r="J669" t="s">
        <v>51</v>
      </c>
      <c r="K669">
        <v>4256</v>
      </c>
      <c r="L669">
        <v>1</v>
      </c>
      <c r="M669" t="s">
        <v>41</v>
      </c>
      <c r="N669">
        <v>12</v>
      </c>
      <c r="O669">
        <v>3</v>
      </c>
      <c r="P669">
        <v>0</v>
      </c>
      <c r="Q669">
        <v>5</v>
      </c>
      <c r="R669">
        <v>1</v>
      </c>
      <c r="S669">
        <v>5</v>
      </c>
      <c r="T669">
        <v>0</v>
      </c>
      <c r="U669">
        <v>3</v>
      </c>
      <c r="V669" t="s">
        <v>72</v>
      </c>
      <c r="W669" s="1" t="s">
        <v>333</v>
      </c>
      <c r="Y669" t="s">
        <v>54</v>
      </c>
      <c r="Z669" t="s">
        <v>47</v>
      </c>
      <c r="AA669">
        <v>2</v>
      </c>
      <c r="AB669">
        <v>1</v>
      </c>
      <c r="AC669" t="s">
        <v>31</v>
      </c>
      <c r="AD669" t="s">
        <v>48</v>
      </c>
      <c r="AE669" t="s">
        <v>49</v>
      </c>
      <c r="AF669" s="3">
        <v>927</v>
      </c>
      <c r="AG669" s="3">
        <v>57</v>
      </c>
      <c r="AH669">
        <v>80</v>
      </c>
      <c r="AI669">
        <v>7</v>
      </c>
      <c r="AJ669">
        <v>1</v>
      </c>
      <c r="AK669">
        <v>1</v>
      </c>
      <c r="AL669">
        <v>1</v>
      </c>
      <c r="AM669">
        <v>0</v>
      </c>
      <c r="AN669" t="s">
        <v>767</v>
      </c>
      <c r="AO669" t="s">
        <v>31</v>
      </c>
    </row>
    <row r="670" spans="1:41" x14ac:dyDescent="0.25">
      <c r="A670">
        <v>24</v>
      </c>
      <c r="B670" t="s">
        <v>81</v>
      </c>
      <c r="C670" t="s">
        <v>33</v>
      </c>
      <c r="D670">
        <v>4</v>
      </c>
      <c r="E670" t="s">
        <v>34</v>
      </c>
      <c r="F670">
        <v>2</v>
      </c>
      <c r="G670">
        <v>1</v>
      </c>
      <c r="H670" t="s">
        <v>35</v>
      </c>
      <c r="I670">
        <v>4</v>
      </c>
      <c r="J670" t="s">
        <v>51</v>
      </c>
      <c r="K670">
        <v>3162</v>
      </c>
      <c r="L670">
        <v>0</v>
      </c>
      <c r="M670" t="s">
        <v>41</v>
      </c>
      <c r="N670">
        <v>17</v>
      </c>
      <c r="O670">
        <v>3</v>
      </c>
      <c r="P670">
        <v>0</v>
      </c>
      <c r="Q670">
        <v>6</v>
      </c>
      <c r="R670">
        <v>2</v>
      </c>
      <c r="S670">
        <v>5</v>
      </c>
      <c r="T670">
        <v>3</v>
      </c>
      <c r="U670">
        <v>4</v>
      </c>
      <c r="V670" t="s">
        <v>58</v>
      </c>
      <c r="W670" s="1" t="s">
        <v>360</v>
      </c>
      <c r="Y670" t="s">
        <v>39</v>
      </c>
      <c r="Z670" t="s">
        <v>40</v>
      </c>
      <c r="AA670">
        <v>4</v>
      </c>
      <c r="AB670">
        <v>3</v>
      </c>
      <c r="AC670" t="s">
        <v>41</v>
      </c>
      <c r="AD670" t="s">
        <v>65</v>
      </c>
      <c r="AE670" t="s">
        <v>49</v>
      </c>
      <c r="AF670" s="3">
        <v>930</v>
      </c>
      <c r="AG670" s="3">
        <v>77</v>
      </c>
      <c r="AH670">
        <v>80</v>
      </c>
      <c r="AI670">
        <v>2</v>
      </c>
      <c r="AJ670">
        <v>0</v>
      </c>
      <c r="AL670">
        <v>0</v>
      </c>
      <c r="AM670">
        <v>1</v>
      </c>
      <c r="AN670" t="s">
        <v>768</v>
      </c>
      <c r="AO670" t="s">
        <v>41</v>
      </c>
    </row>
    <row r="671" spans="1:41" x14ac:dyDescent="0.25">
      <c r="A671">
        <v>42</v>
      </c>
      <c r="B671" t="s">
        <v>32</v>
      </c>
      <c r="C671" t="s">
        <v>33</v>
      </c>
      <c r="D671">
        <v>3</v>
      </c>
      <c r="E671" t="s">
        <v>61</v>
      </c>
      <c r="F671">
        <v>4</v>
      </c>
      <c r="G671">
        <v>2</v>
      </c>
      <c r="H671" t="s">
        <v>35</v>
      </c>
      <c r="I671">
        <v>4</v>
      </c>
      <c r="J671" t="s">
        <v>51</v>
      </c>
      <c r="K671">
        <v>5231</v>
      </c>
      <c r="L671">
        <v>2</v>
      </c>
      <c r="M671" t="s">
        <v>31</v>
      </c>
      <c r="N671">
        <v>13</v>
      </c>
      <c r="O671">
        <v>3</v>
      </c>
      <c r="P671">
        <v>1</v>
      </c>
      <c r="Q671">
        <v>17</v>
      </c>
      <c r="R671">
        <v>1</v>
      </c>
      <c r="S671">
        <v>5</v>
      </c>
      <c r="T671">
        <v>1</v>
      </c>
      <c r="U671">
        <v>3</v>
      </c>
      <c r="V671" t="s">
        <v>58</v>
      </c>
      <c r="W671" s="1" t="s">
        <v>361</v>
      </c>
      <c r="Y671" t="s">
        <v>69</v>
      </c>
      <c r="Z671" t="s">
        <v>40</v>
      </c>
      <c r="AA671">
        <v>4</v>
      </c>
      <c r="AB671">
        <v>2</v>
      </c>
      <c r="AC671" t="s">
        <v>41</v>
      </c>
      <c r="AD671" t="s">
        <v>67</v>
      </c>
      <c r="AE671" t="s">
        <v>60</v>
      </c>
      <c r="AF671" s="3">
        <v>932</v>
      </c>
      <c r="AG671" s="3">
        <v>70</v>
      </c>
      <c r="AH671">
        <v>80</v>
      </c>
      <c r="AI671">
        <v>2</v>
      </c>
      <c r="AJ671">
        <v>1</v>
      </c>
      <c r="AK671">
        <v>1</v>
      </c>
      <c r="AL671">
        <v>1</v>
      </c>
      <c r="AM671">
        <v>0</v>
      </c>
      <c r="AN671" t="s">
        <v>767</v>
      </c>
      <c r="AO671" t="s">
        <v>31</v>
      </c>
    </row>
    <row r="672" spans="1:41" x14ac:dyDescent="0.25">
      <c r="A672">
        <v>37</v>
      </c>
      <c r="B672" t="s">
        <v>66</v>
      </c>
      <c r="C672" t="s">
        <v>55</v>
      </c>
      <c r="D672">
        <v>21</v>
      </c>
      <c r="E672" t="s">
        <v>61</v>
      </c>
      <c r="F672">
        <v>3</v>
      </c>
      <c r="G672">
        <v>1</v>
      </c>
      <c r="H672" t="s">
        <v>56</v>
      </c>
      <c r="I672">
        <v>4</v>
      </c>
      <c r="J672" t="s">
        <v>51</v>
      </c>
      <c r="K672">
        <v>2973</v>
      </c>
      <c r="L672">
        <v>5</v>
      </c>
      <c r="M672" t="s">
        <v>41</v>
      </c>
      <c r="N672">
        <v>15</v>
      </c>
      <c r="O672">
        <v>3</v>
      </c>
      <c r="P672">
        <v>1</v>
      </c>
      <c r="Q672">
        <v>10</v>
      </c>
      <c r="R672">
        <v>3</v>
      </c>
      <c r="S672">
        <v>5</v>
      </c>
      <c r="T672">
        <v>0</v>
      </c>
      <c r="U672">
        <v>0</v>
      </c>
      <c r="V672" t="s">
        <v>52</v>
      </c>
      <c r="W672" s="2">
        <v>42677</v>
      </c>
      <c r="Y672" t="s">
        <v>39</v>
      </c>
      <c r="Z672" t="s">
        <v>47</v>
      </c>
      <c r="AA672">
        <v>1</v>
      </c>
      <c r="AB672">
        <v>1</v>
      </c>
      <c r="AC672" t="s">
        <v>31</v>
      </c>
      <c r="AD672" t="s">
        <v>67</v>
      </c>
      <c r="AE672" t="s">
        <v>43</v>
      </c>
      <c r="AF672" s="3">
        <v>933</v>
      </c>
      <c r="AG672" s="3">
        <v>76</v>
      </c>
      <c r="AH672">
        <v>80</v>
      </c>
      <c r="AI672">
        <v>1</v>
      </c>
      <c r="AJ672">
        <v>0</v>
      </c>
      <c r="AL672">
        <v>0</v>
      </c>
      <c r="AM672">
        <v>1</v>
      </c>
      <c r="AN672" t="s">
        <v>768</v>
      </c>
      <c r="AO672" t="s">
        <v>41</v>
      </c>
    </row>
    <row r="673" spans="1:41" x14ac:dyDescent="0.25">
      <c r="A673">
        <v>43</v>
      </c>
      <c r="B673" t="s">
        <v>66</v>
      </c>
      <c r="C673" t="s">
        <v>33</v>
      </c>
      <c r="D673">
        <v>1</v>
      </c>
      <c r="E673" t="s">
        <v>61</v>
      </c>
      <c r="F673">
        <v>3</v>
      </c>
      <c r="G673">
        <v>2</v>
      </c>
      <c r="H673" t="s">
        <v>89</v>
      </c>
      <c r="I673">
        <v>4</v>
      </c>
      <c r="J673" t="s">
        <v>51</v>
      </c>
      <c r="K673">
        <v>5562</v>
      </c>
      <c r="L673">
        <v>4</v>
      </c>
      <c r="M673" t="s">
        <v>41</v>
      </c>
      <c r="N673">
        <v>13</v>
      </c>
      <c r="O673">
        <v>3</v>
      </c>
      <c r="P673">
        <v>1</v>
      </c>
      <c r="Q673">
        <v>12</v>
      </c>
      <c r="R673">
        <v>2</v>
      </c>
      <c r="S673">
        <v>5</v>
      </c>
      <c r="T673">
        <v>2</v>
      </c>
      <c r="U673">
        <v>2</v>
      </c>
      <c r="V673" t="s">
        <v>72</v>
      </c>
      <c r="W673" s="1" t="s">
        <v>362</v>
      </c>
      <c r="Y673" t="s">
        <v>54</v>
      </c>
      <c r="Z673" t="s">
        <v>47</v>
      </c>
      <c r="AA673">
        <v>3</v>
      </c>
      <c r="AB673">
        <v>0</v>
      </c>
      <c r="AC673" t="s">
        <v>41</v>
      </c>
      <c r="AD673" t="s">
        <v>42</v>
      </c>
      <c r="AE673" t="s">
        <v>43</v>
      </c>
      <c r="AF673" s="3">
        <v>934</v>
      </c>
      <c r="AG673" s="3">
        <v>83</v>
      </c>
      <c r="AH673">
        <v>80</v>
      </c>
      <c r="AI673">
        <v>0</v>
      </c>
      <c r="AJ673">
        <v>0</v>
      </c>
      <c r="AL673">
        <v>0</v>
      </c>
      <c r="AM673">
        <v>1</v>
      </c>
      <c r="AN673" t="s">
        <v>768</v>
      </c>
      <c r="AO673" t="s">
        <v>41</v>
      </c>
    </row>
    <row r="674" spans="1:41" x14ac:dyDescent="0.25">
      <c r="A674">
        <v>39</v>
      </c>
      <c r="B674" t="s">
        <v>32</v>
      </c>
      <c r="C674" t="s">
        <v>120</v>
      </c>
      <c r="D674">
        <v>2</v>
      </c>
      <c r="E674" t="s">
        <v>61</v>
      </c>
      <c r="F674">
        <v>2</v>
      </c>
      <c r="G674">
        <v>2</v>
      </c>
      <c r="H674" t="s">
        <v>120</v>
      </c>
      <c r="I674">
        <v>4</v>
      </c>
      <c r="J674" t="s">
        <v>51</v>
      </c>
      <c r="K674">
        <v>5204</v>
      </c>
      <c r="L674">
        <v>8</v>
      </c>
      <c r="M674" t="s">
        <v>41</v>
      </c>
      <c r="N674">
        <v>11</v>
      </c>
      <c r="O674">
        <v>3</v>
      </c>
      <c r="P674">
        <v>2</v>
      </c>
      <c r="Q674">
        <v>13</v>
      </c>
      <c r="R674">
        <v>2</v>
      </c>
      <c r="S674">
        <v>5</v>
      </c>
      <c r="T674">
        <v>0</v>
      </c>
      <c r="U674">
        <v>4</v>
      </c>
      <c r="V674" t="s">
        <v>52</v>
      </c>
      <c r="W674" s="1" t="s">
        <v>363</v>
      </c>
      <c r="Y674" t="s">
        <v>69</v>
      </c>
      <c r="Z674" t="s">
        <v>40</v>
      </c>
      <c r="AA674">
        <v>4</v>
      </c>
      <c r="AB674">
        <v>0</v>
      </c>
      <c r="AC674" t="s">
        <v>41</v>
      </c>
      <c r="AD674" t="s">
        <v>65</v>
      </c>
      <c r="AE674" t="s">
        <v>43</v>
      </c>
      <c r="AF674" s="3">
        <v>936</v>
      </c>
      <c r="AG674" s="3">
        <v>68</v>
      </c>
      <c r="AH674">
        <v>80</v>
      </c>
      <c r="AI674">
        <v>4</v>
      </c>
      <c r="AJ674">
        <v>0</v>
      </c>
      <c r="AL674">
        <v>0</v>
      </c>
      <c r="AM674">
        <v>1</v>
      </c>
      <c r="AN674" t="s">
        <v>768</v>
      </c>
      <c r="AO674" t="s">
        <v>41</v>
      </c>
    </row>
    <row r="675" spans="1:41" x14ac:dyDescent="0.25">
      <c r="A675">
        <v>42</v>
      </c>
      <c r="B675" t="s">
        <v>32</v>
      </c>
      <c r="C675" t="s">
        <v>55</v>
      </c>
      <c r="D675">
        <v>14</v>
      </c>
      <c r="E675" t="s">
        <v>61</v>
      </c>
      <c r="F675">
        <v>2</v>
      </c>
      <c r="G675">
        <v>2</v>
      </c>
      <c r="H675" t="s">
        <v>70</v>
      </c>
      <c r="I675">
        <v>3</v>
      </c>
      <c r="J675" t="s">
        <v>36</v>
      </c>
      <c r="K675">
        <v>6244</v>
      </c>
      <c r="L675">
        <v>7</v>
      </c>
      <c r="M675" t="s">
        <v>41</v>
      </c>
      <c r="N675">
        <v>17</v>
      </c>
      <c r="O675">
        <v>3</v>
      </c>
      <c r="P675">
        <v>0</v>
      </c>
      <c r="Q675">
        <v>10</v>
      </c>
      <c r="R675">
        <v>6</v>
      </c>
      <c r="S675">
        <v>5</v>
      </c>
      <c r="T675">
        <v>0</v>
      </c>
      <c r="U675">
        <v>3</v>
      </c>
      <c r="V675" t="s">
        <v>72</v>
      </c>
      <c r="W675" s="1" t="s">
        <v>364</v>
      </c>
      <c r="Y675" t="s">
        <v>39</v>
      </c>
      <c r="Z675" t="s">
        <v>40</v>
      </c>
      <c r="AA675">
        <v>5</v>
      </c>
      <c r="AB675">
        <v>3</v>
      </c>
      <c r="AC675" t="s">
        <v>41</v>
      </c>
      <c r="AD675" t="s">
        <v>67</v>
      </c>
      <c r="AE675" t="s">
        <v>60</v>
      </c>
      <c r="AF675" s="3">
        <v>939</v>
      </c>
      <c r="AG675" s="3">
        <v>100</v>
      </c>
      <c r="AH675">
        <v>80</v>
      </c>
      <c r="AI675">
        <v>2</v>
      </c>
      <c r="AJ675">
        <v>0</v>
      </c>
      <c r="AL675">
        <v>0</v>
      </c>
      <c r="AM675">
        <v>1</v>
      </c>
      <c r="AN675" t="s">
        <v>768</v>
      </c>
      <c r="AO675" t="s">
        <v>41</v>
      </c>
    </row>
    <row r="676" spans="1:41" x14ac:dyDescent="0.25">
      <c r="A676">
        <v>33</v>
      </c>
      <c r="B676" t="s">
        <v>32</v>
      </c>
      <c r="C676" t="s">
        <v>33</v>
      </c>
      <c r="D676">
        <v>1</v>
      </c>
      <c r="E676" t="s">
        <v>61</v>
      </c>
      <c r="F676">
        <v>2</v>
      </c>
      <c r="G676">
        <v>2</v>
      </c>
      <c r="H676" t="s">
        <v>89</v>
      </c>
      <c r="I676">
        <v>4</v>
      </c>
      <c r="J676" t="s">
        <v>36</v>
      </c>
      <c r="K676">
        <v>6949</v>
      </c>
      <c r="L676">
        <v>0</v>
      </c>
      <c r="M676" t="s">
        <v>41</v>
      </c>
      <c r="N676">
        <v>14</v>
      </c>
      <c r="O676">
        <v>3</v>
      </c>
      <c r="P676">
        <v>0</v>
      </c>
      <c r="Q676">
        <v>6</v>
      </c>
      <c r="R676">
        <v>3</v>
      </c>
      <c r="S676">
        <v>5</v>
      </c>
      <c r="T676">
        <v>1</v>
      </c>
      <c r="U676">
        <v>4</v>
      </c>
      <c r="V676" t="s">
        <v>37</v>
      </c>
      <c r="W676" s="2">
        <v>42463</v>
      </c>
      <c r="Y676" t="s">
        <v>39</v>
      </c>
      <c r="Z676" t="s">
        <v>40</v>
      </c>
      <c r="AA676">
        <v>3</v>
      </c>
      <c r="AB676">
        <v>0</v>
      </c>
      <c r="AC676" t="s">
        <v>31</v>
      </c>
      <c r="AD676" t="s">
        <v>42</v>
      </c>
      <c r="AE676" t="s">
        <v>49</v>
      </c>
      <c r="AF676" s="3">
        <v>940</v>
      </c>
      <c r="AG676" s="3">
        <v>37</v>
      </c>
      <c r="AH676">
        <v>80</v>
      </c>
      <c r="AI676">
        <v>0</v>
      </c>
      <c r="AJ676">
        <v>0</v>
      </c>
      <c r="AL676">
        <v>0</v>
      </c>
      <c r="AM676">
        <v>1</v>
      </c>
      <c r="AN676" t="s">
        <v>768</v>
      </c>
      <c r="AO676" t="s">
        <v>41</v>
      </c>
    </row>
    <row r="677" spans="1:41" x14ac:dyDescent="0.25">
      <c r="A677">
        <v>35</v>
      </c>
      <c r="B677" t="s">
        <v>32</v>
      </c>
      <c r="C677" t="s">
        <v>55</v>
      </c>
      <c r="D677">
        <v>18</v>
      </c>
      <c r="E677" t="s">
        <v>61</v>
      </c>
      <c r="F677">
        <v>3</v>
      </c>
      <c r="G677">
        <v>2</v>
      </c>
      <c r="H677" t="s">
        <v>70</v>
      </c>
      <c r="I677">
        <v>3</v>
      </c>
      <c r="J677" t="s">
        <v>51</v>
      </c>
      <c r="K677">
        <v>4601</v>
      </c>
      <c r="L677">
        <v>1</v>
      </c>
      <c r="M677" t="s">
        <v>41</v>
      </c>
      <c r="N677">
        <v>16</v>
      </c>
      <c r="O677">
        <v>3</v>
      </c>
      <c r="P677">
        <v>0</v>
      </c>
      <c r="Q677">
        <v>5</v>
      </c>
      <c r="R677">
        <v>3</v>
      </c>
      <c r="S677">
        <v>5</v>
      </c>
      <c r="T677">
        <v>1</v>
      </c>
      <c r="U677">
        <v>0</v>
      </c>
      <c r="V677" t="s">
        <v>52</v>
      </c>
      <c r="W677" s="1" t="s">
        <v>344</v>
      </c>
      <c r="Y677" t="s">
        <v>46</v>
      </c>
      <c r="Z677" t="s">
        <v>47</v>
      </c>
      <c r="AA677">
        <v>3</v>
      </c>
      <c r="AB677">
        <v>3</v>
      </c>
      <c r="AC677" t="s">
        <v>41</v>
      </c>
      <c r="AD677" t="s">
        <v>65</v>
      </c>
      <c r="AE677" t="s">
        <v>60</v>
      </c>
      <c r="AF677" s="3">
        <v>941</v>
      </c>
      <c r="AG677" s="3">
        <v>41</v>
      </c>
      <c r="AH677">
        <v>80</v>
      </c>
      <c r="AI677">
        <v>7</v>
      </c>
      <c r="AJ677">
        <v>0</v>
      </c>
      <c r="AL677">
        <v>0</v>
      </c>
      <c r="AM677">
        <v>1</v>
      </c>
      <c r="AN677" t="s">
        <v>768</v>
      </c>
      <c r="AO677" t="s">
        <v>41</v>
      </c>
    </row>
    <row r="678" spans="1:41" x14ac:dyDescent="0.25">
      <c r="A678">
        <v>38</v>
      </c>
      <c r="B678" t="s">
        <v>81</v>
      </c>
      <c r="C678" t="s">
        <v>55</v>
      </c>
      <c r="D678">
        <v>10</v>
      </c>
      <c r="E678" t="s">
        <v>61</v>
      </c>
      <c r="F678">
        <v>3</v>
      </c>
      <c r="G678">
        <v>2</v>
      </c>
      <c r="H678" t="s">
        <v>70</v>
      </c>
      <c r="I678">
        <v>4</v>
      </c>
      <c r="J678" t="s">
        <v>36</v>
      </c>
      <c r="K678">
        <v>5666</v>
      </c>
      <c r="L678">
        <v>1</v>
      </c>
      <c r="M678" t="s">
        <v>31</v>
      </c>
      <c r="N678">
        <v>13</v>
      </c>
      <c r="O678">
        <v>3</v>
      </c>
      <c r="P678">
        <v>0</v>
      </c>
      <c r="Q678">
        <v>6</v>
      </c>
      <c r="R678">
        <v>1</v>
      </c>
      <c r="S678">
        <v>5</v>
      </c>
      <c r="T678">
        <v>1</v>
      </c>
      <c r="U678">
        <v>3</v>
      </c>
      <c r="V678" t="s">
        <v>52</v>
      </c>
      <c r="W678" s="1" t="s">
        <v>318</v>
      </c>
      <c r="Y678" t="s">
        <v>39</v>
      </c>
      <c r="Z678" t="s">
        <v>40</v>
      </c>
      <c r="AA678">
        <v>2</v>
      </c>
      <c r="AB678">
        <v>0</v>
      </c>
      <c r="AC678" t="s">
        <v>41</v>
      </c>
      <c r="AD678" t="s">
        <v>67</v>
      </c>
      <c r="AE678" t="s">
        <v>60</v>
      </c>
      <c r="AF678" s="3">
        <v>942</v>
      </c>
      <c r="AG678" s="3">
        <v>51</v>
      </c>
      <c r="AH678">
        <v>80</v>
      </c>
      <c r="AI678">
        <v>6</v>
      </c>
      <c r="AJ678">
        <v>0</v>
      </c>
      <c r="AL678">
        <v>0</v>
      </c>
      <c r="AM678">
        <v>1</v>
      </c>
      <c r="AN678" t="s">
        <v>768</v>
      </c>
      <c r="AO678" t="s">
        <v>41</v>
      </c>
    </row>
    <row r="679" spans="1:41" x14ac:dyDescent="0.25">
      <c r="A679">
        <v>45</v>
      </c>
      <c r="B679" t="s">
        <v>32</v>
      </c>
      <c r="C679" t="s">
        <v>33</v>
      </c>
      <c r="D679">
        <v>1</v>
      </c>
      <c r="E679" t="s">
        <v>61</v>
      </c>
      <c r="F679">
        <v>3</v>
      </c>
      <c r="G679">
        <v>1</v>
      </c>
      <c r="H679" t="s">
        <v>35</v>
      </c>
      <c r="I679">
        <v>4</v>
      </c>
      <c r="J679" t="s">
        <v>57</v>
      </c>
      <c r="K679">
        <v>2270</v>
      </c>
      <c r="L679">
        <v>3</v>
      </c>
      <c r="M679" t="s">
        <v>41</v>
      </c>
      <c r="N679">
        <v>14</v>
      </c>
      <c r="O679">
        <v>3</v>
      </c>
      <c r="P679">
        <v>2</v>
      </c>
      <c r="Q679">
        <v>8</v>
      </c>
      <c r="R679">
        <v>2</v>
      </c>
      <c r="S679">
        <v>5</v>
      </c>
      <c r="T679">
        <v>0</v>
      </c>
      <c r="U679">
        <v>2</v>
      </c>
      <c r="V679" t="s">
        <v>72</v>
      </c>
      <c r="W679" s="1" t="s">
        <v>365</v>
      </c>
      <c r="Y679" t="s">
        <v>39</v>
      </c>
      <c r="Z679" t="s">
        <v>40</v>
      </c>
      <c r="AA679">
        <v>1</v>
      </c>
      <c r="AB679">
        <v>3</v>
      </c>
      <c r="AC679" t="s">
        <v>41</v>
      </c>
      <c r="AD679" t="s">
        <v>67</v>
      </c>
      <c r="AE679" t="s">
        <v>49</v>
      </c>
      <c r="AF679" s="3">
        <v>944</v>
      </c>
      <c r="AG679" s="3">
        <v>51</v>
      </c>
      <c r="AH679">
        <v>80</v>
      </c>
      <c r="AI679">
        <v>9</v>
      </c>
      <c r="AJ679">
        <v>0</v>
      </c>
      <c r="AL679">
        <v>0</v>
      </c>
      <c r="AM679">
        <v>1</v>
      </c>
      <c r="AN679" t="s">
        <v>768</v>
      </c>
      <c r="AO679" t="s">
        <v>41</v>
      </c>
    </row>
    <row r="680" spans="1:41" x14ac:dyDescent="0.25">
      <c r="A680">
        <v>50</v>
      </c>
      <c r="B680" t="s">
        <v>32</v>
      </c>
      <c r="C680" t="s">
        <v>33</v>
      </c>
      <c r="D680">
        <v>1</v>
      </c>
      <c r="E680" t="s">
        <v>34</v>
      </c>
      <c r="F680">
        <v>3</v>
      </c>
      <c r="G680">
        <v>4</v>
      </c>
      <c r="H680" t="s">
        <v>50</v>
      </c>
      <c r="I680">
        <v>4</v>
      </c>
      <c r="J680" t="s">
        <v>57</v>
      </c>
      <c r="K680">
        <v>17399</v>
      </c>
      <c r="L680">
        <v>9</v>
      </c>
      <c r="M680" t="s">
        <v>41</v>
      </c>
      <c r="N680">
        <v>22</v>
      </c>
      <c r="O680">
        <v>4</v>
      </c>
      <c r="P680">
        <v>1</v>
      </c>
      <c r="Q680">
        <v>32</v>
      </c>
      <c r="R680">
        <v>1</v>
      </c>
      <c r="S680">
        <v>5</v>
      </c>
      <c r="T680">
        <v>1</v>
      </c>
      <c r="U680">
        <v>3</v>
      </c>
      <c r="V680" t="s">
        <v>58</v>
      </c>
      <c r="W680" s="1" t="s">
        <v>366</v>
      </c>
      <c r="Y680" t="s">
        <v>63</v>
      </c>
      <c r="Z680" t="s">
        <v>47</v>
      </c>
      <c r="AA680">
        <v>2</v>
      </c>
      <c r="AB680">
        <v>1</v>
      </c>
      <c r="AC680" t="s">
        <v>41</v>
      </c>
      <c r="AD680" t="s">
        <v>42</v>
      </c>
      <c r="AE680" t="s">
        <v>49</v>
      </c>
      <c r="AF680" s="3">
        <v>945</v>
      </c>
      <c r="AG680" s="3">
        <v>51</v>
      </c>
      <c r="AH680">
        <v>80</v>
      </c>
      <c r="AI680">
        <v>0</v>
      </c>
      <c r="AJ680">
        <v>0</v>
      </c>
      <c r="AL680">
        <v>0</v>
      </c>
      <c r="AM680">
        <v>1</v>
      </c>
      <c r="AN680" t="s">
        <v>768</v>
      </c>
      <c r="AO680" t="s">
        <v>41</v>
      </c>
    </row>
    <row r="681" spans="1:41" x14ac:dyDescent="0.25">
      <c r="A681">
        <v>30</v>
      </c>
      <c r="B681" t="s">
        <v>32</v>
      </c>
      <c r="C681" t="s">
        <v>33</v>
      </c>
      <c r="D681">
        <v>22</v>
      </c>
      <c r="E681" t="s">
        <v>61</v>
      </c>
      <c r="F681">
        <v>3</v>
      </c>
      <c r="G681">
        <v>1</v>
      </c>
      <c r="H681" t="s">
        <v>44</v>
      </c>
      <c r="I681">
        <v>3</v>
      </c>
      <c r="J681" t="s">
        <v>51</v>
      </c>
      <c r="K681">
        <v>2132</v>
      </c>
      <c r="L681">
        <v>4</v>
      </c>
      <c r="M681" t="s">
        <v>31</v>
      </c>
      <c r="N681">
        <v>11</v>
      </c>
      <c r="O681">
        <v>3</v>
      </c>
      <c r="P681">
        <v>0</v>
      </c>
      <c r="Q681">
        <v>7</v>
      </c>
      <c r="R681">
        <v>2</v>
      </c>
      <c r="S681">
        <v>5</v>
      </c>
      <c r="T681">
        <v>0</v>
      </c>
      <c r="U681">
        <v>1</v>
      </c>
      <c r="V681" t="s">
        <v>37</v>
      </c>
      <c r="W681" s="2">
        <v>42586</v>
      </c>
      <c r="Y681" t="s">
        <v>46</v>
      </c>
      <c r="Z681" t="s">
        <v>40</v>
      </c>
      <c r="AA681">
        <v>3</v>
      </c>
      <c r="AB681">
        <v>0</v>
      </c>
      <c r="AC681" t="s">
        <v>41</v>
      </c>
      <c r="AD681" t="s">
        <v>67</v>
      </c>
      <c r="AE681" t="s">
        <v>43</v>
      </c>
      <c r="AF681" s="3">
        <v>947</v>
      </c>
      <c r="AG681" s="3">
        <v>45</v>
      </c>
      <c r="AH681">
        <v>80</v>
      </c>
      <c r="AI681">
        <v>8</v>
      </c>
      <c r="AJ681">
        <v>0</v>
      </c>
      <c r="AL681">
        <v>0</v>
      </c>
      <c r="AM681">
        <v>1</v>
      </c>
      <c r="AN681" t="s">
        <v>768</v>
      </c>
      <c r="AO681" t="s">
        <v>41</v>
      </c>
    </row>
    <row r="682" spans="1:41" x14ac:dyDescent="0.25">
      <c r="A682">
        <v>59</v>
      </c>
      <c r="B682" t="s">
        <v>32</v>
      </c>
      <c r="C682" t="s">
        <v>33</v>
      </c>
      <c r="D682">
        <v>2</v>
      </c>
      <c r="E682" t="s">
        <v>61</v>
      </c>
      <c r="F682">
        <v>2</v>
      </c>
      <c r="G682">
        <v>4</v>
      </c>
      <c r="H682" t="s">
        <v>78</v>
      </c>
      <c r="I682">
        <v>4</v>
      </c>
      <c r="J682" t="s">
        <v>36</v>
      </c>
      <c r="K682">
        <v>13726</v>
      </c>
      <c r="L682">
        <v>3</v>
      </c>
      <c r="M682" t="s">
        <v>31</v>
      </c>
      <c r="N682">
        <v>13</v>
      </c>
      <c r="O682">
        <v>3</v>
      </c>
      <c r="P682">
        <v>0</v>
      </c>
      <c r="Q682">
        <v>30</v>
      </c>
      <c r="R682">
        <v>4</v>
      </c>
      <c r="S682">
        <v>5</v>
      </c>
      <c r="T682">
        <v>4</v>
      </c>
      <c r="U682">
        <v>3</v>
      </c>
      <c r="V682" t="s">
        <v>72</v>
      </c>
      <c r="W682" s="1" t="s">
        <v>367</v>
      </c>
      <c r="Y682" t="s">
        <v>39</v>
      </c>
      <c r="Z682" t="s">
        <v>47</v>
      </c>
      <c r="AA682">
        <v>5</v>
      </c>
      <c r="AB682">
        <v>1</v>
      </c>
      <c r="AC682" t="s">
        <v>31</v>
      </c>
      <c r="AD682" t="s">
        <v>42</v>
      </c>
      <c r="AE682" t="s">
        <v>49</v>
      </c>
      <c r="AF682" s="3">
        <v>949</v>
      </c>
      <c r="AG682" s="3">
        <v>65</v>
      </c>
      <c r="AH682">
        <v>80</v>
      </c>
      <c r="AI682">
        <v>2</v>
      </c>
      <c r="AJ682">
        <v>0</v>
      </c>
      <c r="AL682">
        <v>0</v>
      </c>
      <c r="AM682">
        <v>1</v>
      </c>
      <c r="AN682" t="s">
        <v>768</v>
      </c>
      <c r="AO682" t="s">
        <v>41</v>
      </c>
    </row>
    <row r="683" spans="1:41" x14ac:dyDescent="0.25">
      <c r="A683">
        <v>26</v>
      </c>
      <c r="B683" t="s">
        <v>66</v>
      </c>
      <c r="C683" t="s">
        <v>33</v>
      </c>
      <c r="D683">
        <v>1</v>
      </c>
      <c r="E683" t="s">
        <v>61</v>
      </c>
      <c r="F683">
        <v>2</v>
      </c>
      <c r="G683">
        <v>1</v>
      </c>
      <c r="H683" t="s">
        <v>44</v>
      </c>
      <c r="I683">
        <v>3</v>
      </c>
      <c r="J683" t="s">
        <v>57</v>
      </c>
      <c r="K683">
        <v>2007</v>
      </c>
      <c r="L683">
        <v>1</v>
      </c>
      <c r="M683" t="s">
        <v>41</v>
      </c>
      <c r="N683">
        <v>13</v>
      </c>
      <c r="O683">
        <v>3</v>
      </c>
      <c r="P683">
        <v>2</v>
      </c>
      <c r="Q683">
        <v>5</v>
      </c>
      <c r="R683">
        <v>5</v>
      </c>
      <c r="S683">
        <v>5</v>
      </c>
      <c r="T683">
        <v>1</v>
      </c>
      <c r="U683">
        <v>3</v>
      </c>
      <c r="V683" t="s">
        <v>72</v>
      </c>
      <c r="W683" s="1" t="s">
        <v>360</v>
      </c>
      <c r="Y683" t="s">
        <v>63</v>
      </c>
      <c r="Z683" t="s">
        <v>40</v>
      </c>
      <c r="AA683">
        <v>1</v>
      </c>
      <c r="AB683">
        <v>0</v>
      </c>
      <c r="AC683" t="s">
        <v>31</v>
      </c>
      <c r="AD683" t="s">
        <v>67</v>
      </c>
      <c r="AE683" t="s">
        <v>43</v>
      </c>
      <c r="AF683" s="3">
        <v>950</v>
      </c>
      <c r="AG683" s="3">
        <v>80</v>
      </c>
      <c r="AH683">
        <v>80</v>
      </c>
      <c r="AI683">
        <v>12</v>
      </c>
      <c r="AJ683">
        <v>0</v>
      </c>
      <c r="AL683">
        <v>0</v>
      </c>
      <c r="AM683">
        <v>1</v>
      </c>
      <c r="AN683" t="s">
        <v>768</v>
      </c>
      <c r="AO683" t="s">
        <v>41</v>
      </c>
    </row>
    <row r="684" spans="1:41" x14ac:dyDescent="0.25">
      <c r="A684">
        <v>56</v>
      </c>
      <c r="B684" t="s">
        <v>66</v>
      </c>
      <c r="C684" t="s">
        <v>33</v>
      </c>
      <c r="D684">
        <v>9</v>
      </c>
      <c r="E684" t="s">
        <v>61</v>
      </c>
      <c r="F684">
        <v>3</v>
      </c>
      <c r="G684">
        <v>1</v>
      </c>
      <c r="H684" t="s">
        <v>44</v>
      </c>
      <c r="I684">
        <v>3</v>
      </c>
      <c r="J684" t="s">
        <v>51</v>
      </c>
      <c r="K684">
        <v>2942</v>
      </c>
      <c r="L684">
        <v>2</v>
      </c>
      <c r="M684" t="s">
        <v>41</v>
      </c>
      <c r="N684">
        <v>19</v>
      </c>
      <c r="O684">
        <v>3</v>
      </c>
      <c r="P684">
        <v>1</v>
      </c>
      <c r="Q684">
        <v>18</v>
      </c>
      <c r="R684">
        <v>4</v>
      </c>
      <c r="S684">
        <v>5</v>
      </c>
      <c r="T684">
        <v>0</v>
      </c>
      <c r="U684">
        <v>3</v>
      </c>
      <c r="V684" t="s">
        <v>52</v>
      </c>
      <c r="W684" s="1" t="s">
        <v>368</v>
      </c>
      <c r="Y684" t="s">
        <v>63</v>
      </c>
      <c r="Z684" t="s">
        <v>47</v>
      </c>
      <c r="AA684">
        <v>3</v>
      </c>
      <c r="AB684">
        <v>1</v>
      </c>
      <c r="AC684" t="s">
        <v>31</v>
      </c>
      <c r="AD684" t="s">
        <v>65</v>
      </c>
      <c r="AE684" t="s">
        <v>43</v>
      </c>
      <c r="AF684" s="3">
        <v>951</v>
      </c>
      <c r="AG684" s="3">
        <v>70</v>
      </c>
      <c r="AH684">
        <v>80</v>
      </c>
      <c r="AI684">
        <v>0</v>
      </c>
      <c r="AJ684">
        <v>0</v>
      </c>
      <c r="AL684">
        <v>0</v>
      </c>
      <c r="AM684">
        <v>1</v>
      </c>
      <c r="AN684" t="s">
        <v>768</v>
      </c>
      <c r="AO684" t="s">
        <v>41</v>
      </c>
    </row>
    <row r="685" spans="1:41" x14ac:dyDescent="0.25">
      <c r="A685">
        <v>26</v>
      </c>
      <c r="B685" t="s">
        <v>32</v>
      </c>
      <c r="C685" t="s">
        <v>33</v>
      </c>
      <c r="D685">
        <v>1</v>
      </c>
      <c r="E685" t="s">
        <v>34</v>
      </c>
      <c r="F685">
        <v>2</v>
      </c>
      <c r="G685">
        <v>1</v>
      </c>
      <c r="H685" t="s">
        <v>35</v>
      </c>
      <c r="I685">
        <v>1</v>
      </c>
      <c r="J685" t="s">
        <v>51</v>
      </c>
      <c r="K685">
        <v>3955</v>
      </c>
      <c r="L685">
        <v>1</v>
      </c>
      <c r="M685" t="s">
        <v>41</v>
      </c>
      <c r="N685">
        <v>16</v>
      </c>
      <c r="O685">
        <v>3</v>
      </c>
      <c r="P685">
        <v>2</v>
      </c>
      <c r="Q685">
        <v>6</v>
      </c>
      <c r="R685">
        <v>2</v>
      </c>
      <c r="S685">
        <v>5</v>
      </c>
      <c r="T685">
        <v>1</v>
      </c>
      <c r="U685">
        <v>3</v>
      </c>
      <c r="V685" t="s">
        <v>72</v>
      </c>
      <c r="W685" s="2">
        <v>42465</v>
      </c>
      <c r="Y685" t="s">
        <v>69</v>
      </c>
      <c r="Z685" t="s">
        <v>40</v>
      </c>
      <c r="AA685">
        <v>5</v>
      </c>
      <c r="AB685">
        <v>3</v>
      </c>
      <c r="AC685" t="s">
        <v>31</v>
      </c>
      <c r="AD685" t="s">
        <v>65</v>
      </c>
      <c r="AE685" t="s">
        <v>60</v>
      </c>
      <c r="AF685" s="3">
        <v>952</v>
      </c>
      <c r="AG685" s="3">
        <v>36</v>
      </c>
      <c r="AH685">
        <v>80</v>
      </c>
      <c r="AI685">
        <v>0</v>
      </c>
      <c r="AJ685">
        <v>1</v>
      </c>
      <c r="AK685">
        <v>1</v>
      </c>
      <c r="AL685">
        <v>1</v>
      </c>
      <c r="AM685">
        <v>0</v>
      </c>
      <c r="AN685" t="s">
        <v>767</v>
      </c>
      <c r="AO685" t="s">
        <v>31</v>
      </c>
    </row>
    <row r="686" spans="1:41" x14ac:dyDescent="0.25">
      <c r="A686">
        <v>48</v>
      </c>
      <c r="B686" t="s">
        <v>81</v>
      </c>
      <c r="C686" t="s">
        <v>33</v>
      </c>
      <c r="D686">
        <v>1</v>
      </c>
      <c r="E686" t="s">
        <v>34</v>
      </c>
      <c r="F686">
        <v>4</v>
      </c>
      <c r="G686">
        <v>4</v>
      </c>
      <c r="H686" t="s">
        <v>75</v>
      </c>
      <c r="I686">
        <v>4</v>
      </c>
      <c r="J686" t="s">
        <v>36</v>
      </c>
      <c r="K686">
        <v>16885</v>
      </c>
      <c r="L686">
        <v>2</v>
      </c>
      <c r="M686" t="s">
        <v>41</v>
      </c>
      <c r="N686">
        <v>22</v>
      </c>
      <c r="O686">
        <v>4</v>
      </c>
      <c r="P686">
        <v>0</v>
      </c>
      <c r="Q686">
        <v>27</v>
      </c>
      <c r="R686">
        <v>3</v>
      </c>
      <c r="S686">
        <v>5</v>
      </c>
      <c r="T686">
        <v>2</v>
      </c>
      <c r="U686">
        <v>1</v>
      </c>
      <c r="V686" t="s">
        <v>58</v>
      </c>
      <c r="W686" s="2">
        <v>42586</v>
      </c>
      <c r="Y686" t="s">
        <v>39</v>
      </c>
      <c r="Z686" t="s">
        <v>47</v>
      </c>
      <c r="AA686">
        <v>1</v>
      </c>
      <c r="AB686">
        <v>2</v>
      </c>
      <c r="AC686" t="s">
        <v>41</v>
      </c>
      <c r="AD686" t="s">
        <v>67</v>
      </c>
      <c r="AE686" t="s">
        <v>49</v>
      </c>
      <c r="AF686" s="3">
        <v>954</v>
      </c>
      <c r="AG686" s="3">
        <v>67</v>
      </c>
      <c r="AH686">
        <v>80</v>
      </c>
      <c r="AI686">
        <v>0</v>
      </c>
      <c r="AJ686">
        <v>0</v>
      </c>
      <c r="AL686">
        <v>0</v>
      </c>
      <c r="AM686">
        <v>1</v>
      </c>
      <c r="AN686" t="s">
        <v>768</v>
      </c>
      <c r="AO686" t="s">
        <v>41</v>
      </c>
    </row>
    <row r="687" spans="1:41" x14ac:dyDescent="0.25">
      <c r="A687">
        <v>39</v>
      </c>
      <c r="B687" t="s">
        <v>81</v>
      </c>
      <c r="C687" t="s">
        <v>33</v>
      </c>
      <c r="D687">
        <v>9</v>
      </c>
      <c r="E687" t="s">
        <v>34</v>
      </c>
      <c r="F687">
        <v>3</v>
      </c>
      <c r="G687">
        <v>2</v>
      </c>
      <c r="H687" t="s">
        <v>35</v>
      </c>
      <c r="I687">
        <v>2</v>
      </c>
      <c r="J687" t="s">
        <v>36</v>
      </c>
      <c r="K687">
        <v>6782</v>
      </c>
      <c r="L687">
        <v>9</v>
      </c>
      <c r="M687" t="s">
        <v>41</v>
      </c>
      <c r="N687">
        <v>15</v>
      </c>
      <c r="O687">
        <v>3</v>
      </c>
      <c r="P687">
        <v>0</v>
      </c>
      <c r="Q687">
        <v>9</v>
      </c>
      <c r="R687">
        <v>2</v>
      </c>
      <c r="S687">
        <v>5</v>
      </c>
      <c r="T687">
        <v>0</v>
      </c>
      <c r="U687">
        <v>3</v>
      </c>
      <c r="V687" t="s">
        <v>58</v>
      </c>
      <c r="W687" s="2">
        <v>42647</v>
      </c>
      <c r="Y687" t="s">
        <v>54</v>
      </c>
      <c r="Z687" t="s">
        <v>40</v>
      </c>
      <c r="AA687">
        <v>1</v>
      </c>
      <c r="AB687">
        <v>3</v>
      </c>
      <c r="AC687" t="s">
        <v>41</v>
      </c>
      <c r="AD687" t="s">
        <v>65</v>
      </c>
      <c r="AE687" t="s">
        <v>60</v>
      </c>
      <c r="AF687" s="3">
        <v>956</v>
      </c>
      <c r="AG687" s="3">
        <v>52</v>
      </c>
      <c r="AH687">
        <v>80</v>
      </c>
      <c r="AI687">
        <v>7</v>
      </c>
      <c r="AJ687">
        <v>0</v>
      </c>
      <c r="AL687">
        <v>0</v>
      </c>
      <c r="AM687">
        <v>1</v>
      </c>
      <c r="AN687" t="s">
        <v>768</v>
      </c>
      <c r="AO687" t="s">
        <v>41</v>
      </c>
    </row>
    <row r="688" spans="1:41" x14ac:dyDescent="0.25">
      <c r="A688">
        <v>28</v>
      </c>
      <c r="B688" t="s">
        <v>32</v>
      </c>
      <c r="C688" t="s">
        <v>33</v>
      </c>
      <c r="D688">
        <v>2</v>
      </c>
      <c r="E688" t="s">
        <v>34</v>
      </c>
      <c r="F688">
        <v>2</v>
      </c>
      <c r="G688">
        <v>1</v>
      </c>
      <c r="H688" t="s">
        <v>44</v>
      </c>
      <c r="I688">
        <v>2</v>
      </c>
      <c r="J688" t="s">
        <v>51</v>
      </c>
      <c r="K688">
        <v>3201</v>
      </c>
      <c r="L688">
        <v>0</v>
      </c>
      <c r="M688" t="s">
        <v>41</v>
      </c>
      <c r="N688">
        <v>17</v>
      </c>
      <c r="O688">
        <v>3</v>
      </c>
      <c r="P688">
        <v>0</v>
      </c>
      <c r="Q688">
        <v>6</v>
      </c>
      <c r="R688">
        <v>2</v>
      </c>
      <c r="S688">
        <v>5</v>
      </c>
      <c r="T688">
        <v>0</v>
      </c>
      <c r="U688">
        <v>4</v>
      </c>
      <c r="V688" t="s">
        <v>52</v>
      </c>
      <c r="W688" s="2">
        <v>42406</v>
      </c>
      <c r="Y688" t="s">
        <v>46</v>
      </c>
      <c r="Z688" t="s">
        <v>40</v>
      </c>
      <c r="AA688">
        <v>3</v>
      </c>
      <c r="AB688">
        <v>0</v>
      </c>
      <c r="AC688" t="s">
        <v>31</v>
      </c>
      <c r="AD688" t="s">
        <v>42</v>
      </c>
      <c r="AE688" t="s">
        <v>43</v>
      </c>
      <c r="AF688" s="3">
        <v>957</v>
      </c>
      <c r="AG688" s="3">
        <v>59</v>
      </c>
      <c r="AH688">
        <v>80</v>
      </c>
      <c r="AI688">
        <v>13</v>
      </c>
      <c r="AJ688">
        <v>0</v>
      </c>
      <c r="AL688">
        <v>0</v>
      </c>
      <c r="AM688">
        <v>1</v>
      </c>
      <c r="AN688" t="s">
        <v>768</v>
      </c>
      <c r="AO688" t="s">
        <v>41</v>
      </c>
    </row>
    <row r="689" spans="1:41" x14ac:dyDescent="0.25">
      <c r="A689">
        <v>35</v>
      </c>
      <c r="B689" t="s">
        <v>66</v>
      </c>
      <c r="C689" t="s">
        <v>55</v>
      </c>
      <c r="D689">
        <v>11</v>
      </c>
      <c r="E689" t="s">
        <v>34</v>
      </c>
      <c r="F689">
        <v>3</v>
      </c>
      <c r="G689">
        <v>2</v>
      </c>
      <c r="H689" t="s">
        <v>70</v>
      </c>
      <c r="I689">
        <v>4</v>
      </c>
      <c r="J689" t="s">
        <v>57</v>
      </c>
      <c r="K689">
        <v>4968</v>
      </c>
      <c r="L689">
        <v>1</v>
      </c>
      <c r="M689" t="s">
        <v>41</v>
      </c>
      <c r="N689">
        <v>11</v>
      </c>
      <c r="O689">
        <v>3</v>
      </c>
      <c r="P689">
        <v>1</v>
      </c>
      <c r="Q689">
        <v>5</v>
      </c>
      <c r="R689">
        <v>3</v>
      </c>
      <c r="S689">
        <v>5</v>
      </c>
      <c r="T689">
        <v>0</v>
      </c>
      <c r="U689">
        <v>2</v>
      </c>
      <c r="V689" t="s">
        <v>58</v>
      </c>
      <c r="W689" s="2">
        <v>42494</v>
      </c>
      <c r="Y689" t="s">
        <v>63</v>
      </c>
      <c r="Z689" t="s">
        <v>40</v>
      </c>
      <c r="AA689">
        <v>4</v>
      </c>
      <c r="AB689">
        <v>3</v>
      </c>
      <c r="AC689" t="s">
        <v>31</v>
      </c>
      <c r="AD689" t="s">
        <v>65</v>
      </c>
      <c r="AE689" t="s">
        <v>60</v>
      </c>
      <c r="AF689" s="3">
        <v>958</v>
      </c>
      <c r="AG689" s="3">
        <v>79</v>
      </c>
      <c r="AH689">
        <v>80</v>
      </c>
      <c r="AI689">
        <v>8</v>
      </c>
      <c r="AJ689">
        <v>0</v>
      </c>
      <c r="AL689">
        <v>0</v>
      </c>
      <c r="AM689">
        <v>1</v>
      </c>
      <c r="AN689" t="s">
        <v>768</v>
      </c>
      <c r="AO689" t="s">
        <v>41</v>
      </c>
    </row>
    <row r="690" spans="1:41" x14ac:dyDescent="0.25">
      <c r="A690">
        <v>33</v>
      </c>
      <c r="B690" t="s">
        <v>32</v>
      </c>
      <c r="C690" t="s">
        <v>55</v>
      </c>
      <c r="D690">
        <v>9</v>
      </c>
      <c r="E690" t="s">
        <v>61</v>
      </c>
      <c r="F690">
        <v>3</v>
      </c>
      <c r="G690">
        <v>2</v>
      </c>
      <c r="H690" t="s">
        <v>70</v>
      </c>
      <c r="I690">
        <v>1</v>
      </c>
      <c r="J690" t="s">
        <v>36</v>
      </c>
      <c r="K690">
        <v>8224</v>
      </c>
      <c r="L690">
        <v>0</v>
      </c>
      <c r="M690" t="s">
        <v>31</v>
      </c>
      <c r="N690">
        <v>17</v>
      </c>
      <c r="O690">
        <v>3</v>
      </c>
      <c r="P690">
        <v>0</v>
      </c>
      <c r="Q690">
        <v>6</v>
      </c>
      <c r="R690">
        <v>3</v>
      </c>
      <c r="S690">
        <v>5</v>
      </c>
      <c r="T690">
        <v>0</v>
      </c>
      <c r="U690">
        <v>3</v>
      </c>
      <c r="V690" t="s">
        <v>58</v>
      </c>
      <c r="W690" s="2">
        <v>42374</v>
      </c>
      <c r="Y690" t="s">
        <v>63</v>
      </c>
      <c r="Z690" t="s">
        <v>47</v>
      </c>
      <c r="AA690">
        <v>2</v>
      </c>
      <c r="AB690">
        <v>2</v>
      </c>
      <c r="AC690" t="s">
        <v>31</v>
      </c>
      <c r="AD690" t="s">
        <v>42</v>
      </c>
      <c r="AE690" t="s">
        <v>60</v>
      </c>
      <c r="AF690" s="3">
        <v>959</v>
      </c>
      <c r="AG690" s="3">
        <v>37</v>
      </c>
      <c r="AH690">
        <v>80</v>
      </c>
      <c r="AI690">
        <v>0</v>
      </c>
      <c r="AJ690">
        <v>1</v>
      </c>
      <c r="AK690">
        <v>1</v>
      </c>
      <c r="AL690">
        <v>1</v>
      </c>
      <c r="AM690">
        <v>0</v>
      </c>
      <c r="AN690" t="s">
        <v>767</v>
      </c>
      <c r="AO690" t="s">
        <v>31</v>
      </c>
    </row>
    <row r="691" spans="1:41" x14ac:dyDescent="0.25">
      <c r="A691">
        <v>35</v>
      </c>
      <c r="B691" t="s">
        <v>32</v>
      </c>
      <c r="C691" t="s">
        <v>120</v>
      </c>
      <c r="D691">
        <v>8</v>
      </c>
      <c r="E691" t="s">
        <v>34</v>
      </c>
      <c r="F691">
        <v>3</v>
      </c>
      <c r="G691">
        <v>1</v>
      </c>
      <c r="H691" t="s">
        <v>120</v>
      </c>
      <c r="I691">
        <v>3</v>
      </c>
      <c r="J691" t="s">
        <v>36</v>
      </c>
      <c r="K691">
        <v>4323</v>
      </c>
      <c r="L691">
        <v>1</v>
      </c>
      <c r="M691" t="s">
        <v>41</v>
      </c>
      <c r="N691">
        <v>17</v>
      </c>
      <c r="O691">
        <v>3</v>
      </c>
      <c r="P691">
        <v>0</v>
      </c>
      <c r="Q691">
        <v>6</v>
      </c>
      <c r="R691">
        <v>2</v>
      </c>
      <c r="S691">
        <v>5</v>
      </c>
      <c r="T691">
        <v>1</v>
      </c>
      <c r="U691">
        <v>4</v>
      </c>
      <c r="V691" t="s">
        <v>52</v>
      </c>
      <c r="W691" s="2">
        <v>42464</v>
      </c>
      <c r="Y691" t="s">
        <v>46</v>
      </c>
      <c r="Z691" t="s">
        <v>40</v>
      </c>
      <c r="AA691">
        <v>2</v>
      </c>
      <c r="AB691">
        <v>1</v>
      </c>
      <c r="AC691" t="s">
        <v>31</v>
      </c>
      <c r="AD691" t="s">
        <v>67</v>
      </c>
      <c r="AE691" t="s">
        <v>60</v>
      </c>
      <c r="AF691" s="3">
        <v>960</v>
      </c>
      <c r="AG691" s="3">
        <v>84</v>
      </c>
      <c r="AH691">
        <v>80</v>
      </c>
      <c r="AI691">
        <v>0</v>
      </c>
      <c r="AJ691">
        <v>1</v>
      </c>
      <c r="AK691">
        <v>1</v>
      </c>
      <c r="AL691">
        <v>1</v>
      </c>
      <c r="AM691">
        <v>0</v>
      </c>
      <c r="AN691" t="s">
        <v>767</v>
      </c>
      <c r="AO691" t="s">
        <v>31</v>
      </c>
    </row>
    <row r="692" spans="1:41" x14ac:dyDescent="0.25">
      <c r="A692">
        <v>56</v>
      </c>
      <c r="B692" t="s">
        <v>32</v>
      </c>
      <c r="C692" t="s">
        <v>33</v>
      </c>
      <c r="D692">
        <v>4</v>
      </c>
      <c r="E692" t="s">
        <v>61</v>
      </c>
      <c r="F692">
        <v>3</v>
      </c>
      <c r="G692">
        <v>5</v>
      </c>
      <c r="H692" t="s">
        <v>75</v>
      </c>
      <c r="I692">
        <v>1</v>
      </c>
      <c r="J692" t="s">
        <v>57</v>
      </c>
      <c r="K692">
        <v>19943</v>
      </c>
      <c r="L692">
        <v>4</v>
      </c>
      <c r="M692" t="s">
        <v>41</v>
      </c>
      <c r="N692">
        <v>13</v>
      </c>
      <c r="O692">
        <v>3</v>
      </c>
      <c r="P692">
        <v>1</v>
      </c>
      <c r="Q692">
        <v>28</v>
      </c>
      <c r="R692">
        <v>2</v>
      </c>
      <c r="S692">
        <v>5</v>
      </c>
      <c r="T692">
        <v>4</v>
      </c>
      <c r="U692">
        <v>2</v>
      </c>
      <c r="V692" t="s">
        <v>52</v>
      </c>
      <c r="W692" s="1" t="s">
        <v>369</v>
      </c>
      <c r="Y692" t="s">
        <v>46</v>
      </c>
      <c r="Z692" t="s">
        <v>40</v>
      </c>
      <c r="AA692">
        <v>4</v>
      </c>
      <c r="AB692">
        <v>1</v>
      </c>
      <c r="AC692" t="s">
        <v>41</v>
      </c>
      <c r="AD692" t="s">
        <v>65</v>
      </c>
      <c r="AE692" t="s">
        <v>60</v>
      </c>
      <c r="AF692" s="3">
        <v>961</v>
      </c>
      <c r="AG692" s="3">
        <v>41</v>
      </c>
      <c r="AH692">
        <v>80</v>
      </c>
      <c r="AI692">
        <v>7</v>
      </c>
      <c r="AJ692">
        <v>0</v>
      </c>
      <c r="AL692">
        <v>0</v>
      </c>
      <c r="AM692">
        <v>1</v>
      </c>
      <c r="AN692" t="s">
        <v>768</v>
      </c>
      <c r="AO692" t="s">
        <v>41</v>
      </c>
    </row>
    <row r="693" spans="1:41" x14ac:dyDescent="0.25">
      <c r="A693">
        <v>29</v>
      </c>
      <c r="B693" t="s">
        <v>32</v>
      </c>
      <c r="C693" t="s">
        <v>33</v>
      </c>
      <c r="D693">
        <v>15</v>
      </c>
      <c r="E693" t="s">
        <v>61</v>
      </c>
      <c r="F693">
        <v>1</v>
      </c>
      <c r="G693">
        <v>1</v>
      </c>
      <c r="H693" t="s">
        <v>44</v>
      </c>
      <c r="I693">
        <v>4</v>
      </c>
      <c r="J693" t="s">
        <v>51</v>
      </c>
      <c r="K693">
        <v>2168</v>
      </c>
      <c r="L693">
        <v>0</v>
      </c>
      <c r="M693" t="s">
        <v>31</v>
      </c>
      <c r="N693">
        <v>18</v>
      </c>
      <c r="O693">
        <v>3</v>
      </c>
      <c r="P693">
        <v>1</v>
      </c>
      <c r="Q693">
        <v>6</v>
      </c>
      <c r="R693">
        <v>2</v>
      </c>
      <c r="S693">
        <v>5</v>
      </c>
      <c r="T693">
        <v>1</v>
      </c>
      <c r="U693">
        <v>3</v>
      </c>
      <c r="V693" t="s">
        <v>72</v>
      </c>
      <c r="W693" s="2">
        <v>42525</v>
      </c>
      <c r="Y693" t="s">
        <v>63</v>
      </c>
      <c r="Z693" t="s">
        <v>47</v>
      </c>
      <c r="AA693">
        <v>3</v>
      </c>
      <c r="AB693">
        <v>0</v>
      </c>
      <c r="AC693" t="s">
        <v>41</v>
      </c>
      <c r="AD693" t="s">
        <v>48</v>
      </c>
      <c r="AE693" t="s">
        <v>43</v>
      </c>
      <c r="AF693" s="3">
        <v>964</v>
      </c>
      <c r="AG693" s="3">
        <v>35</v>
      </c>
      <c r="AH693">
        <v>80</v>
      </c>
      <c r="AI693">
        <v>1</v>
      </c>
      <c r="AJ693">
        <v>0</v>
      </c>
      <c r="AL693">
        <v>0</v>
      </c>
      <c r="AM693">
        <v>1</v>
      </c>
      <c r="AN693" t="s">
        <v>768</v>
      </c>
      <c r="AO693" t="s">
        <v>41</v>
      </c>
    </row>
    <row r="694" spans="1:41" x14ac:dyDescent="0.25">
      <c r="A694">
        <v>33</v>
      </c>
      <c r="B694" t="s">
        <v>32</v>
      </c>
      <c r="C694" t="s">
        <v>120</v>
      </c>
      <c r="D694">
        <v>2</v>
      </c>
      <c r="E694" t="s">
        <v>34</v>
      </c>
      <c r="F694">
        <v>3</v>
      </c>
      <c r="G694">
        <v>1</v>
      </c>
      <c r="H694" t="s">
        <v>120</v>
      </c>
      <c r="I694">
        <v>3</v>
      </c>
      <c r="J694" t="s">
        <v>51</v>
      </c>
      <c r="K694">
        <v>3600</v>
      </c>
      <c r="L694">
        <v>1</v>
      </c>
      <c r="M694" t="s">
        <v>41</v>
      </c>
      <c r="N694">
        <v>13</v>
      </c>
      <c r="O694">
        <v>3</v>
      </c>
      <c r="P694">
        <v>1</v>
      </c>
      <c r="Q694">
        <v>5</v>
      </c>
      <c r="R694">
        <v>2</v>
      </c>
      <c r="S694">
        <v>5</v>
      </c>
      <c r="T694">
        <v>1</v>
      </c>
      <c r="U694">
        <v>4</v>
      </c>
      <c r="V694" t="s">
        <v>58</v>
      </c>
      <c r="W694" s="2">
        <v>42618</v>
      </c>
      <c r="Y694" t="s">
        <v>63</v>
      </c>
      <c r="Z694" t="s">
        <v>47</v>
      </c>
      <c r="AA694">
        <v>3</v>
      </c>
      <c r="AB694">
        <v>2</v>
      </c>
      <c r="AC694" t="s">
        <v>41</v>
      </c>
      <c r="AD694" t="s">
        <v>65</v>
      </c>
      <c r="AE694" t="s">
        <v>43</v>
      </c>
      <c r="AF694" s="3">
        <v>966</v>
      </c>
      <c r="AG694" s="3">
        <v>93</v>
      </c>
      <c r="AH694">
        <v>80</v>
      </c>
      <c r="AI694">
        <v>7</v>
      </c>
      <c r="AJ694">
        <v>0</v>
      </c>
      <c r="AL694">
        <v>0</v>
      </c>
      <c r="AM694">
        <v>1</v>
      </c>
      <c r="AN694" t="s">
        <v>768</v>
      </c>
      <c r="AO694" t="s">
        <v>41</v>
      </c>
    </row>
    <row r="695" spans="1:41" x14ac:dyDescent="0.25">
      <c r="A695">
        <v>40</v>
      </c>
      <c r="B695" t="s">
        <v>32</v>
      </c>
      <c r="C695" t="s">
        <v>55</v>
      </c>
      <c r="D695">
        <v>10</v>
      </c>
      <c r="E695" t="s">
        <v>61</v>
      </c>
      <c r="F695">
        <v>2</v>
      </c>
      <c r="G695">
        <v>2</v>
      </c>
      <c r="H695" t="s">
        <v>70</v>
      </c>
      <c r="I695">
        <v>2</v>
      </c>
      <c r="J695" t="s">
        <v>57</v>
      </c>
      <c r="K695">
        <v>6852</v>
      </c>
      <c r="L695">
        <v>7</v>
      </c>
      <c r="M695" t="s">
        <v>41</v>
      </c>
      <c r="N695">
        <v>12</v>
      </c>
      <c r="O695">
        <v>3</v>
      </c>
      <c r="P695">
        <v>1</v>
      </c>
      <c r="Q695">
        <v>7</v>
      </c>
      <c r="R695">
        <v>2</v>
      </c>
      <c r="S695">
        <v>5</v>
      </c>
      <c r="T695">
        <v>1</v>
      </c>
      <c r="U695">
        <v>3</v>
      </c>
      <c r="V695" t="s">
        <v>52</v>
      </c>
      <c r="W695" s="1" t="s">
        <v>321</v>
      </c>
      <c r="Y695" t="s">
        <v>54</v>
      </c>
      <c r="Z695" t="s">
        <v>40</v>
      </c>
      <c r="AA695">
        <v>2</v>
      </c>
      <c r="AB695">
        <v>3</v>
      </c>
      <c r="AC695" t="s">
        <v>31</v>
      </c>
      <c r="AD695" t="s">
        <v>65</v>
      </c>
      <c r="AE695" t="s">
        <v>49</v>
      </c>
      <c r="AF695" s="3">
        <v>967</v>
      </c>
      <c r="AG695" s="3">
        <v>51</v>
      </c>
      <c r="AH695">
        <v>80</v>
      </c>
      <c r="AI695">
        <v>7</v>
      </c>
      <c r="AJ695">
        <v>1</v>
      </c>
      <c r="AK695">
        <v>1</v>
      </c>
      <c r="AL695">
        <v>1</v>
      </c>
      <c r="AM695">
        <v>0</v>
      </c>
      <c r="AN695" t="s">
        <v>767</v>
      </c>
      <c r="AO695" t="s">
        <v>31</v>
      </c>
    </row>
    <row r="696" spans="1:41" x14ac:dyDescent="0.25">
      <c r="A696">
        <v>54</v>
      </c>
      <c r="B696" t="s">
        <v>66</v>
      </c>
      <c r="C696" t="s">
        <v>33</v>
      </c>
      <c r="D696">
        <v>1</v>
      </c>
      <c r="E696" t="s">
        <v>61</v>
      </c>
      <c r="F696">
        <v>3</v>
      </c>
      <c r="G696">
        <v>3</v>
      </c>
      <c r="H696" t="s">
        <v>78</v>
      </c>
      <c r="I696">
        <v>3</v>
      </c>
      <c r="J696" t="s">
        <v>57</v>
      </c>
      <c r="K696">
        <v>10502</v>
      </c>
      <c r="L696">
        <v>7</v>
      </c>
      <c r="M696" t="s">
        <v>41</v>
      </c>
      <c r="N696">
        <v>17</v>
      </c>
      <c r="O696">
        <v>3</v>
      </c>
      <c r="P696">
        <v>1</v>
      </c>
      <c r="Q696">
        <v>33</v>
      </c>
      <c r="R696">
        <v>2</v>
      </c>
      <c r="S696">
        <v>5</v>
      </c>
      <c r="T696">
        <v>1</v>
      </c>
      <c r="U696">
        <v>4</v>
      </c>
      <c r="V696" t="s">
        <v>52</v>
      </c>
      <c r="W696" s="1" t="s">
        <v>351</v>
      </c>
      <c r="Y696" t="s">
        <v>69</v>
      </c>
      <c r="Z696" t="s">
        <v>47</v>
      </c>
      <c r="AA696">
        <v>3</v>
      </c>
      <c r="AB696">
        <v>1</v>
      </c>
      <c r="AC696" t="s">
        <v>41</v>
      </c>
      <c r="AD696" t="s">
        <v>65</v>
      </c>
      <c r="AE696" t="s">
        <v>43</v>
      </c>
      <c r="AF696" s="3">
        <v>969</v>
      </c>
      <c r="AG696" s="3">
        <v>42</v>
      </c>
      <c r="AH696">
        <v>80</v>
      </c>
      <c r="AI696">
        <v>0</v>
      </c>
      <c r="AJ696">
        <v>0</v>
      </c>
      <c r="AL696">
        <v>0</v>
      </c>
      <c r="AM696">
        <v>1</v>
      </c>
      <c r="AN696" t="s">
        <v>768</v>
      </c>
      <c r="AO696" t="s">
        <v>41</v>
      </c>
    </row>
    <row r="697" spans="1:41" x14ac:dyDescent="0.25">
      <c r="A697">
        <v>27</v>
      </c>
      <c r="B697" t="s">
        <v>32</v>
      </c>
      <c r="C697" t="s">
        <v>33</v>
      </c>
      <c r="D697">
        <v>4</v>
      </c>
      <c r="E697" t="s">
        <v>34</v>
      </c>
      <c r="F697">
        <v>3</v>
      </c>
      <c r="G697">
        <v>1</v>
      </c>
      <c r="H697" t="s">
        <v>44</v>
      </c>
      <c r="I697">
        <v>3</v>
      </c>
      <c r="J697" t="s">
        <v>57</v>
      </c>
      <c r="K697">
        <v>2517</v>
      </c>
      <c r="L697">
        <v>1</v>
      </c>
      <c r="M697" t="s">
        <v>41</v>
      </c>
      <c r="N697">
        <v>11</v>
      </c>
      <c r="O697">
        <v>3</v>
      </c>
      <c r="P697">
        <v>3</v>
      </c>
      <c r="Q697">
        <v>5</v>
      </c>
      <c r="R697">
        <v>2</v>
      </c>
      <c r="S697">
        <v>5</v>
      </c>
      <c r="T697">
        <v>0</v>
      </c>
      <c r="U697">
        <v>3</v>
      </c>
      <c r="V697" t="s">
        <v>52</v>
      </c>
      <c r="W697" s="1" t="s">
        <v>325</v>
      </c>
      <c r="Y697" t="s">
        <v>39</v>
      </c>
      <c r="Z697" t="s">
        <v>40</v>
      </c>
      <c r="AA697">
        <v>0</v>
      </c>
      <c r="AB697">
        <v>3</v>
      </c>
      <c r="AC697" t="s">
        <v>41</v>
      </c>
      <c r="AD697" t="s">
        <v>65</v>
      </c>
      <c r="AE697" t="s">
        <v>60</v>
      </c>
      <c r="AF697" s="3">
        <v>970</v>
      </c>
      <c r="AG697" s="3">
        <v>46</v>
      </c>
      <c r="AH697">
        <v>80</v>
      </c>
      <c r="AI697">
        <v>1</v>
      </c>
      <c r="AJ697">
        <v>1</v>
      </c>
      <c r="AK697">
        <v>1</v>
      </c>
      <c r="AL697">
        <v>1</v>
      </c>
      <c r="AM697">
        <v>0</v>
      </c>
      <c r="AN697" t="s">
        <v>767</v>
      </c>
      <c r="AO697" t="s">
        <v>31</v>
      </c>
    </row>
    <row r="698" spans="1:41" x14ac:dyDescent="0.25">
      <c r="A698">
        <v>39</v>
      </c>
      <c r="B698" t="s">
        <v>32</v>
      </c>
      <c r="C698" t="s">
        <v>33</v>
      </c>
      <c r="D698">
        <v>23</v>
      </c>
      <c r="E698" t="s">
        <v>34</v>
      </c>
      <c r="F698">
        <v>3</v>
      </c>
      <c r="G698">
        <v>1</v>
      </c>
      <c r="H698" t="s">
        <v>44</v>
      </c>
      <c r="I698">
        <v>1</v>
      </c>
      <c r="J698" t="s">
        <v>36</v>
      </c>
      <c r="K698">
        <v>3904</v>
      </c>
      <c r="L698">
        <v>0</v>
      </c>
      <c r="M698" t="s">
        <v>41</v>
      </c>
      <c r="N698">
        <v>13</v>
      </c>
      <c r="O698">
        <v>3</v>
      </c>
      <c r="P698">
        <v>0</v>
      </c>
      <c r="Q698">
        <v>6</v>
      </c>
      <c r="R698">
        <v>2</v>
      </c>
      <c r="S698">
        <v>5</v>
      </c>
      <c r="T698">
        <v>0</v>
      </c>
      <c r="U698">
        <v>3</v>
      </c>
      <c r="V698" t="s">
        <v>58</v>
      </c>
      <c r="W698" s="1" t="s">
        <v>370</v>
      </c>
      <c r="Y698" t="s">
        <v>46</v>
      </c>
      <c r="Z698" t="s">
        <v>40</v>
      </c>
      <c r="AA698">
        <v>5</v>
      </c>
      <c r="AB698">
        <v>1</v>
      </c>
      <c r="AC698" t="s">
        <v>41</v>
      </c>
      <c r="AD698" t="s">
        <v>65</v>
      </c>
      <c r="AE698" t="s">
        <v>43</v>
      </c>
      <c r="AF698" s="3">
        <v>972</v>
      </c>
      <c r="AG698" s="3">
        <v>57</v>
      </c>
      <c r="AH698">
        <v>80</v>
      </c>
      <c r="AI698">
        <v>7</v>
      </c>
      <c r="AJ698">
        <v>0</v>
      </c>
      <c r="AL698">
        <v>0</v>
      </c>
      <c r="AM698">
        <v>1</v>
      </c>
      <c r="AN698" t="s">
        <v>768</v>
      </c>
      <c r="AO698" t="s">
        <v>41</v>
      </c>
    </row>
    <row r="699" spans="1:41" x14ac:dyDescent="0.25">
      <c r="A699">
        <v>40</v>
      </c>
      <c r="B699" t="s">
        <v>32</v>
      </c>
      <c r="C699" t="s">
        <v>55</v>
      </c>
      <c r="D699">
        <v>25</v>
      </c>
      <c r="E699" t="s">
        <v>34</v>
      </c>
      <c r="F699">
        <v>2</v>
      </c>
      <c r="G699">
        <v>3</v>
      </c>
      <c r="H699" t="s">
        <v>70</v>
      </c>
      <c r="I699">
        <v>2</v>
      </c>
      <c r="J699" t="s">
        <v>36</v>
      </c>
      <c r="K699">
        <v>9094</v>
      </c>
      <c r="L699">
        <v>2</v>
      </c>
      <c r="M699" t="s">
        <v>31</v>
      </c>
      <c r="N699">
        <v>12</v>
      </c>
      <c r="O699">
        <v>3</v>
      </c>
      <c r="P699">
        <v>0</v>
      </c>
      <c r="Q699">
        <v>9</v>
      </c>
      <c r="R699">
        <v>2</v>
      </c>
      <c r="S699">
        <v>5</v>
      </c>
      <c r="T699">
        <v>1</v>
      </c>
      <c r="U699">
        <v>0</v>
      </c>
      <c r="V699" t="s">
        <v>72</v>
      </c>
      <c r="W699" s="2">
        <v>42370</v>
      </c>
      <c r="Y699" t="s">
        <v>46</v>
      </c>
      <c r="Z699" t="s">
        <v>47</v>
      </c>
      <c r="AA699">
        <v>1</v>
      </c>
      <c r="AB699">
        <v>0</v>
      </c>
      <c r="AC699" t="s">
        <v>41</v>
      </c>
      <c r="AD699" t="s">
        <v>42</v>
      </c>
      <c r="AE699" t="s">
        <v>49</v>
      </c>
      <c r="AF699" s="3">
        <v>974</v>
      </c>
      <c r="AG699" s="3">
        <v>84</v>
      </c>
      <c r="AH699">
        <v>80</v>
      </c>
      <c r="AI699">
        <v>1</v>
      </c>
      <c r="AJ699">
        <v>0</v>
      </c>
      <c r="AL699">
        <v>0</v>
      </c>
      <c r="AM699">
        <v>1</v>
      </c>
      <c r="AN699" t="s">
        <v>768</v>
      </c>
      <c r="AO699" t="s">
        <v>41</v>
      </c>
    </row>
    <row r="700" spans="1:41" x14ac:dyDescent="0.25">
      <c r="A700">
        <v>51</v>
      </c>
      <c r="B700" t="s">
        <v>32</v>
      </c>
      <c r="C700" t="s">
        <v>33</v>
      </c>
      <c r="D700">
        <v>11</v>
      </c>
      <c r="E700" t="s">
        <v>61</v>
      </c>
      <c r="F700">
        <v>2</v>
      </c>
      <c r="G700">
        <v>4</v>
      </c>
      <c r="H700" t="s">
        <v>78</v>
      </c>
      <c r="I700">
        <v>2</v>
      </c>
      <c r="J700" t="s">
        <v>36</v>
      </c>
      <c r="K700">
        <v>13142</v>
      </c>
      <c r="L700">
        <v>3</v>
      </c>
      <c r="M700" t="s">
        <v>41</v>
      </c>
      <c r="N700">
        <v>16</v>
      </c>
      <c r="O700">
        <v>3</v>
      </c>
      <c r="P700">
        <v>0</v>
      </c>
      <c r="Q700">
        <v>29</v>
      </c>
      <c r="R700">
        <v>1</v>
      </c>
      <c r="S700">
        <v>5</v>
      </c>
      <c r="T700">
        <v>0</v>
      </c>
      <c r="U700">
        <v>3</v>
      </c>
      <c r="V700" t="s">
        <v>72</v>
      </c>
      <c r="W700" s="2">
        <v>42495</v>
      </c>
      <c r="Y700" t="s">
        <v>54</v>
      </c>
      <c r="Z700" t="s">
        <v>47</v>
      </c>
      <c r="AA700">
        <v>1</v>
      </c>
      <c r="AB700">
        <v>1</v>
      </c>
      <c r="AC700" t="s">
        <v>41</v>
      </c>
      <c r="AD700" t="s">
        <v>48</v>
      </c>
      <c r="AE700" t="s">
        <v>60</v>
      </c>
      <c r="AF700" s="3">
        <v>975</v>
      </c>
      <c r="AG700" s="3">
        <v>86</v>
      </c>
      <c r="AH700">
        <v>80</v>
      </c>
      <c r="AI700">
        <v>2</v>
      </c>
      <c r="AJ700">
        <v>0</v>
      </c>
      <c r="AL700">
        <v>0</v>
      </c>
      <c r="AM700">
        <v>1</v>
      </c>
      <c r="AN700" t="s">
        <v>768</v>
      </c>
      <c r="AO700" t="s">
        <v>41</v>
      </c>
    </row>
    <row r="701" spans="1:41" x14ac:dyDescent="0.25">
      <c r="A701">
        <v>34</v>
      </c>
      <c r="B701" t="s">
        <v>81</v>
      </c>
      <c r="C701" t="s">
        <v>33</v>
      </c>
      <c r="D701">
        <v>26</v>
      </c>
      <c r="E701" t="s">
        <v>61</v>
      </c>
      <c r="F701">
        <v>2</v>
      </c>
      <c r="G701">
        <v>1</v>
      </c>
      <c r="H701" t="s">
        <v>44</v>
      </c>
      <c r="I701">
        <v>3</v>
      </c>
      <c r="J701" t="s">
        <v>57</v>
      </c>
      <c r="K701">
        <v>2029</v>
      </c>
      <c r="L701">
        <v>1</v>
      </c>
      <c r="M701" t="s">
        <v>41</v>
      </c>
      <c r="N701">
        <v>20</v>
      </c>
      <c r="O701">
        <v>4</v>
      </c>
      <c r="P701">
        <v>3</v>
      </c>
      <c r="Q701">
        <v>5</v>
      </c>
      <c r="R701">
        <v>2</v>
      </c>
      <c r="S701">
        <v>5</v>
      </c>
      <c r="T701">
        <v>0</v>
      </c>
      <c r="U701">
        <v>0</v>
      </c>
      <c r="V701" t="s">
        <v>58</v>
      </c>
      <c r="W701" s="1" t="s">
        <v>361</v>
      </c>
      <c r="Y701" t="s">
        <v>54</v>
      </c>
      <c r="Z701" t="s">
        <v>40</v>
      </c>
      <c r="AA701">
        <v>2</v>
      </c>
      <c r="AB701">
        <v>0</v>
      </c>
      <c r="AC701" t="s">
        <v>41</v>
      </c>
      <c r="AD701" t="s">
        <v>48</v>
      </c>
      <c r="AE701" t="s">
        <v>49</v>
      </c>
      <c r="AF701" s="3">
        <v>976</v>
      </c>
      <c r="AG701" s="3">
        <v>70</v>
      </c>
      <c r="AH701">
        <v>80</v>
      </c>
      <c r="AI701">
        <v>8</v>
      </c>
      <c r="AJ701">
        <v>0</v>
      </c>
      <c r="AL701">
        <v>0</v>
      </c>
      <c r="AM701">
        <v>1</v>
      </c>
      <c r="AN701" t="s">
        <v>768</v>
      </c>
      <c r="AO701" t="s">
        <v>41</v>
      </c>
    </row>
    <row r="702" spans="1:41" x14ac:dyDescent="0.25">
      <c r="A702">
        <v>28</v>
      </c>
      <c r="B702" t="s">
        <v>32</v>
      </c>
      <c r="C702" t="s">
        <v>55</v>
      </c>
      <c r="D702">
        <v>26</v>
      </c>
      <c r="E702" t="s">
        <v>34</v>
      </c>
      <c r="F702">
        <v>2</v>
      </c>
      <c r="G702">
        <v>2</v>
      </c>
      <c r="H702" t="s">
        <v>70</v>
      </c>
      <c r="I702">
        <v>1</v>
      </c>
      <c r="J702" t="s">
        <v>51</v>
      </c>
      <c r="K702">
        <v>4724</v>
      </c>
      <c r="L702">
        <v>1</v>
      </c>
      <c r="M702" t="s">
        <v>41</v>
      </c>
      <c r="N702">
        <v>11</v>
      </c>
      <c r="O702">
        <v>3</v>
      </c>
      <c r="P702">
        <v>1</v>
      </c>
      <c r="Q702">
        <v>5</v>
      </c>
      <c r="R702">
        <v>0</v>
      </c>
      <c r="S702">
        <v>5</v>
      </c>
      <c r="T702">
        <v>0</v>
      </c>
      <c r="U702">
        <v>4</v>
      </c>
      <c r="V702" t="s">
        <v>58</v>
      </c>
      <c r="W702" s="1" t="s">
        <v>349</v>
      </c>
      <c r="Y702" t="s">
        <v>46</v>
      </c>
      <c r="Z702" t="s">
        <v>40</v>
      </c>
      <c r="AA702">
        <v>0</v>
      </c>
      <c r="AB702">
        <v>3</v>
      </c>
      <c r="AC702" t="s">
        <v>31</v>
      </c>
      <c r="AD702" t="s">
        <v>48</v>
      </c>
      <c r="AE702" t="s">
        <v>49</v>
      </c>
      <c r="AF702" s="3">
        <v>977</v>
      </c>
      <c r="AG702" s="3">
        <v>51</v>
      </c>
      <c r="AH702">
        <v>80</v>
      </c>
      <c r="AI702">
        <v>0</v>
      </c>
      <c r="AJ702">
        <v>1</v>
      </c>
      <c r="AK702">
        <v>1</v>
      </c>
      <c r="AL702">
        <v>1</v>
      </c>
      <c r="AM702">
        <v>0</v>
      </c>
      <c r="AN702" t="s">
        <v>767</v>
      </c>
      <c r="AO702" t="s">
        <v>31</v>
      </c>
    </row>
    <row r="703" spans="1:41" x14ac:dyDescent="0.25">
      <c r="A703">
        <v>39</v>
      </c>
      <c r="B703" t="s">
        <v>32</v>
      </c>
      <c r="C703" t="s">
        <v>55</v>
      </c>
      <c r="D703">
        <v>21</v>
      </c>
      <c r="E703" t="s">
        <v>34</v>
      </c>
      <c r="F703">
        <v>2</v>
      </c>
      <c r="G703">
        <v>2</v>
      </c>
      <c r="H703" t="s">
        <v>70</v>
      </c>
      <c r="I703">
        <v>4</v>
      </c>
      <c r="J703" t="s">
        <v>51</v>
      </c>
      <c r="K703">
        <v>6120</v>
      </c>
      <c r="L703">
        <v>3</v>
      </c>
      <c r="M703" t="s">
        <v>31</v>
      </c>
      <c r="N703">
        <v>12</v>
      </c>
      <c r="O703">
        <v>3</v>
      </c>
      <c r="P703">
        <v>2</v>
      </c>
      <c r="Q703">
        <v>8</v>
      </c>
      <c r="R703">
        <v>2</v>
      </c>
      <c r="S703">
        <v>5</v>
      </c>
      <c r="T703">
        <v>1</v>
      </c>
      <c r="U703">
        <v>4</v>
      </c>
      <c r="V703" t="s">
        <v>58</v>
      </c>
      <c r="W703" s="2">
        <v>42463</v>
      </c>
      <c r="Y703" t="s">
        <v>46</v>
      </c>
      <c r="Z703" t="s">
        <v>47</v>
      </c>
      <c r="AA703">
        <v>4</v>
      </c>
      <c r="AB703">
        <v>2</v>
      </c>
      <c r="AC703" t="s">
        <v>31</v>
      </c>
      <c r="AD703" t="s">
        <v>42</v>
      </c>
      <c r="AE703" t="s">
        <v>60</v>
      </c>
      <c r="AF703" s="3">
        <v>981</v>
      </c>
      <c r="AG703" s="3">
        <v>45</v>
      </c>
      <c r="AH703">
        <v>80</v>
      </c>
      <c r="AI703">
        <v>13</v>
      </c>
      <c r="AJ703">
        <v>0</v>
      </c>
      <c r="AL703">
        <v>0</v>
      </c>
      <c r="AM703">
        <v>1</v>
      </c>
      <c r="AN703" t="s">
        <v>768</v>
      </c>
      <c r="AO703" t="s">
        <v>41</v>
      </c>
    </row>
    <row r="704" spans="1:41" x14ac:dyDescent="0.25">
      <c r="A704">
        <v>33</v>
      </c>
      <c r="B704" t="s">
        <v>66</v>
      </c>
      <c r="C704" t="s">
        <v>55</v>
      </c>
      <c r="D704">
        <v>5</v>
      </c>
      <c r="E704" t="s">
        <v>34</v>
      </c>
      <c r="F704">
        <v>3</v>
      </c>
      <c r="G704">
        <v>2</v>
      </c>
      <c r="H704" t="s">
        <v>70</v>
      </c>
      <c r="I704">
        <v>4</v>
      </c>
      <c r="J704" t="s">
        <v>51</v>
      </c>
      <c r="K704">
        <v>9998</v>
      </c>
      <c r="L704">
        <v>6</v>
      </c>
      <c r="M704" t="s">
        <v>41</v>
      </c>
      <c r="N704">
        <v>13</v>
      </c>
      <c r="O704">
        <v>3</v>
      </c>
      <c r="P704">
        <v>0</v>
      </c>
      <c r="Q704">
        <v>8</v>
      </c>
      <c r="R704">
        <v>2</v>
      </c>
      <c r="S704">
        <v>5</v>
      </c>
      <c r="T704">
        <v>1</v>
      </c>
      <c r="U704">
        <v>2</v>
      </c>
      <c r="V704" t="s">
        <v>37</v>
      </c>
      <c r="W704" s="1" t="s">
        <v>371</v>
      </c>
      <c r="Y704" t="s">
        <v>63</v>
      </c>
      <c r="Z704" t="s">
        <v>40</v>
      </c>
      <c r="AA704">
        <v>3</v>
      </c>
      <c r="AB704">
        <v>1</v>
      </c>
      <c r="AC704" t="s">
        <v>31</v>
      </c>
      <c r="AD704" t="s">
        <v>65</v>
      </c>
      <c r="AE704" t="s">
        <v>49</v>
      </c>
      <c r="AF704" s="3">
        <v>982</v>
      </c>
      <c r="AG704" s="3">
        <v>62</v>
      </c>
      <c r="AH704">
        <v>80</v>
      </c>
      <c r="AI704">
        <v>4</v>
      </c>
      <c r="AJ704">
        <v>0</v>
      </c>
      <c r="AL704">
        <v>0</v>
      </c>
      <c r="AM704">
        <v>1</v>
      </c>
      <c r="AN704" t="s">
        <v>768</v>
      </c>
      <c r="AO704" t="s">
        <v>41</v>
      </c>
    </row>
    <row r="705" spans="1:41" x14ac:dyDescent="0.25">
      <c r="A705">
        <v>52</v>
      </c>
      <c r="B705" t="s">
        <v>66</v>
      </c>
      <c r="C705" t="s">
        <v>33</v>
      </c>
      <c r="D705">
        <v>28</v>
      </c>
      <c r="E705" t="s">
        <v>61</v>
      </c>
      <c r="F705">
        <v>4</v>
      </c>
      <c r="G705">
        <v>4</v>
      </c>
      <c r="H705" t="s">
        <v>78</v>
      </c>
      <c r="I705">
        <v>3</v>
      </c>
      <c r="J705" t="s">
        <v>51</v>
      </c>
      <c r="K705">
        <v>13247</v>
      </c>
      <c r="L705">
        <v>2</v>
      </c>
      <c r="M705" t="s">
        <v>31</v>
      </c>
      <c r="N705">
        <v>11</v>
      </c>
      <c r="O705">
        <v>3</v>
      </c>
      <c r="P705">
        <v>1</v>
      </c>
      <c r="Q705">
        <v>24</v>
      </c>
      <c r="R705">
        <v>3</v>
      </c>
      <c r="S705">
        <v>5</v>
      </c>
      <c r="T705">
        <v>0</v>
      </c>
      <c r="U705">
        <v>2</v>
      </c>
      <c r="V705" t="s">
        <v>37</v>
      </c>
      <c r="W705" s="1" t="s">
        <v>327</v>
      </c>
      <c r="Y705" t="s">
        <v>63</v>
      </c>
      <c r="Z705" t="s">
        <v>40</v>
      </c>
      <c r="AA705">
        <v>3</v>
      </c>
      <c r="AB705">
        <v>3</v>
      </c>
      <c r="AC705" t="s">
        <v>31</v>
      </c>
      <c r="AD705" t="s">
        <v>42</v>
      </c>
      <c r="AE705" t="s">
        <v>60</v>
      </c>
      <c r="AF705" s="3">
        <v>983</v>
      </c>
      <c r="AG705" s="3">
        <v>85</v>
      </c>
      <c r="AH705">
        <v>80</v>
      </c>
      <c r="AI705">
        <v>3</v>
      </c>
      <c r="AJ705">
        <v>0</v>
      </c>
      <c r="AL705">
        <v>0</v>
      </c>
      <c r="AM705">
        <v>1</v>
      </c>
      <c r="AN705" t="s">
        <v>768</v>
      </c>
      <c r="AO705" t="s">
        <v>41</v>
      </c>
    </row>
    <row r="706" spans="1:41" x14ac:dyDescent="0.25">
      <c r="A706">
        <v>52</v>
      </c>
      <c r="B706" t="s">
        <v>32</v>
      </c>
      <c r="C706" t="s">
        <v>33</v>
      </c>
      <c r="D706">
        <v>8</v>
      </c>
      <c r="E706" t="s">
        <v>61</v>
      </c>
      <c r="F706">
        <v>3</v>
      </c>
      <c r="G706">
        <v>1</v>
      </c>
      <c r="H706" t="s">
        <v>35</v>
      </c>
      <c r="I706">
        <v>1</v>
      </c>
      <c r="J706" t="s">
        <v>51</v>
      </c>
      <c r="K706">
        <v>2950</v>
      </c>
      <c r="L706">
        <v>9</v>
      </c>
      <c r="M706" t="s">
        <v>41</v>
      </c>
      <c r="N706">
        <v>13</v>
      </c>
      <c r="O706">
        <v>3</v>
      </c>
      <c r="P706">
        <v>0</v>
      </c>
      <c r="Q706">
        <v>12</v>
      </c>
      <c r="R706">
        <v>2</v>
      </c>
      <c r="S706">
        <v>5</v>
      </c>
      <c r="T706">
        <v>0</v>
      </c>
      <c r="U706">
        <v>4</v>
      </c>
      <c r="V706" t="s">
        <v>52</v>
      </c>
      <c r="W706" s="2">
        <v>42375</v>
      </c>
      <c r="Y706" t="s">
        <v>69</v>
      </c>
      <c r="Z706" t="s">
        <v>40</v>
      </c>
      <c r="AA706">
        <v>2</v>
      </c>
      <c r="AB706">
        <v>3</v>
      </c>
      <c r="AC706" t="s">
        <v>31</v>
      </c>
      <c r="AD706" t="s">
        <v>48</v>
      </c>
      <c r="AE706" t="s">
        <v>60</v>
      </c>
      <c r="AF706" s="3">
        <v>984</v>
      </c>
      <c r="AG706" s="3">
        <v>92</v>
      </c>
      <c r="AH706">
        <v>80</v>
      </c>
      <c r="AI706">
        <v>9</v>
      </c>
      <c r="AJ706">
        <v>0</v>
      </c>
      <c r="AL706">
        <v>0</v>
      </c>
      <c r="AM706">
        <v>1</v>
      </c>
      <c r="AN706" t="s">
        <v>768</v>
      </c>
      <c r="AO706" t="s">
        <v>41</v>
      </c>
    </row>
    <row r="707" spans="1:41" x14ac:dyDescent="0.25">
      <c r="A707">
        <v>36</v>
      </c>
      <c r="B707" t="s">
        <v>32</v>
      </c>
      <c r="C707" t="s">
        <v>55</v>
      </c>
      <c r="D707">
        <v>3</v>
      </c>
      <c r="E707" t="s">
        <v>61</v>
      </c>
      <c r="F707">
        <v>3</v>
      </c>
      <c r="G707">
        <v>2</v>
      </c>
      <c r="H707" t="s">
        <v>70</v>
      </c>
      <c r="I707">
        <v>2</v>
      </c>
      <c r="J707" t="s">
        <v>36</v>
      </c>
      <c r="K707">
        <v>9278</v>
      </c>
      <c r="L707">
        <v>3</v>
      </c>
      <c r="M707" t="s">
        <v>31</v>
      </c>
      <c r="N707">
        <v>16</v>
      </c>
      <c r="O707">
        <v>3</v>
      </c>
      <c r="P707">
        <v>0</v>
      </c>
      <c r="Q707">
        <v>15</v>
      </c>
      <c r="R707">
        <v>3</v>
      </c>
      <c r="S707">
        <v>5</v>
      </c>
      <c r="T707">
        <v>0</v>
      </c>
      <c r="U707">
        <v>1</v>
      </c>
      <c r="V707" t="s">
        <v>37</v>
      </c>
      <c r="W707" s="2">
        <v>42370</v>
      </c>
      <c r="Y707" t="s">
        <v>46</v>
      </c>
      <c r="Z707" t="s">
        <v>47</v>
      </c>
      <c r="AA707">
        <v>0</v>
      </c>
      <c r="AB707">
        <v>2</v>
      </c>
      <c r="AC707" t="s">
        <v>41</v>
      </c>
      <c r="AD707" t="s">
        <v>42</v>
      </c>
      <c r="AE707" t="s">
        <v>60</v>
      </c>
      <c r="AF707" s="3">
        <v>985</v>
      </c>
      <c r="AG707" s="3">
        <v>41</v>
      </c>
      <c r="AH707">
        <v>80</v>
      </c>
      <c r="AI707">
        <v>7</v>
      </c>
      <c r="AJ707">
        <v>0</v>
      </c>
      <c r="AL707">
        <v>0</v>
      </c>
      <c r="AM707">
        <v>1</v>
      </c>
      <c r="AN707" t="s">
        <v>768</v>
      </c>
      <c r="AO707" t="s">
        <v>41</v>
      </c>
    </row>
    <row r="708" spans="1:41" x14ac:dyDescent="0.25">
      <c r="A708">
        <v>27</v>
      </c>
      <c r="B708" t="s">
        <v>32</v>
      </c>
      <c r="C708" t="s">
        <v>33</v>
      </c>
      <c r="D708">
        <v>11</v>
      </c>
      <c r="E708" t="s">
        <v>34</v>
      </c>
      <c r="F708">
        <v>3</v>
      </c>
      <c r="G708">
        <v>1</v>
      </c>
      <c r="H708" t="s">
        <v>35</v>
      </c>
      <c r="I708">
        <v>1</v>
      </c>
      <c r="J708" t="s">
        <v>51</v>
      </c>
      <c r="K708">
        <v>2099</v>
      </c>
      <c r="L708">
        <v>0</v>
      </c>
      <c r="M708" t="s">
        <v>41</v>
      </c>
      <c r="N708">
        <v>14</v>
      </c>
      <c r="O708">
        <v>3</v>
      </c>
      <c r="P708">
        <v>0</v>
      </c>
      <c r="Q708">
        <v>6</v>
      </c>
      <c r="R708">
        <v>3</v>
      </c>
      <c r="S708">
        <v>5</v>
      </c>
      <c r="T708">
        <v>1</v>
      </c>
      <c r="U708">
        <v>4</v>
      </c>
      <c r="V708" t="s">
        <v>37</v>
      </c>
      <c r="W708" s="1" t="s">
        <v>372</v>
      </c>
      <c r="Y708" t="s">
        <v>54</v>
      </c>
      <c r="Z708" t="s">
        <v>40</v>
      </c>
      <c r="AA708">
        <v>2</v>
      </c>
      <c r="AB708">
        <v>0</v>
      </c>
      <c r="AC708" t="s">
        <v>41</v>
      </c>
      <c r="AD708" t="s">
        <v>67</v>
      </c>
      <c r="AE708" t="s">
        <v>43</v>
      </c>
      <c r="AF708" s="3">
        <v>986</v>
      </c>
      <c r="AG708" s="3">
        <v>100</v>
      </c>
      <c r="AH708">
        <v>80</v>
      </c>
      <c r="AI708">
        <v>0</v>
      </c>
      <c r="AJ708">
        <v>1</v>
      </c>
      <c r="AK708">
        <v>1</v>
      </c>
      <c r="AL708">
        <v>1</v>
      </c>
      <c r="AM708">
        <v>0</v>
      </c>
      <c r="AN708" t="s">
        <v>767</v>
      </c>
      <c r="AO708" t="s">
        <v>31</v>
      </c>
    </row>
    <row r="709" spans="1:41" x14ac:dyDescent="0.25">
      <c r="A709">
        <v>24</v>
      </c>
      <c r="B709" t="s">
        <v>32</v>
      </c>
      <c r="C709" t="s">
        <v>55</v>
      </c>
      <c r="D709">
        <v>4</v>
      </c>
      <c r="E709" t="s">
        <v>61</v>
      </c>
      <c r="F709">
        <v>3</v>
      </c>
      <c r="G709">
        <v>2</v>
      </c>
      <c r="H709" t="s">
        <v>70</v>
      </c>
      <c r="I709">
        <v>3</v>
      </c>
      <c r="J709" t="s">
        <v>51</v>
      </c>
      <c r="K709">
        <v>4162</v>
      </c>
      <c r="L709">
        <v>1</v>
      </c>
      <c r="M709" t="s">
        <v>31</v>
      </c>
      <c r="N709">
        <v>12</v>
      </c>
      <c r="O709">
        <v>3</v>
      </c>
      <c r="P709">
        <v>2</v>
      </c>
      <c r="Q709">
        <v>5</v>
      </c>
      <c r="R709">
        <v>3</v>
      </c>
      <c r="S709">
        <v>5</v>
      </c>
      <c r="T709">
        <v>0</v>
      </c>
      <c r="U709">
        <v>3</v>
      </c>
      <c r="V709" t="s">
        <v>58</v>
      </c>
      <c r="W709" s="2">
        <v>42647</v>
      </c>
      <c r="Y709" t="s">
        <v>46</v>
      </c>
      <c r="Z709" t="s">
        <v>40</v>
      </c>
      <c r="AA709">
        <v>4</v>
      </c>
      <c r="AB709">
        <v>1</v>
      </c>
      <c r="AC709" t="s">
        <v>31</v>
      </c>
      <c r="AD709" t="s">
        <v>65</v>
      </c>
      <c r="AE709" t="s">
        <v>49</v>
      </c>
      <c r="AF709" s="3">
        <v>987</v>
      </c>
      <c r="AG709" s="3">
        <v>64</v>
      </c>
      <c r="AH709">
        <v>80</v>
      </c>
      <c r="AI709">
        <v>10</v>
      </c>
      <c r="AJ709">
        <v>0</v>
      </c>
      <c r="AL709">
        <v>0</v>
      </c>
      <c r="AM709">
        <v>1</v>
      </c>
      <c r="AN709" t="s">
        <v>768</v>
      </c>
      <c r="AO709" t="s">
        <v>41</v>
      </c>
    </row>
    <row r="710" spans="1:41" x14ac:dyDescent="0.25">
      <c r="A710">
        <v>34</v>
      </c>
      <c r="B710" t="s">
        <v>32</v>
      </c>
      <c r="C710" t="s">
        <v>33</v>
      </c>
      <c r="D710">
        <v>1</v>
      </c>
      <c r="E710" t="s">
        <v>61</v>
      </c>
      <c r="F710">
        <v>2</v>
      </c>
      <c r="G710">
        <v>1</v>
      </c>
      <c r="H710" t="s">
        <v>35</v>
      </c>
      <c r="I710">
        <v>2</v>
      </c>
      <c r="J710" t="s">
        <v>51</v>
      </c>
      <c r="K710">
        <v>3294</v>
      </c>
      <c r="L710">
        <v>5</v>
      </c>
      <c r="M710" t="s">
        <v>41</v>
      </c>
      <c r="N710">
        <v>17</v>
      </c>
      <c r="O710">
        <v>3</v>
      </c>
      <c r="P710">
        <v>1</v>
      </c>
      <c r="Q710">
        <v>7</v>
      </c>
      <c r="R710">
        <v>2</v>
      </c>
      <c r="S710">
        <v>5</v>
      </c>
      <c r="T710">
        <v>0</v>
      </c>
      <c r="U710">
        <v>2</v>
      </c>
      <c r="V710" t="s">
        <v>52</v>
      </c>
      <c r="W710" s="2">
        <v>42522</v>
      </c>
      <c r="Y710" t="s">
        <v>46</v>
      </c>
      <c r="Z710" t="s">
        <v>40</v>
      </c>
      <c r="AA710">
        <v>5</v>
      </c>
      <c r="AB710">
        <v>0</v>
      </c>
      <c r="AC710" t="s">
        <v>31</v>
      </c>
      <c r="AD710" t="s">
        <v>65</v>
      </c>
      <c r="AE710" t="s">
        <v>49</v>
      </c>
      <c r="AF710" s="3">
        <v>990</v>
      </c>
      <c r="AG710" s="3">
        <v>84</v>
      </c>
      <c r="AH710">
        <v>80</v>
      </c>
      <c r="AI710">
        <v>7</v>
      </c>
      <c r="AJ710">
        <v>0</v>
      </c>
      <c r="AL710">
        <v>0</v>
      </c>
      <c r="AM710">
        <v>1</v>
      </c>
      <c r="AN710" t="s">
        <v>768</v>
      </c>
      <c r="AO710" t="s">
        <v>41</v>
      </c>
    </row>
    <row r="711" spans="1:41" x14ac:dyDescent="0.25">
      <c r="A711">
        <v>28</v>
      </c>
      <c r="B711" t="s">
        <v>32</v>
      </c>
      <c r="C711" t="s">
        <v>55</v>
      </c>
      <c r="D711">
        <v>5</v>
      </c>
      <c r="E711" t="s">
        <v>34</v>
      </c>
      <c r="F711">
        <v>3</v>
      </c>
      <c r="G711">
        <v>2</v>
      </c>
      <c r="H711" t="s">
        <v>70</v>
      </c>
      <c r="I711">
        <v>1</v>
      </c>
      <c r="J711" t="s">
        <v>36</v>
      </c>
      <c r="K711">
        <v>8463</v>
      </c>
      <c r="L711">
        <v>0</v>
      </c>
      <c r="M711" t="s">
        <v>41</v>
      </c>
      <c r="N711">
        <v>18</v>
      </c>
      <c r="O711">
        <v>3</v>
      </c>
      <c r="P711">
        <v>0</v>
      </c>
      <c r="Q711">
        <v>6</v>
      </c>
      <c r="R711">
        <v>4</v>
      </c>
      <c r="S711">
        <v>5</v>
      </c>
      <c r="T711">
        <v>1</v>
      </c>
      <c r="U711">
        <v>3</v>
      </c>
      <c r="V711" t="s">
        <v>37</v>
      </c>
      <c r="W711" s="2">
        <v>42493</v>
      </c>
      <c r="Y711" t="s">
        <v>63</v>
      </c>
      <c r="Z711" t="s">
        <v>47</v>
      </c>
      <c r="AA711">
        <v>3</v>
      </c>
      <c r="AB711">
        <v>1</v>
      </c>
      <c r="AC711" t="s">
        <v>41</v>
      </c>
      <c r="AD711" t="s">
        <v>42</v>
      </c>
      <c r="AE711" t="s">
        <v>60</v>
      </c>
      <c r="AF711" s="3">
        <v>991</v>
      </c>
      <c r="AG711" s="3">
        <v>46</v>
      </c>
      <c r="AH711">
        <v>80</v>
      </c>
      <c r="AI711">
        <v>2</v>
      </c>
      <c r="AJ711">
        <v>1</v>
      </c>
      <c r="AK711">
        <v>1</v>
      </c>
      <c r="AL711">
        <v>1</v>
      </c>
      <c r="AM711">
        <v>0</v>
      </c>
      <c r="AN711" t="s">
        <v>767</v>
      </c>
      <c r="AO711" t="s">
        <v>31</v>
      </c>
    </row>
    <row r="712" spans="1:41" x14ac:dyDescent="0.25">
      <c r="A712">
        <v>44</v>
      </c>
      <c r="B712" t="s">
        <v>81</v>
      </c>
      <c r="C712" t="s">
        <v>33</v>
      </c>
      <c r="D712">
        <v>5</v>
      </c>
      <c r="E712" t="s">
        <v>34</v>
      </c>
      <c r="F712">
        <v>2</v>
      </c>
      <c r="G712">
        <v>1</v>
      </c>
      <c r="H712" t="s">
        <v>35</v>
      </c>
      <c r="I712">
        <v>3</v>
      </c>
      <c r="J712" t="s">
        <v>36</v>
      </c>
      <c r="K712">
        <v>3162</v>
      </c>
      <c r="L712">
        <v>3</v>
      </c>
      <c r="M712" t="s">
        <v>41</v>
      </c>
      <c r="N712">
        <v>14</v>
      </c>
      <c r="O712">
        <v>3</v>
      </c>
      <c r="P712">
        <v>0</v>
      </c>
      <c r="Q712">
        <v>7</v>
      </c>
      <c r="R712">
        <v>5</v>
      </c>
      <c r="S712">
        <v>5</v>
      </c>
      <c r="T712">
        <v>0</v>
      </c>
      <c r="U712">
        <v>3</v>
      </c>
      <c r="V712" t="s">
        <v>72</v>
      </c>
      <c r="W712" s="2">
        <v>42675</v>
      </c>
      <c r="Y712" t="s">
        <v>39</v>
      </c>
      <c r="Z712" t="s">
        <v>47</v>
      </c>
      <c r="AA712">
        <v>3</v>
      </c>
      <c r="AB712">
        <v>3</v>
      </c>
      <c r="AC712" t="s">
        <v>31</v>
      </c>
      <c r="AD712" t="s">
        <v>67</v>
      </c>
      <c r="AE712" t="s">
        <v>49</v>
      </c>
      <c r="AF712" s="3">
        <v>992</v>
      </c>
      <c r="AG712" s="3">
        <v>38</v>
      </c>
      <c r="AH712">
        <v>80</v>
      </c>
      <c r="AI712">
        <v>8</v>
      </c>
      <c r="AJ712">
        <v>0</v>
      </c>
      <c r="AL712">
        <v>0</v>
      </c>
      <c r="AM712">
        <v>1</v>
      </c>
      <c r="AN712" t="s">
        <v>768</v>
      </c>
      <c r="AO712" t="s">
        <v>41</v>
      </c>
    </row>
    <row r="713" spans="1:41" x14ac:dyDescent="0.25">
      <c r="A713">
        <v>44</v>
      </c>
      <c r="B713" t="s">
        <v>32</v>
      </c>
      <c r="C713" t="s">
        <v>33</v>
      </c>
      <c r="D713">
        <v>20</v>
      </c>
      <c r="E713" t="s">
        <v>34</v>
      </c>
      <c r="F713">
        <v>3</v>
      </c>
      <c r="G713">
        <v>1</v>
      </c>
      <c r="H713" t="s">
        <v>44</v>
      </c>
      <c r="I713">
        <v>2</v>
      </c>
      <c r="J713" t="s">
        <v>36</v>
      </c>
      <c r="K713">
        <v>3420</v>
      </c>
      <c r="L713">
        <v>1</v>
      </c>
      <c r="M713" t="s">
        <v>41</v>
      </c>
      <c r="N713">
        <v>13</v>
      </c>
      <c r="O713">
        <v>3</v>
      </c>
      <c r="P713">
        <v>0</v>
      </c>
      <c r="Q713">
        <v>6</v>
      </c>
      <c r="R713">
        <v>3</v>
      </c>
      <c r="S713">
        <v>5</v>
      </c>
      <c r="T713">
        <v>1</v>
      </c>
      <c r="U713">
        <v>3</v>
      </c>
      <c r="V713" t="s">
        <v>37</v>
      </c>
      <c r="W713" s="1" t="s">
        <v>327</v>
      </c>
      <c r="Y713" t="s">
        <v>46</v>
      </c>
      <c r="Z713" t="s">
        <v>40</v>
      </c>
      <c r="AA713">
        <v>1</v>
      </c>
      <c r="AB713">
        <v>0</v>
      </c>
      <c r="AC713" t="s">
        <v>31</v>
      </c>
      <c r="AD713" t="s">
        <v>48</v>
      </c>
      <c r="AE713" t="s">
        <v>60</v>
      </c>
      <c r="AF713" s="3">
        <v>994</v>
      </c>
      <c r="AG713" s="3">
        <v>92</v>
      </c>
      <c r="AH713">
        <v>80</v>
      </c>
      <c r="AI713">
        <v>0</v>
      </c>
      <c r="AJ713">
        <v>1</v>
      </c>
      <c r="AK713">
        <v>1</v>
      </c>
      <c r="AL713">
        <v>1</v>
      </c>
      <c r="AM713">
        <v>0</v>
      </c>
      <c r="AN713" t="s">
        <v>767</v>
      </c>
      <c r="AO713" t="s">
        <v>31</v>
      </c>
    </row>
    <row r="714" spans="1:41" x14ac:dyDescent="0.25">
      <c r="A714">
        <v>29</v>
      </c>
      <c r="B714" t="s">
        <v>66</v>
      </c>
      <c r="C714" t="s">
        <v>55</v>
      </c>
      <c r="D714">
        <v>13</v>
      </c>
      <c r="E714" t="s">
        <v>61</v>
      </c>
      <c r="F714">
        <v>3</v>
      </c>
      <c r="G714">
        <v>2</v>
      </c>
      <c r="H714" t="s">
        <v>70</v>
      </c>
      <c r="I714">
        <v>2</v>
      </c>
      <c r="J714" t="s">
        <v>36</v>
      </c>
      <c r="K714">
        <v>5765</v>
      </c>
      <c r="L714">
        <v>5</v>
      </c>
      <c r="M714" t="s">
        <v>41</v>
      </c>
      <c r="N714">
        <v>11</v>
      </c>
      <c r="O714">
        <v>3</v>
      </c>
      <c r="P714">
        <v>0</v>
      </c>
      <c r="Q714">
        <v>7</v>
      </c>
      <c r="R714">
        <v>4</v>
      </c>
      <c r="S714">
        <v>5</v>
      </c>
      <c r="T714">
        <v>0</v>
      </c>
      <c r="U714">
        <v>0</v>
      </c>
      <c r="V714" t="s">
        <v>58</v>
      </c>
      <c r="W714" s="1" t="s">
        <v>336</v>
      </c>
      <c r="Y714" t="s">
        <v>46</v>
      </c>
      <c r="Z714" t="s">
        <v>47</v>
      </c>
      <c r="AA714">
        <v>4</v>
      </c>
      <c r="AB714">
        <v>2</v>
      </c>
      <c r="AC714" t="s">
        <v>41</v>
      </c>
      <c r="AD714" t="s">
        <v>67</v>
      </c>
      <c r="AE714" t="s">
        <v>43</v>
      </c>
      <c r="AF714" s="3">
        <v>995</v>
      </c>
      <c r="AG714" s="3">
        <v>53</v>
      </c>
      <c r="AH714">
        <v>80</v>
      </c>
      <c r="AI714">
        <v>2</v>
      </c>
      <c r="AJ714">
        <v>0</v>
      </c>
      <c r="AL714">
        <v>0</v>
      </c>
      <c r="AM714">
        <v>1</v>
      </c>
      <c r="AN714" t="s">
        <v>768</v>
      </c>
      <c r="AO714" t="s">
        <v>41</v>
      </c>
    </row>
    <row r="715" spans="1:41" x14ac:dyDescent="0.25">
      <c r="A715">
        <v>30</v>
      </c>
      <c r="B715" t="s">
        <v>32</v>
      </c>
      <c r="C715" t="s">
        <v>120</v>
      </c>
      <c r="D715">
        <v>1</v>
      </c>
      <c r="E715" t="s">
        <v>34</v>
      </c>
      <c r="F715">
        <v>3</v>
      </c>
      <c r="G715">
        <v>1</v>
      </c>
      <c r="H715" t="s">
        <v>120</v>
      </c>
      <c r="I715">
        <v>3</v>
      </c>
      <c r="J715" t="s">
        <v>57</v>
      </c>
      <c r="K715">
        <v>2064</v>
      </c>
      <c r="L715">
        <v>0</v>
      </c>
      <c r="M715" t="s">
        <v>41</v>
      </c>
      <c r="N715">
        <v>21</v>
      </c>
      <c r="O715">
        <v>4</v>
      </c>
      <c r="P715">
        <v>1</v>
      </c>
      <c r="Q715">
        <v>6</v>
      </c>
      <c r="R715">
        <v>3</v>
      </c>
      <c r="S715">
        <v>5</v>
      </c>
      <c r="T715">
        <v>1</v>
      </c>
      <c r="U715">
        <v>3</v>
      </c>
      <c r="V715" t="s">
        <v>72</v>
      </c>
      <c r="W715" s="1" t="s">
        <v>355</v>
      </c>
      <c r="Y715" t="s">
        <v>46</v>
      </c>
      <c r="Z715" t="s">
        <v>40</v>
      </c>
      <c r="AA715">
        <v>2</v>
      </c>
      <c r="AB715">
        <v>0</v>
      </c>
      <c r="AC715" t="s">
        <v>31</v>
      </c>
      <c r="AD715" t="s">
        <v>48</v>
      </c>
      <c r="AE715" t="s">
        <v>49</v>
      </c>
      <c r="AF715" s="3">
        <v>996</v>
      </c>
      <c r="AG715" s="3">
        <v>91</v>
      </c>
      <c r="AH715">
        <v>80</v>
      </c>
      <c r="AI715">
        <v>3</v>
      </c>
      <c r="AJ715">
        <v>0</v>
      </c>
      <c r="AL715">
        <v>0</v>
      </c>
      <c r="AM715">
        <v>1</v>
      </c>
      <c r="AN715" t="s">
        <v>768</v>
      </c>
      <c r="AO715" t="s">
        <v>41</v>
      </c>
    </row>
    <row r="716" spans="1:41" x14ac:dyDescent="0.25">
      <c r="A716">
        <v>33</v>
      </c>
      <c r="B716" t="s">
        <v>32</v>
      </c>
      <c r="C716" t="s">
        <v>33</v>
      </c>
      <c r="D716">
        <v>4</v>
      </c>
      <c r="E716" t="s">
        <v>61</v>
      </c>
      <c r="F716">
        <v>2</v>
      </c>
      <c r="G716">
        <v>1</v>
      </c>
      <c r="H716" t="s">
        <v>35</v>
      </c>
      <c r="I716">
        <v>2</v>
      </c>
      <c r="J716" t="s">
        <v>51</v>
      </c>
      <c r="K716">
        <v>3838</v>
      </c>
      <c r="L716">
        <v>8</v>
      </c>
      <c r="M716" t="s">
        <v>41</v>
      </c>
      <c r="N716">
        <v>11</v>
      </c>
      <c r="O716">
        <v>3</v>
      </c>
      <c r="P716">
        <v>0</v>
      </c>
      <c r="Q716">
        <v>8</v>
      </c>
      <c r="R716">
        <v>5</v>
      </c>
      <c r="S716">
        <v>5</v>
      </c>
      <c r="T716">
        <v>0</v>
      </c>
      <c r="U716">
        <v>2</v>
      </c>
      <c r="V716" t="s">
        <v>37</v>
      </c>
      <c r="W716" s="1" t="s">
        <v>373</v>
      </c>
      <c r="Y716" t="s">
        <v>69</v>
      </c>
      <c r="Z716" t="s">
        <v>47</v>
      </c>
      <c r="AA716">
        <v>0</v>
      </c>
      <c r="AB716">
        <v>1</v>
      </c>
      <c r="AC716" t="s">
        <v>31</v>
      </c>
      <c r="AD716" t="s">
        <v>65</v>
      </c>
      <c r="AE716" t="s">
        <v>49</v>
      </c>
      <c r="AF716" s="3">
        <v>997</v>
      </c>
      <c r="AG716" s="3">
        <v>66</v>
      </c>
      <c r="AH716">
        <v>80</v>
      </c>
      <c r="AI716">
        <v>4</v>
      </c>
      <c r="AJ716">
        <v>0</v>
      </c>
      <c r="AL716">
        <v>0</v>
      </c>
      <c r="AM716">
        <v>1</v>
      </c>
      <c r="AN716" t="s">
        <v>768</v>
      </c>
      <c r="AO716" t="s">
        <v>41</v>
      </c>
    </row>
    <row r="717" spans="1:41" x14ac:dyDescent="0.25">
      <c r="A717">
        <v>47</v>
      </c>
      <c r="B717" t="s">
        <v>32</v>
      </c>
      <c r="C717" t="s">
        <v>55</v>
      </c>
      <c r="D717">
        <v>14</v>
      </c>
      <c r="E717" t="s">
        <v>61</v>
      </c>
      <c r="F717">
        <v>3</v>
      </c>
      <c r="G717">
        <v>2</v>
      </c>
      <c r="H717" t="s">
        <v>70</v>
      </c>
      <c r="I717">
        <v>3</v>
      </c>
      <c r="J717" t="s">
        <v>51</v>
      </c>
      <c r="K717">
        <v>4591</v>
      </c>
      <c r="L717">
        <v>3</v>
      </c>
      <c r="M717" t="s">
        <v>31</v>
      </c>
      <c r="N717">
        <v>17</v>
      </c>
      <c r="O717">
        <v>3</v>
      </c>
      <c r="P717">
        <v>1</v>
      </c>
      <c r="Q717">
        <v>11</v>
      </c>
      <c r="R717">
        <v>4</v>
      </c>
      <c r="S717">
        <v>5</v>
      </c>
      <c r="T717">
        <v>1</v>
      </c>
      <c r="U717">
        <v>2</v>
      </c>
      <c r="V717" t="s">
        <v>58</v>
      </c>
      <c r="W717" s="1" t="s">
        <v>345</v>
      </c>
      <c r="Y717" t="s">
        <v>46</v>
      </c>
      <c r="Z717" t="s">
        <v>47</v>
      </c>
      <c r="AA717">
        <v>4</v>
      </c>
      <c r="AB717">
        <v>1</v>
      </c>
      <c r="AC717" t="s">
        <v>31</v>
      </c>
      <c r="AD717" t="s">
        <v>42</v>
      </c>
      <c r="AE717" t="s">
        <v>49</v>
      </c>
      <c r="AF717" s="3">
        <v>998</v>
      </c>
      <c r="AG717" s="3">
        <v>84</v>
      </c>
      <c r="AH717">
        <v>80</v>
      </c>
      <c r="AI717">
        <v>5</v>
      </c>
      <c r="AJ717">
        <v>0</v>
      </c>
      <c r="AL717">
        <v>0</v>
      </c>
      <c r="AM717">
        <v>1</v>
      </c>
      <c r="AN717" t="s">
        <v>768</v>
      </c>
      <c r="AO717" t="s">
        <v>41</v>
      </c>
    </row>
    <row r="718" spans="1:41" x14ac:dyDescent="0.25">
      <c r="A718">
        <v>32</v>
      </c>
      <c r="B718" t="s">
        <v>32</v>
      </c>
      <c r="C718" t="s">
        <v>33</v>
      </c>
      <c r="D718">
        <v>10</v>
      </c>
      <c r="E718" t="s">
        <v>34</v>
      </c>
      <c r="F718">
        <v>3</v>
      </c>
      <c r="G718">
        <v>3</v>
      </c>
      <c r="H718" t="s">
        <v>75</v>
      </c>
      <c r="I718">
        <v>4</v>
      </c>
      <c r="J718" t="s">
        <v>36</v>
      </c>
      <c r="K718">
        <v>11244</v>
      </c>
      <c r="L718">
        <v>2</v>
      </c>
      <c r="M718" t="s">
        <v>41</v>
      </c>
      <c r="N718">
        <v>25</v>
      </c>
      <c r="O718">
        <v>4</v>
      </c>
      <c r="P718">
        <v>0</v>
      </c>
      <c r="Q718">
        <v>10</v>
      </c>
      <c r="R718">
        <v>5</v>
      </c>
      <c r="S718">
        <v>5</v>
      </c>
      <c r="T718">
        <v>0</v>
      </c>
      <c r="U718">
        <v>0</v>
      </c>
      <c r="V718" t="s">
        <v>58</v>
      </c>
      <c r="W718" s="1" t="s">
        <v>374</v>
      </c>
      <c r="Y718" t="s">
        <v>63</v>
      </c>
      <c r="Z718" t="s">
        <v>40</v>
      </c>
      <c r="AA718">
        <v>0</v>
      </c>
      <c r="AB718">
        <v>2</v>
      </c>
      <c r="AC718" t="s">
        <v>41</v>
      </c>
      <c r="AD718" t="s">
        <v>42</v>
      </c>
      <c r="AE718" t="s">
        <v>60</v>
      </c>
      <c r="AF718" s="3">
        <v>999</v>
      </c>
      <c r="AG718" s="3">
        <v>64</v>
      </c>
      <c r="AH718">
        <v>80</v>
      </c>
      <c r="AI718">
        <v>16</v>
      </c>
      <c r="AJ718">
        <v>0</v>
      </c>
      <c r="AL718">
        <v>0</v>
      </c>
      <c r="AM718">
        <v>1</v>
      </c>
      <c r="AN718" t="s">
        <v>768</v>
      </c>
      <c r="AO718" t="s">
        <v>41</v>
      </c>
    </row>
    <row r="719" spans="1:41" x14ac:dyDescent="0.25">
      <c r="A719">
        <v>40</v>
      </c>
      <c r="B719" t="s">
        <v>32</v>
      </c>
      <c r="C719" t="s">
        <v>33</v>
      </c>
      <c r="D719">
        <v>9</v>
      </c>
      <c r="E719" t="s">
        <v>34</v>
      </c>
      <c r="F719">
        <v>3</v>
      </c>
      <c r="G719">
        <v>1</v>
      </c>
      <c r="H719" t="s">
        <v>35</v>
      </c>
      <c r="I719">
        <v>1</v>
      </c>
      <c r="J719" t="s">
        <v>36</v>
      </c>
      <c r="K719">
        <v>2018</v>
      </c>
      <c r="L719">
        <v>3</v>
      </c>
      <c r="M719" t="s">
        <v>41</v>
      </c>
      <c r="N719">
        <v>14</v>
      </c>
      <c r="O719">
        <v>3</v>
      </c>
      <c r="P719">
        <v>0</v>
      </c>
      <c r="Q719">
        <v>15</v>
      </c>
      <c r="R719">
        <v>3</v>
      </c>
      <c r="S719">
        <v>5</v>
      </c>
      <c r="T719">
        <v>1</v>
      </c>
      <c r="U719">
        <v>0</v>
      </c>
      <c r="V719" t="s">
        <v>52</v>
      </c>
      <c r="W719" s="2">
        <v>42585</v>
      </c>
      <c r="Y719" t="s">
        <v>69</v>
      </c>
      <c r="Z719" t="s">
        <v>47</v>
      </c>
      <c r="AA719">
        <v>2</v>
      </c>
      <c r="AB719">
        <v>0</v>
      </c>
      <c r="AC719" t="s">
        <v>31</v>
      </c>
      <c r="AD719" t="s">
        <v>42</v>
      </c>
      <c r="AE719" t="s">
        <v>43</v>
      </c>
      <c r="AF719" s="3">
        <v>1001</v>
      </c>
      <c r="AG719" s="3">
        <v>37</v>
      </c>
      <c r="AH719">
        <v>80</v>
      </c>
      <c r="AI719">
        <v>2</v>
      </c>
      <c r="AJ719">
        <v>0</v>
      </c>
      <c r="AL719">
        <v>0</v>
      </c>
      <c r="AM719">
        <v>1</v>
      </c>
      <c r="AN719" t="s">
        <v>768</v>
      </c>
      <c r="AO719" t="s">
        <v>41</v>
      </c>
    </row>
    <row r="720" spans="1:41" x14ac:dyDescent="0.25">
      <c r="A720">
        <v>33</v>
      </c>
      <c r="B720" t="s">
        <v>32</v>
      </c>
      <c r="C720" t="s">
        <v>33</v>
      </c>
      <c r="D720">
        <v>25</v>
      </c>
      <c r="E720" t="s">
        <v>34</v>
      </c>
      <c r="F720">
        <v>2</v>
      </c>
      <c r="G720">
        <v>2</v>
      </c>
      <c r="H720" t="s">
        <v>78</v>
      </c>
      <c r="I720">
        <v>2</v>
      </c>
      <c r="J720" t="s">
        <v>36</v>
      </c>
      <c r="K720">
        <v>4320</v>
      </c>
      <c r="L720">
        <v>1</v>
      </c>
      <c r="M720" t="s">
        <v>41</v>
      </c>
      <c r="N720">
        <v>13</v>
      </c>
      <c r="O720">
        <v>3</v>
      </c>
      <c r="P720">
        <v>0</v>
      </c>
      <c r="Q720">
        <v>5</v>
      </c>
      <c r="R720">
        <v>2</v>
      </c>
      <c r="S720">
        <v>5</v>
      </c>
      <c r="T720">
        <v>0</v>
      </c>
      <c r="U720">
        <v>2</v>
      </c>
      <c r="V720" t="s">
        <v>72</v>
      </c>
      <c r="W720" s="1" t="s">
        <v>375</v>
      </c>
      <c r="Y720" t="s">
        <v>39</v>
      </c>
      <c r="Z720" t="s">
        <v>47</v>
      </c>
      <c r="AA720">
        <v>0</v>
      </c>
      <c r="AB720">
        <v>3</v>
      </c>
      <c r="AC720" t="s">
        <v>31</v>
      </c>
      <c r="AD720" t="s">
        <v>42</v>
      </c>
      <c r="AE720" t="s">
        <v>60</v>
      </c>
      <c r="AF720" s="3">
        <v>1002</v>
      </c>
      <c r="AG720" s="3">
        <v>42</v>
      </c>
      <c r="AH720">
        <v>80</v>
      </c>
      <c r="AI720">
        <v>8</v>
      </c>
      <c r="AJ720">
        <v>0</v>
      </c>
      <c r="AL720">
        <v>0</v>
      </c>
      <c r="AM720">
        <v>1</v>
      </c>
      <c r="AN720" t="s">
        <v>768</v>
      </c>
      <c r="AO720" t="s">
        <v>41</v>
      </c>
    </row>
    <row r="721" spans="1:41" x14ac:dyDescent="0.25">
      <c r="A721">
        <v>45</v>
      </c>
      <c r="B721" t="s">
        <v>32</v>
      </c>
      <c r="C721" t="s">
        <v>33</v>
      </c>
      <c r="D721">
        <v>28</v>
      </c>
      <c r="E721" t="s">
        <v>34</v>
      </c>
      <c r="F721">
        <v>3</v>
      </c>
      <c r="G721">
        <v>1</v>
      </c>
      <c r="H721" t="s">
        <v>44</v>
      </c>
      <c r="I721">
        <v>4</v>
      </c>
      <c r="J721" t="s">
        <v>51</v>
      </c>
      <c r="K721">
        <v>2132</v>
      </c>
      <c r="L721">
        <v>4</v>
      </c>
      <c r="M721" t="s">
        <v>41</v>
      </c>
      <c r="N721">
        <v>20</v>
      </c>
      <c r="O721">
        <v>4</v>
      </c>
      <c r="P721">
        <v>1</v>
      </c>
      <c r="Q721">
        <v>8</v>
      </c>
      <c r="R721">
        <v>3</v>
      </c>
      <c r="S721">
        <v>5</v>
      </c>
      <c r="T721">
        <v>0</v>
      </c>
      <c r="U721">
        <v>3</v>
      </c>
      <c r="V721" t="s">
        <v>37</v>
      </c>
      <c r="W721" s="2">
        <v>42371</v>
      </c>
      <c r="Y721" t="s">
        <v>63</v>
      </c>
      <c r="Z721" t="s">
        <v>40</v>
      </c>
      <c r="AA721">
        <v>3</v>
      </c>
      <c r="AB721">
        <v>3</v>
      </c>
      <c r="AC721" t="s">
        <v>31</v>
      </c>
      <c r="AD721" t="s">
        <v>67</v>
      </c>
      <c r="AE721" t="s">
        <v>49</v>
      </c>
      <c r="AF721" s="3">
        <v>1003</v>
      </c>
      <c r="AG721" s="3">
        <v>83</v>
      </c>
      <c r="AH721">
        <v>80</v>
      </c>
      <c r="AI721">
        <v>0</v>
      </c>
      <c r="AJ721">
        <v>0</v>
      </c>
      <c r="AL721">
        <v>0</v>
      </c>
      <c r="AM721">
        <v>1</v>
      </c>
      <c r="AN721" t="s">
        <v>768</v>
      </c>
      <c r="AO721" t="s">
        <v>41</v>
      </c>
    </row>
    <row r="722" spans="1:41" x14ac:dyDescent="0.25">
      <c r="A722">
        <v>35</v>
      </c>
      <c r="B722" t="s">
        <v>32</v>
      </c>
      <c r="C722" t="s">
        <v>55</v>
      </c>
      <c r="D722">
        <v>28</v>
      </c>
      <c r="E722" t="s">
        <v>61</v>
      </c>
      <c r="F722">
        <v>2</v>
      </c>
      <c r="G722">
        <v>1</v>
      </c>
      <c r="H722" t="s">
        <v>56</v>
      </c>
      <c r="I722">
        <v>3</v>
      </c>
      <c r="J722" t="s">
        <v>51</v>
      </c>
      <c r="K722">
        <v>2430</v>
      </c>
      <c r="L722">
        <v>0</v>
      </c>
      <c r="M722" t="s">
        <v>41</v>
      </c>
      <c r="N722">
        <v>23</v>
      </c>
      <c r="O722">
        <v>4</v>
      </c>
      <c r="P722">
        <v>2</v>
      </c>
      <c r="Q722">
        <v>6</v>
      </c>
      <c r="R722">
        <v>5</v>
      </c>
      <c r="S722">
        <v>5</v>
      </c>
      <c r="T722">
        <v>4</v>
      </c>
      <c r="U722">
        <v>2</v>
      </c>
      <c r="V722" t="s">
        <v>72</v>
      </c>
      <c r="W722" s="1" t="s">
        <v>354</v>
      </c>
      <c r="Y722" t="s">
        <v>69</v>
      </c>
      <c r="Z722" t="s">
        <v>40</v>
      </c>
      <c r="AA722">
        <v>4</v>
      </c>
      <c r="AB722">
        <v>3</v>
      </c>
      <c r="AC722" t="s">
        <v>41</v>
      </c>
      <c r="AD722" t="s">
        <v>65</v>
      </c>
      <c r="AE722" t="s">
        <v>43</v>
      </c>
      <c r="AF722" s="3">
        <v>1004</v>
      </c>
      <c r="AG722" s="3">
        <v>48</v>
      </c>
      <c r="AH722">
        <v>80</v>
      </c>
      <c r="AI722">
        <v>2</v>
      </c>
      <c r="AJ722">
        <v>1</v>
      </c>
      <c r="AK722">
        <v>1</v>
      </c>
      <c r="AL722">
        <v>1</v>
      </c>
      <c r="AM722">
        <v>0</v>
      </c>
      <c r="AN722" t="s">
        <v>767</v>
      </c>
      <c r="AO722" t="s">
        <v>31</v>
      </c>
    </row>
    <row r="723" spans="1:41" x14ac:dyDescent="0.25">
      <c r="A723">
        <v>38</v>
      </c>
      <c r="B723" t="s">
        <v>32</v>
      </c>
      <c r="C723" t="s">
        <v>33</v>
      </c>
      <c r="D723">
        <v>2</v>
      </c>
      <c r="E723" t="s">
        <v>34</v>
      </c>
      <c r="F723">
        <v>3</v>
      </c>
      <c r="G723">
        <v>2</v>
      </c>
      <c r="H723" t="s">
        <v>78</v>
      </c>
      <c r="I723">
        <v>2</v>
      </c>
      <c r="J723" t="s">
        <v>51</v>
      </c>
      <c r="K723">
        <v>4855</v>
      </c>
      <c r="L723">
        <v>4</v>
      </c>
      <c r="M723" t="s">
        <v>41</v>
      </c>
      <c r="N723">
        <v>11</v>
      </c>
      <c r="O723">
        <v>3</v>
      </c>
      <c r="P723">
        <v>2</v>
      </c>
      <c r="Q723">
        <v>7</v>
      </c>
      <c r="R723">
        <v>2</v>
      </c>
      <c r="S723">
        <v>5</v>
      </c>
      <c r="T723">
        <v>1</v>
      </c>
      <c r="U723">
        <v>4</v>
      </c>
      <c r="V723" t="s">
        <v>37</v>
      </c>
      <c r="W723" s="1" t="s">
        <v>371</v>
      </c>
      <c r="Y723" t="s">
        <v>63</v>
      </c>
      <c r="Z723" t="s">
        <v>40</v>
      </c>
      <c r="AA723">
        <v>4</v>
      </c>
      <c r="AB723">
        <v>1</v>
      </c>
      <c r="AC723" t="s">
        <v>31</v>
      </c>
      <c r="AD723" t="s">
        <v>67</v>
      </c>
      <c r="AE723" t="s">
        <v>60</v>
      </c>
      <c r="AF723" s="3">
        <v>1005</v>
      </c>
      <c r="AG723" s="3">
        <v>95</v>
      </c>
      <c r="AH723">
        <v>80</v>
      </c>
      <c r="AI723">
        <v>11</v>
      </c>
      <c r="AJ723">
        <v>0</v>
      </c>
      <c r="AL723">
        <v>0</v>
      </c>
      <c r="AM723">
        <v>1</v>
      </c>
      <c r="AN723" t="s">
        <v>768</v>
      </c>
      <c r="AO723" t="s">
        <v>41</v>
      </c>
    </row>
    <row r="724" spans="1:41" x14ac:dyDescent="0.25">
      <c r="A724">
        <v>35</v>
      </c>
      <c r="B724" t="s">
        <v>32</v>
      </c>
      <c r="C724" t="s">
        <v>33</v>
      </c>
      <c r="D724">
        <v>10</v>
      </c>
      <c r="E724" t="s">
        <v>61</v>
      </c>
      <c r="F724">
        <v>3</v>
      </c>
      <c r="G724">
        <v>2</v>
      </c>
      <c r="H724" t="s">
        <v>89</v>
      </c>
      <c r="I724">
        <v>3</v>
      </c>
      <c r="J724" t="s">
        <v>36</v>
      </c>
      <c r="K724">
        <v>6142</v>
      </c>
      <c r="L724">
        <v>3</v>
      </c>
      <c r="M724" t="s">
        <v>31</v>
      </c>
      <c r="N724">
        <v>16</v>
      </c>
      <c r="O724">
        <v>3</v>
      </c>
      <c r="P724">
        <v>0</v>
      </c>
      <c r="Q724">
        <v>10</v>
      </c>
      <c r="R724">
        <v>4</v>
      </c>
      <c r="S724">
        <v>5</v>
      </c>
      <c r="T724">
        <v>0</v>
      </c>
      <c r="U724">
        <v>4</v>
      </c>
      <c r="V724" t="s">
        <v>72</v>
      </c>
      <c r="W724" s="2">
        <v>42705</v>
      </c>
      <c r="Y724" t="s">
        <v>63</v>
      </c>
      <c r="Z724" t="s">
        <v>40</v>
      </c>
      <c r="AA724">
        <v>0</v>
      </c>
      <c r="AB724">
        <v>3</v>
      </c>
      <c r="AC724" t="s">
        <v>31</v>
      </c>
      <c r="AD724" t="s">
        <v>48</v>
      </c>
      <c r="AE724" t="s">
        <v>49</v>
      </c>
      <c r="AF724" s="3">
        <v>1006</v>
      </c>
      <c r="AG724" s="3">
        <v>66</v>
      </c>
      <c r="AH724">
        <v>80</v>
      </c>
      <c r="AI724">
        <v>1</v>
      </c>
      <c r="AJ724">
        <v>0</v>
      </c>
      <c r="AL724">
        <v>0</v>
      </c>
      <c r="AM724">
        <v>1</v>
      </c>
      <c r="AN724" t="s">
        <v>768</v>
      </c>
      <c r="AO724" t="s">
        <v>41</v>
      </c>
    </row>
    <row r="725" spans="1:41" x14ac:dyDescent="0.25">
      <c r="A725">
        <v>40</v>
      </c>
      <c r="B725" t="s">
        <v>32</v>
      </c>
      <c r="C725" t="s">
        <v>55</v>
      </c>
      <c r="D725">
        <v>14</v>
      </c>
      <c r="E725" t="s">
        <v>61</v>
      </c>
      <c r="F725">
        <v>3</v>
      </c>
      <c r="G725">
        <v>2</v>
      </c>
      <c r="H725" t="s">
        <v>70</v>
      </c>
      <c r="I725">
        <v>1</v>
      </c>
      <c r="J725" t="s">
        <v>51</v>
      </c>
      <c r="K725">
        <v>4639</v>
      </c>
      <c r="L725">
        <v>1</v>
      </c>
      <c r="M725" t="s">
        <v>41</v>
      </c>
      <c r="N725">
        <v>15</v>
      </c>
      <c r="O725">
        <v>3</v>
      </c>
      <c r="P725">
        <v>1</v>
      </c>
      <c r="Q725">
        <v>5</v>
      </c>
      <c r="R725">
        <v>2</v>
      </c>
      <c r="S725">
        <v>5</v>
      </c>
      <c r="T725">
        <v>1</v>
      </c>
      <c r="U725">
        <v>2</v>
      </c>
      <c r="V725" t="s">
        <v>37</v>
      </c>
      <c r="W725" s="1" t="s">
        <v>354</v>
      </c>
      <c r="Y725" t="s">
        <v>69</v>
      </c>
      <c r="Z725" t="s">
        <v>40</v>
      </c>
      <c r="AA725">
        <v>0</v>
      </c>
      <c r="AB725">
        <v>2</v>
      </c>
      <c r="AC725" t="s">
        <v>41</v>
      </c>
      <c r="AD725" t="s">
        <v>48</v>
      </c>
      <c r="AE725" t="s">
        <v>60</v>
      </c>
      <c r="AF725" s="3">
        <v>1007</v>
      </c>
      <c r="AG725" s="3">
        <v>75</v>
      </c>
      <c r="AH725">
        <v>80</v>
      </c>
      <c r="AI725">
        <v>7</v>
      </c>
      <c r="AJ725">
        <v>0</v>
      </c>
      <c r="AL725">
        <v>0</v>
      </c>
      <c r="AM725">
        <v>1</v>
      </c>
      <c r="AN725" t="s">
        <v>768</v>
      </c>
      <c r="AO725" t="s">
        <v>41</v>
      </c>
    </row>
    <row r="726" spans="1:41" x14ac:dyDescent="0.25">
      <c r="A726">
        <v>31</v>
      </c>
      <c r="B726" t="s">
        <v>66</v>
      </c>
      <c r="C726" t="s">
        <v>55</v>
      </c>
      <c r="D726">
        <v>2</v>
      </c>
      <c r="E726" t="s">
        <v>34</v>
      </c>
      <c r="F726">
        <v>3</v>
      </c>
      <c r="G726">
        <v>2</v>
      </c>
      <c r="H726" t="s">
        <v>70</v>
      </c>
      <c r="I726">
        <v>1</v>
      </c>
      <c r="J726" t="s">
        <v>36</v>
      </c>
      <c r="K726">
        <v>5332</v>
      </c>
      <c r="L726">
        <v>7</v>
      </c>
      <c r="M726" t="s">
        <v>41</v>
      </c>
      <c r="N726">
        <v>13</v>
      </c>
      <c r="O726">
        <v>3</v>
      </c>
      <c r="P726">
        <v>0</v>
      </c>
      <c r="Q726">
        <v>10</v>
      </c>
      <c r="R726">
        <v>3</v>
      </c>
      <c r="S726">
        <v>5</v>
      </c>
      <c r="T726">
        <v>0</v>
      </c>
      <c r="U726">
        <v>3</v>
      </c>
      <c r="V726" t="s">
        <v>72</v>
      </c>
      <c r="W726" s="2">
        <v>42496</v>
      </c>
      <c r="Y726" t="s">
        <v>46</v>
      </c>
      <c r="Z726" t="s">
        <v>40</v>
      </c>
      <c r="AA726">
        <v>0</v>
      </c>
      <c r="AB726">
        <v>0</v>
      </c>
      <c r="AC726" t="s">
        <v>41</v>
      </c>
      <c r="AD726" t="s">
        <v>67</v>
      </c>
      <c r="AE726" t="s">
        <v>60</v>
      </c>
      <c r="AF726" s="3">
        <v>1009</v>
      </c>
      <c r="AG726" s="3">
        <v>41</v>
      </c>
      <c r="AH726">
        <v>80</v>
      </c>
      <c r="AI726">
        <v>2</v>
      </c>
      <c r="AJ726">
        <v>0</v>
      </c>
      <c r="AL726">
        <v>0</v>
      </c>
      <c r="AM726">
        <v>1</v>
      </c>
      <c r="AN726" t="s">
        <v>768</v>
      </c>
      <c r="AO726" t="s">
        <v>41</v>
      </c>
    </row>
    <row r="727" spans="1:41" x14ac:dyDescent="0.25">
      <c r="A727">
        <v>28</v>
      </c>
      <c r="B727" t="s">
        <v>32</v>
      </c>
      <c r="C727" t="s">
        <v>33</v>
      </c>
      <c r="D727">
        <v>27</v>
      </c>
      <c r="E727" t="s">
        <v>61</v>
      </c>
      <c r="F727">
        <v>1</v>
      </c>
      <c r="G727">
        <v>2</v>
      </c>
      <c r="H727" t="s">
        <v>78</v>
      </c>
      <c r="I727">
        <v>1</v>
      </c>
      <c r="J727" t="s">
        <v>57</v>
      </c>
      <c r="K727">
        <v>4877</v>
      </c>
      <c r="L727">
        <v>0</v>
      </c>
      <c r="M727" t="s">
        <v>41</v>
      </c>
      <c r="N727">
        <v>21</v>
      </c>
      <c r="O727">
        <v>4</v>
      </c>
      <c r="P727">
        <v>1</v>
      </c>
      <c r="Q727">
        <v>6</v>
      </c>
      <c r="R727">
        <v>5</v>
      </c>
      <c r="S727">
        <v>5</v>
      </c>
      <c r="T727">
        <v>0</v>
      </c>
      <c r="U727">
        <v>0</v>
      </c>
      <c r="V727" t="s">
        <v>72</v>
      </c>
      <c r="W727" s="2">
        <v>42432</v>
      </c>
      <c r="Y727" t="s">
        <v>54</v>
      </c>
      <c r="Z727" t="s">
        <v>40</v>
      </c>
      <c r="AA727">
        <v>0</v>
      </c>
      <c r="AB727">
        <v>1</v>
      </c>
      <c r="AC727" t="s">
        <v>41</v>
      </c>
      <c r="AD727" t="s">
        <v>48</v>
      </c>
      <c r="AE727" t="s">
        <v>43</v>
      </c>
      <c r="AF727" s="3">
        <v>1010</v>
      </c>
      <c r="AG727" s="3">
        <v>39</v>
      </c>
      <c r="AH727">
        <v>80</v>
      </c>
      <c r="AI727">
        <v>2</v>
      </c>
      <c r="AJ727">
        <v>1</v>
      </c>
      <c r="AK727">
        <v>1</v>
      </c>
      <c r="AL727">
        <v>1</v>
      </c>
      <c r="AM727">
        <v>0</v>
      </c>
      <c r="AN727" t="s">
        <v>767</v>
      </c>
      <c r="AO727" t="s">
        <v>31</v>
      </c>
    </row>
    <row r="728" spans="1:41" x14ac:dyDescent="0.25">
      <c r="A728">
        <v>47</v>
      </c>
      <c r="B728" t="s">
        <v>32</v>
      </c>
      <c r="C728" t="s">
        <v>120</v>
      </c>
      <c r="D728">
        <v>26</v>
      </c>
      <c r="E728" t="s">
        <v>61</v>
      </c>
      <c r="F728">
        <v>3</v>
      </c>
      <c r="G728">
        <v>5</v>
      </c>
      <c r="H728" t="s">
        <v>75</v>
      </c>
      <c r="I728">
        <v>3</v>
      </c>
      <c r="J728" t="s">
        <v>51</v>
      </c>
      <c r="K728">
        <v>19658</v>
      </c>
      <c r="L728">
        <v>3</v>
      </c>
      <c r="M728" t="s">
        <v>41</v>
      </c>
      <c r="N728">
        <v>11</v>
      </c>
      <c r="O728">
        <v>3</v>
      </c>
      <c r="P728">
        <v>1</v>
      </c>
      <c r="Q728">
        <v>27</v>
      </c>
      <c r="R728">
        <v>2</v>
      </c>
      <c r="S728">
        <v>5</v>
      </c>
      <c r="T728">
        <v>1</v>
      </c>
      <c r="U728">
        <v>0</v>
      </c>
      <c r="V728" t="s">
        <v>37</v>
      </c>
      <c r="W728" s="1" t="s">
        <v>376</v>
      </c>
      <c r="Y728" t="s">
        <v>69</v>
      </c>
      <c r="Z728" t="s">
        <v>47</v>
      </c>
      <c r="AA728">
        <v>5</v>
      </c>
      <c r="AB728">
        <v>1</v>
      </c>
      <c r="AC728" t="s">
        <v>41</v>
      </c>
      <c r="AD728" t="s">
        <v>48</v>
      </c>
      <c r="AE728" t="s">
        <v>49</v>
      </c>
      <c r="AF728" s="3">
        <v>1011</v>
      </c>
      <c r="AG728" s="3">
        <v>96</v>
      </c>
      <c r="AH728">
        <v>80</v>
      </c>
      <c r="AI728">
        <v>3</v>
      </c>
      <c r="AJ728">
        <v>0</v>
      </c>
      <c r="AL728">
        <v>0</v>
      </c>
      <c r="AM728">
        <v>1</v>
      </c>
      <c r="AN728" t="s">
        <v>768</v>
      </c>
      <c r="AO728" t="s">
        <v>41</v>
      </c>
    </row>
    <row r="729" spans="1:41" x14ac:dyDescent="0.25">
      <c r="A729">
        <v>38</v>
      </c>
      <c r="B729" t="s">
        <v>32</v>
      </c>
      <c r="C729" t="s">
        <v>33</v>
      </c>
      <c r="D729">
        <v>2</v>
      </c>
      <c r="E729" t="s">
        <v>61</v>
      </c>
      <c r="F729">
        <v>2</v>
      </c>
      <c r="G729">
        <v>3</v>
      </c>
      <c r="H729" t="s">
        <v>78</v>
      </c>
      <c r="I729">
        <v>3</v>
      </c>
      <c r="J729" t="s">
        <v>51</v>
      </c>
      <c r="K729">
        <v>7756</v>
      </c>
      <c r="L729">
        <v>3</v>
      </c>
      <c r="M729" t="s">
        <v>31</v>
      </c>
      <c r="N729">
        <v>19</v>
      </c>
      <c r="O729">
        <v>3</v>
      </c>
      <c r="P729">
        <v>1</v>
      </c>
      <c r="Q729">
        <v>10</v>
      </c>
      <c r="R729">
        <v>6</v>
      </c>
      <c r="S729">
        <v>5</v>
      </c>
      <c r="T729">
        <v>0</v>
      </c>
      <c r="U729">
        <v>2</v>
      </c>
      <c r="V729" t="s">
        <v>37</v>
      </c>
      <c r="W729" s="1" t="s">
        <v>377</v>
      </c>
      <c r="Y729" t="s">
        <v>69</v>
      </c>
      <c r="Z729" t="s">
        <v>40</v>
      </c>
      <c r="AA729">
        <v>4</v>
      </c>
      <c r="AB729">
        <v>3</v>
      </c>
      <c r="AC729" t="s">
        <v>31</v>
      </c>
      <c r="AD729" t="s">
        <v>48</v>
      </c>
      <c r="AE729" t="s">
        <v>49</v>
      </c>
      <c r="AF729" s="3">
        <v>1012</v>
      </c>
      <c r="AG729" s="3">
        <v>73</v>
      </c>
      <c r="AH729">
        <v>80</v>
      </c>
      <c r="AI729">
        <v>0</v>
      </c>
      <c r="AJ729">
        <v>0</v>
      </c>
      <c r="AL729">
        <v>0</v>
      </c>
      <c r="AM729">
        <v>1</v>
      </c>
      <c r="AN729" t="s">
        <v>768</v>
      </c>
      <c r="AO729" t="s">
        <v>41</v>
      </c>
    </row>
    <row r="730" spans="1:41" x14ac:dyDescent="0.25">
      <c r="A730">
        <v>29</v>
      </c>
      <c r="B730" t="s">
        <v>32</v>
      </c>
      <c r="C730" t="s">
        <v>55</v>
      </c>
      <c r="D730">
        <v>10</v>
      </c>
      <c r="E730" t="s">
        <v>34</v>
      </c>
      <c r="F730">
        <v>2</v>
      </c>
      <c r="G730">
        <v>2</v>
      </c>
      <c r="H730" t="s">
        <v>70</v>
      </c>
      <c r="I730">
        <v>3</v>
      </c>
      <c r="J730" t="s">
        <v>36</v>
      </c>
      <c r="K730">
        <v>5869</v>
      </c>
      <c r="L730">
        <v>9</v>
      </c>
      <c r="M730" t="s">
        <v>41</v>
      </c>
      <c r="N730">
        <v>11</v>
      </c>
      <c r="O730">
        <v>3</v>
      </c>
      <c r="P730">
        <v>0</v>
      </c>
      <c r="Q730">
        <v>8</v>
      </c>
      <c r="R730">
        <v>2</v>
      </c>
      <c r="S730">
        <v>5</v>
      </c>
      <c r="T730">
        <v>1</v>
      </c>
      <c r="U730">
        <v>4</v>
      </c>
      <c r="V730" t="s">
        <v>72</v>
      </c>
      <c r="W730" s="2">
        <v>42644</v>
      </c>
      <c r="Y730" t="s">
        <v>69</v>
      </c>
      <c r="Z730" t="s">
        <v>47</v>
      </c>
      <c r="AA730">
        <v>1</v>
      </c>
      <c r="AB730">
        <v>1</v>
      </c>
      <c r="AC730" t="s">
        <v>41</v>
      </c>
      <c r="AD730" t="s">
        <v>65</v>
      </c>
      <c r="AE730" t="s">
        <v>60</v>
      </c>
      <c r="AF730" s="3">
        <v>1013</v>
      </c>
      <c r="AG730" s="3">
        <v>56</v>
      </c>
      <c r="AH730">
        <v>80</v>
      </c>
      <c r="AI730">
        <v>7</v>
      </c>
      <c r="AJ730">
        <v>0</v>
      </c>
      <c r="AL730">
        <v>0</v>
      </c>
      <c r="AM730">
        <v>1</v>
      </c>
      <c r="AN730" t="s">
        <v>768</v>
      </c>
      <c r="AO730" t="s">
        <v>41</v>
      </c>
    </row>
    <row r="731" spans="1:41" x14ac:dyDescent="0.25">
      <c r="A731">
        <v>39</v>
      </c>
      <c r="B731" t="s">
        <v>32</v>
      </c>
      <c r="C731" t="s">
        <v>33</v>
      </c>
      <c r="D731">
        <v>12</v>
      </c>
      <c r="E731" t="s">
        <v>34</v>
      </c>
      <c r="F731">
        <v>3</v>
      </c>
      <c r="G731">
        <v>2</v>
      </c>
      <c r="H731" t="s">
        <v>78</v>
      </c>
      <c r="I731">
        <v>2</v>
      </c>
      <c r="J731" t="s">
        <v>51</v>
      </c>
      <c r="K731">
        <v>5295</v>
      </c>
      <c r="L731">
        <v>4</v>
      </c>
      <c r="M731" t="s">
        <v>41</v>
      </c>
      <c r="N731">
        <v>21</v>
      </c>
      <c r="O731">
        <v>4</v>
      </c>
      <c r="P731">
        <v>0</v>
      </c>
      <c r="Q731">
        <v>7</v>
      </c>
      <c r="R731">
        <v>3</v>
      </c>
      <c r="S731">
        <v>5</v>
      </c>
      <c r="T731">
        <v>1</v>
      </c>
      <c r="U731">
        <v>0</v>
      </c>
      <c r="V731" t="s">
        <v>37</v>
      </c>
      <c r="W731" s="2">
        <v>42644</v>
      </c>
      <c r="Y731" t="s">
        <v>63</v>
      </c>
      <c r="Z731" t="s">
        <v>40</v>
      </c>
      <c r="AA731">
        <v>0</v>
      </c>
      <c r="AB731">
        <v>2</v>
      </c>
      <c r="AC731" t="s">
        <v>41</v>
      </c>
      <c r="AD731" t="s">
        <v>48</v>
      </c>
      <c r="AE731" t="s">
        <v>43</v>
      </c>
      <c r="AF731" s="3">
        <v>1014</v>
      </c>
      <c r="AG731" s="3">
        <v>57</v>
      </c>
      <c r="AH731">
        <v>80</v>
      </c>
      <c r="AI731">
        <v>10</v>
      </c>
      <c r="AJ731">
        <v>0</v>
      </c>
      <c r="AL731">
        <v>0</v>
      </c>
      <c r="AM731">
        <v>1</v>
      </c>
      <c r="AN731" t="s">
        <v>768</v>
      </c>
      <c r="AO731" t="s">
        <v>41</v>
      </c>
    </row>
    <row r="732" spans="1:41" x14ac:dyDescent="0.25">
      <c r="A732">
        <v>36</v>
      </c>
      <c r="B732" t="s">
        <v>32</v>
      </c>
      <c r="C732" t="s">
        <v>33</v>
      </c>
      <c r="D732">
        <v>3</v>
      </c>
      <c r="E732" t="s">
        <v>34</v>
      </c>
      <c r="F732">
        <v>4</v>
      </c>
      <c r="G732">
        <v>2</v>
      </c>
      <c r="H732" t="s">
        <v>89</v>
      </c>
      <c r="I732">
        <v>1</v>
      </c>
      <c r="J732" t="s">
        <v>57</v>
      </c>
      <c r="K732">
        <v>6842</v>
      </c>
      <c r="L732">
        <v>6</v>
      </c>
      <c r="M732" t="s">
        <v>41</v>
      </c>
      <c r="N732">
        <v>20</v>
      </c>
      <c r="O732">
        <v>4</v>
      </c>
      <c r="P732">
        <v>1</v>
      </c>
      <c r="Q732">
        <v>13</v>
      </c>
      <c r="R732">
        <v>3</v>
      </c>
      <c r="S732">
        <v>5</v>
      </c>
      <c r="T732">
        <v>0</v>
      </c>
      <c r="U732">
        <v>4</v>
      </c>
      <c r="V732" t="s">
        <v>37</v>
      </c>
      <c r="W732" s="1" t="s">
        <v>378</v>
      </c>
      <c r="Y732" t="s">
        <v>54</v>
      </c>
      <c r="Z732" t="s">
        <v>47</v>
      </c>
      <c r="AA732">
        <v>2</v>
      </c>
      <c r="AB732">
        <v>2</v>
      </c>
      <c r="AC732" t="s">
        <v>41</v>
      </c>
      <c r="AD732" t="s">
        <v>48</v>
      </c>
      <c r="AE732" t="s">
        <v>60</v>
      </c>
      <c r="AF732" s="3">
        <v>1015</v>
      </c>
      <c r="AG732" s="3">
        <v>73</v>
      </c>
      <c r="AH732">
        <v>80</v>
      </c>
      <c r="AI732">
        <v>7</v>
      </c>
      <c r="AJ732">
        <v>0</v>
      </c>
      <c r="AL732">
        <v>0</v>
      </c>
      <c r="AM732">
        <v>1</v>
      </c>
      <c r="AN732" t="s">
        <v>768</v>
      </c>
      <c r="AO732" t="s">
        <v>41</v>
      </c>
    </row>
    <row r="733" spans="1:41" x14ac:dyDescent="0.25">
      <c r="A733">
        <v>23</v>
      </c>
      <c r="B733" t="s">
        <v>32</v>
      </c>
      <c r="C733" t="s">
        <v>33</v>
      </c>
      <c r="D733">
        <v>8</v>
      </c>
      <c r="E733" t="s">
        <v>34</v>
      </c>
      <c r="F733">
        <v>2</v>
      </c>
      <c r="G733">
        <v>1</v>
      </c>
      <c r="H733" t="s">
        <v>35</v>
      </c>
      <c r="I733">
        <v>3</v>
      </c>
      <c r="J733" t="s">
        <v>36</v>
      </c>
      <c r="K733">
        <v>3989</v>
      </c>
      <c r="L733">
        <v>1</v>
      </c>
      <c r="M733" t="s">
        <v>31</v>
      </c>
      <c r="N733">
        <v>11</v>
      </c>
      <c r="O733">
        <v>3</v>
      </c>
      <c r="P733">
        <v>0</v>
      </c>
      <c r="Q733">
        <v>5</v>
      </c>
      <c r="R733">
        <v>2</v>
      </c>
      <c r="S733">
        <v>5</v>
      </c>
      <c r="T733">
        <v>1</v>
      </c>
      <c r="U733">
        <v>2</v>
      </c>
      <c r="V733" t="s">
        <v>37</v>
      </c>
      <c r="W733" s="2">
        <v>42435</v>
      </c>
      <c r="Y733" t="s">
        <v>39</v>
      </c>
      <c r="Z733" t="s">
        <v>40</v>
      </c>
      <c r="AA733">
        <v>1</v>
      </c>
      <c r="AB733">
        <v>2</v>
      </c>
      <c r="AC733" t="s">
        <v>41</v>
      </c>
      <c r="AD733" t="s">
        <v>65</v>
      </c>
      <c r="AE733" t="s">
        <v>49</v>
      </c>
      <c r="AF733" s="3">
        <v>1016</v>
      </c>
      <c r="AG733" s="3">
        <v>98</v>
      </c>
      <c r="AH733">
        <v>80</v>
      </c>
      <c r="AI733">
        <v>0</v>
      </c>
      <c r="AJ733">
        <v>1</v>
      </c>
      <c r="AK733">
        <v>1</v>
      </c>
      <c r="AL733">
        <v>1</v>
      </c>
      <c r="AM733">
        <v>0</v>
      </c>
      <c r="AN733" t="s">
        <v>767</v>
      </c>
      <c r="AO733" t="s">
        <v>31</v>
      </c>
    </row>
    <row r="734" spans="1:41" x14ac:dyDescent="0.25">
      <c r="A734">
        <v>35</v>
      </c>
      <c r="B734" t="s">
        <v>66</v>
      </c>
      <c r="C734" t="s">
        <v>33</v>
      </c>
      <c r="D734">
        <v>2</v>
      </c>
      <c r="E734" t="s">
        <v>34</v>
      </c>
      <c r="F734">
        <v>2</v>
      </c>
      <c r="G734">
        <v>1</v>
      </c>
      <c r="H734" t="s">
        <v>44</v>
      </c>
      <c r="I734">
        <v>4</v>
      </c>
      <c r="J734" t="s">
        <v>36</v>
      </c>
      <c r="K734">
        <v>4930</v>
      </c>
      <c r="L734">
        <v>0</v>
      </c>
      <c r="M734" t="s">
        <v>31</v>
      </c>
      <c r="N734">
        <v>14</v>
      </c>
      <c r="O734">
        <v>3</v>
      </c>
      <c r="P734">
        <v>0</v>
      </c>
      <c r="Q734">
        <v>6</v>
      </c>
      <c r="R734">
        <v>2</v>
      </c>
      <c r="S734">
        <v>5</v>
      </c>
      <c r="T734">
        <v>1</v>
      </c>
      <c r="U734">
        <v>4</v>
      </c>
      <c r="V734" t="s">
        <v>37</v>
      </c>
      <c r="W734" s="1" t="s">
        <v>379</v>
      </c>
      <c r="Y734" t="s">
        <v>69</v>
      </c>
      <c r="Z734" t="s">
        <v>40</v>
      </c>
      <c r="AA734">
        <v>4</v>
      </c>
      <c r="AB734">
        <v>1</v>
      </c>
      <c r="AC734" t="s">
        <v>41</v>
      </c>
      <c r="AD734" t="s">
        <v>48</v>
      </c>
      <c r="AE734" t="s">
        <v>60</v>
      </c>
      <c r="AF734" s="3">
        <v>1017</v>
      </c>
      <c r="AG734" s="3">
        <v>60</v>
      </c>
      <c r="AH734">
        <v>80</v>
      </c>
      <c r="AI734">
        <v>2</v>
      </c>
      <c r="AJ734">
        <v>1</v>
      </c>
      <c r="AK734">
        <v>1</v>
      </c>
      <c r="AL734">
        <v>1</v>
      </c>
      <c r="AM734">
        <v>0</v>
      </c>
      <c r="AN734" t="s">
        <v>767</v>
      </c>
      <c r="AO734" t="s">
        <v>31</v>
      </c>
    </row>
    <row r="735" spans="1:41" x14ac:dyDescent="0.25">
      <c r="A735">
        <v>24</v>
      </c>
      <c r="B735" t="s">
        <v>32</v>
      </c>
      <c r="C735" t="s">
        <v>33</v>
      </c>
      <c r="D735">
        <v>9</v>
      </c>
      <c r="E735" t="s">
        <v>34</v>
      </c>
      <c r="F735">
        <v>4</v>
      </c>
      <c r="G735">
        <v>1</v>
      </c>
      <c r="H735" t="s">
        <v>44</v>
      </c>
      <c r="I735">
        <v>3</v>
      </c>
      <c r="J735" t="s">
        <v>51</v>
      </c>
      <c r="K735">
        <v>4401</v>
      </c>
      <c r="L735">
        <v>1</v>
      </c>
      <c r="M735" t="s">
        <v>41</v>
      </c>
      <c r="N735">
        <v>16</v>
      </c>
      <c r="O735">
        <v>3</v>
      </c>
      <c r="P735">
        <v>1</v>
      </c>
      <c r="Q735">
        <v>5</v>
      </c>
      <c r="R735">
        <v>1</v>
      </c>
      <c r="S735">
        <v>5</v>
      </c>
      <c r="T735">
        <v>0</v>
      </c>
      <c r="U735">
        <v>4</v>
      </c>
      <c r="V735" t="s">
        <v>58</v>
      </c>
      <c r="W735" s="1" t="s">
        <v>337</v>
      </c>
      <c r="Y735" t="s">
        <v>46</v>
      </c>
      <c r="Z735" t="s">
        <v>40</v>
      </c>
      <c r="AA735">
        <v>0</v>
      </c>
      <c r="AB735">
        <v>3</v>
      </c>
      <c r="AC735" t="s">
        <v>41</v>
      </c>
      <c r="AD735" t="s">
        <v>65</v>
      </c>
      <c r="AE735" t="s">
        <v>49</v>
      </c>
      <c r="AF735" s="3">
        <v>1018</v>
      </c>
      <c r="AG735" s="3">
        <v>32</v>
      </c>
      <c r="AH735">
        <v>80</v>
      </c>
      <c r="AI735">
        <v>7</v>
      </c>
      <c r="AJ735">
        <v>0</v>
      </c>
      <c r="AL735">
        <v>0</v>
      </c>
      <c r="AM735">
        <v>1</v>
      </c>
      <c r="AN735" t="s">
        <v>768</v>
      </c>
      <c r="AO735" t="s">
        <v>41</v>
      </c>
    </row>
    <row r="736" spans="1:41" x14ac:dyDescent="0.25">
      <c r="A736">
        <v>29</v>
      </c>
      <c r="B736" t="s">
        <v>32</v>
      </c>
      <c r="C736" t="s">
        <v>33</v>
      </c>
      <c r="D736">
        <v>9</v>
      </c>
      <c r="E736" t="s">
        <v>61</v>
      </c>
      <c r="F736">
        <v>3</v>
      </c>
      <c r="G736">
        <v>1</v>
      </c>
      <c r="H736" t="s">
        <v>35</v>
      </c>
      <c r="I736">
        <v>3</v>
      </c>
      <c r="J736" t="s">
        <v>51</v>
      </c>
      <c r="K736">
        <v>2974</v>
      </c>
      <c r="L736">
        <v>9</v>
      </c>
      <c r="M736" t="s">
        <v>41</v>
      </c>
      <c r="N736">
        <v>17</v>
      </c>
      <c r="O736">
        <v>3</v>
      </c>
      <c r="P736">
        <v>1</v>
      </c>
      <c r="Q736">
        <v>9</v>
      </c>
      <c r="R736">
        <v>2</v>
      </c>
      <c r="S736">
        <v>5</v>
      </c>
      <c r="T736">
        <v>1</v>
      </c>
      <c r="U736">
        <v>2</v>
      </c>
      <c r="V736" t="s">
        <v>58</v>
      </c>
      <c r="W736" s="1" t="s">
        <v>353</v>
      </c>
      <c r="Y736" t="s">
        <v>54</v>
      </c>
      <c r="Z736" t="s">
        <v>40</v>
      </c>
      <c r="AA736">
        <v>5</v>
      </c>
      <c r="AB736">
        <v>0</v>
      </c>
      <c r="AC736" t="s">
        <v>31</v>
      </c>
      <c r="AD736" t="s">
        <v>65</v>
      </c>
      <c r="AE736" t="s">
        <v>60</v>
      </c>
      <c r="AF736" s="3">
        <v>1019</v>
      </c>
      <c r="AG736" s="3">
        <v>94</v>
      </c>
      <c r="AH736">
        <v>80</v>
      </c>
      <c r="AI736">
        <v>3</v>
      </c>
      <c r="AJ736">
        <v>0</v>
      </c>
      <c r="AL736">
        <v>0</v>
      </c>
      <c r="AM736">
        <v>1</v>
      </c>
      <c r="AN736" t="s">
        <v>768</v>
      </c>
      <c r="AO736" t="s">
        <v>41</v>
      </c>
    </row>
    <row r="737" spans="1:41" x14ac:dyDescent="0.25">
      <c r="A737">
        <v>32</v>
      </c>
      <c r="B737" t="s">
        <v>66</v>
      </c>
      <c r="C737" t="s">
        <v>33</v>
      </c>
      <c r="D737">
        <v>10</v>
      </c>
      <c r="E737" t="s">
        <v>34</v>
      </c>
      <c r="F737">
        <v>3</v>
      </c>
      <c r="G737">
        <v>1</v>
      </c>
      <c r="H737" t="s">
        <v>44</v>
      </c>
      <c r="I737">
        <v>3</v>
      </c>
      <c r="J737" t="s">
        <v>51</v>
      </c>
      <c r="K737">
        <v>3433</v>
      </c>
      <c r="L737">
        <v>6</v>
      </c>
      <c r="M737" t="s">
        <v>41</v>
      </c>
      <c r="N737">
        <v>13</v>
      </c>
      <c r="O737">
        <v>3</v>
      </c>
      <c r="P737">
        <v>1</v>
      </c>
      <c r="Q737">
        <v>10</v>
      </c>
      <c r="R737">
        <v>3</v>
      </c>
      <c r="S737">
        <v>5</v>
      </c>
      <c r="T737">
        <v>1</v>
      </c>
      <c r="U737">
        <v>3</v>
      </c>
      <c r="V737" t="s">
        <v>58</v>
      </c>
      <c r="W737" s="2">
        <v>42494</v>
      </c>
      <c r="Y737" t="s">
        <v>63</v>
      </c>
      <c r="Z737" t="s">
        <v>47</v>
      </c>
      <c r="AA737">
        <v>1</v>
      </c>
      <c r="AB737">
        <v>3</v>
      </c>
      <c r="AC737" t="s">
        <v>41</v>
      </c>
      <c r="AD737" t="s">
        <v>65</v>
      </c>
      <c r="AE737" t="s">
        <v>43</v>
      </c>
      <c r="AF737" s="3">
        <v>1022</v>
      </c>
      <c r="AG737" s="3">
        <v>97</v>
      </c>
      <c r="AH737">
        <v>80</v>
      </c>
      <c r="AI737">
        <v>2</v>
      </c>
      <c r="AJ737">
        <v>0</v>
      </c>
      <c r="AL737">
        <v>0</v>
      </c>
      <c r="AM737">
        <v>1</v>
      </c>
      <c r="AN737" t="s">
        <v>768</v>
      </c>
      <c r="AO737" t="s">
        <v>41</v>
      </c>
    </row>
    <row r="738" spans="1:41" x14ac:dyDescent="0.25">
      <c r="A738">
        <v>31</v>
      </c>
      <c r="B738" t="s">
        <v>32</v>
      </c>
      <c r="C738" t="s">
        <v>33</v>
      </c>
      <c r="D738">
        <v>2</v>
      </c>
      <c r="E738" t="s">
        <v>34</v>
      </c>
      <c r="F738">
        <v>3</v>
      </c>
      <c r="G738">
        <v>1</v>
      </c>
      <c r="H738" t="s">
        <v>35</v>
      </c>
      <c r="I738">
        <v>3</v>
      </c>
      <c r="J738" t="s">
        <v>51</v>
      </c>
      <c r="K738">
        <v>3477</v>
      </c>
      <c r="L738">
        <v>1</v>
      </c>
      <c r="M738" t="s">
        <v>41</v>
      </c>
      <c r="N738">
        <v>14</v>
      </c>
      <c r="O738">
        <v>3</v>
      </c>
      <c r="P738">
        <v>1</v>
      </c>
      <c r="Q738">
        <v>6</v>
      </c>
      <c r="R738">
        <v>2</v>
      </c>
      <c r="S738">
        <v>5</v>
      </c>
      <c r="T738">
        <v>0</v>
      </c>
      <c r="U738">
        <v>3</v>
      </c>
      <c r="V738" t="s">
        <v>52</v>
      </c>
      <c r="W738" s="1" t="s">
        <v>332</v>
      </c>
      <c r="Y738" t="s">
        <v>54</v>
      </c>
      <c r="Z738" t="s">
        <v>40</v>
      </c>
      <c r="AA738">
        <v>3</v>
      </c>
      <c r="AB738">
        <v>3</v>
      </c>
      <c r="AC738" t="s">
        <v>31</v>
      </c>
      <c r="AD738" t="s">
        <v>42</v>
      </c>
      <c r="AE738" t="s">
        <v>60</v>
      </c>
      <c r="AF738" s="3">
        <v>1024</v>
      </c>
      <c r="AG738" s="3">
        <v>78</v>
      </c>
      <c r="AH738">
        <v>80</v>
      </c>
      <c r="AI738">
        <v>11</v>
      </c>
      <c r="AJ738">
        <v>0</v>
      </c>
      <c r="AL738">
        <v>0</v>
      </c>
      <c r="AM738">
        <v>1</v>
      </c>
      <c r="AN738" t="s">
        <v>768</v>
      </c>
      <c r="AO738" t="s">
        <v>41</v>
      </c>
    </row>
    <row r="739" spans="1:41" x14ac:dyDescent="0.25">
      <c r="A739">
        <v>31</v>
      </c>
      <c r="B739" t="s">
        <v>66</v>
      </c>
      <c r="C739" t="s">
        <v>33</v>
      </c>
      <c r="D739">
        <v>24</v>
      </c>
      <c r="E739" t="s">
        <v>61</v>
      </c>
      <c r="F739">
        <v>3</v>
      </c>
      <c r="G739">
        <v>2</v>
      </c>
      <c r="H739" t="s">
        <v>78</v>
      </c>
      <c r="I739">
        <v>4</v>
      </c>
      <c r="J739" t="s">
        <v>36</v>
      </c>
      <c r="K739">
        <v>5238</v>
      </c>
      <c r="L739">
        <v>2</v>
      </c>
      <c r="M739" t="s">
        <v>41</v>
      </c>
      <c r="N739">
        <v>20</v>
      </c>
      <c r="O739">
        <v>4</v>
      </c>
      <c r="P739">
        <v>0</v>
      </c>
      <c r="Q739">
        <v>9</v>
      </c>
      <c r="R739">
        <v>3</v>
      </c>
      <c r="S739">
        <v>5</v>
      </c>
      <c r="T739">
        <v>1</v>
      </c>
      <c r="U739">
        <v>4</v>
      </c>
      <c r="V739" t="s">
        <v>58</v>
      </c>
      <c r="W739" s="1" t="s">
        <v>375</v>
      </c>
      <c r="Y739" t="s">
        <v>69</v>
      </c>
      <c r="Z739" t="s">
        <v>47</v>
      </c>
      <c r="AA739">
        <v>2</v>
      </c>
      <c r="AB739">
        <v>0</v>
      </c>
      <c r="AC739" t="s">
        <v>41</v>
      </c>
      <c r="AD739" t="s">
        <v>42</v>
      </c>
      <c r="AE739" t="s">
        <v>43</v>
      </c>
      <c r="AF739" s="3">
        <v>1025</v>
      </c>
      <c r="AG739" s="3">
        <v>42</v>
      </c>
      <c r="AH739">
        <v>80</v>
      </c>
      <c r="AI739">
        <v>2</v>
      </c>
      <c r="AJ739">
        <v>0</v>
      </c>
      <c r="AL739">
        <v>0</v>
      </c>
      <c r="AM739">
        <v>1</v>
      </c>
      <c r="AN739" t="s">
        <v>768</v>
      </c>
      <c r="AO739" t="s">
        <v>41</v>
      </c>
    </row>
    <row r="740" spans="1:41" x14ac:dyDescent="0.25">
      <c r="A740">
        <v>45</v>
      </c>
      <c r="B740" t="s">
        <v>32</v>
      </c>
      <c r="C740" t="s">
        <v>120</v>
      </c>
      <c r="D740">
        <v>4</v>
      </c>
      <c r="E740" t="s">
        <v>61</v>
      </c>
      <c r="F740">
        <v>1</v>
      </c>
      <c r="G740">
        <v>3</v>
      </c>
      <c r="H740" t="s">
        <v>120</v>
      </c>
      <c r="I740">
        <v>3</v>
      </c>
      <c r="J740" t="s">
        <v>51</v>
      </c>
      <c r="K740">
        <v>9756</v>
      </c>
      <c r="L740">
        <v>4</v>
      </c>
      <c r="M740" t="s">
        <v>41</v>
      </c>
      <c r="N740">
        <v>21</v>
      </c>
      <c r="O740">
        <v>4</v>
      </c>
      <c r="P740">
        <v>2</v>
      </c>
      <c r="Q740">
        <v>9</v>
      </c>
      <c r="R740">
        <v>2</v>
      </c>
      <c r="S740">
        <v>5</v>
      </c>
      <c r="T740">
        <v>0</v>
      </c>
      <c r="U740">
        <v>3</v>
      </c>
      <c r="V740" t="s">
        <v>37</v>
      </c>
      <c r="W740" s="2">
        <v>42709</v>
      </c>
      <c r="Y740" t="s">
        <v>63</v>
      </c>
      <c r="Z740" t="s">
        <v>47</v>
      </c>
      <c r="AA740">
        <v>1</v>
      </c>
      <c r="AB740">
        <v>0</v>
      </c>
      <c r="AC740" t="s">
        <v>41</v>
      </c>
      <c r="AD740" t="s">
        <v>67</v>
      </c>
      <c r="AE740" t="s">
        <v>60</v>
      </c>
      <c r="AF740" s="3">
        <v>1026</v>
      </c>
      <c r="AG740" s="3">
        <v>65</v>
      </c>
      <c r="AH740">
        <v>80</v>
      </c>
      <c r="AI740">
        <v>6</v>
      </c>
      <c r="AJ740">
        <v>0</v>
      </c>
      <c r="AL740">
        <v>0</v>
      </c>
      <c r="AM740">
        <v>1</v>
      </c>
      <c r="AN740" t="s">
        <v>768</v>
      </c>
      <c r="AO740" t="s">
        <v>41</v>
      </c>
    </row>
    <row r="741" spans="1:41" x14ac:dyDescent="0.25">
      <c r="A741">
        <v>31</v>
      </c>
      <c r="B741" t="s">
        <v>32</v>
      </c>
      <c r="C741" t="s">
        <v>55</v>
      </c>
      <c r="D741">
        <v>5</v>
      </c>
      <c r="E741" t="s">
        <v>34</v>
      </c>
      <c r="F741">
        <v>3</v>
      </c>
      <c r="G741">
        <v>2</v>
      </c>
      <c r="H741" t="s">
        <v>70</v>
      </c>
      <c r="I741">
        <v>3</v>
      </c>
      <c r="J741" t="s">
        <v>51</v>
      </c>
      <c r="K741">
        <v>8346</v>
      </c>
      <c r="L741">
        <v>1</v>
      </c>
      <c r="M741" t="s">
        <v>41</v>
      </c>
      <c r="N741">
        <v>19</v>
      </c>
      <c r="O741">
        <v>3</v>
      </c>
      <c r="P741">
        <v>1</v>
      </c>
      <c r="Q741">
        <v>6</v>
      </c>
      <c r="R741">
        <v>3</v>
      </c>
      <c r="S741">
        <v>5</v>
      </c>
      <c r="T741">
        <v>0</v>
      </c>
      <c r="U741">
        <v>2</v>
      </c>
      <c r="V741" t="s">
        <v>37</v>
      </c>
      <c r="W741" s="1" t="s">
        <v>380</v>
      </c>
      <c r="Y741" t="s">
        <v>69</v>
      </c>
      <c r="Z741" t="s">
        <v>40</v>
      </c>
      <c r="AA741">
        <v>4</v>
      </c>
      <c r="AB741">
        <v>1</v>
      </c>
      <c r="AC741" t="s">
        <v>31</v>
      </c>
      <c r="AD741" t="s">
        <v>65</v>
      </c>
      <c r="AE741" t="s">
        <v>49</v>
      </c>
      <c r="AF741" s="3">
        <v>1027</v>
      </c>
      <c r="AG741" s="3">
        <v>47</v>
      </c>
      <c r="AH741">
        <v>80</v>
      </c>
      <c r="AI741">
        <v>2</v>
      </c>
      <c r="AJ741">
        <v>0</v>
      </c>
      <c r="AL741">
        <v>0</v>
      </c>
      <c r="AM741">
        <v>1</v>
      </c>
      <c r="AN741" t="s">
        <v>768</v>
      </c>
      <c r="AO741" t="s">
        <v>41</v>
      </c>
    </row>
    <row r="742" spans="1:41" x14ac:dyDescent="0.25">
      <c r="A742">
        <v>34</v>
      </c>
      <c r="B742" t="s">
        <v>32</v>
      </c>
      <c r="C742" t="s">
        <v>33</v>
      </c>
      <c r="D742">
        <v>2</v>
      </c>
      <c r="E742" t="s">
        <v>34</v>
      </c>
      <c r="F742">
        <v>4</v>
      </c>
      <c r="G742">
        <v>1</v>
      </c>
      <c r="H742" t="s">
        <v>44</v>
      </c>
      <c r="I742">
        <v>4</v>
      </c>
      <c r="J742" t="s">
        <v>51</v>
      </c>
      <c r="K742">
        <v>2932</v>
      </c>
      <c r="L742">
        <v>0</v>
      </c>
      <c r="M742" t="s">
        <v>31</v>
      </c>
      <c r="N742">
        <v>14</v>
      </c>
      <c r="O742">
        <v>3</v>
      </c>
      <c r="P742">
        <v>3</v>
      </c>
      <c r="Q742">
        <v>6</v>
      </c>
      <c r="R742">
        <v>3</v>
      </c>
      <c r="S742">
        <v>5</v>
      </c>
      <c r="T742">
        <v>1</v>
      </c>
      <c r="U742">
        <v>2</v>
      </c>
      <c r="V742" t="s">
        <v>52</v>
      </c>
      <c r="W742" s="2">
        <v>42372</v>
      </c>
      <c r="Y742" t="s">
        <v>69</v>
      </c>
      <c r="Z742" t="s">
        <v>40</v>
      </c>
      <c r="AA742">
        <v>0</v>
      </c>
      <c r="AB742">
        <v>0</v>
      </c>
      <c r="AC742" t="s">
        <v>41</v>
      </c>
      <c r="AD742" t="s">
        <v>48</v>
      </c>
      <c r="AE742" t="s">
        <v>60</v>
      </c>
      <c r="AF742" s="3">
        <v>1028</v>
      </c>
      <c r="AG742" s="3">
        <v>45</v>
      </c>
      <c r="AH742">
        <v>80</v>
      </c>
      <c r="AI742">
        <v>2</v>
      </c>
      <c r="AJ742">
        <v>0</v>
      </c>
      <c r="AL742">
        <v>0</v>
      </c>
      <c r="AM742">
        <v>1</v>
      </c>
      <c r="AN742" t="s">
        <v>768</v>
      </c>
      <c r="AO742" t="s">
        <v>41</v>
      </c>
    </row>
    <row r="743" spans="1:41" x14ac:dyDescent="0.25">
      <c r="A743">
        <v>49</v>
      </c>
      <c r="B743" t="s">
        <v>32</v>
      </c>
      <c r="C743" t="s">
        <v>55</v>
      </c>
      <c r="D743">
        <v>11</v>
      </c>
      <c r="E743" t="s">
        <v>61</v>
      </c>
      <c r="F743">
        <v>3</v>
      </c>
      <c r="G743">
        <v>2</v>
      </c>
      <c r="H743" t="s">
        <v>70</v>
      </c>
      <c r="I743">
        <v>4</v>
      </c>
      <c r="J743" t="s">
        <v>36</v>
      </c>
      <c r="K743">
        <v>4507</v>
      </c>
      <c r="L743">
        <v>3</v>
      </c>
      <c r="M743" t="s">
        <v>41</v>
      </c>
      <c r="N743">
        <v>12</v>
      </c>
      <c r="O743">
        <v>3</v>
      </c>
      <c r="P743">
        <v>0</v>
      </c>
      <c r="Q743">
        <v>8</v>
      </c>
      <c r="R743">
        <v>1</v>
      </c>
      <c r="S743">
        <v>5</v>
      </c>
      <c r="T743">
        <v>0</v>
      </c>
      <c r="U743">
        <v>4</v>
      </c>
      <c r="V743" t="s">
        <v>52</v>
      </c>
      <c r="W743" s="2">
        <v>42616</v>
      </c>
      <c r="Y743" t="s">
        <v>63</v>
      </c>
      <c r="Z743" t="s">
        <v>47</v>
      </c>
      <c r="AA743">
        <v>2</v>
      </c>
      <c r="AB743">
        <v>3</v>
      </c>
      <c r="AC743" t="s">
        <v>31</v>
      </c>
      <c r="AD743" t="s">
        <v>65</v>
      </c>
      <c r="AE743" t="s">
        <v>60</v>
      </c>
      <c r="AF743" s="3">
        <v>1029</v>
      </c>
      <c r="AG743" s="3">
        <v>90</v>
      </c>
      <c r="AH743">
        <v>80</v>
      </c>
      <c r="AI743">
        <v>0</v>
      </c>
      <c r="AJ743">
        <v>0</v>
      </c>
      <c r="AL743">
        <v>0</v>
      </c>
      <c r="AM743">
        <v>1</v>
      </c>
      <c r="AN743" t="s">
        <v>768</v>
      </c>
      <c r="AO743" t="s">
        <v>41</v>
      </c>
    </row>
    <row r="744" spans="1:41" x14ac:dyDescent="0.25">
      <c r="A744">
        <v>42</v>
      </c>
      <c r="B744" t="s">
        <v>32</v>
      </c>
      <c r="C744" t="s">
        <v>33</v>
      </c>
      <c r="D744">
        <v>12</v>
      </c>
      <c r="E744" t="s">
        <v>34</v>
      </c>
      <c r="F744">
        <v>3</v>
      </c>
      <c r="G744">
        <v>1</v>
      </c>
      <c r="H744" t="s">
        <v>35</v>
      </c>
      <c r="I744">
        <v>2</v>
      </c>
      <c r="J744" t="s">
        <v>57</v>
      </c>
      <c r="K744">
        <v>2766</v>
      </c>
      <c r="L744">
        <v>8</v>
      </c>
      <c r="M744" t="s">
        <v>41</v>
      </c>
      <c r="N744">
        <v>22</v>
      </c>
      <c r="O744">
        <v>4</v>
      </c>
      <c r="P744">
        <v>3</v>
      </c>
      <c r="Q744">
        <v>7</v>
      </c>
      <c r="R744">
        <v>6</v>
      </c>
      <c r="S744">
        <v>5</v>
      </c>
      <c r="T744">
        <v>0</v>
      </c>
      <c r="U744">
        <v>4</v>
      </c>
      <c r="V744" t="s">
        <v>58</v>
      </c>
      <c r="W744" s="1" t="s">
        <v>333</v>
      </c>
      <c r="Y744" t="s">
        <v>46</v>
      </c>
      <c r="Z744" t="s">
        <v>40</v>
      </c>
      <c r="AA744">
        <v>5</v>
      </c>
      <c r="AB744">
        <v>1</v>
      </c>
      <c r="AC744" t="s">
        <v>31</v>
      </c>
      <c r="AD744" t="s">
        <v>42</v>
      </c>
      <c r="AE744" t="s">
        <v>60</v>
      </c>
      <c r="AF744" s="3">
        <v>1030</v>
      </c>
      <c r="AG744" s="3">
        <v>64</v>
      </c>
      <c r="AH744">
        <v>80</v>
      </c>
      <c r="AI744">
        <v>0</v>
      </c>
      <c r="AJ744">
        <v>0</v>
      </c>
      <c r="AL744">
        <v>0</v>
      </c>
      <c r="AM744">
        <v>1</v>
      </c>
      <c r="AN744" t="s">
        <v>768</v>
      </c>
      <c r="AO744" t="s">
        <v>41</v>
      </c>
    </row>
    <row r="745" spans="1:41" x14ac:dyDescent="0.25">
      <c r="A745">
        <v>41</v>
      </c>
      <c r="B745" t="s">
        <v>32</v>
      </c>
      <c r="C745" t="s">
        <v>33</v>
      </c>
      <c r="D745">
        <v>9</v>
      </c>
      <c r="E745" t="s">
        <v>34</v>
      </c>
      <c r="F745">
        <v>3</v>
      </c>
      <c r="G745">
        <v>1</v>
      </c>
      <c r="H745" t="s">
        <v>35</v>
      </c>
      <c r="I745">
        <v>1</v>
      </c>
      <c r="J745" t="s">
        <v>57</v>
      </c>
      <c r="K745">
        <v>2289</v>
      </c>
      <c r="L745">
        <v>1</v>
      </c>
      <c r="M745" t="s">
        <v>41</v>
      </c>
      <c r="N745">
        <v>20</v>
      </c>
      <c r="O745">
        <v>4</v>
      </c>
      <c r="P745">
        <v>2</v>
      </c>
      <c r="Q745">
        <v>5</v>
      </c>
      <c r="R745">
        <v>2</v>
      </c>
      <c r="S745">
        <v>5</v>
      </c>
      <c r="T745">
        <v>0</v>
      </c>
      <c r="U745">
        <v>4</v>
      </c>
      <c r="V745" t="s">
        <v>52</v>
      </c>
      <c r="W745" s="1" t="s">
        <v>381</v>
      </c>
      <c r="Y745" t="s">
        <v>69</v>
      </c>
      <c r="Z745" t="s">
        <v>40</v>
      </c>
      <c r="AA745">
        <v>4</v>
      </c>
      <c r="AB745">
        <v>0</v>
      </c>
      <c r="AC745" t="s">
        <v>41</v>
      </c>
      <c r="AD745" t="s">
        <v>67</v>
      </c>
      <c r="AE745" t="s">
        <v>60</v>
      </c>
      <c r="AF745" s="3">
        <v>1032</v>
      </c>
      <c r="AG745" s="3">
        <v>69</v>
      </c>
      <c r="AH745">
        <v>80</v>
      </c>
      <c r="AI745">
        <v>3</v>
      </c>
      <c r="AJ745">
        <v>0</v>
      </c>
      <c r="AL745">
        <v>0</v>
      </c>
      <c r="AM745">
        <v>1</v>
      </c>
      <c r="AN745" t="s">
        <v>768</v>
      </c>
      <c r="AO745" t="s">
        <v>41</v>
      </c>
    </row>
    <row r="746" spans="1:41" x14ac:dyDescent="0.25">
      <c r="A746">
        <v>38</v>
      </c>
      <c r="B746" t="s">
        <v>32</v>
      </c>
      <c r="C746" t="s">
        <v>33</v>
      </c>
      <c r="D746">
        <v>6</v>
      </c>
      <c r="E746" t="s">
        <v>61</v>
      </c>
      <c r="F746">
        <v>2</v>
      </c>
      <c r="G746">
        <v>1</v>
      </c>
      <c r="H746" t="s">
        <v>35</v>
      </c>
      <c r="I746">
        <v>3</v>
      </c>
      <c r="J746" t="s">
        <v>51</v>
      </c>
      <c r="K746">
        <v>3702</v>
      </c>
      <c r="L746">
        <v>1</v>
      </c>
      <c r="M746" t="s">
        <v>41</v>
      </c>
      <c r="N746">
        <v>11</v>
      </c>
      <c r="O746">
        <v>3</v>
      </c>
      <c r="P746">
        <v>1</v>
      </c>
      <c r="Q746">
        <v>5</v>
      </c>
      <c r="R746">
        <v>3</v>
      </c>
      <c r="S746">
        <v>5</v>
      </c>
      <c r="T746">
        <v>0</v>
      </c>
      <c r="U746">
        <v>4</v>
      </c>
      <c r="V746" t="s">
        <v>72</v>
      </c>
      <c r="W746" s="2">
        <v>42556</v>
      </c>
      <c r="Y746" t="s">
        <v>63</v>
      </c>
      <c r="Z746" t="s">
        <v>47</v>
      </c>
      <c r="AA746">
        <v>3</v>
      </c>
      <c r="AB746">
        <v>2</v>
      </c>
      <c r="AC746" t="s">
        <v>41</v>
      </c>
      <c r="AD746" t="s">
        <v>65</v>
      </c>
      <c r="AE746" t="s">
        <v>49</v>
      </c>
      <c r="AF746" s="3">
        <v>1033</v>
      </c>
      <c r="AG746" s="3">
        <v>61</v>
      </c>
      <c r="AH746">
        <v>80</v>
      </c>
      <c r="AI746">
        <v>0</v>
      </c>
      <c r="AJ746">
        <v>1</v>
      </c>
      <c r="AK746">
        <v>1</v>
      </c>
      <c r="AL746">
        <v>1</v>
      </c>
      <c r="AM746">
        <v>0</v>
      </c>
      <c r="AN746" t="s">
        <v>767</v>
      </c>
      <c r="AO746" t="s">
        <v>31</v>
      </c>
    </row>
    <row r="747" spans="1:41" x14ac:dyDescent="0.25">
      <c r="A747">
        <v>37</v>
      </c>
      <c r="B747" t="s">
        <v>32</v>
      </c>
      <c r="C747" t="s">
        <v>55</v>
      </c>
      <c r="D747">
        <v>9</v>
      </c>
      <c r="E747" t="s">
        <v>34</v>
      </c>
      <c r="F747">
        <v>2</v>
      </c>
      <c r="G747">
        <v>2</v>
      </c>
      <c r="H747" t="s">
        <v>70</v>
      </c>
      <c r="I747">
        <v>2</v>
      </c>
      <c r="J747" t="s">
        <v>51</v>
      </c>
      <c r="K747">
        <v>4189</v>
      </c>
      <c r="L747">
        <v>1</v>
      </c>
      <c r="M747" t="s">
        <v>41</v>
      </c>
      <c r="N747">
        <v>14</v>
      </c>
      <c r="O747">
        <v>3</v>
      </c>
      <c r="P747">
        <v>2</v>
      </c>
      <c r="Q747">
        <v>5</v>
      </c>
      <c r="R747">
        <v>2</v>
      </c>
      <c r="S747">
        <v>5</v>
      </c>
      <c r="T747">
        <v>0</v>
      </c>
      <c r="U747">
        <v>3</v>
      </c>
      <c r="V747" t="s">
        <v>52</v>
      </c>
      <c r="W747" s="1" t="s">
        <v>318</v>
      </c>
      <c r="Y747" t="s">
        <v>63</v>
      </c>
      <c r="Z747" t="s">
        <v>47</v>
      </c>
      <c r="AA747">
        <v>2</v>
      </c>
      <c r="AB747">
        <v>1</v>
      </c>
      <c r="AC747" t="s">
        <v>31</v>
      </c>
      <c r="AD747" t="s">
        <v>48</v>
      </c>
      <c r="AE747" t="s">
        <v>49</v>
      </c>
      <c r="AF747" s="3">
        <v>1034</v>
      </c>
      <c r="AG747" s="3">
        <v>62</v>
      </c>
      <c r="AH747">
        <v>80</v>
      </c>
      <c r="AI747">
        <v>7</v>
      </c>
      <c r="AJ747">
        <v>0</v>
      </c>
      <c r="AL747">
        <v>0</v>
      </c>
      <c r="AM747">
        <v>1</v>
      </c>
      <c r="AN747" t="s">
        <v>768</v>
      </c>
      <c r="AO747" t="s">
        <v>41</v>
      </c>
    </row>
    <row r="748" spans="1:41" x14ac:dyDescent="0.25">
      <c r="A748">
        <v>44</v>
      </c>
      <c r="B748" t="s">
        <v>66</v>
      </c>
      <c r="C748" t="s">
        <v>33</v>
      </c>
      <c r="D748">
        <v>1</v>
      </c>
      <c r="E748" t="s">
        <v>34</v>
      </c>
      <c r="F748">
        <v>3</v>
      </c>
      <c r="G748">
        <v>1</v>
      </c>
      <c r="H748" t="s">
        <v>44</v>
      </c>
      <c r="I748">
        <v>2</v>
      </c>
      <c r="J748" t="s">
        <v>57</v>
      </c>
      <c r="K748">
        <v>2342</v>
      </c>
      <c r="L748">
        <v>1</v>
      </c>
      <c r="M748" t="s">
        <v>31</v>
      </c>
      <c r="N748">
        <v>12</v>
      </c>
      <c r="O748">
        <v>3</v>
      </c>
      <c r="P748">
        <v>3</v>
      </c>
      <c r="Q748">
        <v>6</v>
      </c>
      <c r="R748">
        <v>2</v>
      </c>
      <c r="S748">
        <v>5</v>
      </c>
      <c r="T748">
        <v>2</v>
      </c>
      <c r="U748">
        <v>3</v>
      </c>
      <c r="V748" t="s">
        <v>58</v>
      </c>
      <c r="W748" s="2">
        <v>42435</v>
      </c>
      <c r="Y748" t="s">
        <v>69</v>
      </c>
      <c r="Z748" t="s">
        <v>40</v>
      </c>
      <c r="AA748">
        <v>3</v>
      </c>
      <c r="AB748">
        <v>1</v>
      </c>
      <c r="AC748" t="s">
        <v>41</v>
      </c>
      <c r="AD748" t="s">
        <v>65</v>
      </c>
      <c r="AE748" t="s">
        <v>43</v>
      </c>
      <c r="AF748" s="3">
        <v>1035</v>
      </c>
      <c r="AG748" s="3">
        <v>55</v>
      </c>
      <c r="AH748">
        <v>80</v>
      </c>
      <c r="AI748">
        <v>16</v>
      </c>
      <c r="AJ748">
        <v>0</v>
      </c>
      <c r="AL748">
        <v>0</v>
      </c>
      <c r="AM748">
        <v>1</v>
      </c>
      <c r="AN748" t="s">
        <v>768</v>
      </c>
      <c r="AO748" t="s">
        <v>41</v>
      </c>
    </row>
    <row r="749" spans="1:41" x14ac:dyDescent="0.25">
      <c r="A749">
        <v>28</v>
      </c>
      <c r="B749" t="s">
        <v>32</v>
      </c>
      <c r="C749" t="s">
        <v>33</v>
      </c>
      <c r="D749">
        <v>1</v>
      </c>
      <c r="E749" t="s">
        <v>34</v>
      </c>
      <c r="F749">
        <v>3</v>
      </c>
      <c r="G749">
        <v>1</v>
      </c>
      <c r="H749" t="s">
        <v>44</v>
      </c>
      <c r="I749">
        <v>4</v>
      </c>
      <c r="J749" t="s">
        <v>51</v>
      </c>
      <c r="K749">
        <v>2044</v>
      </c>
      <c r="L749">
        <v>1</v>
      </c>
      <c r="M749" t="s">
        <v>41</v>
      </c>
      <c r="N749">
        <v>11</v>
      </c>
      <c r="O749">
        <v>3</v>
      </c>
      <c r="P749">
        <v>1</v>
      </c>
      <c r="Q749">
        <v>5</v>
      </c>
      <c r="R749">
        <v>6</v>
      </c>
      <c r="S749">
        <v>5</v>
      </c>
      <c r="T749">
        <v>0</v>
      </c>
      <c r="U749">
        <v>3</v>
      </c>
      <c r="V749" t="s">
        <v>52</v>
      </c>
      <c r="W749" s="1" t="s">
        <v>343</v>
      </c>
      <c r="Y749" t="s">
        <v>54</v>
      </c>
      <c r="Z749" t="s">
        <v>47</v>
      </c>
      <c r="AA749">
        <v>3</v>
      </c>
      <c r="AB749">
        <v>1</v>
      </c>
      <c r="AC749" t="s">
        <v>41</v>
      </c>
      <c r="AD749" t="s">
        <v>67</v>
      </c>
      <c r="AE749" t="s">
        <v>43</v>
      </c>
      <c r="AF749" s="3">
        <v>1036</v>
      </c>
      <c r="AG749" s="3">
        <v>42</v>
      </c>
      <c r="AH749">
        <v>80</v>
      </c>
      <c r="AI749">
        <v>0</v>
      </c>
      <c r="AJ749">
        <v>0</v>
      </c>
      <c r="AL749">
        <v>0</v>
      </c>
      <c r="AM749">
        <v>1</v>
      </c>
      <c r="AN749" t="s">
        <v>768</v>
      </c>
      <c r="AO749" t="s">
        <v>41</v>
      </c>
    </row>
    <row r="750" spans="1:41" x14ac:dyDescent="0.25">
      <c r="A750">
        <v>26</v>
      </c>
      <c r="B750" t="s">
        <v>32</v>
      </c>
      <c r="C750" t="s">
        <v>120</v>
      </c>
      <c r="D750">
        <v>20</v>
      </c>
      <c r="E750" t="s">
        <v>61</v>
      </c>
      <c r="F750">
        <v>3</v>
      </c>
      <c r="G750">
        <v>1</v>
      </c>
      <c r="H750" t="s">
        <v>120</v>
      </c>
      <c r="I750">
        <v>2</v>
      </c>
      <c r="J750" t="s">
        <v>51</v>
      </c>
      <c r="K750">
        <v>2148</v>
      </c>
      <c r="L750">
        <v>0</v>
      </c>
      <c r="M750" t="s">
        <v>31</v>
      </c>
      <c r="N750">
        <v>11</v>
      </c>
      <c r="O750">
        <v>3</v>
      </c>
      <c r="P750">
        <v>0</v>
      </c>
      <c r="Q750">
        <v>6</v>
      </c>
      <c r="R750">
        <v>3</v>
      </c>
      <c r="S750">
        <v>5</v>
      </c>
      <c r="T750">
        <v>1</v>
      </c>
      <c r="U750">
        <v>4</v>
      </c>
      <c r="V750" t="s">
        <v>72</v>
      </c>
      <c r="W750" s="2">
        <v>42614</v>
      </c>
      <c r="Y750" t="s">
        <v>39</v>
      </c>
      <c r="Z750" t="s">
        <v>47</v>
      </c>
      <c r="AA750">
        <v>1</v>
      </c>
      <c r="AB750">
        <v>1</v>
      </c>
      <c r="AC750" t="s">
        <v>41</v>
      </c>
      <c r="AD750" t="s">
        <v>65</v>
      </c>
      <c r="AE750" t="s">
        <v>60</v>
      </c>
      <c r="AF750" s="3">
        <v>1037</v>
      </c>
      <c r="AG750" s="3">
        <v>79</v>
      </c>
      <c r="AH750">
        <v>80</v>
      </c>
      <c r="AI750">
        <v>2</v>
      </c>
      <c r="AJ750">
        <v>1</v>
      </c>
      <c r="AK750">
        <v>1</v>
      </c>
      <c r="AL750">
        <v>1</v>
      </c>
      <c r="AM750">
        <v>0</v>
      </c>
      <c r="AN750" t="s">
        <v>767</v>
      </c>
      <c r="AO750" t="s">
        <v>31</v>
      </c>
    </row>
    <row r="751" spans="1:41" x14ac:dyDescent="0.25">
      <c r="A751">
        <v>40</v>
      </c>
      <c r="B751" t="s">
        <v>32</v>
      </c>
      <c r="C751" t="s">
        <v>33</v>
      </c>
      <c r="D751">
        <v>1</v>
      </c>
      <c r="E751" t="s">
        <v>61</v>
      </c>
      <c r="F751">
        <v>3</v>
      </c>
      <c r="G751">
        <v>2</v>
      </c>
      <c r="H751" t="s">
        <v>89</v>
      </c>
      <c r="I751">
        <v>4</v>
      </c>
      <c r="J751" t="s">
        <v>57</v>
      </c>
      <c r="K751">
        <v>6513</v>
      </c>
      <c r="L751">
        <v>4</v>
      </c>
      <c r="M751" t="s">
        <v>41</v>
      </c>
      <c r="N751">
        <v>17</v>
      </c>
      <c r="O751">
        <v>3</v>
      </c>
      <c r="P751">
        <v>1</v>
      </c>
      <c r="Q751">
        <v>12</v>
      </c>
      <c r="R751">
        <v>3</v>
      </c>
      <c r="S751">
        <v>5</v>
      </c>
      <c r="T751">
        <v>0</v>
      </c>
      <c r="U751">
        <v>3</v>
      </c>
      <c r="V751" t="s">
        <v>72</v>
      </c>
      <c r="W751" s="2">
        <v>42616</v>
      </c>
      <c r="Y751" t="s">
        <v>54</v>
      </c>
      <c r="Z751" t="s">
        <v>47</v>
      </c>
      <c r="AA751">
        <v>4</v>
      </c>
      <c r="AB751">
        <v>2</v>
      </c>
      <c r="AC751" t="s">
        <v>31</v>
      </c>
      <c r="AD751" t="s">
        <v>48</v>
      </c>
      <c r="AE751" t="s">
        <v>43</v>
      </c>
      <c r="AF751" s="3">
        <v>1038</v>
      </c>
      <c r="AG751" s="3">
        <v>57</v>
      </c>
      <c r="AH751">
        <v>80</v>
      </c>
      <c r="AI751">
        <v>14</v>
      </c>
      <c r="AJ751">
        <v>1</v>
      </c>
      <c r="AK751">
        <v>1</v>
      </c>
      <c r="AL751">
        <v>1</v>
      </c>
      <c r="AM751">
        <v>0</v>
      </c>
      <c r="AN751" t="s">
        <v>767</v>
      </c>
      <c r="AO751" t="s">
        <v>31</v>
      </c>
    </row>
    <row r="752" spans="1:41" x14ac:dyDescent="0.25">
      <c r="A752">
        <v>35</v>
      </c>
      <c r="B752" t="s">
        <v>32</v>
      </c>
      <c r="C752" t="s">
        <v>33</v>
      </c>
      <c r="D752">
        <v>23</v>
      </c>
      <c r="E752" t="s">
        <v>34</v>
      </c>
      <c r="F752">
        <v>1</v>
      </c>
      <c r="G752">
        <v>1</v>
      </c>
      <c r="H752" t="s">
        <v>35</v>
      </c>
      <c r="I752">
        <v>3</v>
      </c>
      <c r="J752" t="s">
        <v>51</v>
      </c>
      <c r="K752">
        <v>2705</v>
      </c>
      <c r="L752">
        <v>0</v>
      </c>
      <c r="M752" t="s">
        <v>41</v>
      </c>
      <c r="N752">
        <v>16</v>
      </c>
      <c r="O752">
        <v>3</v>
      </c>
      <c r="P752">
        <v>1</v>
      </c>
      <c r="Q752">
        <v>6</v>
      </c>
      <c r="R752">
        <v>2</v>
      </c>
      <c r="S752">
        <v>5</v>
      </c>
      <c r="T752">
        <v>0</v>
      </c>
      <c r="U752">
        <v>3</v>
      </c>
      <c r="V752" t="s">
        <v>37</v>
      </c>
      <c r="W752" s="2">
        <v>42430</v>
      </c>
      <c r="Y752" t="s">
        <v>69</v>
      </c>
      <c r="Z752" t="s">
        <v>40</v>
      </c>
      <c r="AA752">
        <v>3</v>
      </c>
      <c r="AB752">
        <v>2</v>
      </c>
      <c r="AC752" t="s">
        <v>31</v>
      </c>
      <c r="AD752" t="s">
        <v>67</v>
      </c>
      <c r="AE752" t="s">
        <v>60</v>
      </c>
      <c r="AF752" s="3">
        <v>1039</v>
      </c>
      <c r="AG752" s="3">
        <v>53</v>
      </c>
      <c r="AH752">
        <v>80</v>
      </c>
      <c r="AI752">
        <v>11</v>
      </c>
      <c r="AJ752">
        <v>0</v>
      </c>
      <c r="AL752">
        <v>0</v>
      </c>
      <c r="AM752">
        <v>1</v>
      </c>
      <c r="AN752" t="s">
        <v>768</v>
      </c>
      <c r="AO752" t="s">
        <v>41</v>
      </c>
    </row>
    <row r="753" spans="1:41" x14ac:dyDescent="0.25">
      <c r="A753">
        <v>26</v>
      </c>
      <c r="B753" t="s">
        <v>32</v>
      </c>
      <c r="C753" t="s">
        <v>55</v>
      </c>
      <c r="D753">
        <v>10</v>
      </c>
      <c r="E753" t="s">
        <v>34</v>
      </c>
      <c r="F753">
        <v>3</v>
      </c>
      <c r="G753">
        <v>2</v>
      </c>
      <c r="H753" t="s">
        <v>70</v>
      </c>
      <c r="I753">
        <v>4</v>
      </c>
      <c r="J753" t="s">
        <v>36</v>
      </c>
      <c r="K753">
        <v>4684</v>
      </c>
      <c r="L753">
        <v>1</v>
      </c>
      <c r="M753" t="s">
        <v>41</v>
      </c>
      <c r="N753">
        <v>13</v>
      </c>
      <c r="O753">
        <v>3</v>
      </c>
      <c r="P753">
        <v>0</v>
      </c>
      <c r="Q753">
        <v>5</v>
      </c>
      <c r="R753">
        <v>4</v>
      </c>
      <c r="S753">
        <v>5</v>
      </c>
      <c r="T753">
        <v>1</v>
      </c>
      <c r="U753">
        <v>2</v>
      </c>
      <c r="V753" t="s">
        <v>37</v>
      </c>
      <c r="W753" s="1" t="s">
        <v>335</v>
      </c>
      <c r="Y753" t="s">
        <v>63</v>
      </c>
      <c r="Z753" t="s">
        <v>47</v>
      </c>
      <c r="AA753">
        <v>2</v>
      </c>
      <c r="AB753">
        <v>3</v>
      </c>
      <c r="AC753" t="s">
        <v>41</v>
      </c>
      <c r="AD753" t="s">
        <v>42</v>
      </c>
      <c r="AE753" t="s">
        <v>60</v>
      </c>
      <c r="AF753" s="3">
        <v>1040</v>
      </c>
      <c r="AG753" s="3">
        <v>95</v>
      </c>
      <c r="AH753">
        <v>80</v>
      </c>
      <c r="AI753">
        <v>7</v>
      </c>
      <c r="AJ753">
        <v>0</v>
      </c>
      <c r="AL753">
        <v>0</v>
      </c>
      <c r="AM753">
        <v>1</v>
      </c>
      <c r="AN753" t="s">
        <v>768</v>
      </c>
      <c r="AO753" t="s">
        <v>41</v>
      </c>
    </row>
    <row r="754" spans="1:41" x14ac:dyDescent="0.25">
      <c r="A754">
        <v>27</v>
      </c>
      <c r="B754" t="s">
        <v>66</v>
      </c>
      <c r="C754" t="s">
        <v>33</v>
      </c>
      <c r="D754">
        <v>5</v>
      </c>
      <c r="E754" t="s">
        <v>61</v>
      </c>
      <c r="F754">
        <v>3</v>
      </c>
      <c r="G754">
        <v>1</v>
      </c>
      <c r="H754" t="s">
        <v>35</v>
      </c>
      <c r="I754">
        <v>4</v>
      </c>
      <c r="J754" t="s">
        <v>36</v>
      </c>
      <c r="K754">
        <v>2379</v>
      </c>
      <c r="L754">
        <v>0</v>
      </c>
      <c r="M754" t="s">
        <v>31</v>
      </c>
      <c r="N754">
        <v>14</v>
      </c>
      <c r="O754">
        <v>3</v>
      </c>
      <c r="P754">
        <v>0</v>
      </c>
      <c r="Q754">
        <v>6</v>
      </c>
      <c r="R754">
        <v>3</v>
      </c>
      <c r="S754">
        <v>5</v>
      </c>
      <c r="T754">
        <v>0</v>
      </c>
      <c r="U754">
        <v>2</v>
      </c>
      <c r="V754" t="s">
        <v>52</v>
      </c>
      <c r="W754" s="1" t="s">
        <v>382</v>
      </c>
      <c r="Y754" t="s">
        <v>39</v>
      </c>
      <c r="Z754" t="s">
        <v>47</v>
      </c>
      <c r="AA754">
        <v>1</v>
      </c>
      <c r="AB754">
        <v>2</v>
      </c>
      <c r="AC754" t="s">
        <v>31</v>
      </c>
      <c r="AD754" t="s">
        <v>67</v>
      </c>
      <c r="AE754" t="s">
        <v>43</v>
      </c>
      <c r="AF754" s="3">
        <v>1042</v>
      </c>
      <c r="AG754" s="3">
        <v>43</v>
      </c>
      <c r="AH754">
        <v>80</v>
      </c>
      <c r="AI754">
        <v>13</v>
      </c>
      <c r="AJ754">
        <v>1</v>
      </c>
      <c r="AK754">
        <v>1</v>
      </c>
      <c r="AL754">
        <v>1</v>
      </c>
      <c r="AM754">
        <v>0</v>
      </c>
      <c r="AN754" t="s">
        <v>767</v>
      </c>
      <c r="AO754" t="s">
        <v>31</v>
      </c>
    </row>
    <row r="755" spans="1:41" x14ac:dyDescent="0.25">
      <c r="A755">
        <v>55</v>
      </c>
      <c r="B755" t="s">
        <v>32</v>
      </c>
      <c r="C755" t="s">
        <v>33</v>
      </c>
      <c r="D755">
        <v>2</v>
      </c>
      <c r="E755" t="s">
        <v>34</v>
      </c>
      <c r="F755">
        <v>2</v>
      </c>
      <c r="G755">
        <v>1</v>
      </c>
      <c r="H755" t="s">
        <v>44</v>
      </c>
      <c r="I755">
        <v>4</v>
      </c>
      <c r="J755" t="s">
        <v>51</v>
      </c>
      <c r="K755">
        <v>2662</v>
      </c>
      <c r="L755">
        <v>8</v>
      </c>
      <c r="M755" t="s">
        <v>41</v>
      </c>
      <c r="N755">
        <v>20</v>
      </c>
      <c r="O755">
        <v>4</v>
      </c>
      <c r="P755">
        <v>1</v>
      </c>
      <c r="Q755">
        <v>19</v>
      </c>
      <c r="R755">
        <v>2</v>
      </c>
      <c r="S755">
        <v>5</v>
      </c>
      <c r="T755">
        <v>0</v>
      </c>
      <c r="U755">
        <v>4</v>
      </c>
      <c r="V755" t="s">
        <v>58</v>
      </c>
      <c r="W755" s="1" t="s">
        <v>373</v>
      </c>
      <c r="Y755" t="s">
        <v>39</v>
      </c>
      <c r="Z755" t="s">
        <v>40</v>
      </c>
      <c r="AA755">
        <v>5</v>
      </c>
      <c r="AB755">
        <v>3</v>
      </c>
      <c r="AC755" t="s">
        <v>41</v>
      </c>
      <c r="AD755" t="s">
        <v>48</v>
      </c>
      <c r="AE755" t="s">
        <v>60</v>
      </c>
      <c r="AF755" s="3">
        <v>1043</v>
      </c>
      <c r="AG755" s="3">
        <v>82</v>
      </c>
      <c r="AH755">
        <v>80</v>
      </c>
      <c r="AI755">
        <v>6</v>
      </c>
      <c r="AJ755">
        <v>0</v>
      </c>
      <c r="AL755">
        <v>0</v>
      </c>
      <c r="AM755">
        <v>1</v>
      </c>
      <c r="AN755" t="s">
        <v>768</v>
      </c>
      <c r="AO755" t="s">
        <v>41</v>
      </c>
    </row>
    <row r="756" spans="1:41" x14ac:dyDescent="0.25">
      <c r="A756">
        <v>34</v>
      </c>
      <c r="B756" t="s">
        <v>32</v>
      </c>
      <c r="C756" t="s">
        <v>55</v>
      </c>
      <c r="D756">
        <v>4</v>
      </c>
      <c r="E756" t="s">
        <v>34</v>
      </c>
      <c r="F756">
        <v>3</v>
      </c>
      <c r="G756">
        <v>3</v>
      </c>
      <c r="H756" t="s">
        <v>70</v>
      </c>
      <c r="I756">
        <v>4</v>
      </c>
      <c r="J756" t="s">
        <v>51</v>
      </c>
      <c r="K756">
        <v>9713</v>
      </c>
      <c r="L756">
        <v>2</v>
      </c>
      <c r="M756" t="s">
        <v>31</v>
      </c>
      <c r="N756">
        <v>13</v>
      </c>
      <c r="O756">
        <v>3</v>
      </c>
      <c r="P756">
        <v>3</v>
      </c>
      <c r="Q756">
        <v>9</v>
      </c>
      <c r="R756">
        <v>3</v>
      </c>
      <c r="S756">
        <v>5</v>
      </c>
      <c r="T756">
        <v>1</v>
      </c>
      <c r="U756">
        <v>0</v>
      </c>
      <c r="V756" t="s">
        <v>72</v>
      </c>
      <c r="W756" s="2">
        <v>42556</v>
      </c>
      <c r="Y756" t="s">
        <v>39</v>
      </c>
      <c r="Z756" t="s">
        <v>47</v>
      </c>
      <c r="AA756">
        <v>2</v>
      </c>
      <c r="AB756">
        <v>2</v>
      </c>
      <c r="AC756" t="s">
        <v>41</v>
      </c>
      <c r="AD756" t="s">
        <v>48</v>
      </c>
      <c r="AE756" t="s">
        <v>49</v>
      </c>
      <c r="AF756" s="3">
        <v>1044</v>
      </c>
      <c r="AG756" s="3">
        <v>88</v>
      </c>
      <c r="AH756">
        <v>80</v>
      </c>
      <c r="AI756">
        <v>2</v>
      </c>
      <c r="AJ756">
        <v>0</v>
      </c>
      <c r="AL756">
        <v>0</v>
      </c>
      <c r="AM756">
        <v>1</v>
      </c>
      <c r="AN756" t="s">
        <v>768</v>
      </c>
      <c r="AO756" t="s">
        <v>41</v>
      </c>
    </row>
    <row r="757" spans="1:41" x14ac:dyDescent="0.25">
      <c r="A757">
        <v>37</v>
      </c>
      <c r="B757" t="s">
        <v>32</v>
      </c>
      <c r="C757" t="s">
        <v>33</v>
      </c>
      <c r="D757">
        <v>7</v>
      </c>
      <c r="E757" t="s">
        <v>34</v>
      </c>
      <c r="F757">
        <v>3</v>
      </c>
      <c r="G757">
        <v>2</v>
      </c>
      <c r="H757" t="s">
        <v>44</v>
      </c>
      <c r="I757">
        <v>1</v>
      </c>
      <c r="J757" t="s">
        <v>51</v>
      </c>
      <c r="K757">
        <v>4284</v>
      </c>
      <c r="L757">
        <v>5</v>
      </c>
      <c r="M757" t="s">
        <v>31</v>
      </c>
      <c r="N757">
        <v>22</v>
      </c>
      <c r="O757">
        <v>4</v>
      </c>
      <c r="P757">
        <v>1</v>
      </c>
      <c r="Q757">
        <v>16</v>
      </c>
      <c r="R757">
        <v>2</v>
      </c>
      <c r="S757">
        <v>5</v>
      </c>
      <c r="T757">
        <v>0</v>
      </c>
      <c r="U757">
        <v>4</v>
      </c>
      <c r="V757" t="s">
        <v>72</v>
      </c>
      <c r="W757" s="1" t="s">
        <v>383</v>
      </c>
      <c r="Y757" t="s">
        <v>63</v>
      </c>
      <c r="Z757" t="s">
        <v>47</v>
      </c>
      <c r="AA757">
        <v>2</v>
      </c>
      <c r="AB757">
        <v>1</v>
      </c>
      <c r="AC757" t="s">
        <v>31</v>
      </c>
      <c r="AD757" t="s">
        <v>42</v>
      </c>
      <c r="AE757" t="s">
        <v>49</v>
      </c>
      <c r="AF757" s="3">
        <v>1045</v>
      </c>
      <c r="AG757" s="3">
        <v>90</v>
      </c>
      <c r="AH757">
        <v>80</v>
      </c>
      <c r="AI757">
        <v>3</v>
      </c>
      <c r="AJ757">
        <v>0</v>
      </c>
      <c r="AL757">
        <v>0</v>
      </c>
      <c r="AM757">
        <v>1</v>
      </c>
      <c r="AN757" t="s">
        <v>768</v>
      </c>
      <c r="AO757" t="s">
        <v>41</v>
      </c>
    </row>
    <row r="758" spans="1:41" x14ac:dyDescent="0.25">
      <c r="A758">
        <v>34</v>
      </c>
      <c r="B758" t="s">
        <v>81</v>
      </c>
      <c r="C758" t="s">
        <v>33</v>
      </c>
      <c r="D758">
        <v>16</v>
      </c>
      <c r="E758" t="s">
        <v>34</v>
      </c>
      <c r="F758">
        <v>1</v>
      </c>
      <c r="G758">
        <v>1</v>
      </c>
      <c r="H758" t="s">
        <v>44</v>
      </c>
      <c r="I758">
        <v>1</v>
      </c>
      <c r="J758" t="s">
        <v>51</v>
      </c>
      <c r="K758">
        <v>2307</v>
      </c>
      <c r="L758">
        <v>1</v>
      </c>
      <c r="M758" t="s">
        <v>31</v>
      </c>
      <c r="N758">
        <v>23</v>
      </c>
      <c r="O758">
        <v>4</v>
      </c>
      <c r="P758">
        <v>1</v>
      </c>
      <c r="Q758">
        <v>5</v>
      </c>
      <c r="R758">
        <v>2</v>
      </c>
      <c r="S758">
        <v>5</v>
      </c>
      <c r="T758">
        <v>3</v>
      </c>
      <c r="U758">
        <v>0</v>
      </c>
      <c r="V758" t="s">
        <v>37</v>
      </c>
      <c r="W758" s="1" t="s">
        <v>318</v>
      </c>
      <c r="Y758" t="s">
        <v>46</v>
      </c>
      <c r="Z758" t="s">
        <v>47</v>
      </c>
      <c r="AA758">
        <v>0</v>
      </c>
      <c r="AB758">
        <v>1</v>
      </c>
      <c r="AC758" t="s">
        <v>31</v>
      </c>
      <c r="AD758" t="s">
        <v>65</v>
      </c>
      <c r="AE758" t="s">
        <v>60</v>
      </c>
      <c r="AF758" s="3">
        <v>1046</v>
      </c>
      <c r="AG758" s="3">
        <v>69</v>
      </c>
      <c r="AH758">
        <v>80</v>
      </c>
      <c r="AI758">
        <v>7</v>
      </c>
      <c r="AJ758">
        <v>0</v>
      </c>
      <c r="AL758">
        <v>0</v>
      </c>
      <c r="AM758">
        <v>1</v>
      </c>
      <c r="AN758" t="s">
        <v>768</v>
      </c>
      <c r="AO758" t="s">
        <v>41</v>
      </c>
    </row>
    <row r="759" spans="1:41" x14ac:dyDescent="0.25">
      <c r="A759">
        <v>41</v>
      </c>
      <c r="B759" t="s">
        <v>32</v>
      </c>
      <c r="C759" t="s">
        <v>55</v>
      </c>
      <c r="D759">
        <v>8</v>
      </c>
      <c r="E759" t="s">
        <v>61</v>
      </c>
      <c r="F759">
        <v>3</v>
      </c>
      <c r="G759">
        <v>2</v>
      </c>
      <c r="H759" t="s">
        <v>70</v>
      </c>
      <c r="I759">
        <v>2</v>
      </c>
      <c r="J759" t="s">
        <v>51</v>
      </c>
      <c r="K759">
        <v>4393</v>
      </c>
      <c r="L759">
        <v>5</v>
      </c>
      <c r="M759" t="s">
        <v>41</v>
      </c>
      <c r="N759">
        <v>21</v>
      </c>
      <c r="O759">
        <v>4</v>
      </c>
      <c r="P759">
        <v>1</v>
      </c>
      <c r="Q759">
        <v>14</v>
      </c>
      <c r="R759">
        <v>3</v>
      </c>
      <c r="S759">
        <v>5</v>
      </c>
      <c r="T759">
        <v>1</v>
      </c>
      <c r="U759">
        <v>4</v>
      </c>
      <c r="V759" t="s">
        <v>72</v>
      </c>
      <c r="W759" s="1" t="s">
        <v>358</v>
      </c>
      <c r="Y759" t="s">
        <v>39</v>
      </c>
      <c r="Z759" t="s">
        <v>47</v>
      </c>
      <c r="AA759">
        <v>5</v>
      </c>
      <c r="AB759">
        <v>2</v>
      </c>
      <c r="AC759" t="s">
        <v>41</v>
      </c>
      <c r="AD759" t="s">
        <v>42</v>
      </c>
      <c r="AE759" t="s">
        <v>49</v>
      </c>
      <c r="AF759" s="3">
        <v>1047</v>
      </c>
      <c r="AG759" s="3">
        <v>75</v>
      </c>
      <c r="AH759">
        <v>80</v>
      </c>
      <c r="AI759">
        <v>1</v>
      </c>
      <c r="AJ759">
        <v>0</v>
      </c>
      <c r="AL759">
        <v>0</v>
      </c>
      <c r="AM759">
        <v>1</v>
      </c>
      <c r="AN759" t="s">
        <v>768</v>
      </c>
      <c r="AO759" t="s">
        <v>41</v>
      </c>
    </row>
    <row r="760" spans="1:41" x14ac:dyDescent="0.25">
      <c r="A760">
        <v>31</v>
      </c>
      <c r="B760" t="s">
        <v>32</v>
      </c>
      <c r="C760" t="s">
        <v>55</v>
      </c>
      <c r="D760">
        <v>10</v>
      </c>
      <c r="E760" t="s">
        <v>61</v>
      </c>
      <c r="F760">
        <v>3</v>
      </c>
      <c r="G760">
        <v>2</v>
      </c>
      <c r="H760" t="s">
        <v>70</v>
      </c>
      <c r="I760">
        <v>4</v>
      </c>
      <c r="J760" t="s">
        <v>57</v>
      </c>
      <c r="K760">
        <v>6583</v>
      </c>
      <c r="L760">
        <v>2</v>
      </c>
      <c r="M760" t="s">
        <v>31</v>
      </c>
      <c r="N760">
        <v>11</v>
      </c>
      <c r="O760">
        <v>3</v>
      </c>
      <c r="P760">
        <v>1</v>
      </c>
      <c r="Q760">
        <v>8</v>
      </c>
      <c r="R760">
        <v>2</v>
      </c>
      <c r="S760">
        <v>5</v>
      </c>
      <c r="T760">
        <v>1</v>
      </c>
      <c r="U760">
        <v>4</v>
      </c>
      <c r="V760" t="s">
        <v>58</v>
      </c>
      <c r="W760" s="1" t="s">
        <v>384</v>
      </c>
      <c r="Y760" t="s">
        <v>69</v>
      </c>
      <c r="Z760" t="s">
        <v>40</v>
      </c>
      <c r="AA760">
        <v>4</v>
      </c>
      <c r="AB760">
        <v>0</v>
      </c>
      <c r="AC760" t="s">
        <v>31</v>
      </c>
      <c r="AD760" t="s">
        <v>65</v>
      </c>
      <c r="AE760" t="s">
        <v>60</v>
      </c>
      <c r="AF760" s="3">
        <v>1048</v>
      </c>
      <c r="AG760" s="3">
        <v>66</v>
      </c>
      <c r="AH760">
        <v>80</v>
      </c>
      <c r="AI760">
        <v>4</v>
      </c>
      <c r="AJ760">
        <v>0</v>
      </c>
      <c r="AL760">
        <v>0</v>
      </c>
      <c r="AM760">
        <v>1</v>
      </c>
      <c r="AN760" t="s">
        <v>768</v>
      </c>
      <c r="AO760" t="s">
        <v>41</v>
      </c>
    </row>
    <row r="761" spans="1:41" x14ac:dyDescent="0.25">
      <c r="A761">
        <v>27</v>
      </c>
      <c r="B761" t="s">
        <v>32</v>
      </c>
      <c r="C761" t="s">
        <v>33</v>
      </c>
      <c r="D761">
        <v>2</v>
      </c>
      <c r="E761" t="s">
        <v>34</v>
      </c>
      <c r="F761">
        <v>3</v>
      </c>
      <c r="G761">
        <v>1</v>
      </c>
      <c r="H761" t="s">
        <v>44</v>
      </c>
      <c r="I761">
        <v>2</v>
      </c>
      <c r="J761" t="s">
        <v>51</v>
      </c>
      <c r="K761">
        <v>2226</v>
      </c>
      <c r="L761">
        <v>1</v>
      </c>
      <c r="M761" t="s">
        <v>41</v>
      </c>
      <c r="N761">
        <v>11</v>
      </c>
      <c r="O761">
        <v>3</v>
      </c>
      <c r="P761">
        <v>1</v>
      </c>
      <c r="Q761">
        <v>6</v>
      </c>
      <c r="R761">
        <v>3</v>
      </c>
      <c r="S761">
        <v>5</v>
      </c>
      <c r="T761">
        <v>1</v>
      </c>
      <c r="U761">
        <v>2</v>
      </c>
      <c r="V761" t="s">
        <v>52</v>
      </c>
      <c r="W761" s="1" t="s">
        <v>385</v>
      </c>
      <c r="Y761" t="s">
        <v>54</v>
      </c>
      <c r="Z761" t="s">
        <v>47</v>
      </c>
      <c r="AA761">
        <v>4</v>
      </c>
      <c r="AB761">
        <v>1</v>
      </c>
      <c r="AC761" t="s">
        <v>31</v>
      </c>
      <c r="AD761" t="s">
        <v>48</v>
      </c>
      <c r="AE761" t="s">
        <v>60</v>
      </c>
      <c r="AF761" s="3">
        <v>1049</v>
      </c>
      <c r="AG761" s="3">
        <v>36</v>
      </c>
      <c r="AH761">
        <v>80</v>
      </c>
      <c r="AI761">
        <v>3</v>
      </c>
      <c r="AJ761">
        <v>0</v>
      </c>
      <c r="AL761">
        <v>0</v>
      </c>
      <c r="AM761">
        <v>1</v>
      </c>
      <c r="AN761" t="s">
        <v>768</v>
      </c>
      <c r="AO761" t="s">
        <v>41</v>
      </c>
    </row>
    <row r="762" spans="1:41" x14ac:dyDescent="0.25">
      <c r="A762">
        <v>38</v>
      </c>
      <c r="B762" t="s">
        <v>32</v>
      </c>
      <c r="C762" t="s">
        <v>33</v>
      </c>
      <c r="D762">
        <v>9</v>
      </c>
      <c r="E762" t="s">
        <v>34</v>
      </c>
      <c r="F762">
        <v>3</v>
      </c>
      <c r="G762">
        <v>1</v>
      </c>
      <c r="H762" t="s">
        <v>44</v>
      </c>
      <c r="I762">
        <v>4</v>
      </c>
      <c r="J762" t="s">
        <v>57</v>
      </c>
      <c r="K762">
        <v>4771</v>
      </c>
      <c r="L762">
        <v>2</v>
      </c>
      <c r="M762" t="s">
        <v>41</v>
      </c>
      <c r="N762">
        <v>19</v>
      </c>
      <c r="O762">
        <v>3</v>
      </c>
      <c r="P762">
        <v>2</v>
      </c>
      <c r="Q762">
        <v>10</v>
      </c>
      <c r="R762">
        <v>0</v>
      </c>
      <c r="S762">
        <v>5</v>
      </c>
      <c r="T762">
        <v>0</v>
      </c>
      <c r="U762">
        <v>3</v>
      </c>
      <c r="V762" t="s">
        <v>58</v>
      </c>
      <c r="W762" s="1" t="s">
        <v>376</v>
      </c>
      <c r="Y762" t="s">
        <v>46</v>
      </c>
      <c r="Z762" t="s">
        <v>40</v>
      </c>
      <c r="AA762">
        <v>0</v>
      </c>
      <c r="AB762">
        <v>3</v>
      </c>
      <c r="AC762" t="s">
        <v>41</v>
      </c>
      <c r="AD762" t="s">
        <v>48</v>
      </c>
      <c r="AE762" t="s">
        <v>60</v>
      </c>
      <c r="AF762" s="3">
        <v>1050</v>
      </c>
      <c r="AG762" s="3">
        <v>38</v>
      </c>
      <c r="AH762">
        <v>80</v>
      </c>
      <c r="AI762">
        <v>7</v>
      </c>
      <c r="AJ762">
        <v>0</v>
      </c>
      <c r="AL762">
        <v>0</v>
      </c>
      <c r="AM762">
        <v>1</v>
      </c>
      <c r="AN762" t="s">
        <v>768</v>
      </c>
      <c r="AO762" t="s">
        <v>41</v>
      </c>
    </row>
    <row r="763" spans="1:41" x14ac:dyDescent="0.25">
      <c r="A763">
        <v>49</v>
      </c>
      <c r="B763" t="s">
        <v>66</v>
      </c>
      <c r="C763" t="s">
        <v>33</v>
      </c>
      <c r="D763">
        <v>2</v>
      </c>
      <c r="E763" t="s">
        <v>34</v>
      </c>
      <c r="F763">
        <v>3</v>
      </c>
      <c r="G763">
        <v>5</v>
      </c>
      <c r="H763" t="s">
        <v>50</v>
      </c>
      <c r="I763">
        <v>4</v>
      </c>
      <c r="J763" t="s">
        <v>51</v>
      </c>
      <c r="K763">
        <v>19161</v>
      </c>
      <c r="L763">
        <v>3</v>
      </c>
      <c r="M763" t="s">
        <v>41</v>
      </c>
      <c r="N763">
        <v>15</v>
      </c>
      <c r="O763">
        <v>3</v>
      </c>
      <c r="P763">
        <v>0</v>
      </c>
      <c r="Q763">
        <v>28</v>
      </c>
      <c r="R763">
        <v>3</v>
      </c>
      <c r="S763">
        <v>5</v>
      </c>
      <c r="T763">
        <v>4</v>
      </c>
      <c r="U763">
        <v>3</v>
      </c>
      <c r="V763" t="s">
        <v>72</v>
      </c>
      <c r="W763" s="2">
        <v>42404</v>
      </c>
      <c r="Y763" t="s">
        <v>39</v>
      </c>
      <c r="Z763" t="s">
        <v>40</v>
      </c>
      <c r="AA763">
        <v>1</v>
      </c>
      <c r="AB763">
        <v>2</v>
      </c>
      <c r="AC763" t="s">
        <v>31</v>
      </c>
      <c r="AD763" t="s">
        <v>67</v>
      </c>
      <c r="AE763" t="s">
        <v>60</v>
      </c>
      <c r="AF763" s="3">
        <v>1052</v>
      </c>
      <c r="AG763" s="3">
        <v>81</v>
      </c>
      <c r="AH763">
        <v>80</v>
      </c>
      <c r="AI763">
        <v>0</v>
      </c>
      <c r="AJ763">
        <v>1</v>
      </c>
      <c r="AK763">
        <v>1</v>
      </c>
      <c r="AL763">
        <v>1</v>
      </c>
      <c r="AM763">
        <v>0</v>
      </c>
      <c r="AN763" t="s">
        <v>767</v>
      </c>
      <c r="AO763" t="s">
        <v>31</v>
      </c>
    </row>
    <row r="764" spans="1:41" x14ac:dyDescent="0.25">
      <c r="A764">
        <v>35</v>
      </c>
      <c r="B764" t="s">
        <v>32</v>
      </c>
      <c r="C764" t="s">
        <v>55</v>
      </c>
      <c r="D764">
        <v>18</v>
      </c>
      <c r="E764" t="s">
        <v>34</v>
      </c>
      <c r="F764">
        <v>3</v>
      </c>
      <c r="G764">
        <v>2</v>
      </c>
      <c r="H764" t="s">
        <v>70</v>
      </c>
      <c r="I764">
        <v>1</v>
      </c>
      <c r="J764" t="s">
        <v>51</v>
      </c>
      <c r="K764">
        <v>5561</v>
      </c>
      <c r="L764">
        <v>0</v>
      </c>
      <c r="M764" t="s">
        <v>41</v>
      </c>
      <c r="N764">
        <v>16</v>
      </c>
      <c r="O764">
        <v>3</v>
      </c>
      <c r="P764">
        <v>1</v>
      </c>
      <c r="Q764">
        <v>6</v>
      </c>
      <c r="R764">
        <v>2</v>
      </c>
      <c r="S764">
        <v>5</v>
      </c>
      <c r="T764">
        <v>0</v>
      </c>
      <c r="U764">
        <v>4</v>
      </c>
      <c r="V764" t="s">
        <v>37</v>
      </c>
      <c r="W764" s="1" t="s">
        <v>360</v>
      </c>
      <c r="Y764" t="s">
        <v>69</v>
      </c>
      <c r="Z764" t="s">
        <v>40</v>
      </c>
      <c r="AA764">
        <v>4</v>
      </c>
      <c r="AB764">
        <v>2</v>
      </c>
      <c r="AC764" t="s">
        <v>41</v>
      </c>
      <c r="AD764" t="s">
        <v>67</v>
      </c>
      <c r="AE764" t="s">
        <v>49</v>
      </c>
      <c r="AF764" s="3">
        <v>1053</v>
      </c>
      <c r="AG764" s="3">
        <v>57</v>
      </c>
      <c r="AH764">
        <v>80</v>
      </c>
      <c r="AI764">
        <v>2</v>
      </c>
      <c r="AJ764">
        <v>1</v>
      </c>
      <c r="AK764">
        <v>1</v>
      </c>
      <c r="AL764">
        <v>1</v>
      </c>
      <c r="AM764">
        <v>0</v>
      </c>
      <c r="AN764" t="s">
        <v>767</v>
      </c>
      <c r="AO764" t="s">
        <v>31</v>
      </c>
    </row>
    <row r="765" spans="1:41" x14ac:dyDescent="0.25">
      <c r="A765">
        <v>28</v>
      </c>
      <c r="B765" t="s">
        <v>81</v>
      </c>
      <c r="C765" t="s">
        <v>33</v>
      </c>
      <c r="D765">
        <v>16</v>
      </c>
      <c r="E765" t="s">
        <v>34</v>
      </c>
      <c r="F765">
        <v>3</v>
      </c>
      <c r="G765">
        <v>1</v>
      </c>
      <c r="H765" t="s">
        <v>44</v>
      </c>
      <c r="I765">
        <v>3</v>
      </c>
      <c r="J765" t="s">
        <v>36</v>
      </c>
      <c r="K765">
        <v>2144</v>
      </c>
      <c r="L765">
        <v>1</v>
      </c>
      <c r="M765" t="s">
        <v>41</v>
      </c>
      <c r="N765">
        <v>14</v>
      </c>
      <c r="O765">
        <v>3</v>
      </c>
      <c r="P765">
        <v>0</v>
      </c>
      <c r="Q765">
        <v>5</v>
      </c>
      <c r="R765">
        <v>3</v>
      </c>
      <c r="S765">
        <v>5</v>
      </c>
      <c r="T765">
        <v>1</v>
      </c>
      <c r="U765">
        <v>4</v>
      </c>
      <c r="V765" t="s">
        <v>52</v>
      </c>
      <c r="W765" s="1" t="s">
        <v>369</v>
      </c>
      <c r="Y765" t="s">
        <v>39</v>
      </c>
      <c r="Z765" t="s">
        <v>47</v>
      </c>
      <c r="AA765">
        <v>1</v>
      </c>
      <c r="AB765">
        <v>3</v>
      </c>
      <c r="AC765" t="s">
        <v>31</v>
      </c>
      <c r="AD765" t="s">
        <v>42</v>
      </c>
      <c r="AE765" t="s">
        <v>43</v>
      </c>
      <c r="AF765" s="3">
        <v>1055</v>
      </c>
      <c r="AG765" s="3">
        <v>87</v>
      </c>
      <c r="AH765">
        <v>80</v>
      </c>
      <c r="AI765">
        <v>1</v>
      </c>
      <c r="AJ765">
        <v>0</v>
      </c>
      <c r="AL765">
        <v>0</v>
      </c>
      <c r="AM765">
        <v>1</v>
      </c>
      <c r="AN765" t="s">
        <v>768</v>
      </c>
      <c r="AO765" t="s">
        <v>41</v>
      </c>
    </row>
    <row r="766" spans="1:41" x14ac:dyDescent="0.25">
      <c r="A766">
        <v>36</v>
      </c>
      <c r="B766" t="s">
        <v>81</v>
      </c>
      <c r="C766" t="s">
        <v>33</v>
      </c>
      <c r="D766">
        <v>9</v>
      </c>
      <c r="E766" t="s">
        <v>34</v>
      </c>
      <c r="F766">
        <v>4</v>
      </c>
      <c r="G766">
        <v>1</v>
      </c>
      <c r="H766" t="s">
        <v>35</v>
      </c>
      <c r="I766">
        <v>2</v>
      </c>
      <c r="J766" t="s">
        <v>51</v>
      </c>
      <c r="K766">
        <v>2810</v>
      </c>
      <c r="L766">
        <v>1</v>
      </c>
      <c r="M766" t="s">
        <v>41</v>
      </c>
      <c r="N766">
        <v>22</v>
      </c>
      <c r="O766">
        <v>4</v>
      </c>
      <c r="P766">
        <v>0</v>
      </c>
      <c r="Q766">
        <v>5</v>
      </c>
      <c r="R766">
        <v>3</v>
      </c>
      <c r="S766">
        <v>5</v>
      </c>
      <c r="T766">
        <v>0</v>
      </c>
      <c r="U766">
        <v>2</v>
      </c>
      <c r="V766" t="s">
        <v>52</v>
      </c>
      <c r="W766" s="2">
        <v>42464</v>
      </c>
      <c r="Y766" t="s">
        <v>54</v>
      </c>
      <c r="Z766" t="s">
        <v>40</v>
      </c>
      <c r="AA766">
        <v>0</v>
      </c>
      <c r="AB766">
        <v>0</v>
      </c>
      <c r="AC766" t="s">
        <v>41</v>
      </c>
      <c r="AD766" t="s">
        <v>65</v>
      </c>
      <c r="AE766" t="s">
        <v>60</v>
      </c>
      <c r="AF766" s="3">
        <v>1056</v>
      </c>
      <c r="AG766" s="3">
        <v>74</v>
      </c>
      <c r="AH766">
        <v>80</v>
      </c>
      <c r="AI766">
        <v>0</v>
      </c>
      <c r="AJ766">
        <v>0</v>
      </c>
      <c r="AL766">
        <v>0</v>
      </c>
      <c r="AM766">
        <v>1</v>
      </c>
      <c r="AN766" t="s">
        <v>768</v>
      </c>
      <c r="AO766" t="s">
        <v>41</v>
      </c>
    </row>
    <row r="767" spans="1:41" x14ac:dyDescent="0.25">
      <c r="A767">
        <v>29</v>
      </c>
      <c r="B767" t="s">
        <v>32</v>
      </c>
      <c r="C767" t="s">
        <v>33</v>
      </c>
      <c r="D767">
        <v>1</v>
      </c>
      <c r="E767" t="s">
        <v>34</v>
      </c>
      <c r="F767">
        <v>3</v>
      </c>
      <c r="G767">
        <v>2</v>
      </c>
      <c r="H767" t="s">
        <v>89</v>
      </c>
      <c r="I767">
        <v>1</v>
      </c>
      <c r="J767" t="s">
        <v>51</v>
      </c>
      <c r="K767">
        <v>5373</v>
      </c>
      <c r="L767">
        <v>0</v>
      </c>
      <c r="M767" t="s">
        <v>41</v>
      </c>
      <c r="N767">
        <v>12</v>
      </c>
      <c r="O767">
        <v>3</v>
      </c>
      <c r="P767">
        <v>1</v>
      </c>
      <c r="Q767">
        <v>6</v>
      </c>
      <c r="R767">
        <v>5</v>
      </c>
      <c r="S767">
        <v>5</v>
      </c>
      <c r="T767">
        <v>0</v>
      </c>
      <c r="U767">
        <v>2</v>
      </c>
      <c r="V767" t="s">
        <v>58</v>
      </c>
      <c r="W767" s="1" t="s">
        <v>318</v>
      </c>
      <c r="Y767" t="s">
        <v>69</v>
      </c>
      <c r="Z767" t="s">
        <v>47</v>
      </c>
      <c r="AA767">
        <v>3</v>
      </c>
      <c r="AB767">
        <v>3</v>
      </c>
      <c r="AC767" t="s">
        <v>31</v>
      </c>
      <c r="AD767" t="s">
        <v>42</v>
      </c>
      <c r="AE767" t="s">
        <v>43</v>
      </c>
      <c r="AF767" s="3">
        <v>1060</v>
      </c>
      <c r="AG767" s="3">
        <v>44</v>
      </c>
      <c r="AH767">
        <v>80</v>
      </c>
      <c r="AI767">
        <v>2</v>
      </c>
      <c r="AJ767">
        <v>0</v>
      </c>
      <c r="AL767">
        <v>0</v>
      </c>
      <c r="AM767">
        <v>1</v>
      </c>
      <c r="AN767" t="s">
        <v>768</v>
      </c>
      <c r="AO767" t="s">
        <v>41</v>
      </c>
    </row>
    <row r="768" spans="1:41" x14ac:dyDescent="0.25">
      <c r="A768">
        <v>32</v>
      </c>
      <c r="B768" t="s">
        <v>81</v>
      </c>
      <c r="C768" t="s">
        <v>33</v>
      </c>
      <c r="D768">
        <v>15</v>
      </c>
      <c r="E768" t="s">
        <v>61</v>
      </c>
      <c r="F768">
        <v>3</v>
      </c>
      <c r="G768">
        <v>2</v>
      </c>
      <c r="H768" t="s">
        <v>89</v>
      </c>
      <c r="I768">
        <v>4</v>
      </c>
      <c r="J768" t="s">
        <v>57</v>
      </c>
      <c r="K768">
        <v>6667</v>
      </c>
      <c r="L768">
        <v>5</v>
      </c>
      <c r="M768" t="s">
        <v>41</v>
      </c>
      <c r="N768">
        <v>18</v>
      </c>
      <c r="O768">
        <v>3</v>
      </c>
      <c r="P768">
        <v>1</v>
      </c>
      <c r="Q768">
        <v>9</v>
      </c>
      <c r="R768">
        <v>6</v>
      </c>
      <c r="S768">
        <v>5</v>
      </c>
      <c r="T768">
        <v>1</v>
      </c>
      <c r="U768">
        <v>2</v>
      </c>
      <c r="V768" t="s">
        <v>72</v>
      </c>
      <c r="W768" s="2">
        <v>42493</v>
      </c>
      <c r="Y768" t="s">
        <v>69</v>
      </c>
      <c r="Z768" t="s">
        <v>40</v>
      </c>
      <c r="AA768">
        <v>1</v>
      </c>
      <c r="AB768">
        <v>0</v>
      </c>
      <c r="AC768" t="s">
        <v>31</v>
      </c>
      <c r="AD768" t="s">
        <v>65</v>
      </c>
      <c r="AE768" t="s">
        <v>43</v>
      </c>
      <c r="AF768" s="3">
        <v>1061</v>
      </c>
      <c r="AG768" s="3">
        <v>62</v>
      </c>
      <c r="AH768">
        <v>80</v>
      </c>
      <c r="AI768">
        <v>1</v>
      </c>
      <c r="AJ768">
        <v>0</v>
      </c>
      <c r="AL768">
        <v>0</v>
      </c>
      <c r="AM768">
        <v>1</v>
      </c>
      <c r="AN768" t="s">
        <v>768</v>
      </c>
      <c r="AO768" t="s">
        <v>41</v>
      </c>
    </row>
    <row r="769" spans="1:41" x14ac:dyDescent="0.25">
      <c r="A769">
        <v>54</v>
      </c>
      <c r="B769" t="s">
        <v>32</v>
      </c>
      <c r="C769" t="s">
        <v>33</v>
      </c>
      <c r="D769">
        <v>10</v>
      </c>
      <c r="E769" t="s">
        <v>61</v>
      </c>
      <c r="F769">
        <v>3</v>
      </c>
      <c r="G769">
        <v>2</v>
      </c>
      <c r="H769" t="s">
        <v>78</v>
      </c>
      <c r="I769">
        <v>1</v>
      </c>
      <c r="J769" t="s">
        <v>36</v>
      </c>
      <c r="K769">
        <v>4440</v>
      </c>
      <c r="L769">
        <v>6</v>
      </c>
      <c r="M769" t="s">
        <v>31</v>
      </c>
      <c r="N769">
        <v>19</v>
      </c>
      <c r="O769">
        <v>3</v>
      </c>
      <c r="P769">
        <v>0</v>
      </c>
      <c r="Q769">
        <v>9</v>
      </c>
      <c r="R769">
        <v>3</v>
      </c>
      <c r="S769">
        <v>5</v>
      </c>
      <c r="T769">
        <v>1</v>
      </c>
      <c r="U769">
        <v>4</v>
      </c>
      <c r="V769" t="s">
        <v>52</v>
      </c>
      <c r="W769" s="1" t="s">
        <v>377</v>
      </c>
      <c r="Y769" t="s">
        <v>63</v>
      </c>
      <c r="Z769" t="s">
        <v>47</v>
      </c>
      <c r="AA769">
        <v>1</v>
      </c>
      <c r="AB769">
        <v>0</v>
      </c>
      <c r="AC769" t="s">
        <v>41</v>
      </c>
      <c r="AD769" t="s">
        <v>42</v>
      </c>
      <c r="AE769" t="s">
        <v>60</v>
      </c>
      <c r="AF769" s="3">
        <v>1062</v>
      </c>
      <c r="AG769" s="3">
        <v>35</v>
      </c>
      <c r="AH769">
        <v>80</v>
      </c>
      <c r="AI769">
        <v>3</v>
      </c>
      <c r="AJ769">
        <v>0</v>
      </c>
      <c r="AL769">
        <v>0</v>
      </c>
      <c r="AM769">
        <v>1</v>
      </c>
      <c r="AN769" t="s">
        <v>768</v>
      </c>
      <c r="AO769" t="s">
        <v>41</v>
      </c>
    </row>
    <row r="770" spans="1:41" x14ac:dyDescent="0.25">
      <c r="A770">
        <v>23</v>
      </c>
      <c r="B770" t="s">
        <v>32</v>
      </c>
      <c r="C770" t="s">
        <v>33</v>
      </c>
      <c r="D770">
        <v>12</v>
      </c>
      <c r="E770" t="s">
        <v>34</v>
      </c>
      <c r="F770">
        <v>3</v>
      </c>
      <c r="G770">
        <v>1</v>
      </c>
      <c r="H770" t="s">
        <v>35</v>
      </c>
      <c r="I770">
        <v>4</v>
      </c>
      <c r="J770" t="s">
        <v>36</v>
      </c>
      <c r="K770">
        <v>2647</v>
      </c>
      <c r="L770">
        <v>1</v>
      </c>
      <c r="M770" t="s">
        <v>41</v>
      </c>
      <c r="N770">
        <v>13</v>
      </c>
      <c r="O770">
        <v>3</v>
      </c>
      <c r="P770">
        <v>0</v>
      </c>
      <c r="Q770">
        <v>5</v>
      </c>
      <c r="R770">
        <v>6</v>
      </c>
      <c r="S770">
        <v>5</v>
      </c>
      <c r="T770">
        <v>1</v>
      </c>
      <c r="U770">
        <v>4</v>
      </c>
      <c r="V770" t="s">
        <v>72</v>
      </c>
      <c r="W770" s="1" t="s">
        <v>386</v>
      </c>
      <c r="Y770" t="s">
        <v>63</v>
      </c>
      <c r="Z770" t="s">
        <v>40</v>
      </c>
      <c r="AA770">
        <v>5</v>
      </c>
      <c r="AB770">
        <v>2</v>
      </c>
      <c r="AC770" t="s">
        <v>31</v>
      </c>
      <c r="AD770" t="s">
        <v>42</v>
      </c>
      <c r="AE770" t="s">
        <v>49</v>
      </c>
      <c r="AF770" s="3">
        <v>1066</v>
      </c>
      <c r="AG770" s="3">
        <v>74</v>
      </c>
      <c r="AH770">
        <v>80</v>
      </c>
      <c r="AI770">
        <v>7</v>
      </c>
      <c r="AJ770">
        <v>0</v>
      </c>
      <c r="AL770">
        <v>0</v>
      </c>
      <c r="AM770">
        <v>1</v>
      </c>
      <c r="AN770" t="s">
        <v>768</v>
      </c>
      <c r="AO770" t="s">
        <v>41</v>
      </c>
    </row>
    <row r="771" spans="1:41" x14ac:dyDescent="0.25">
      <c r="A771">
        <v>41</v>
      </c>
      <c r="B771" t="s">
        <v>32</v>
      </c>
      <c r="C771" t="s">
        <v>33</v>
      </c>
      <c r="D771">
        <v>1</v>
      </c>
      <c r="E771" t="s">
        <v>34</v>
      </c>
      <c r="F771">
        <v>3</v>
      </c>
      <c r="G771">
        <v>1</v>
      </c>
      <c r="H771" t="s">
        <v>44</v>
      </c>
      <c r="I771">
        <v>4</v>
      </c>
      <c r="J771" t="s">
        <v>51</v>
      </c>
      <c r="K771">
        <v>2782</v>
      </c>
      <c r="L771">
        <v>3</v>
      </c>
      <c r="M771" t="s">
        <v>41</v>
      </c>
      <c r="N771">
        <v>22</v>
      </c>
      <c r="O771">
        <v>4</v>
      </c>
      <c r="P771">
        <v>1</v>
      </c>
      <c r="Q771">
        <v>12</v>
      </c>
      <c r="R771">
        <v>3</v>
      </c>
      <c r="S771">
        <v>5</v>
      </c>
      <c r="T771">
        <v>1</v>
      </c>
      <c r="U771">
        <v>0</v>
      </c>
      <c r="V771" t="s">
        <v>72</v>
      </c>
      <c r="W771" s="1" t="s">
        <v>354</v>
      </c>
      <c r="Y771" t="s">
        <v>69</v>
      </c>
      <c r="Z771" t="s">
        <v>47</v>
      </c>
      <c r="AA771">
        <v>1</v>
      </c>
      <c r="AB771">
        <v>3</v>
      </c>
      <c r="AC771" t="s">
        <v>31</v>
      </c>
      <c r="AD771" t="s">
        <v>42</v>
      </c>
      <c r="AE771" t="s">
        <v>60</v>
      </c>
      <c r="AF771" s="3">
        <v>1068</v>
      </c>
      <c r="AG771" s="3">
        <v>66</v>
      </c>
      <c r="AH771">
        <v>80</v>
      </c>
      <c r="AI771">
        <v>3</v>
      </c>
      <c r="AJ771">
        <v>0</v>
      </c>
      <c r="AL771">
        <v>0</v>
      </c>
      <c r="AM771">
        <v>1</v>
      </c>
      <c r="AN771" t="s">
        <v>768</v>
      </c>
      <c r="AO771" t="s">
        <v>41</v>
      </c>
    </row>
    <row r="772" spans="1:41" x14ac:dyDescent="0.25">
      <c r="A772">
        <v>25</v>
      </c>
      <c r="B772" t="s">
        <v>32</v>
      </c>
      <c r="C772" t="s">
        <v>55</v>
      </c>
      <c r="D772">
        <v>8</v>
      </c>
      <c r="E772" t="s">
        <v>61</v>
      </c>
      <c r="F772">
        <v>3</v>
      </c>
      <c r="G772">
        <v>2</v>
      </c>
      <c r="H772" t="s">
        <v>70</v>
      </c>
      <c r="I772">
        <v>3</v>
      </c>
      <c r="J772" t="s">
        <v>57</v>
      </c>
      <c r="K772">
        <v>4907</v>
      </c>
      <c r="L772">
        <v>0</v>
      </c>
      <c r="M772" t="s">
        <v>31</v>
      </c>
      <c r="N772">
        <v>22</v>
      </c>
      <c r="O772">
        <v>4</v>
      </c>
      <c r="P772">
        <v>1</v>
      </c>
      <c r="Q772">
        <v>6</v>
      </c>
      <c r="R772">
        <v>3</v>
      </c>
      <c r="S772">
        <v>5</v>
      </c>
      <c r="T772">
        <v>0</v>
      </c>
      <c r="U772">
        <v>4</v>
      </c>
      <c r="V772" t="s">
        <v>52</v>
      </c>
      <c r="W772" s="2">
        <v>42552</v>
      </c>
      <c r="Y772" t="s">
        <v>46</v>
      </c>
      <c r="Z772" t="s">
        <v>47</v>
      </c>
      <c r="AA772">
        <v>5</v>
      </c>
      <c r="AB772">
        <v>0</v>
      </c>
      <c r="AC772" t="s">
        <v>31</v>
      </c>
      <c r="AD772" t="s">
        <v>67</v>
      </c>
      <c r="AE772" t="s">
        <v>49</v>
      </c>
      <c r="AF772" s="3">
        <v>1069</v>
      </c>
      <c r="AG772" s="3">
        <v>40</v>
      </c>
      <c r="AH772">
        <v>80</v>
      </c>
      <c r="AI772">
        <v>2</v>
      </c>
      <c r="AJ772">
        <v>0</v>
      </c>
      <c r="AL772">
        <v>0</v>
      </c>
      <c r="AM772">
        <v>1</v>
      </c>
      <c r="AN772" t="s">
        <v>768</v>
      </c>
      <c r="AO772" t="s">
        <v>41</v>
      </c>
    </row>
    <row r="773" spans="1:41" x14ac:dyDescent="0.25">
      <c r="A773">
        <v>41</v>
      </c>
      <c r="B773" t="s">
        <v>32</v>
      </c>
      <c r="C773" t="s">
        <v>55</v>
      </c>
      <c r="D773">
        <v>3</v>
      </c>
      <c r="E773" t="s">
        <v>34</v>
      </c>
      <c r="F773">
        <v>2</v>
      </c>
      <c r="G773">
        <v>2</v>
      </c>
      <c r="H773" t="s">
        <v>70</v>
      </c>
      <c r="I773">
        <v>2</v>
      </c>
      <c r="J773" t="s">
        <v>57</v>
      </c>
      <c r="K773">
        <v>8938</v>
      </c>
      <c r="L773">
        <v>2</v>
      </c>
      <c r="M773" t="s">
        <v>41</v>
      </c>
      <c r="N773">
        <v>11</v>
      </c>
      <c r="O773">
        <v>3</v>
      </c>
      <c r="P773">
        <v>1</v>
      </c>
      <c r="Q773">
        <v>14</v>
      </c>
      <c r="R773">
        <v>5</v>
      </c>
      <c r="S773">
        <v>5</v>
      </c>
      <c r="T773">
        <v>0</v>
      </c>
      <c r="U773">
        <v>4</v>
      </c>
      <c r="V773" t="s">
        <v>58</v>
      </c>
      <c r="W773" s="1" t="s">
        <v>384</v>
      </c>
      <c r="Y773" t="s">
        <v>54</v>
      </c>
      <c r="Z773" t="s">
        <v>47</v>
      </c>
      <c r="AA773">
        <v>4</v>
      </c>
      <c r="AB773">
        <v>3</v>
      </c>
      <c r="AC773" t="s">
        <v>41</v>
      </c>
      <c r="AD773" t="s">
        <v>42</v>
      </c>
      <c r="AE773" t="s">
        <v>49</v>
      </c>
      <c r="AF773" s="3">
        <v>1070</v>
      </c>
      <c r="AG773" s="3">
        <v>41</v>
      </c>
      <c r="AH773">
        <v>80</v>
      </c>
      <c r="AI773">
        <v>4</v>
      </c>
      <c r="AJ773">
        <v>0</v>
      </c>
      <c r="AL773">
        <v>0</v>
      </c>
      <c r="AM773">
        <v>1</v>
      </c>
      <c r="AN773" t="s">
        <v>768</v>
      </c>
      <c r="AO773" t="s">
        <v>41</v>
      </c>
    </row>
    <row r="774" spans="1:41" x14ac:dyDescent="0.25">
      <c r="A774">
        <v>45</v>
      </c>
      <c r="B774" t="s">
        <v>32</v>
      </c>
      <c r="C774" t="s">
        <v>55</v>
      </c>
      <c r="D774">
        <v>20</v>
      </c>
      <c r="E774" t="s">
        <v>61</v>
      </c>
      <c r="F774">
        <v>3</v>
      </c>
      <c r="G774">
        <v>2</v>
      </c>
      <c r="H774" t="s">
        <v>70</v>
      </c>
      <c r="I774">
        <v>3</v>
      </c>
      <c r="J774" t="s">
        <v>36</v>
      </c>
      <c r="K774">
        <v>4850</v>
      </c>
      <c r="L774">
        <v>8</v>
      </c>
      <c r="M774" t="s">
        <v>41</v>
      </c>
      <c r="N774">
        <v>15</v>
      </c>
      <c r="O774">
        <v>3</v>
      </c>
      <c r="P774">
        <v>0</v>
      </c>
      <c r="Q774">
        <v>8</v>
      </c>
      <c r="R774">
        <v>3</v>
      </c>
      <c r="S774">
        <v>5</v>
      </c>
      <c r="T774">
        <v>0</v>
      </c>
      <c r="U774">
        <v>1</v>
      </c>
      <c r="V774" t="s">
        <v>58</v>
      </c>
      <c r="W774" s="1" t="s">
        <v>370</v>
      </c>
      <c r="Y774" t="s">
        <v>46</v>
      </c>
      <c r="Z774" t="s">
        <v>40</v>
      </c>
      <c r="AA774">
        <v>4</v>
      </c>
      <c r="AB774">
        <v>1</v>
      </c>
      <c r="AC774" t="s">
        <v>41</v>
      </c>
      <c r="AD774" t="s">
        <v>65</v>
      </c>
      <c r="AE774" t="s">
        <v>43</v>
      </c>
      <c r="AF774" s="3">
        <v>1071</v>
      </c>
      <c r="AG774" s="3">
        <v>63</v>
      </c>
      <c r="AH774">
        <v>80</v>
      </c>
      <c r="AI774">
        <v>4</v>
      </c>
      <c r="AJ774">
        <v>0</v>
      </c>
      <c r="AL774">
        <v>0</v>
      </c>
      <c r="AM774">
        <v>1</v>
      </c>
      <c r="AN774" t="s">
        <v>768</v>
      </c>
      <c r="AO774" t="s">
        <v>41</v>
      </c>
    </row>
    <row r="775" spans="1:41" x14ac:dyDescent="0.25">
      <c r="A775">
        <v>40</v>
      </c>
      <c r="B775" t="s">
        <v>32</v>
      </c>
      <c r="C775" t="s">
        <v>33</v>
      </c>
      <c r="D775">
        <v>2</v>
      </c>
      <c r="E775" t="s">
        <v>61</v>
      </c>
      <c r="F775">
        <v>3</v>
      </c>
      <c r="G775">
        <v>1</v>
      </c>
      <c r="H775" t="s">
        <v>44</v>
      </c>
      <c r="I775">
        <v>3</v>
      </c>
      <c r="J775" t="s">
        <v>51</v>
      </c>
      <c r="K775">
        <v>2001</v>
      </c>
      <c r="L775">
        <v>2</v>
      </c>
      <c r="M775" t="s">
        <v>41</v>
      </c>
      <c r="N775">
        <v>14</v>
      </c>
      <c r="O775">
        <v>3</v>
      </c>
      <c r="P775">
        <v>3</v>
      </c>
      <c r="Q775">
        <v>20</v>
      </c>
      <c r="R775">
        <v>2</v>
      </c>
      <c r="S775">
        <v>5</v>
      </c>
      <c r="T775">
        <v>0</v>
      </c>
      <c r="U775">
        <v>2</v>
      </c>
      <c r="V775" t="s">
        <v>72</v>
      </c>
      <c r="W775" s="2">
        <v>42647</v>
      </c>
      <c r="Y775" t="s">
        <v>39</v>
      </c>
      <c r="Z775" t="s">
        <v>40</v>
      </c>
      <c r="AA775">
        <v>0</v>
      </c>
      <c r="AB775">
        <v>0</v>
      </c>
      <c r="AC775" t="s">
        <v>41</v>
      </c>
      <c r="AD775" t="s">
        <v>42</v>
      </c>
      <c r="AE775" t="s">
        <v>60</v>
      </c>
      <c r="AF775" s="3">
        <v>1073</v>
      </c>
      <c r="AG775" s="3">
        <v>51</v>
      </c>
      <c r="AH775">
        <v>80</v>
      </c>
      <c r="AI775">
        <v>8</v>
      </c>
      <c r="AJ775">
        <v>0</v>
      </c>
      <c r="AL775">
        <v>0</v>
      </c>
      <c r="AM775">
        <v>1</v>
      </c>
      <c r="AN775" t="s">
        <v>768</v>
      </c>
      <c r="AO775" t="s">
        <v>41</v>
      </c>
    </row>
    <row r="776" spans="1:41" x14ac:dyDescent="0.25">
      <c r="A776">
        <v>29</v>
      </c>
      <c r="B776" t="s">
        <v>32</v>
      </c>
      <c r="C776" t="s">
        <v>33</v>
      </c>
      <c r="D776">
        <v>28</v>
      </c>
      <c r="E776" t="s">
        <v>61</v>
      </c>
      <c r="F776">
        <v>2</v>
      </c>
      <c r="G776">
        <v>1</v>
      </c>
      <c r="H776" t="s">
        <v>44</v>
      </c>
      <c r="I776">
        <v>1</v>
      </c>
      <c r="J776" t="s">
        <v>36</v>
      </c>
      <c r="K776">
        <v>3785</v>
      </c>
      <c r="L776">
        <v>1</v>
      </c>
      <c r="M776" t="s">
        <v>41</v>
      </c>
      <c r="N776">
        <v>14</v>
      </c>
      <c r="O776">
        <v>3</v>
      </c>
      <c r="P776">
        <v>0</v>
      </c>
      <c r="Q776">
        <v>5</v>
      </c>
      <c r="R776">
        <v>3</v>
      </c>
      <c r="S776">
        <v>5</v>
      </c>
      <c r="T776">
        <v>0</v>
      </c>
      <c r="U776">
        <v>4</v>
      </c>
      <c r="V776" t="s">
        <v>52</v>
      </c>
      <c r="W776" s="1" t="s">
        <v>350</v>
      </c>
      <c r="Y776" t="s">
        <v>39</v>
      </c>
      <c r="Z776" t="s">
        <v>47</v>
      </c>
      <c r="AA776">
        <v>4</v>
      </c>
      <c r="AB776">
        <v>3</v>
      </c>
      <c r="AC776" t="s">
        <v>41</v>
      </c>
      <c r="AD776" t="s">
        <v>67</v>
      </c>
      <c r="AE776" t="s">
        <v>49</v>
      </c>
      <c r="AF776" s="3">
        <v>1074</v>
      </c>
      <c r="AG776" s="3">
        <v>40</v>
      </c>
      <c r="AH776">
        <v>80</v>
      </c>
      <c r="AI776">
        <v>7</v>
      </c>
      <c r="AJ776">
        <v>0</v>
      </c>
      <c r="AL776">
        <v>0</v>
      </c>
      <c r="AM776">
        <v>1</v>
      </c>
      <c r="AN776" t="s">
        <v>768</v>
      </c>
      <c r="AO776" t="s">
        <v>41</v>
      </c>
    </row>
    <row r="777" spans="1:41" x14ac:dyDescent="0.25">
      <c r="A777">
        <v>36</v>
      </c>
      <c r="B777" t="s">
        <v>66</v>
      </c>
      <c r="C777" t="s">
        <v>33</v>
      </c>
      <c r="D777">
        <v>23</v>
      </c>
      <c r="E777" t="s">
        <v>34</v>
      </c>
      <c r="F777">
        <v>4</v>
      </c>
      <c r="G777">
        <v>2</v>
      </c>
      <c r="H777" t="s">
        <v>35</v>
      </c>
      <c r="I777">
        <v>4</v>
      </c>
      <c r="J777" t="s">
        <v>51</v>
      </c>
      <c r="K777">
        <v>2571</v>
      </c>
      <c r="L777">
        <v>4</v>
      </c>
      <c r="M777" t="s">
        <v>41</v>
      </c>
      <c r="N777">
        <v>17</v>
      </c>
      <c r="O777">
        <v>3</v>
      </c>
      <c r="P777">
        <v>1</v>
      </c>
      <c r="Q777">
        <v>17</v>
      </c>
      <c r="R777">
        <v>3</v>
      </c>
      <c r="S777">
        <v>5</v>
      </c>
      <c r="T777">
        <v>0</v>
      </c>
      <c r="U777">
        <v>3</v>
      </c>
      <c r="V777" t="s">
        <v>72</v>
      </c>
      <c r="W777" s="2">
        <v>42555</v>
      </c>
      <c r="Y777" t="s">
        <v>69</v>
      </c>
      <c r="Z777" t="s">
        <v>47</v>
      </c>
      <c r="AA777">
        <v>0</v>
      </c>
      <c r="AB777">
        <v>1</v>
      </c>
      <c r="AC777" t="s">
        <v>41</v>
      </c>
      <c r="AD777" t="s">
        <v>42</v>
      </c>
      <c r="AE777" t="s">
        <v>43</v>
      </c>
      <c r="AF777" s="3">
        <v>1076</v>
      </c>
      <c r="AG777" s="3">
        <v>79</v>
      </c>
      <c r="AH777">
        <v>80</v>
      </c>
      <c r="AI777">
        <v>0</v>
      </c>
      <c r="AJ777">
        <v>0</v>
      </c>
      <c r="AL777">
        <v>0</v>
      </c>
      <c r="AM777">
        <v>1</v>
      </c>
      <c r="AN777" t="s">
        <v>768</v>
      </c>
      <c r="AO777" t="s">
        <v>41</v>
      </c>
    </row>
    <row r="778" spans="1:41" x14ac:dyDescent="0.25">
      <c r="A778">
        <v>41</v>
      </c>
      <c r="B778" t="s">
        <v>32</v>
      </c>
      <c r="C778" t="s">
        <v>55</v>
      </c>
      <c r="D778">
        <v>1</v>
      </c>
      <c r="E778" t="s">
        <v>61</v>
      </c>
      <c r="F778">
        <v>3</v>
      </c>
      <c r="G778">
        <v>2</v>
      </c>
      <c r="H778" t="s">
        <v>70</v>
      </c>
      <c r="I778">
        <v>4</v>
      </c>
      <c r="J778" t="s">
        <v>36</v>
      </c>
      <c r="K778">
        <v>5993</v>
      </c>
      <c r="L778">
        <v>8</v>
      </c>
      <c r="M778" t="s">
        <v>31</v>
      </c>
      <c r="N778">
        <v>11</v>
      </c>
      <c r="O778">
        <v>3</v>
      </c>
      <c r="P778">
        <v>0</v>
      </c>
      <c r="Q778">
        <v>8</v>
      </c>
      <c r="R778">
        <v>0</v>
      </c>
      <c r="S778">
        <v>6</v>
      </c>
      <c r="T778">
        <v>0</v>
      </c>
      <c r="U778">
        <v>5</v>
      </c>
      <c r="V778" t="s">
        <v>52</v>
      </c>
      <c r="W778" s="1" t="s">
        <v>387</v>
      </c>
      <c r="Y778" t="s">
        <v>39</v>
      </c>
      <c r="Z778" t="s">
        <v>47</v>
      </c>
      <c r="AA778">
        <v>0</v>
      </c>
      <c r="AB778">
        <v>0</v>
      </c>
      <c r="AC778" t="s">
        <v>41</v>
      </c>
      <c r="AD778" t="s">
        <v>65</v>
      </c>
      <c r="AE778" t="s">
        <v>43</v>
      </c>
      <c r="AF778" s="3">
        <v>1077</v>
      </c>
      <c r="AG778" s="3">
        <v>54</v>
      </c>
      <c r="AH778">
        <v>80</v>
      </c>
      <c r="AI778">
        <v>2</v>
      </c>
      <c r="AJ778">
        <v>1</v>
      </c>
      <c r="AK778">
        <v>1</v>
      </c>
      <c r="AL778">
        <v>1</v>
      </c>
      <c r="AM778">
        <v>0</v>
      </c>
      <c r="AN778" t="s">
        <v>767</v>
      </c>
      <c r="AO778" t="s">
        <v>31</v>
      </c>
    </row>
    <row r="779" spans="1:41" x14ac:dyDescent="0.25">
      <c r="A779">
        <v>32</v>
      </c>
      <c r="B779" t="s">
        <v>32</v>
      </c>
      <c r="C779" t="s">
        <v>33</v>
      </c>
      <c r="D779">
        <v>5</v>
      </c>
      <c r="E779" t="s">
        <v>34</v>
      </c>
      <c r="F779">
        <v>4</v>
      </c>
      <c r="G779">
        <v>1</v>
      </c>
      <c r="H779" t="s">
        <v>44</v>
      </c>
      <c r="I779">
        <v>2</v>
      </c>
      <c r="J779" t="s">
        <v>57</v>
      </c>
      <c r="K779">
        <v>3298</v>
      </c>
      <c r="L779">
        <v>0</v>
      </c>
      <c r="M779" t="s">
        <v>31</v>
      </c>
      <c r="N779">
        <v>12</v>
      </c>
      <c r="O779">
        <v>3</v>
      </c>
      <c r="P779">
        <v>2</v>
      </c>
      <c r="Q779">
        <v>7</v>
      </c>
      <c r="R779">
        <v>5</v>
      </c>
      <c r="S779">
        <v>6</v>
      </c>
      <c r="T779">
        <v>0</v>
      </c>
      <c r="U779">
        <v>5</v>
      </c>
      <c r="V779" t="s">
        <v>52</v>
      </c>
      <c r="W779" s="1" t="s">
        <v>388</v>
      </c>
      <c r="Y779" t="s">
        <v>63</v>
      </c>
      <c r="Z779" t="s">
        <v>47</v>
      </c>
      <c r="AA779">
        <v>5</v>
      </c>
      <c r="AB779">
        <v>1</v>
      </c>
      <c r="AC779" t="s">
        <v>31</v>
      </c>
      <c r="AD779" t="s">
        <v>48</v>
      </c>
      <c r="AE779" t="s">
        <v>49</v>
      </c>
      <c r="AF779" s="3">
        <v>1079</v>
      </c>
      <c r="AG779" s="3">
        <v>36</v>
      </c>
      <c r="AH779">
        <v>80</v>
      </c>
      <c r="AI779">
        <v>0</v>
      </c>
      <c r="AJ779">
        <v>1</v>
      </c>
      <c r="AK779">
        <v>1</v>
      </c>
      <c r="AL779">
        <v>1</v>
      </c>
      <c r="AM779">
        <v>0</v>
      </c>
      <c r="AN779" t="s">
        <v>767</v>
      </c>
      <c r="AO779" t="s">
        <v>31</v>
      </c>
    </row>
    <row r="780" spans="1:41" x14ac:dyDescent="0.25">
      <c r="A780">
        <v>36</v>
      </c>
      <c r="B780" t="s">
        <v>66</v>
      </c>
      <c r="C780" t="s">
        <v>33</v>
      </c>
      <c r="D780">
        <v>11</v>
      </c>
      <c r="E780" t="s">
        <v>34</v>
      </c>
      <c r="F780">
        <v>2</v>
      </c>
      <c r="G780">
        <v>2</v>
      </c>
      <c r="H780" t="s">
        <v>78</v>
      </c>
      <c r="I780">
        <v>2</v>
      </c>
      <c r="J780" t="s">
        <v>36</v>
      </c>
      <c r="K780">
        <v>6499</v>
      </c>
      <c r="L780">
        <v>1</v>
      </c>
      <c r="M780" t="s">
        <v>41</v>
      </c>
      <c r="N780">
        <v>13</v>
      </c>
      <c r="O780">
        <v>3</v>
      </c>
      <c r="P780">
        <v>0</v>
      </c>
      <c r="Q780">
        <v>6</v>
      </c>
      <c r="R780">
        <v>3</v>
      </c>
      <c r="S780">
        <v>6</v>
      </c>
      <c r="T780">
        <v>0</v>
      </c>
      <c r="U780">
        <v>3</v>
      </c>
      <c r="V780" t="s">
        <v>58</v>
      </c>
      <c r="W780" s="1" t="s">
        <v>389</v>
      </c>
      <c r="Y780" t="s">
        <v>69</v>
      </c>
      <c r="Z780" t="s">
        <v>40</v>
      </c>
      <c r="AA780">
        <v>2</v>
      </c>
      <c r="AB780">
        <v>1</v>
      </c>
      <c r="AC780" t="s">
        <v>41</v>
      </c>
      <c r="AD780" t="s">
        <v>48</v>
      </c>
      <c r="AE780" t="s">
        <v>43</v>
      </c>
      <c r="AF780" s="3">
        <v>1080</v>
      </c>
      <c r="AG780" s="3">
        <v>74</v>
      </c>
      <c r="AH780">
        <v>80</v>
      </c>
      <c r="AI780">
        <v>13</v>
      </c>
      <c r="AJ780">
        <v>0</v>
      </c>
      <c r="AL780">
        <v>0</v>
      </c>
      <c r="AM780">
        <v>1</v>
      </c>
      <c r="AN780" t="s">
        <v>768</v>
      </c>
      <c r="AO780" t="s">
        <v>41</v>
      </c>
    </row>
    <row r="781" spans="1:41" x14ac:dyDescent="0.25">
      <c r="A781">
        <v>35</v>
      </c>
      <c r="B781" t="s">
        <v>32</v>
      </c>
      <c r="C781" t="s">
        <v>33</v>
      </c>
      <c r="D781">
        <v>1</v>
      </c>
      <c r="E781" t="s">
        <v>34</v>
      </c>
      <c r="F781">
        <v>2</v>
      </c>
      <c r="G781">
        <v>1</v>
      </c>
      <c r="H781" t="s">
        <v>44</v>
      </c>
      <c r="I781">
        <v>3</v>
      </c>
      <c r="J781" t="s">
        <v>36</v>
      </c>
      <c r="K781">
        <v>2859</v>
      </c>
      <c r="L781">
        <v>1</v>
      </c>
      <c r="M781" t="s">
        <v>41</v>
      </c>
      <c r="N781">
        <v>18</v>
      </c>
      <c r="O781">
        <v>3</v>
      </c>
      <c r="P781">
        <v>0</v>
      </c>
      <c r="Q781">
        <v>6</v>
      </c>
      <c r="R781">
        <v>3</v>
      </c>
      <c r="S781">
        <v>6</v>
      </c>
      <c r="T781">
        <v>0</v>
      </c>
      <c r="U781">
        <v>4</v>
      </c>
      <c r="V781" t="s">
        <v>58</v>
      </c>
      <c r="W781" s="1" t="s">
        <v>390</v>
      </c>
      <c r="Y781" t="s">
        <v>39</v>
      </c>
      <c r="Z781" t="s">
        <v>47</v>
      </c>
      <c r="AA781">
        <v>2</v>
      </c>
      <c r="AB781">
        <v>3</v>
      </c>
      <c r="AC781" t="s">
        <v>41</v>
      </c>
      <c r="AD781" t="s">
        <v>65</v>
      </c>
      <c r="AE781" t="s">
        <v>43</v>
      </c>
      <c r="AF781" s="3">
        <v>1081</v>
      </c>
      <c r="AG781" s="3">
        <v>34</v>
      </c>
      <c r="AH781">
        <v>80</v>
      </c>
      <c r="AI781">
        <v>0</v>
      </c>
      <c r="AJ781">
        <v>1</v>
      </c>
      <c r="AK781">
        <v>1</v>
      </c>
      <c r="AL781">
        <v>1</v>
      </c>
      <c r="AM781">
        <v>0</v>
      </c>
      <c r="AN781" t="s">
        <v>767</v>
      </c>
      <c r="AO781" t="s">
        <v>31</v>
      </c>
    </row>
    <row r="782" spans="1:41" x14ac:dyDescent="0.25">
      <c r="A782">
        <v>56</v>
      </c>
      <c r="B782" t="s">
        <v>32</v>
      </c>
      <c r="C782" t="s">
        <v>33</v>
      </c>
      <c r="D782">
        <v>7</v>
      </c>
      <c r="E782" t="s">
        <v>34</v>
      </c>
      <c r="F782">
        <v>1</v>
      </c>
      <c r="G782">
        <v>3</v>
      </c>
      <c r="H782" t="s">
        <v>78</v>
      </c>
      <c r="I782">
        <v>4</v>
      </c>
      <c r="J782" t="s">
        <v>36</v>
      </c>
      <c r="K782">
        <v>7260</v>
      </c>
      <c r="L782">
        <v>4</v>
      </c>
      <c r="M782" t="s">
        <v>41</v>
      </c>
      <c r="N782">
        <v>11</v>
      </c>
      <c r="O782">
        <v>3</v>
      </c>
      <c r="P782">
        <v>0</v>
      </c>
      <c r="Q782">
        <v>37</v>
      </c>
      <c r="R782">
        <v>3</v>
      </c>
      <c r="S782">
        <v>6</v>
      </c>
      <c r="T782">
        <v>0</v>
      </c>
      <c r="U782">
        <v>2</v>
      </c>
      <c r="V782" t="s">
        <v>37</v>
      </c>
      <c r="W782" s="1" t="s">
        <v>391</v>
      </c>
      <c r="Y782" t="s">
        <v>46</v>
      </c>
      <c r="Z782" t="s">
        <v>47</v>
      </c>
      <c r="AA782">
        <v>1</v>
      </c>
      <c r="AB782">
        <v>0</v>
      </c>
      <c r="AC782" t="s">
        <v>41</v>
      </c>
      <c r="AD782" t="s">
        <v>67</v>
      </c>
      <c r="AE782" t="s">
        <v>49</v>
      </c>
      <c r="AF782" s="3">
        <v>1082</v>
      </c>
      <c r="AG782" s="3">
        <v>72</v>
      </c>
      <c r="AH782">
        <v>80</v>
      </c>
      <c r="AI782">
        <v>7</v>
      </c>
      <c r="AJ782">
        <v>1</v>
      </c>
      <c r="AK782">
        <v>1</v>
      </c>
      <c r="AL782">
        <v>1</v>
      </c>
      <c r="AM782">
        <v>0</v>
      </c>
      <c r="AN782" t="s">
        <v>767</v>
      </c>
      <c r="AO782" t="s">
        <v>31</v>
      </c>
    </row>
    <row r="783" spans="1:41" x14ac:dyDescent="0.25">
      <c r="A783">
        <v>25</v>
      </c>
      <c r="B783" t="s">
        <v>32</v>
      </c>
      <c r="C783" t="s">
        <v>55</v>
      </c>
      <c r="D783">
        <v>5</v>
      </c>
      <c r="E783" t="s">
        <v>34</v>
      </c>
      <c r="F783">
        <v>2</v>
      </c>
      <c r="G783">
        <v>2</v>
      </c>
      <c r="H783" t="s">
        <v>70</v>
      </c>
      <c r="I783">
        <v>3</v>
      </c>
      <c r="J783" t="s">
        <v>36</v>
      </c>
      <c r="K783">
        <v>5744</v>
      </c>
      <c r="L783">
        <v>1</v>
      </c>
      <c r="M783" t="s">
        <v>31</v>
      </c>
      <c r="N783">
        <v>11</v>
      </c>
      <c r="O783">
        <v>3</v>
      </c>
      <c r="P783">
        <v>0</v>
      </c>
      <c r="Q783">
        <v>6</v>
      </c>
      <c r="R783">
        <v>1</v>
      </c>
      <c r="S783">
        <v>6</v>
      </c>
      <c r="T783">
        <v>0</v>
      </c>
      <c r="U783">
        <v>3</v>
      </c>
      <c r="V783" t="s">
        <v>37</v>
      </c>
      <c r="W783" s="1" t="s">
        <v>392</v>
      </c>
      <c r="Y783" t="s">
        <v>63</v>
      </c>
      <c r="Z783" t="s">
        <v>40</v>
      </c>
      <c r="AA783">
        <v>4</v>
      </c>
      <c r="AB783">
        <v>0</v>
      </c>
      <c r="AC783" t="s">
        <v>41</v>
      </c>
      <c r="AD783" t="s">
        <v>42</v>
      </c>
      <c r="AE783" t="s">
        <v>49</v>
      </c>
      <c r="AF783" s="3">
        <v>1083</v>
      </c>
      <c r="AG783" s="3">
        <v>59</v>
      </c>
      <c r="AH783">
        <v>80</v>
      </c>
      <c r="AI783">
        <v>3</v>
      </c>
      <c r="AJ783">
        <v>0</v>
      </c>
      <c r="AL783">
        <v>0</v>
      </c>
      <c r="AM783">
        <v>1</v>
      </c>
      <c r="AN783" t="s">
        <v>768</v>
      </c>
      <c r="AO783" t="s">
        <v>41</v>
      </c>
    </row>
    <row r="784" spans="1:41" x14ac:dyDescent="0.25">
      <c r="A784">
        <v>45</v>
      </c>
      <c r="B784" t="s">
        <v>32</v>
      </c>
      <c r="C784" t="s">
        <v>33</v>
      </c>
      <c r="D784">
        <v>29</v>
      </c>
      <c r="E784" t="s">
        <v>34</v>
      </c>
      <c r="F784">
        <v>3</v>
      </c>
      <c r="G784">
        <v>1</v>
      </c>
      <c r="H784" t="s">
        <v>44</v>
      </c>
      <c r="I784">
        <v>4</v>
      </c>
      <c r="J784" t="s">
        <v>36</v>
      </c>
      <c r="K784">
        <v>3452</v>
      </c>
      <c r="L784">
        <v>5</v>
      </c>
      <c r="M784" t="s">
        <v>41</v>
      </c>
      <c r="N784">
        <v>13</v>
      </c>
      <c r="O784">
        <v>3</v>
      </c>
      <c r="P784">
        <v>0</v>
      </c>
      <c r="Q784">
        <v>9</v>
      </c>
      <c r="R784">
        <v>2</v>
      </c>
      <c r="S784">
        <v>6</v>
      </c>
      <c r="T784">
        <v>0</v>
      </c>
      <c r="U784">
        <v>3</v>
      </c>
      <c r="V784" t="s">
        <v>58</v>
      </c>
      <c r="W784" s="2">
        <v>42157</v>
      </c>
      <c r="Y784" t="s">
        <v>69</v>
      </c>
      <c r="Z784" t="s">
        <v>40</v>
      </c>
      <c r="AA784">
        <v>2</v>
      </c>
      <c r="AB784">
        <v>0</v>
      </c>
      <c r="AC784" t="s">
        <v>31</v>
      </c>
      <c r="AD784" t="s">
        <v>65</v>
      </c>
      <c r="AE784" t="s">
        <v>43</v>
      </c>
      <c r="AF784" s="3">
        <v>1084</v>
      </c>
      <c r="AG784" s="3">
        <v>85</v>
      </c>
      <c r="AH784">
        <v>80</v>
      </c>
      <c r="AI784">
        <v>2</v>
      </c>
      <c r="AJ784">
        <v>0</v>
      </c>
      <c r="AL784">
        <v>0</v>
      </c>
      <c r="AM784">
        <v>1</v>
      </c>
      <c r="AN784" t="s">
        <v>768</v>
      </c>
      <c r="AO784" t="s">
        <v>41</v>
      </c>
    </row>
    <row r="785" spans="1:41" x14ac:dyDescent="0.25">
      <c r="A785">
        <v>35</v>
      </c>
      <c r="B785" t="s">
        <v>66</v>
      </c>
      <c r="C785" t="s">
        <v>33</v>
      </c>
      <c r="D785">
        <v>2</v>
      </c>
      <c r="E785" t="s">
        <v>61</v>
      </c>
      <c r="F785">
        <v>3</v>
      </c>
      <c r="G785">
        <v>2</v>
      </c>
      <c r="H785" t="s">
        <v>35</v>
      </c>
      <c r="I785">
        <v>2</v>
      </c>
      <c r="J785" t="s">
        <v>36</v>
      </c>
      <c r="K785">
        <v>4425</v>
      </c>
      <c r="L785">
        <v>5</v>
      </c>
      <c r="M785" t="s">
        <v>41</v>
      </c>
      <c r="N785">
        <v>11</v>
      </c>
      <c r="O785">
        <v>3</v>
      </c>
      <c r="P785">
        <v>0</v>
      </c>
      <c r="Q785">
        <v>10</v>
      </c>
      <c r="R785">
        <v>5</v>
      </c>
      <c r="S785">
        <v>6</v>
      </c>
      <c r="T785">
        <v>1</v>
      </c>
      <c r="U785">
        <v>2</v>
      </c>
      <c r="V785" t="s">
        <v>52</v>
      </c>
      <c r="W785" s="1" t="s">
        <v>393</v>
      </c>
      <c r="Y785" t="s">
        <v>54</v>
      </c>
      <c r="Z785" t="s">
        <v>40</v>
      </c>
      <c r="AA785">
        <v>1</v>
      </c>
      <c r="AB785">
        <v>1</v>
      </c>
      <c r="AC785" t="s">
        <v>41</v>
      </c>
      <c r="AD785" t="s">
        <v>67</v>
      </c>
      <c r="AE785" t="s">
        <v>60</v>
      </c>
      <c r="AF785" s="3">
        <v>1085</v>
      </c>
      <c r="AG785" s="3">
        <v>43</v>
      </c>
      <c r="AH785">
        <v>80</v>
      </c>
      <c r="AI785">
        <v>6</v>
      </c>
      <c r="AJ785">
        <v>0</v>
      </c>
      <c r="AL785">
        <v>0</v>
      </c>
      <c r="AM785">
        <v>1</v>
      </c>
      <c r="AN785" t="s">
        <v>768</v>
      </c>
      <c r="AO785" t="s">
        <v>41</v>
      </c>
    </row>
    <row r="786" spans="1:41" x14ac:dyDescent="0.25">
      <c r="A786">
        <v>30</v>
      </c>
      <c r="B786" t="s">
        <v>66</v>
      </c>
      <c r="C786" t="s">
        <v>55</v>
      </c>
      <c r="D786">
        <v>26</v>
      </c>
      <c r="E786" t="s">
        <v>61</v>
      </c>
      <c r="F786">
        <v>2</v>
      </c>
      <c r="G786">
        <v>2</v>
      </c>
      <c r="H786" t="s">
        <v>70</v>
      </c>
      <c r="I786">
        <v>1</v>
      </c>
      <c r="J786" t="s">
        <v>36</v>
      </c>
      <c r="K786">
        <v>6696</v>
      </c>
      <c r="L786">
        <v>5</v>
      </c>
      <c r="M786" t="s">
        <v>41</v>
      </c>
      <c r="N786">
        <v>15</v>
      </c>
      <c r="O786">
        <v>3</v>
      </c>
      <c r="P786">
        <v>0</v>
      </c>
      <c r="Q786">
        <v>9</v>
      </c>
      <c r="R786">
        <v>5</v>
      </c>
      <c r="S786">
        <v>6</v>
      </c>
      <c r="T786">
        <v>0</v>
      </c>
      <c r="U786">
        <v>1</v>
      </c>
      <c r="V786" t="s">
        <v>72</v>
      </c>
      <c r="W786" s="2">
        <v>42252</v>
      </c>
      <c r="Y786" t="s">
        <v>46</v>
      </c>
      <c r="Z786" t="s">
        <v>40</v>
      </c>
      <c r="AA786">
        <v>5</v>
      </c>
      <c r="AB786">
        <v>3</v>
      </c>
      <c r="AC786" t="s">
        <v>31</v>
      </c>
      <c r="AD786" t="s">
        <v>65</v>
      </c>
      <c r="AE786" t="s">
        <v>60</v>
      </c>
      <c r="AF786" s="3">
        <v>1088</v>
      </c>
      <c r="AG786" s="3">
        <v>65</v>
      </c>
      <c r="AH786">
        <v>80</v>
      </c>
      <c r="AI786">
        <v>9</v>
      </c>
      <c r="AJ786">
        <v>0</v>
      </c>
      <c r="AL786">
        <v>0</v>
      </c>
      <c r="AM786">
        <v>1</v>
      </c>
      <c r="AN786" t="s">
        <v>768</v>
      </c>
      <c r="AO786" t="s">
        <v>41</v>
      </c>
    </row>
    <row r="787" spans="1:41" x14ac:dyDescent="0.25">
      <c r="A787">
        <v>29</v>
      </c>
      <c r="B787" t="s">
        <v>32</v>
      </c>
      <c r="C787" t="s">
        <v>33</v>
      </c>
      <c r="D787">
        <v>1</v>
      </c>
      <c r="E787" t="s">
        <v>34</v>
      </c>
      <c r="F787">
        <v>3</v>
      </c>
      <c r="G787">
        <v>1</v>
      </c>
      <c r="H787" t="s">
        <v>44</v>
      </c>
      <c r="I787">
        <v>3</v>
      </c>
      <c r="J787" t="s">
        <v>36</v>
      </c>
      <c r="K787">
        <v>2058</v>
      </c>
      <c r="L787">
        <v>0</v>
      </c>
      <c r="M787" t="s">
        <v>41</v>
      </c>
      <c r="N787">
        <v>14</v>
      </c>
      <c r="O787">
        <v>3</v>
      </c>
      <c r="P787">
        <v>0</v>
      </c>
      <c r="Q787">
        <v>7</v>
      </c>
      <c r="R787">
        <v>1</v>
      </c>
      <c r="S787">
        <v>6</v>
      </c>
      <c r="T787">
        <v>1</v>
      </c>
      <c r="U787">
        <v>5</v>
      </c>
      <c r="V787" t="s">
        <v>58</v>
      </c>
      <c r="W787" s="1" t="s">
        <v>394</v>
      </c>
      <c r="Y787" t="s">
        <v>63</v>
      </c>
      <c r="Z787" t="s">
        <v>47</v>
      </c>
      <c r="AA787">
        <v>0</v>
      </c>
      <c r="AB787">
        <v>0</v>
      </c>
      <c r="AC787" t="s">
        <v>41</v>
      </c>
      <c r="AD787" t="s">
        <v>48</v>
      </c>
      <c r="AE787" t="s">
        <v>43</v>
      </c>
      <c r="AF787" s="3">
        <v>1092</v>
      </c>
      <c r="AG787" s="3">
        <v>61</v>
      </c>
      <c r="AH787">
        <v>80</v>
      </c>
      <c r="AI787">
        <v>10</v>
      </c>
      <c r="AJ787">
        <v>0</v>
      </c>
      <c r="AL787">
        <v>0</v>
      </c>
      <c r="AM787">
        <v>1</v>
      </c>
      <c r="AN787" t="s">
        <v>768</v>
      </c>
      <c r="AO787" t="s">
        <v>41</v>
      </c>
    </row>
    <row r="788" spans="1:41" x14ac:dyDescent="0.25">
      <c r="A788">
        <v>54</v>
      </c>
      <c r="B788" t="s">
        <v>32</v>
      </c>
      <c r="C788" t="s">
        <v>55</v>
      </c>
      <c r="D788">
        <v>3</v>
      </c>
      <c r="E788" t="s">
        <v>61</v>
      </c>
      <c r="F788">
        <v>3</v>
      </c>
      <c r="G788">
        <v>2</v>
      </c>
      <c r="H788" t="s">
        <v>70</v>
      </c>
      <c r="I788">
        <v>1</v>
      </c>
      <c r="J788" t="s">
        <v>51</v>
      </c>
      <c r="K788">
        <v>5940</v>
      </c>
      <c r="L788">
        <v>2</v>
      </c>
      <c r="M788" t="s">
        <v>41</v>
      </c>
      <c r="N788">
        <v>14</v>
      </c>
      <c r="O788">
        <v>3</v>
      </c>
      <c r="P788">
        <v>1</v>
      </c>
      <c r="Q788">
        <v>16</v>
      </c>
      <c r="R788">
        <v>4</v>
      </c>
      <c r="S788">
        <v>6</v>
      </c>
      <c r="T788">
        <v>0</v>
      </c>
      <c r="U788">
        <v>5</v>
      </c>
      <c r="V788" t="s">
        <v>37</v>
      </c>
      <c r="W788" s="1" t="s">
        <v>395</v>
      </c>
      <c r="Y788" t="s">
        <v>54</v>
      </c>
      <c r="Z788" t="s">
        <v>47</v>
      </c>
      <c r="AA788">
        <v>4</v>
      </c>
      <c r="AB788">
        <v>3</v>
      </c>
      <c r="AC788" t="s">
        <v>41</v>
      </c>
      <c r="AD788" t="s">
        <v>42</v>
      </c>
      <c r="AE788" t="s">
        <v>49</v>
      </c>
      <c r="AF788" s="3">
        <v>1094</v>
      </c>
      <c r="AG788" s="3">
        <v>87</v>
      </c>
      <c r="AH788">
        <v>80</v>
      </c>
      <c r="AI788">
        <v>2</v>
      </c>
      <c r="AJ788">
        <v>0</v>
      </c>
      <c r="AL788">
        <v>0</v>
      </c>
      <c r="AM788">
        <v>1</v>
      </c>
      <c r="AN788" t="s">
        <v>768</v>
      </c>
      <c r="AO788" t="s">
        <v>41</v>
      </c>
    </row>
    <row r="789" spans="1:41" x14ac:dyDescent="0.25">
      <c r="A789">
        <v>29</v>
      </c>
      <c r="B789" t="s">
        <v>32</v>
      </c>
      <c r="C789" t="s">
        <v>33</v>
      </c>
      <c r="D789">
        <v>15</v>
      </c>
      <c r="E789" t="s">
        <v>34</v>
      </c>
      <c r="F789">
        <v>3</v>
      </c>
      <c r="G789">
        <v>1</v>
      </c>
      <c r="H789" t="s">
        <v>44</v>
      </c>
      <c r="I789">
        <v>4</v>
      </c>
      <c r="J789" t="s">
        <v>36</v>
      </c>
      <c r="K789">
        <v>2340</v>
      </c>
      <c r="L789">
        <v>1</v>
      </c>
      <c r="M789" t="s">
        <v>41</v>
      </c>
      <c r="N789">
        <v>19</v>
      </c>
      <c r="O789">
        <v>3</v>
      </c>
      <c r="P789">
        <v>0</v>
      </c>
      <c r="Q789">
        <v>6</v>
      </c>
      <c r="R789">
        <v>1</v>
      </c>
      <c r="S789">
        <v>6</v>
      </c>
      <c r="T789">
        <v>1</v>
      </c>
      <c r="U789">
        <v>5</v>
      </c>
      <c r="V789" t="s">
        <v>37</v>
      </c>
      <c r="W789" s="1" t="s">
        <v>396</v>
      </c>
      <c r="Y789" t="s">
        <v>69</v>
      </c>
      <c r="Z789" t="s">
        <v>40</v>
      </c>
      <c r="AA789">
        <v>5</v>
      </c>
      <c r="AB789">
        <v>3</v>
      </c>
      <c r="AC789" t="s">
        <v>41</v>
      </c>
      <c r="AD789" t="s">
        <v>65</v>
      </c>
      <c r="AE789" t="s">
        <v>43</v>
      </c>
      <c r="AF789" s="3">
        <v>1096</v>
      </c>
      <c r="AG789" s="3">
        <v>65</v>
      </c>
      <c r="AH789">
        <v>80</v>
      </c>
      <c r="AI789">
        <v>2</v>
      </c>
      <c r="AJ789">
        <v>0</v>
      </c>
      <c r="AL789">
        <v>0</v>
      </c>
      <c r="AM789">
        <v>1</v>
      </c>
      <c r="AN789" t="s">
        <v>768</v>
      </c>
      <c r="AO789" t="s">
        <v>41</v>
      </c>
    </row>
    <row r="790" spans="1:41" x14ac:dyDescent="0.25">
      <c r="A790">
        <v>32</v>
      </c>
      <c r="B790" t="s">
        <v>32</v>
      </c>
      <c r="C790" t="s">
        <v>33</v>
      </c>
      <c r="D790">
        <v>2</v>
      </c>
      <c r="E790" t="s">
        <v>34</v>
      </c>
      <c r="F790">
        <v>2</v>
      </c>
      <c r="G790">
        <v>2</v>
      </c>
      <c r="H790" t="s">
        <v>35</v>
      </c>
      <c r="I790">
        <v>1</v>
      </c>
      <c r="J790" t="s">
        <v>36</v>
      </c>
      <c r="K790">
        <v>2176</v>
      </c>
      <c r="L790">
        <v>4</v>
      </c>
      <c r="M790" t="s">
        <v>41</v>
      </c>
      <c r="N790">
        <v>13</v>
      </c>
      <c r="O790">
        <v>3</v>
      </c>
      <c r="P790">
        <v>0</v>
      </c>
      <c r="Q790">
        <v>9</v>
      </c>
      <c r="R790">
        <v>5</v>
      </c>
      <c r="S790">
        <v>6</v>
      </c>
      <c r="T790">
        <v>0</v>
      </c>
      <c r="U790">
        <v>4</v>
      </c>
      <c r="V790" t="s">
        <v>58</v>
      </c>
      <c r="W790" s="2">
        <v>42342</v>
      </c>
      <c r="Y790" t="s">
        <v>63</v>
      </c>
      <c r="Z790" t="s">
        <v>40</v>
      </c>
      <c r="AA790">
        <v>4</v>
      </c>
      <c r="AB790">
        <v>3</v>
      </c>
      <c r="AC790" t="s">
        <v>41</v>
      </c>
      <c r="AD790" t="s">
        <v>42</v>
      </c>
      <c r="AE790" t="s">
        <v>49</v>
      </c>
      <c r="AF790" s="3">
        <v>1097</v>
      </c>
      <c r="AG790" s="3">
        <v>59</v>
      </c>
      <c r="AH790">
        <v>80</v>
      </c>
      <c r="AI790">
        <v>7</v>
      </c>
      <c r="AJ790">
        <v>0</v>
      </c>
      <c r="AL790">
        <v>0</v>
      </c>
      <c r="AM790">
        <v>1</v>
      </c>
      <c r="AN790" t="s">
        <v>768</v>
      </c>
      <c r="AO790" t="s">
        <v>41</v>
      </c>
    </row>
    <row r="791" spans="1:41" x14ac:dyDescent="0.25">
      <c r="A791">
        <v>25</v>
      </c>
      <c r="B791" t="s">
        <v>81</v>
      </c>
      <c r="C791" t="s">
        <v>33</v>
      </c>
      <c r="D791">
        <v>5</v>
      </c>
      <c r="E791" t="s">
        <v>34</v>
      </c>
      <c r="F791">
        <v>4</v>
      </c>
      <c r="G791">
        <v>2</v>
      </c>
      <c r="H791" t="s">
        <v>89</v>
      </c>
      <c r="I791">
        <v>1</v>
      </c>
      <c r="J791" t="s">
        <v>57</v>
      </c>
      <c r="K791">
        <v>4000</v>
      </c>
      <c r="L791">
        <v>1</v>
      </c>
      <c r="M791" t="s">
        <v>41</v>
      </c>
      <c r="N791">
        <v>12</v>
      </c>
      <c r="O791">
        <v>3</v>
      </c>
      <c r="P791">
        <v>2</v>
      </c>
      <c r="Q791">
        <v>6</v>
      </c>
      <c r="R791">
        <v>2</v>
      </c>
      <c r="S791">
        <v>6</v>
      </c>
      <c r="T791">
        <v>1</v>
      </c>
      <c r="U791">
        <v>5</v>
      </c>
      <c r="V791" t="s">
        <v>72</v>
      </c>
      <c r="W791" s="2">
        <v>42098</v>
      </c>
      <c r="Y791" t="s">
        <v>69</v>
      </c>
      <c r="Z791" t="s">
        <v>47</v>
      </c>
      <c r="AA791">
        <v>3</v>
      </c>
      <c r="AB791">
        <v>1</v>
      </c>
      <c r="AC791" t="s">
        <v>31</v>
      </c>
      <c r="AD791" t="s">
        <v>42</v>
      </c>
      <c r="AE791" t="s">
        <v>60</v>
      </c>
      <c r="AF791" s="3">
        <v>1098</v>
      </c>
      <c r="AG791" s="3">
        <v>91</v>
      </c>
      <c r="AH791">
        <v>80</v>
      </c>
      <c r="AI791">
        <v>6</v>
      </c>
      <c r="AJ791">
        <v>1</v>
      </c>
      <c r="AK791">
        <v>1</v>
      </c>
      <c r="AL791">
        <v>1</v>
      </c>
      <c r="AM791">
        <v>0</v>
      </c>
      <c r="AN791" t="s">
        <v>767</v>
      </c>
      <c r="AO791" t="s">
        <v>31</v>
      </c>
    </row>
    <row r="792" spans="1:41" x14ac:dyDescent="0.25">
      <c r="A792">
        <v>26</v>
      </c>
      <c r="B792" t="s">
        <v>66</v>
      </c>
      <c r="C792" t="s">
        <v>33</v>
      </c>
      <c r="D792">
        <v>1</v>
      </c>
      <c r="E792" t="s">
        <v>61</v>
      </c>
      <c r="F792">
        <v>3</v>
      </c>
      <c r="G792">
        <v>2</v>
      </c>
      <c r="H792" t="s">
        <v>78</v>
      </c>
      <c r="I792">
        <v>2</v>
      </c>
      <c r="J792" t="s">
        <v>57</v>
      </c>
      <c r="K792">
        <v>6397</v>
      </c>
      <c r="L792">
        <v>1</v>
      </c>
      <c r="M792" t="s">
        <v>41</v>
      </c>
      <c r="N792">
        <v>20</v>
      </c>
      <c r="O792">
        <v>4</v>
      </c>
      <c r="P792">
        <v>1</v>
      </c>
      <c r="Q792">
        <v>6</v>
      </c>
      <c r="R792">
        <v>6</v>
      </c>
      <c r="S792">
        <v>6</v>
      </c>
      <c r="T792">
        <v>1</v>
      </c>
      <c r="U792">
        <v>4</v>
      </c>
      <c r="V792" t="s">
        <v>58</v>
      </c>
      <c r="W792" s="1" t="s">
        <v>397</v>
      </c>
      <c r="Y792" t="s">
        <v>63</v>
      </c>
      <c r="Z792" t="s">
        <v>40</v>
      </c>
      <c r="AA792">
        <v>3</v>
      </c>
      <c r="AB792">
        <v>1</v>
      </c>
      <c r="AC792" t="s">
        <v>41</v>
      </c>
      <c r="AD792" t="s">
        <v>48</v>
      </c>
      <c r="AE792" t="s">
        <v>60</v>
      </c>
      <c r="AF792" s="3">
        <v>1099</v>
      </c>
      <c r="AG792" s="3">
        <v>34</v>
      </c>
      <c r="AH792">
        <v>80</v>
      </c>
      <c r="AI792">
        <v>2</v>
      </c>
      <c r="AJ792">
        <v>0</v>
      </c>
      <c r="AL792">
        <v>0</v>
      </c>
      <c r="AM792">
        <v>1</v>
      </c>
      <c r="AN792" t="s">
        <v>768</v>
      </c>
      <c r="AO792" t="s">
        <v>41</v>
      </c>
    </row>
    <row r="793" spans="1:41" x14ac:dyDescent="0.25">
      <c r="A793">
        <v>37</v>
      </c>
      <c r="B793" t="s">
        <v>32</v>
      </c>
      <c r="C793" t="s">
        <v>33</v>
      </c>
      <c r="D793">
        <v>5</v>
      </c>
      <c r="E793" t="s">
        <v>34</v>
      </c>
      <c r="F793">
        <v>3</v>
      </c>
      <c r="G793">
        <v>2</v>
      </c>
      <c r="H793" t="s">
        <v>78</v>
      </c>
      <c r="I793">
        <v>4</v>
      </c>
      <c r="J793" t="s">
        <v>57</v>
      </c>
      <c r="K793">
        <v>6347</v>
      </c>
      <c r="L793">
        <v>7</v>
      </c>
      <c r="M793" t="s">
        <v>41</v>
      </c>
      <c r="N793">
        <v>16</v>
      </c>
      <c r="O793">
        <v>3</v>
      </c>
      <c r="P793">
        <v>2</v>
      </c>
      <c r="Q793">
        <v>8</v>
      </c>
      <c r="R793">
        <v>2</v>
      </c>
      <c r="S793">
        <v>6</v>
      </c>
      <c r="T793">
        <v>0</v>
      </c>
      <c r="U793">
        <v>4</v>
      </c>
      <c r="V793" t="s">
        <v>37</v>
      </c>
      <c r="W793" s="1" t="s">
        <v>398</v>
      </c>
      <c r="Y793" t="s">
        <v>54</v>
      </c>
      <c r="Z793" t="s">
        <v>40</v>
      </c>
      <c r="AA793">
        <v>4</v>
      </c>
      <c r="AB793">
        <v>3</v>
      </c>
      <c r="AC793" t="s">
        <v>31</v>
      </c>
      <c r="AD793" t="s">
        <v>48</v>
      </c>
      <c r="AE793" t="s">
        <v>60</v>
      </c>
      <c r="AF793" s="3">
        <v>1100</v>
      </c>
      <c r="AG793" s="3">
        <v>86</v>
      </c>
      <c r="AH793">
        <v>80</v>
      </c>
      <c r="AI793">
        <v>7</v>
      </c>
      <c r="AJ793">
        <v>1</v>
      </c>
      <c r="AK793">
        <v>1</v>
      </c>
      <c r="AL793">
        <v>1</v>
      </c>
      <c r="AM793">
        <v>0</v>
      </c>
      <c r="AN793" t="s">
        <v>767</v>
      </c>
      <c r="AO793" t="s">
        <v>31</v>
      </c>
    </row>
    <row r="794" spans="1:41" x14ac:dyDescent="0.25">
      <c r="A794">
        <v>40</v>
      </c>
      <c r="B794" t="s">
        <v>32</v>
      </c>
      <c r="C794" t="s">
        <v>55</v>
      </c>
      <c r="D794">
        <v>22</v>
      </c>
      <c r="E794" t="s">
        <v>34</v>
      </c>
      <c r="F794">
        <v>2</v>
      </c>
      <c r="G794">
        <v>2</v>
      </c>
      <c r="H794" t="s">
        <v>70</v>
      </c>
      <c r="I794">
        <v>3</v>
      </c>
      <c r="J794" t="s">
        <v>51</v>
      </c>
      <c r="K794">
        <v>6380</v>
      </c>
      <c r="L794">
        <v>2</v>
      </c>
      <c r="M794" t="s">
        <v>31</v>
      </c>
      <c r="N794">
        <v>12</v>
      </c>
      <c r="O794">
        <v>3</v>
      </c>
      <c r="P794">
        <v>2</v>
      </c>
      <c r="Q794">
        <v>8</v>
      </c>
      <c r="R794">
        <v>6</v>
      </c>
      <c r="S794">
        <v>6</v>
      </c>
      <c r="T794">
        <v>1</v>
      </c>
      <c r="U794">
        <v>0</v>
      </c>
      <c r="V794" t="s">
        <v>58</v>
      </c>
      <c r="W794" s="2">
        <v>42343</v>
      </c>
      <c r="Y794" t="s">
        <v>39</v>
      </c>
      <c r="Z794" t="s">
        <v>47</v>
      </c>
      <c r="AA794">
        <v>4</v>
      </c>
      <c r="AB794">
        <v>3</v>
      </c>
      <c r="AC794" t="s">
        <v>31</v>
      </c>
      <c r="AD794" t="s">
        <v>42</v>
      </c>
      <c r="AE794" t="s">
        <v>43</v>
      </c>
      <c r="AF794" s="3">
        <v>1101</v>
      </c>
      <c r="AG794" s="3">
        <v>54</v>
      </c>
      <c r="AH794">
        <v>80</v>
      </c>
      <c r="AI794">
        <v>7</v>
      </c>
      <c r="AJ794">
        <v>1</v>
      </c>
      <c r="AK794">
        <v>1</v>
      </c>
      <c r="AL794">
        <v>1</v>
      </c>
      <c r="AM794">
        <v>0</v>
      </c>
      <c r="AN794" t="s">
        <v>767</v>
      </c>
      <c r="AO794" t="s">
        <v>31</v>
      </c>
    </row>
    <row r="795" spans="1:41" x14ac:dyDescent="0.25">
      <c r="A795">
        <v>26</v>
      </c>
      <c r="B795" t="s">
        <v>66</v>
      </c>
      <c r="C795" t="s">
        <v>33</v>
      </c>
      <c r="D795">
        <v>3</v>
      </c>
      <c r="E795" t="s">
        <v>34</v>
      </c>
      <c r="F795">
        <v>3</v>
      </c>
      <c r="G795">
        <v>1</v>
      </c>
      <c r="H795" t="s">
        <v>44</v>
      </c>
      <c r="I795">
        <v>1</v>
      </c>
      <c r="J795" t="s">
        <v>36</v>
      </c>
      <c r="K795">
        <v>3102</v>
      </c>
      <c r="L795">
        <v>0</v>
      </c>
      <c r="M795" t="s">
        <v>41</v>
      </c>
      <c r="N795">
        <v>22</v>
      </c>
      <c r="O795">
        <v>4</v>
      </c>
      <c r="P795">
        <v>0</v>
      </c>
      <c r="Q795">
        <v>7</v>
      </c>
      <c r="R795">
        <v>2</v>
      </c>
      <c r="S795">
        <v>6</v>
      </c>
      <c r="T795">
        <v>0</v>
      </c>
      <c r="U795">
        <v>4</v>
      </c>
      <c r="V795" t="s">
        <v>52</v>
      </c>
      <c r="W795" s="1" t="s">
        <v>399</v>
      </c>
      <c r="Y795" t="s">
        <v>54</v>
      </c>
      <c r="Z795" t="s">
        <v>47</v>
      </c>
      <c r="AA795">
        <v>5</v>
      </c>
      <c r="AB795">
        <v>0</v>
      </c>
      <c r="AC795" t="s">
        <v>41</v>
      </c>
      <c r="AD795" t="s">
        <v>67</v>
      </c>
      <c r="AE795" t="s">
        <v>43</v>
      </c>
      <c r="AF795" s="3">
        <v>1102</v>
      </c>
      <c r="AG795" s="3">
        <v>50</v>
      </c>
      <c r="AH795">
        <v>80</v>
      </c>
      <c r="AI795">
        <v>2</v>
      </c>
      <c r="AJ795">
        <v>0</v>
      </c>
      <c r="AL795">
        <v>0</v>
      </c>
      <c r="AM795">
        <v>1</v>
      </c>
      <c r="AN795" t="s">
        <v>768</v>
      </c>
      <c r="AO795" t="s">
        <v>41</v>
      </c>
    </row>
    <row r="796" spans="1:41" x14ac:dyDescent="0.25">
      <c r="A796">
        <v>42</v>
      </c>
      <c r="B796" t="s">
        <v>66</v>
      </c>
      <c r="C796" t="s">
        <v>33</v>
      </c>
      <c r="D796">
        <v>28</v>
      </c>
      <c r="E796" t="s">
        <v>61</v>
      </c>
      <c r="F796">
        <v>2</v>
      </c>
      <c r="G796">
        <v>2</v>
      </c>
      <c r="H796" t="s">
        <v>89</v>
      </c>
      <c r="I796">
        <v>4</v>
      </c>
      <c r="J796" t="s">
        <v>51</v>
      </c>
      <c r="K796">
        <v>4523</v>
      </c>
      <c r="L796">
        <v>0</v>
      </c>
      <c r="M796" t="s">
        <v>41</v>
      </c>
      <c r="N796">
        <v>11</v>
      </c>
      <c r="O796">
        <v>3</v>
      </c>
      <c r="P796">
        <v>3</v>
      </c>
      <c r="Q796">
        <v>7</v>
      </c>
      <c r="R796">
        <v>4</v>
      </c>
      <c r="S796">
        <v>6</v>
      </c>
      <c r="T796">
        <v>0</v>
      </c>
      <c r="U796">
        <v>4</v>
      </c>
      <c r="V796" t="s">
        <v>37</v>
      </c>
      <c r="W796" s="1" t="s">
        <v>400</v>
      </c>
      <c r="Y796" t="s">
        <v>63</v>
      </c>
      <c r="Z796" t="s">
        <v>40</v>
      </c>
      <c r="AA796">
        <v>4</v>
      </c>
      <c r="AB796">
        <v>3</v>
      </c>
      <c r="AC796" t="s">
        <v>41</v>
      </c>
      <c r="AD796" t="s">
        <v>42</v>
      </c>
      <c r="AE796" t="s">
        <v>60</v>
      </c>
      <c r="AF796" s="3">
        <v>1103</v>
      </c>
      <c r="AG796" s="3">
        <v>45</v>
      </c>
      <c r="AH796">
        <v>80</v>
      </c>
      <c r="AI796">
        <v>2</v>
      </c>
      <c r="AJ796">
        <v>0</v>
      </c>
      <c r="AL796">
        <v>0</v>
      </c>
      <c r="AM796">
        <v>1</v>
      </c>
      <c r="AN796" t="s">
        <v>768</v>
      </c>
      <c r="AO796" t="s">
        <v>41</v>
      </c>
    </row>
    <row r="797" spans="1:41" x14ac:dyDescent="0.25">
      <c r="A797">
        <v>31</v>
      </c>
      <c r="B797" t="s">
        <v>32</v>
      </c>
      <c r="C797" t="s">
        <v>55</v>
      </c>
      <c r="D797">
        <v>2</v>
      </c>
      <c r="E797" t="s">
        <v>34</v>
      </c>
      <c r="F797">
        <v>3</v>
      </c>
      <c r="G797">
        <v>2</v>
      </c>
      <c r="H797" t="s">
        <v>70</v>
      </c>
      <c r="I797">
        <v>4</v>
      </c>
      <c r="J797" t="s">
        <v>36</v>
      </c>
      <c r="K797">
        <v>6582</v>
      </c>
      <c r="L797">
        <v>4</v>
      </c>
      <c r="M797" t="s">
        <v>31</v>
      </c>
      <c r="N797">
        <v>13</v>
      </c>
      <c r="O797">
        <v>3</v>
      </c>
      <c r="P797">
        <v>0</v>
      </c>
      <c r="Q797">
        <v>10</v>
      </c>
      <c r="R797">
        <v>2</v>
      </c>
      <c r="S797">
        <v>6</v>
      </c>
      <c r="T797">
        <v>0</v>
      </c>
      <c r="U797">
        <v>5</v>
      </c>
      <c r="V797" t="s">
        <v>52</v>
      </c>
      <c r="W797" s="1" t="s">
        <v>401</v>
      </c>
      <c r="Y797" t="s">
        <v>39</v>
      </c>
      <c r="Z797" t="s">
        <v>47</v>
      </c>
      <c r="AA797">
        <v>1</v>
      </c>
      <c r="AB797">
        <v>1</v>
      </c>
      <c r="AC797" t="s">
        <v>41</v>
      </c>
      <c r="AD797" t="s">
        <v>67</v>
      </c>
      <c r="AE797" t="s">
        <v>49</v>
      </c>
      <c r="AF797" s="3">
        <v>1105</v>
      </c>
      <c r="AG797" s="3">
        <v>88</v>
      </c>
      <c r="AH797">
        <v>80</v>
      </c>
      <c r="AI797">
        <v>0</v>
      </c>
      <c r="AJ797">
        <v>0</v>
      </c>
      <c r="AL797">
        <v>0</v>
      </c>
      <c r="AM797">
        <v>1</v>
      </c>
      <c r="AN797" t="s">
        <v>768</v>
      </c>
      <c r="AO797" t="s">
        <v>41</v>
      </c>
    </row>
    <row r="798" spans="1:41" x14ac:dyDescent="0.25">
      <c r="A798">
        <v>33</v>
      </c>
      <c r="B798" t="s">
        <v>32</v>
      </c>
      <c r="C798" t="s">
        <v>33</v>
      </c>
      <c r="D798">
        <v>1</v>
      </c>
      <c r="E798" t="s">
        <v>61</v>
      </c>
      <c r="F798">
        <v>4</v>
      </c>
      <c r="G798">
        <v>4</v>
      </c>
      <c r="H798" t="s">
        <v>50</v>
      </c>
      <c r="I798">
        <v>3</v>
      </c>
      <c r="J798" t="s">
        <v>57</v>
      </c>
      <c r="K798">
        <v>16184</v>
      </c>
      <c r="L798">
        <v>4</v>
      </c>
      <c r="M798" t="s">
        <v>41</v>
      </c>
      <c r="N798">
        <v>19</v>
      </c>
      <c r="O798">
        <v>3</v>
      </c>
      <c r="P798">
        <v>1</v>
      </c>
      <c r="Q798">
        <v>10</v>
      </c>
      <c r="R798">
        <v>2</v>
      </c>
      <c r="S798">
        <v>6</v>
      </c>
      <c r="T798">
        <v>0</v>
      </c>
      <c r="U798">
        <v>5</v>
      </c>
      <c r="V798" t="s">
        <v>72</v>
      </c>
      <c r="W798" s="2">
        <v>42041</v>
      </c>
      <c r="Y798" t="s">
        <v>54</v>
      </c>
      <c r="Z798" t="s">
        <v>47</v>
      </c>
      <c r="AA798">
        <v>2</v>
      </c>
      <c r="AB798">
        <v>3</v>
      </c>
      <c r="AC798" t="s">
        <v>31</v>
      </c>
      <c r="AD798" t="s">
        <v>42</v>
      </c>
      <c r="AE798" t="s">
        <v>49</v>
      </c>
      <c r="AF798" s="3">
        <v>1106</v>
      </c>
      <c r="AG798" s="3">
        <v>32</v>
      </c>
      <c r="AH798">
        <v>80</v>
      </c>
      <c r="AI798">
        <v>7</v>
      </c>
      <c r="AJ798">
        <v>1</v>
      </c>
      <c r="AK798">
        <v>1</v>
      </c>
      <c r="AL798">
        <v>1</v>
      </c>
      <c r="AM798">
        <v>0</v>
      </c>
      <c r="AN798" t="s">
        <v>767</v>
      </c>
      <c r="AO798" t="s">
        <v>31</v>
      </c>
    </row>
    <row r="799" spans="1:41" x14ac:dyDescent="0.25">
      <c r="A799">
        <v>37</v>
      </c>
      <c r="B799" t="s">
        <v>32</v>
      </c>
      <c r="C799" t="s">
        <v>33</v>
      </c>
      <c r="D799">
        <v>1</v>
      </c>
      <c r="E799" t="s">
        <v>61</v>
      </c>
      <c r="F799">
        <v>3</v>
      </c>
      <c r="G799">
        <v>3</v>
      </c>
      <c r="H799" t="s">
        <v>78</v>
      </c>
      <c r="I799">
        <v>4</v>
      </c>
      <c r="J799" t="s">
        <v>36</v>
      </c>
      <c r="K799">
        <v>7491</v>
      </c>
      <c r="L799">
        <v>4</v>
      </c>
      <c r="M799" t="s">
        <v>41</v>
      </c>
      <c r="N799">
        <v>17</v>
      </c>
      <c r="O799">
        <v>3</v>
      </c>
      <c r="P799">
        <v>0</v>
      </c>
      <c r="Q799">
        <v>12</v>
      </c>
      <c r="R799">
        <v>3</v>
      </c>
      <c r="S799">
        <v>6</v>
      </c>
      <c r="T799">
        <v>1</v>
      </c>
      <c r="U799">
        <v>2</v>
      </c>
      <c r="V799" t="s">
        <v>58</v>
      </c>
      <c r="W799" s="2">
        <v>42190</v>
      </c>
      <c r="Y799" t="s">
        <v>63</v>
      </c>
      <c r="Z799" t="s">
        <v>40</v>
      </c>
      <c r="AA799">
        <v>1</v>
      </c>
      <c r="AB799">
        <v>0</v>
      </c>
      <c r="AC799" t="s">
        <v>41</v>
      </c>
      <c r="AD799" t="s">
        <v>42</v>
      </c>
      <c r="AE799" t="s">
        <v>49</v>
      </c>
      <c r="AF799" s="3">
        <v>1107</v>
      </c>
      <c r="AG799" s="3">
        <v>37</v>
      </c>
      <c r="AH799">
        <v>80</v>
      </c>
      <c r="AI799">
        <v>1</v>
      </c>
      <c r="AJ799">
        <v>1</v>
      </c>
      <c r="AK799">
        <v>1</v>
      </c>
      <c r="AL799">
        <v>1</v>
      </c>
      <c r="AM799">
        <v>0</v>
      </c>
      <c r="AN799" t="s">
        <v>767</v>
      </c>
      <c r="AO799" t="s">
        <v>31</v>
      </c>
    </row>
    <row r="800" spans="1:41" x14ac:dyDescent="0.25">
      <c r="A800">
        <v>37</v>
      </c>
      <c r="B800" t="s">
        <v>32</v>
      </c>
      <c r="C800" t="s">
        <v>33</v>
      </c>
      <c r="D800">
        <v>1</v>
      </c>
      <c r="E800" t="s">
        <v>61</v>
      </c>
      <c r="F800">
        <v>3</v>
      </c>
      <c r="G800">
        <v>2</v>
      </c>
      <c r="H800" t="s">
        <v>78</v>
      </c>
      <c r="I800">
        <v>2</v>
      </c>
      <c r="J800" t="s">
        <v>51</v>
      </c>
      <c r="K800">
        <v>6447</v>
      </c>
      <c r="L800">
        <v>6</v>
      </c>
      <c r="M800" t="s">
        <v>41</v>
      </c>
      <c r="N800">
        <v>12</v>
      </c>
      <c r="O800">
        <v>3</v>
      </c>
      <c r="P800">
        <v>1</v>
      </c>
      <c r="Q800">
        <v>8</v>
      </c>
      <c r="R800">
        <v>2</v>
      </c>
      <c r="S800">
        <v>6</v>
      </c>
      <c r="T800">
        <v>4</v>
      </c>
      <c r="U800">
        <v>3</v>
      </c>
      <c r="V800" t="s">
        <v>37</v>
      </c>
      <c r="W800" s="1" t="s">
        <v>402</v>
      </c>
      <c r="Y800" t="s">
        <v>54</v>
      </c>
      <c r="Z800" t="s">
        <v>40</v>
      </c>
      <c r="AA800">
        <v>3</v>
      </c>
      <c r="AB800">
        <v>0</v>
      </c>
      <c r="AC800" t="s">
        <v>31</v>
      </c>
      <c r="AD800" t="s">
        <v>42</v>
      </c>
      <c r="AE800" t="s">
        <v>60</v>
      </c>
      <c r="AF800" s="3">
        <v>1108</v>
      </c>
      <c r="AG800" s="3">
        <v>55</v>
      </c>
      <c r="AH800">
        <v>80</v>
      </c>
      <c r="AI800">
        <v>2</v>
      </c>
      <c r="AJ800">
        <v>1</v>
      </c>
      <c r="AK800">
        <v>1</v>
      </c>
      <c r="AL800">
        <v>1</v>
      </c>
      <c r="AM800">
        <v>0</v>
      </c>
      <c r="AN800" t="s">
        <v>767</v>
      </c>
      <c r="AO800" t="s">
        <v>31</v>
      </c>
    </row>
    <row r="801" spans="1:41" x14ac:dyDescent="0.25">
      <c r="A801">
        <v>24</v>
      </c>
      <c r="B801" t="s">
        <v>32</v>
      </c>
      <c r="C801" t="s">
        <v>33</v>
      </c>
      <c r="D801">
        <v>23</v>
      </c>
      <c r="E801" t="s">
        <v>34</v>
      </c>
      <c r="F801">
        <v>4</v>
      </c>
      <c r="G801">
        <v>1</v>
      </c>
      <c r="H801" t="s">
        <v>44</v>
      </c>
      <c r="I801">
        <v>4</v>
      </c>
      <c r="J801" t="s">
        <v>51</v>
      </c>
      <c r="K801">
        <v>2725</v>
      </c>
      <c r="L801">
        <v>1</v>
      </c>
      <c r="M801" t="s">
        <v>31</v>
      </c>
      <c r="N801">
        <v>11</v>
      </c>
      <c r="O801">
        <v>3</v>
      </c>
      <c r="P801">
        <v>2</v>
      </c>
      <c r="Q801">
        <v>6</v>
      </c>
      <c r="R801">
        <v>3</v>
      </c>
      <c r="S801">
        <v>6</v>
      </c>
      <c r="T801">
        <v>1</v>
      </c>
      <c r="U801">
        <v>4</v>
      </c>
      <c r="V801" t="s">
        <v>52</v>
      </c>
      <c r="W801" s="1" t="s">
        <v>403</v>
      </c>
      <c r="Y801" t="s">
        <v>63</v>
      </c>
      <c r="Z801" t="s">
        <v>40</v>
      </c>
      <c r="AA801">
        <v>1</v>
      </c>
      <c r="AB801">
        <v>3</v>
      </c>
      <c r="AC801" t="s">
        <v>41</v>
      </c>
      <c r="AD801" t="s">
        <v>65</v>
      </c>
      <c r="AE801" t="s">
        <v>49</v>
      </c>
      <c r="AF801" s="3">
        <v>1109</v>
      </c>
      <c r="AG801" s="3">
        <v>35</v>
      </c>
      <c r="AH801">
        <v>80</v>
      </c>
      <c r="AI801">
        <v>6</v>
      </c>
      <c r="AJ801">
        <v>0</v>
      </c>
      <c r="AL801">
        <v>0</v>
      </c>
      <c r="AM801">
        <v>1</v>
      </c>
      <c r="AN801" t="s">
        <v>768</v>
      </c>
      <c r="AO801" t="s">
        <v>41</v>
      </c>
    </row>
    <row r="802" spans="1:41" x14ac:dyDescent="0.25">
      <c r="A802">
        <v>24</v>
      </c>
      <c r="B802" t="s">
        <v>66</v>
      </c>
      <c r="C802" t="s">
        <v>33</v>
      </c>
      <c r="D802">
        <v>7</v>
      </c>
      <c r="E802" t="s">
        <v>61</v>
      </c>
      <c r="F802">
        <v>3</v>
      </c>
      <c r="G802">
        <v>1</v>
      </c>
      <c r="H802" t="s">
        <v>35</v>
      </c>
      <c r="I802">
        <v>3</v>
      </c>
      <c r="J802" t="s">
        <v>51</v>
      </c>
      <c r="K802">
        <v>2886</v>
      </c>
      <c r="L802">
        <v>1</v>
      </c>
      <c r="M802" t="s">
        <v>31</v>
      </c>
      <c r="N802">
        <v>16</v>
      </c>
      <c r="O802">
        <v>3</v>
      </c>
      <c r="P802">
        <v>1</v>
      </c>
      <c r="Q802">
        <v>6</v>
      </c>
      <c r="R802">
        <v>4</v>
      </c>
      <c r="S802">
        <v>6</v>
      </c>
      <c r="T802">
        <v>1</v>
      </c>
      <c r="U802">
        <v>2</v>
      </c>
      <c r="V802" t="s">
        <v>58</v>
      </c>
      <c r="W802" s="2">
        <v>42005</v>
      </c>
      <c r="Y802" t="s">
        <v>46</v>
      </c>
      <c r="Z802" t="s">
        <v>47</v>
      </c>
      <c r="AA802">
        <v>0</v>
      </c>
      <c r="AB802">
        <v>0</v>
      </c>
      <c r="AC802" t="s">
        <v>31</v>
      </c>
      <c r="AD802" t="s">
        <v>67</v>
      </c>
      <c r="AE802" t="s">
        <v>43</v>
      </c>
      <c r="AF802" s="3">
        <v>1111</v>
      </c>
      <c r="AG802" s="3">
        <v>45</v>
      </c>
      <c r="AH802">
        <v>80</v>
      </c>
      <c r="AI802">
        <v>0</v>
      </c>
      <c r="AJ802">
        <v>1</v>
      </c>
      <c r="AK802">
        <v>1</v>
      </c>
      <c r="AL802">
        <v>1</v>
      </c>
      <c r="AM802">
        <v>0</v>
      </c>
      <c r="AN802" t="s">
        <v>767</v>
      </c>
      <c r="AO802" t="s">
        <v>31</v>
      </c>
    </row>
    <row r="803" spans="1:41" x14ac:dyDescent="0.25">
      <c r="A803">
        <v>34</v>
      </c>
      <c r="B803" t="s">
        <v>32</v>
      </c>
      <c r="C803" t="s">
        <v>33</v>
      </c>
      <c r="D803">
        <v>1</v>
      </c>
      <c r="E803" t="s">
        <v>34</v>
      </c>
      <c r="F803">
        <v>2</v>
      </c>
      <c r="G803">
        <v>1</v>
      </c>
      <c r="H803" t="s">
        <v>44</v>
      </c>
      <c r="I803">
        <v>4</v>
      </c>
      <c r="J803" t="s">
        <v>51</v>
      </c>
      <c r="K803">
        <v>3622</v>
      </c>
      <c r="L803">
        <v>1</v>
      </c>
      <c r="M803" t="s">
        <v>31</v>
      </c>
      <c r="N803">
        <v>13</v>
      </c>
      <c r="O803">
        <v>3</v>
      </c>
      <c r="P803">
        <v>1</v>
      </c>
      <c r="Q803">
        <v>6</v>
      </c>
      <c r="R803">
        <v>3</v>
      </c>
      <c r="S803">
        <v>6</v>
      </c>
      <c r="T803">
        <v>1</v>
      </c>
      <c r="U803">
        <v>3</v>
      </c>
      <c r="V803" t="s">
        <v>72</v>
      </c>
      <c r="W803" s="1" t="s">
        <v>404</v>
      </c>
      <c r="Y803" t="s">
        <v>69</v>
      </c>
      <c r="Z803" t="s">
        <v>47</v>
      </c>
      <c r="AA803">
        <v>3</v>
      </c>
      <c r="AB803">
        <v>1</v>
      </c>
      <c r="AC803" t="s">
        <v>31</v>
      </c>
      <c r="AD803" t="s">
        <v>42</v>
      </c>
      <c r="AE803" t="s">
        <v>49</v>
      </c>
      <c r="AF803" s="3">
        <v>1113</v>
      </c>
      <c r="AG803" s="3">
        <v>81</v>
      </c>
      <c r="AH803">
        <v>80</v>
      </c>
      <c r="AI803">
        <v>0</v>
      </c>
      <c r="AJ803">
        <v>1</v>
      </c>
      <c r="AK803">
        <v>1</v>
      </c>
      <c r="AL803">
        <v>1</v>
      </c>
      <c r="AM803">
        <v>0</v>
      </c>
      <c r="AN803" t="s">
        <v>767</v>
      </c>
      <c r="AO803" t="s">
        <v>31</v>
      </c>
    </row>
    <row r="804" spans="1:41" x14ac:dyDescent="0.25">
      <c r="A804">
        <v>32</v>
      </c>
      <c r="B804" t="s">
        <v>32</v>
      </c>
      <c r="C804" t="s">
        <v>33</v>
      </c>
      <c r="D804">
        <v>9</v>
      </c>
      <c r="E804" t="s">
        <v>61</v>
      </c>
      <c r="F804">
        <v>3</v>
      </c>
      <c r="G804">
        <v>2</v>
      </c>
      <c r="H804" t="s">
        <v>44</v>
      </c>
      <c r="I804">
        <v>4</v>
      </c>
      <c r="J804" t="s">
        <v>51</v>
      </c>
      <c r="K804">
        <v>6322</v>
      </c>
      <c r="L804">
        <v>1</v>
      </c>
      <c r="M804" t="s">
        <v>31</v>
      </c>
      <c r="N804">
        <v>12</v>
      </c>
      <c r="O804">
        <v>3</v>
      </c>
      <c r="P804">
        <v>1</v>
      </c>
      <c r="Q804">
        <v>6</v>
      </c>
      <c r="R804">
        <v>2</v>
      </c>
      <c r="S804">
        <v>6</v>
      </c>
      <c r="T804">
        <v>0</v>
      </c>
      <c r="U804">
        <v>5</v>
      </c>
      <c r="V804" t="s">
        <v>52</v>
      </c>
      <c r="W804" s="1" t="s">
        <v>405</v>
      </c>
      <c r="Y804" t="s">
        <v>54</v>
      </c>
      <c r="Z804" t="s">
        <v>47</v>
      </c>
      <c r="AA804">
        <v>4</v>
      </c>
      <c r="AB804">
        <v>3</v>
      </c>
      <c r="AC804" t="s">
        <v>31</v>
      </c>
      <c r="AD804" t="s">
        <v>65</v>
      </c>
      <c r="AE804" t="s">
        <v>43</v>
      </c>
      <c r="AF804" s="3">
        <v>1114</v>
      </c>
      <c r="AG804" s="3">
        <v>30</v>
      </c>
      <c r="AH804">
        <v>80</v>
      </c>
      <c r="AI804">
        <v>2</v>
      </c>
      <c r="AJ804">
        <v>0</v>
      </c>
      <c r="AL804">
        <v>0</v>
      </c>
      <c r="AM804">
        <v>1</v>
      </c>
      <c r="AN804" t="s">
        <v>768</v>
      </c>
      <c r="AO804" t="s">
        <v>41</v>
      </c>
    </row>
    <row r="805" spans="1:41" x14ac:dyDescent="0.25">
      <c r="A805">
        <v>29</v>
      </c>
      <c r="B805" t="s">
        <v>32</v>
      </c>
      <c r="C805" t="s">
        <v>55</v>
      </c>
      <c r="D805">
        <v>3</v>
      </c>
      <c r="E805" t="s">
        <v>61</v>
      </c>
      <c r="F805">
        <v>3</v>
      </c>
      <c r="G805">
        <v>2</v>
      </c>
      <c r="H805" t="s">
        <v>70</v>
      </c>
      <c r="I805">
        <v>3</v>
      </c>
      <c r="J805" t="s">
        <v>51</v>
      </c>
      <c r="K805">
        <v>5561</v>
      </c>
      <c r="L805">
        <v>1</v>
      </c>
      <c r="M805" t="s">
        <v>41</v>
      </c>
      <c r="N805">
        <v>14</v>
      </c>
      <c r="O805">
        <v>3</v>
      </c>
      <c r="P805">
        <v>1</v>
      </c>
      <c r="Q805">
        <v>6</v>
      </c>
      <c r="R805">
        <v>5</v>
      </c>
      <c r="S805">
        <v>6</v>
      </c>
      <c r="T805">
        <v>1</v>
      </c>
      <c r="U805">
        <v>2</v>
      </c>
      <c r="V805" t="s">
        <v>37</v>
      </c>
      <c r="W805" s="1" t="s">
        <v>406</v>
      </c>
      <c r="Y805" t="s">
        <v>63</v>
      </c>
      <c r="Z805" t="s">
        <v>40</v>
      </c>
      <c r="AA805">
        <v>0</v>
      </c>
      <c r="AB805">
        <v>1</v>
      </c>
      <c r="AC805" t="s">
        <v>31</v>
      </c>
      <c r="AD805" t="s">
        <v>48</v>
      </c>
      <c r="AE805" t="s">
        <v>60</v>
      </c>
      <c r="AF805" s="3">
        <v>1115</v>
      </c>
      <c r="AG805" s="3">
        <v>40</v>
      </c>
      <c r="AH805">
        <v>80</v>
      </c>
      <c r="AI805">
        <v>0</v>
      </c>
      <c r="AJ805">
        <v>0</v>
      </c>
      <c r="AL805">
        <v>0</v>
      </c>
      <c r="AM805">
        <v>1</v>
      </c>
      <c r="AN805" t="s">
        <v>768</v>
      </c>
      <c r="AO805" t="s">
        <v>41</v>
      </c>
    </row>
    <row r="806" spans="1:41" x14ac:dyDescent="0.25">
      <c r="A806">
        <v>27</v>
      </c>
      <c r="B806" t="s">
        <v>66</v>
      </c>
      <c r="C806" t="s">
        <v>55</v>
      </c>
      <c r="D806">
        <v>3</v>
      </c>
      <c r="E806" t="s">
        <v>61</v>
      </c>
      <c r="F806">
        <v>4</v>
      </c>
      <c r="G806">
        <v>2</v>
      </c>
      <c r="H806" t="s">
        <v>70</v>
      </c>
      <c r="I806">
        <v>4</v>
      </c>
      <c r="J806" t="s">
        <v>57</v>
      </c>
      <c r="K806">
        <v>4647</v>
      </c>
      <c r="L806">
        <v>1</v>
      </c>
      <c r="M806" t="s">
        <v>31</v>
      </c>
      <c r="N806">
        <v>20</v>
      </c>
      <c r="O806">
        <v>4</v>
      </c>
      <c r="P806">
        <v>2</v>
      </c>
      <c r="Q806">
        <v>6</v>
      </c>
      <c r="R806">
        <v>3</v>
      </c>
      <c r="S806">
        <v>6</v>
      </c>
      <c r="T806">
        <v>0</v>
      </c>
      <c r="U806">
        <v>4</v>
      </c>
      <c r="V806" t="s">
        <v>58</v>
      </c>
      <c r="W806" s="2">
        <v>42342</v>
      </c>
      <c r="Y806" t="s">
        <v>39</v>
      </c>
      <c r="Z806" t="s">
        <v>47</v>
      </c>
      <c r="AA806">
        <v>4</v>
      </c>
      <c r="AB806">
        <v>2</v>
      </c>
      <c r="AC806" t="s">
        <v>31</v>
      </c>
      <c r="AD806" t="s">
        <v>42</v>
      </c>
      <c r="AE806" t="s">
        <v>43</v>
      </c>
      <c r="AF806" s="3">
        <v>1116</v>
      </c>
      <c r="AG806" s="3">
        <v>35</v>
      </c>
      <c r="AH806">
        <v>80</v>
      </c>
      <c r="AI806">
        <v>4</v>
      </c>
      <c r="AJ806">
        <v>0</v>
      </c>
      <c r="AL806">
        <v>0</v>
      </c>
      <c r="AM806">
        <v>1</v>
      </c>
      <c r="AN806" t="s">
        <v>768</v>
      </c>
      <c r="AO806" t="s">
        <v>41</v>
      </c>
    </row>
    <row r="807" spans="1:41" x14ac:dyDescent="0.25">
      <c r="A807">
        <v>25</v>
      </c>
      <c r="B807" t="s">
        <v>32</v>
      </c>
      <c r="C807" t="s">
        <v>55</v>
      </c>
      <c r="D807">
        <v>26</v>
      </c>
      <c r="E807" t="s">
        <v>61</v>
      </c>
      <c r="F807">
        <v>3</v>
      </c>
      <c r="G807">
        <v>2</v>
      </c>
      <c r="H807" t="s">
        <v>70</v>
      </c>
      <c r="I807">
        <v>4</v>
      </c>
      <c r="J807" t="s">
        <v>36</v>
      </c>
      <c r="K807">
        <v>6180</v>
      </c>
      <c r="L807">
        <v>1</v>
      </c>
      <c r="M807" t="s">
        <v>41</v>
      </c>
      <c r="N807">
        <v>23</v>
      </c>
      <c r="O807">
        <v>4</v>
      </c>
      <c r="P807">
        <v>0</v>
      </c>
      <c r="Q807">
        <v>6</v>
      </c>
      <c r="R807">
        <v>5</v>
      </c>
      <c r="S807">
        <v>6</v>
      </c>
      <c r="T807">
        <v>1</v>
      </c>
      <c r="U807">
        <v>4</v>
      </c>
      <c r="V807" t="s">
        <v>37</v>
      </c>
      <c r="W807" s="2">
        <v>42095</v>
      </c>
      <c r="Y807" t="s">
        <v>63</v>
      </c>
      <c r="Z807" t="s">
        <v>47</v>
      </c>
      <c r="AA807">
        <v>3</v>
      </c>
      <c r="AB807">
        <v>0</v>
      </c>
      <c r="AC807" t="s">
        <v>41</v>
      </c>
      <c r="AD807" t="s">
        <v>48</v>
      </c>
      <c r="AE807" t="s">
        <v>49</v>
      </c>
      <c r="AF807" s="3">
        <v>1117</v>
      </c>
      <c r="AG807" s="3">
        <v>65</v>
      </c>
      <c r="AH807">
        <v>80</v>
      </c>
      <c r="AI807">
        <v>10</v>
      </c>
      <c r="AJ807">
        <v>0</v>
      </c>
      <c r="AL807">
        <v>0</v>
      </c>
      <c r="AM807">
        <v>1</v>
      </c>
      <c r="AN807" t="s">
        <v>768</v>
      </c>
      <c r="AO807" t="s">
        <v>41</v>
      </c>
    </row>
    <row r="808" spans="1:41" x14ac:dyDescent="0.25">
      <c r="A808">
        <v>34</v>
      </c>
      <c r="B808" t="s">
        <v>32</v>
      </c>
      <c r="C808" t="s">
        <v>55</v>
      </c>
      <c r="D808">
        <v>2</v>
      </c>
      <c r="E808" t="s">
        <v>34</v>
      </c>
      <c r="F808">
        <v>3</v>
      </c>
      <c r="G808">
        <v>2</v>
      </c>
      <c r="H808" t="s">
        <v>70</v>
      </c>
      <c r="I808">
        <v>4</v>
      </c>
      <c r="J808" t="s">
        <v>36</v>
      </c>
      <c r="K808">
        <v>6274</v>
      </c>
      <c r="L808">
        <v>1</v>
      </c>
      <c r="M808" t="s">
        <v>41</v>
      </c>
      <c r="N808">
        <v>22</v>
      </c>
      <c r="O808">
        <v>4</v>
      </c>
      <c r="P808">
        <v>0</v>
      </c>
      <c r="Q808">
        <v>6</v>
      </c>
      <c r="R808">
        <v>5</v>
      </c>
      <c r="S808">
        <v>6</v>
      </c>
      <c r="T808">
        <v>1</v>
      </c>
      <c r="U808">
        <v>4</v>
      </c>
      <c r="V808" t="s">
        <v>52</v>
      </c>
      <c r="W808" s="2">
        <v>42098</v>
      </c>
      <c r="Y808" t="s">
        <v>69</v>
      </c>
      <c r="Z808" t="s">
        <v>40</v>
      </c>
      <c r="AA808">
        <v>1</v>
      </c>
      <c r="AB808">
        <v>1</v>
      </c>
      <c r="AC808" t="s">
        <v>31</v>
      </c>
      <c r="AD808" t="s">
        <v>48</v>
      </c>
      <c r="AE808" t="s">
        <v>43</v>
      </c>
      <c r="AF808" s="3">
        <v>1118</v>
      </c>
      <c r="AG808" s="3">
        <v>87</v>
      </c>
      <c r="AH808">
        <v>80</v>
      </c>
      <c r="AI808">
        <v>6</v>
      </c>
      <c r="AJ808">
        <v>0</v>
      </c>
      <c r="AL808">
        <v>0</v>
      </c>
      <c r="AM808">
        <v>1</v>
      </c>
      <c r="AN808" t="s">
        <v>768</v>
      </c>
      <c r="AO808" t="s">
        <v>41</v>
      </c>
    </row>
    <row r="809" spans="1:41" x14ac:dyDescent="0.25">
      <c r="A809">
        <v>34</v>
      </c>
      <c r="B809" t="s">
        <v>32</v>
      </c>
      <c r="C809" t="s">
        <v>33</v>
      </c>
      <c r="D809">
        <v>2</v>
      </c>
      <c r="E809" t="s">
        <v>61</v>
      </c>
      <c r="F809">
        <v>2</v>
      </c>
      <c r="G809">
        <v>1</v>
      </c>
      <c r="H809" t="s">
        <v>44</v>
      </c>
      <c r="I809">
        <v>1</v>
      </c>
      <c r="J809" t="s">
        <v>36</v>
      </c>
      <c r="K809">
        <v>4381</v>
      </c>
      <c r="L809">
        <v>1</v>
      </c>
      <c r="M809" t="s">
        <v>41</v>
      </c>
      <c r="N809">
        <v>11</v>
      </c>
      <c r="O809">
        <v>3</v>
      </c>
      <c r="P809">
        <v>0</v>
      </c>
      <c r="Q809">
        <v>6</v>
      </c>
      <c r="R809">
        <v>3</v>
      </c>
      <c r="S809">
        <v>6</v>
      </c>
      <c r="T809">
        <v>1</v>
      </c>
      <c r="U809">
        <v>3</v>
      </c>
      <c r="V809" t="s">
        <v>37</v>
      </c>
      <c r="W809" s="2">
        <v>42217</v>
      </c>
      <c r="Y809" t="s">
        <v>54</v>
      </c>
      <c r="Z809" t="s">
        <v>47</v>
      </c>
      <c r="AA809">
        <v>1</v>
      </c>
      <c r="AB809">
        <v>3</v>
      </c>
      <c r="AC809" t="s">
        <v>31</v>
      </c>
      <c r="AD809" t="s">
        <v>48</v>
      </c>
      <c r="AE809" t="s">
        <v>60</v>
      </c>
      <c r="AF809" s="3">
        <v>1119</v>
      </c>
      <c r="AG809" s="3">
        <v>73</v>
      </c>
      <c r="AH809">
        <v>80</v>
      </c>
      <c r="AI809">
        <v>7</v>
      </c>
      <c r="AJ809">
        <v>0</v>
      </c>
      <c r="AL809">
        <v>0</v>
      </c>
      <c r="AM809">
        <v>1</v>
      </c>
      <c r="AN809" t="s">
        <v>768</v>
      </c>
      <c r="AO809" t="s">
        <v>41</v>
      </c>
    </row>
    <row r="810" spans="1:41" x14ac:dyDescent="0.25">
      <c r="A810">
        <v>35</v>
      </c>
      <c r="B810" t="s">
        <v>32</v>
      </c>
      <c r="C810" t="s">
        <v>33</v>
      </c>
      <c r="D810">
        <v>27</v>
      </c>
      <c r="E810" t="s">
        <v>61</v>
      </c>
      <c r="F810">
        <v>2</v>
      </c>
      <c r="G810">
        <v>1</v>
      </c>
      <c r="H810" t="s">
        <v>44</v>
      </c>
      <c r="I810">
        <v>1</v>
      </c>
      <c r="J810" t="s">
        <v>36</v>
      </c>
      <c r="K810">
        <v>2559</v>
      </c>
      <c r="L810">
        <v>1</v>
      </c>
      <c r="M810" t="s">
        <v>41</v>
      </c>
      <c r="N810">
        <v>11</v>
      </c>
      <c r="O810">
        <v>3</v>
      </c>
      <c r="P810">
        <v>0</v>
      </c>
      <c r="Q810">
        <v>6</v>
      </c>
      <c r="R810">
        <v>3</v>
      </c>
      <c r="S810">
        <v>6</v>
      </c>
      <c r="T810">
        <v>1</v>
      </c>
      <c r="U810">
        <v>1</v>
      </c>
      <c r="V810" t="s">
        <v>72</v>
      </c>
      <c r="W810" s="2">
        <v>42069</v>
      </c>
      <c r="Y810" t="s">
        <v>69</v>
      </c>
      <c r="Z810" t="s">
        <v>40</v>
      </c>
      <c r="AA810">
        <v>1</v>
      </c>
      <c r="AB810">
        <v>3</v>
      </c>
      <c r="AC810" t="s">
        <v>31</v>
      </c>
      <c r="AD810" t="s">
        <v>48</v>
      </c>
      <c r="AE810" t="s">
        <v>60</v>
      </c>
      <c r="AF810" s="3">
        <v>1120</v>
      </c>
      <c r="AG810" s="3">
        <v>93</v>
      </c>
      <c r="AH810">
        <v>80</v>
      </c>
      <c r="AI810">
        <v>5</v>
      </c>
      <c r="AJ810">
        <v>0</v>
      </c>
      <c r="AL810">
        <v>0</v>
      </c>
      <c r="AM810">
        <v>1</v>
      </c>
      <c r="AN810" t="s">
        <v>768</v>
      </c>
      <c r="AO810" t="s">
        <v>41</v>
      </c>
    </row>
    <row r="811" spans="1:41" x14ac:dyDescent="0.25">
      <c r="A811">
        <v>31</v>
      </c>
      <c r="B811" t="s">
        <v>32</v>
      </c>
      <c r="C811" t="s">
        <v>33</v>
      </c>
      <c r="D811">
        <v>11</v>
      </c>
      <c r="E811" t="s">
        <v>34</v>
      </c>
      <c r="F811">
        <v>3</v>
      </c>
      <c r="G811">
        <v>1</v>
      </c>
      <c r="H811" t="s">
        <v>44</v>
      </c>
      <c r="I811">
        <v>4</v>
      </c>
      <c r="J811" t="s">
        <v>51</v>
      </c>
      <c r="K811">
        <v>2356</v>
      </c>
      <c r="L811">
        <v>3</v>
      </c>
      <c r="M811" t="s">
        <v>31</v>
      </c>
      <c r="N811">
        <v>19</v>
      </c>
      <c r="O811">
        <v>3</v>
      </c>
      <c r="P811">
        <v>1</v>
      </c>
      <c r="Q811">
        <v>8</v>
      </c>
      <c r="R811">
        <v>2</v>
      </c>
      <c r="S811">
        <v>6</v>
      </c>
      <c r="T811">
        <v>0</v>
      </c>
      <c r="U811">
        <v>2</v>
      </c>
      <c r="V811" t="s">
        <v>58</v>
      </c>
      <c r="W811" s="1" t="s">
        <v>407</v>
      </c>
      <c r="Y811" t="s">
        <v>69</v>
      </c>
      <c r="Z811" t="s">
        <v>40</v>
      </c>
      <c r="AA811">
        <v>3</v>
      </c>
      <c r="AB811">
        <v>1</v>
      </c>
      <c r="AC811" t="s">
        <v>41</v>
      </c>
      <c r="AD811" t="s">
        <v>48</v>
      </c>
      <c r="AE811" t="s">
        <v>43</v>
      </c>
      <c r="AF811" s="3">
        <v>1121</v>
      </c>
      <c r="AG811" s="3">
        <v>93</v>
      </c>
      <c r="AH811">
        <v>80</v>
      </c>
      <c r="AI811">
        <v>7</v>
      </c>
      <c r="AJ811">
        <v>0</v>
      </c>
      <c r="AL811">
        <v>0</v>
      </c>
      <c r="AM811">
        <v>1</v>
      </c>
      <c r="AN811" t="s">
        <v>768</v>
      </c>
      <c r="AO811" t="s">
        <v>41</v>
      </c>
    </row>
    <row r="812" spans="1:41" x14ac:dyDescent="0.25">
      <c r="A812">
        <v>58</v>
      </c>
      <c r="B812" t="s">
        <v>32</v>
      </c>
      <c r="C812" t="s">
        <v>33</v>
      </c>
      <c r="D812">
        <v>5</v>
      </c>
      <c r="E812" t="s">
        <v>61</v>
      </c>
      <c r="F812">
        <v>2</v>
      </c>
      <c r="G812">
        <v>3</v>
      </c>
      <c r="H812" t="s">
        <v>89</v>
      </c>
      <c r="I812">
        <v>2</v>
      </c>
      <c r="J812" t="s">
        <v>57</v>
      </c>
      <c r="K812">
        <v>10552</v>
      </c>
      <c r="L812">
        <v>2</v>
      </c>
      <c r="M812" t="s">
        <v>31</v>
      </c>
      <c r="N812">
        <v>13</v>
      </c>
      <c r="O812">
        <v>3</v>
      </c>
      <c r="P812">
        <v>1</v>
      </c>
      <c r="Q812">
        <v>24</v>
      </c>
      <c r="R812">
        <v>3</v>
      </c>
      <c r="S812">
        <v>6</v>
      </c>
      <c r="T812">
        <v>0</v>
      </c>
      <c r="U812">
        <v>4</v>
      </c>
      <c r="V812" t="s">
        <v>72</v>
      </c>
      <c r="W812" s="1" t="s">
        <v>408</v>
      </c>
      <c r="Y812" t="s">
        <v>39</v>
      </c>
      <c r="Z812" t="s">
        <v>47</v>
      </c>
      <c r="AA812">
        <v>1</v>
      </c>
      <c r="AB812">
        <v>2</v>
      </c>
      <c r="AC812" t="s">
        <v>41</v>
      </c>
      <c r="AD812" t="s">
        <v>65</v>
      </c>
      <c r="AE812" t="s">
        <v>49</v>
      </c>
      <c r="AF812" s="3">
        <v>1124</v>
      </c>
      <c r="AG812" s="3">
        <v>52</v>
      </c>
      <c r="AH812">
        <v>80</v>
      </c>
      <c r="AI812">
        <v>9</v>
      </c>
      <c r="AJ812">
        <v>0</v>
      </c>
      <c r="AL812">
        <v>0</v>
      </c>
      <c r="AM812">
        <v>1</v>
      </c>
      <c r="AN812" t="s">
        <v>768</v>
      </c>
      <c r="AO812" t="s">
        <v>41</v>
      </c>
    </row>
    <row r="813" spans="1:41" x14ac:dyDescent="0.25">
      <c r="A813">
        <v>36</v>
      </c>
      <c r="B813" t="s">
        <v>32</v>
      </c>
      <c r="C813" t="s">
        <v>33</v>
      </c>
      <c r="D813">
        <v>7</v>
      </c>
      <c r="E813" t="s">
        <v>34</v>
      </c>
      <c r="F813">
        <v>3</v>
      </c>
      <c r="G813">
        <v>1</v>
      </c>
      <c r="H813" t="s">
        <v>44</v>
      </c>
      <c r="I813">
        <v>4</v>
      </c>
      <c r="J813" t="s">
        <v>36</v>
      </c>
      <c r="K813">
        <v>4678</v>
      </c>
      <c r="L813">
        <v>2</v>
      </c>
      <c r="M813" t="s">
        <v>41</v>
      </c>
      <c r="N813">
        <v>18</v>
      </c>
      <c r="O813">
        <v>3</v>
      </c>
      <c r="P813">
        <v>0</v>
      </c>
      <c r="Q813">
        <v>8</v>
      </c>
      <c r="R813">
        <v>6</v>
      </c>
      <c r="S813">
        <v>6</v>
      </c>
      <c r="T813">
        <v>0</v>
      </c>
      <c r="U813">
        <v>1</v>
      </c>
      <c r="V813" t="s">
        <v>58</v>
      </c>
      <c r="W813" s="1" t="s">
        <v>409</v>
      </c>
      <c r="Y813" t="s">
        <v>39</v>
      </c>
      <c r="Z813" t="s">
        <v>40</v>
      </c>
      <c r="AA813">
        <v>2</v>
      </c>
      <c r="AB813">
        <v>2</v>
      </c>
      <c r="AC813" t="s">
        <v>41</v>
      </c>
      <c r="AD813" t="s">
        <v>48</v>
      </c>
      <c r="AE813" t="s">
        <v>60</v>
      </c>
      <c r="AF813" s="3">
        <v>1125</v>
      </c>
      <c r="AG813" s="3">
        <v>32</v>
      </c>
      <c r="AH813">
        <v>80</v>
      </c>
      <c r="AI813">
        <v>0</v>
      </c>
      <c r="AJ813">
        <v>0</v>
      </c>
      <c r="AL813">
        <v>0</v>
      </c>
      <c r="AM813">
        <v>1</v>
      </c>
      <c r="AN813" t="s">
        <v>768</v>
      </c>
      <c r="AO813" t="s">
        <v>41</v>
      </c>
    </row>
    <row r="814" spans="1:41" x14ac:dyDescent="0.25">
      <c r="A814">
        <v>33</v>
      </c>
      <c r="B814" t="s">
        <v>66</v>
      </c>
      <c r="C814" t="s">
        <v>33</v>
      </c>
      <c r="D814">
        <v>1</v>
      </c>
      <c r="E814" t="s">
        <v>61</v>
      </c>
      <c r="F814">
        <v>4</v>
      </c>
      <c r="G814">
        <v>2</v>
      </c>
      <c r="H814" t="s">
        <v>89</v>
      </c>
      <c r="I814">
        <v>2</v>
      </c>
      <c r="J814" t="s">
        <v>51</v>
      </c>
      <c r="K814">
        <v>5488</v>
      </c>
      <c r="L814">
        <v>1</v>
      </c>
      <c r="M814" t="s">
        <v>31</v>
      </c>
      <c r="N814">
        <v>13</v>
      </c>
      <c r="O814">
        <v>3</v>
      </c>
      <c r="P814">
        <v>1</v>
      </c>
      <c r="Q814">
        <v>6</v>
      </c>
      <c r="R814">
        <v>2</v>
      </c>
      <c r="S814">
        <v>6</v>
      </c>
      <c r="T814">
        <v>1</v>
      </c>
      <c r="U814">
        <v>2</v>
      </c>
      <c r="V814" t="s">
        <v>72</v>
      </c>
      <c r="W814" s="1" t="s">
        <v>396</v>
      </c>
      <c r="Y814" t="s">
        <v>46</v>
      </c>
      <c r="Z814" t="s">
        <v>47</v>
      </c>
      <c r="AA814">
        <v>5</v>
      </c>
      <c r="AB814">
        <v>0</v>
      </c>
      <c r="AC814" t="s">
        <v>41</v>
      </c>
      <c r="AD814" t="s">
        <v>67</v>
      </c>
      <c r="AE814" t="s">
        <v>49</v>
      </c>
      <c r="AF814" s="3">
        <v>1126</v>
      </c>
      <c r="AG814" s="3">
        <v>83</v>
      </c>
      <c r="AH814">
        <v>80</v>
      </c>
      <c r="AI814">
        <v>7</v>
      </c>
      <c r="AJ814">
        <v>0</v>
      </c>
      <c r="AL814">
        <v>0</v>
      </c>
      <c r="AM814">
        <v>1</v>
      </c>
      <c r="AN814" t="s">
        <v>768</v>
      </c>
      <c r="AO814" t="s">
        <v>41</v>
      </c>
    </row>
    <row r="815" spans="1:41" x14ac:dyDescent="0.25">
      <c r="A815">
        <v>59</v>
      </c>
      <c r="B815" t="s">
        <v>32</v>
      </c>
      <c r="C815" t="s">
        <v>55</v>
      </c>
      <c r="D815">
        <v>1</v>
      </c>
      <c r="E815" t="s">
        <v>34</v>
      </c>
      <c r="F815">
        <v>3</v>
      </c>
      <c r="G815">
        <v>3</v>
      </c>
      <c r="H815" t="s">
        <v>75</v>
      </c>
      <c r="I815">
        <v>4</v>
      </c>
      <c r="J815" t="s">
        <v>51</v>
      </c>
      <c r="K815">
        <v>11904</v>
      </c>
      <c r="L815">
        <v>3</v>
      </c>
      <c r="M815" t="s">
        <v>31</v>
      </c>
      <c r="N815">
        <v>14</v>
      </c>
      <c r="O815">
        <v>3</v>
      </c>
      <c r="P815">
        <v>1</v>
      </c>
      <c r="Q815">
        <v>14</v>
      </c>
      <c r="R815">
        <v>1</v>
      </c>
      <c r="S815">
        <v>6</v>
      </c>
      <c r="T815">
        <v>0</v>
      </c>
      <c r="U815">
        <v>4</v>
      </c>
      <c r="V815" t="s">
        <v>37</v>
      </c>
      <c r="W815" s="1" t="s">
        <v>410</v>
      </c>
      <c r="Y815" t="s">
        <v>69</v>
      </c>
      <c r="Z815" t="s">
        <v>47</v>
      </c>
      <c r="AA815">
        <v>2</v>
      </c>
      <c r="AB815">
        <v>0</v>
      </c>
      <c r="AC815" t="s">
        <v>31</v>
      </c>
      <c r="AD815" t="s">
        <v>42</v>
      </c>
      <c r="AE815" t="s">
        <v>49</v>
      </c>
      <c r="AF815" s="3">
        <v>1127</v>
      </c>
      <c r="AG815" s="3">
        <v>84</v>
      </c>
      <c r="AH815">
        <v>80</v>
      </c>
      <c r="AI815">
        <v>7</v>
      </c>
      <c r="AJ815">
        <v>1</v>
      </c>
      <c r="AK815">
        <v>1</v>
      </c>
      <c r="AL815">
        <v>1</v>
      </c>
      <c r="AM815">
        <v>0</v>
      </c>
      <c r="AN815" t="s">
        <v>767</v>
      </c>
      <c r="AO815" t="s">
        <v>31</v>
      </c>
    </row>
    <row r="816" spans="1:41" x14ac:dyDescent="0.25">
      <c r="A816">
        <v>45</v>
      </c>
      <c r="B816" t="s">
        <v>32</v>
      </c>
      <c r="C816" t="s">
        <v>120</v>
      </c>
      <c r="D816">
        <v>24</v>
      </c>
      <c r="E816" t="s">
        <v>34</v>
      </c>
      <c r="F816">
        <v>3</v>
      </c>
      <c r="G816">
        <v>1</v>
      </c>
      <c r="H816" t="s">
        <v>120</v>
      </c>
      <c r="I816">
        <v>2</v>
      </c>
      <c r="J816" t="s">
        <v>36</v>
      </c>
      <c r="K816">
        <v>2177</v>
      </c>
      <c r="L816">
        <v>1</v>
      </c>
      <c r="M816" t="s">
        <v>41</v>
      </c>
      <c r="N816">
        <v>16</v>
      </c>
      <c r="O816">
        <v>3</v>
      </c>
      <c r="P816">
        <v>0</v>
      </c>
      <c r="Q816">
        <v>6</v>
      </c>
      <c r="R816">
        <v>3</v>
      </c>
      <c r="S816">
        <v>6</v>
      </c>
      <c r="T816">
        <v>0</v>
      </c>
      <c r="U816">
        <v>4</v>
      </c>
      <c r="V816" t="s">
        <v>72</v>
      </c>
      <c r="W816" s="2">
        <v>42313</v>
      </c>
      <c r="Y816" t="s">
        <v>54</v>
      </c>
      <c r="Z816" t="s">
        <v>47</v>
      </c>
      <c r="AA816">
        <v>4</v>
      </c>
      <c r="AB816">
        <v>3</v>
      </c>
      <c r="AC816" t="s">
        <v>31</v>
      </c>
      <c r="AD816" t="s">
        <v>65</v>
      </c>
      <c r="AE816" t="s">
        <v>43</v>
      </c>
      <c r="AF816" s="3">
        <v>1128</v>
      </c>
      <c r="AG816" s="3">
        <v>44</v>
      </c>
      <c r="AH816">
        <v>80</v>
      </c>
      <c r="AI816">
        <v>7</v>
      </c>
      <c r="AJ816">
        <v>0</v>
      </c>
      <c r="AL816">
        <v>0</v>
      </c>
      <c r="AM816">
        <v>1</v>
      </c>
      <c r="AN816" t="s">
        <v>768</v>
      </c>
      <c r="AO816" t="s">
        <v>41</v>
      </c>
    </row>
    <row r="817" spans="1:41" x14ac:dyDescent="0.25">
      <c r="A817">
        <v>30</v>
      </c>
      <c r="B817" t="s">
        <v>32</v>
      </c>
      <c r="C817" t="s">
        <v>33</v>
      </c>
      <c r="D817">
        <v>20</v>
      </c>
      <c r="E817" t="s">
        <v>34</v>
      </c>
      <c r="F817">
        <v>3</v>
      </c>
      <c r="G817">
        <v>2</v>
      </c>
      <c r="H817" t="s">
        <v>78</v>
      </c>
      <c r="I817">
        <v>1</v>
      </c>
      <c r="J817" t="s">
        <v>51</v>
      </c>
      <c r="K817">
        <v>9957</v>
      </c>
      <c r="L817">
        <v>0</v>
      </c>
      <c r="M817" t="s">
        <v>41</v>
      </c>
      <c r="N817">
        <v>15</v>
      </c>
      <c r="O817">
        <v>3</v>
      </c>
      <c r="P817">
        <v>1</v>
      </c>
      <c r="Q817">
        <v>7</v>
      </c>
      <c r="R817">
        <v>1</v>
      </c>
      <c r="S817">
        <v>6</v>
      </c>
      <c r="T817">
        <v>0</v>
      </c>
      <c r="U817">
        <v>2</v>
      </c>
      <c r="V817" t="s">
        <v>52</v>
      </c>
      <c r="W817" s="1" t="s">
        <v>411</v>
      </c>
      <c r="Y817" t="s">
        <v>54</v>
      </c>
      <c r="Z817" t="s">
        <v>40</v>
      </c>
      <c r="AA817">
        <v>3</v>
      </c>
      <c r="AB817">
        <v>3</v>
      </c>
      <c r="AC817" t="s">
        <v>41</v>
      </c>
      <c r="AD817" t="s">
        <v>67</v>
      </c>
      <c r="AE817" t="s">
        <v>60</v>
      </c>
      <c r="AF817" s="3">
        <v>1131</v>
      </c>
      <c r="AG817" s="3">
        <v>70</v>
      </c>
      <c r="AH817">
        <v>80</v>
      </c>
      <c r="AI817">
        <v>2</v>
      </c>
      <c r="AJ817">
        <v>0</v>
      </c>
      <c r="AL817">
        <v>0</v>
      </c>
      <c r="AM817">
        <v>1</v>
      </c>
      <c r="AN817" t="s">
        <v>768</v>
      </c>
      <c r="AO817" t="s">
        <v>41</v>
      </c>
    </row>
    <row r="818" spans="1:41" x14ac:dyDescent="0.25">
      <c r="A818">
        <v>34</v>
      </c>
      <c r="B818" t="s">
        <v>66</v>
      </c>
      <c r="C818" t="s">
        <v>33</v>
      </c>
      <c r="D818">
        <v>3</v>
      </c>
      <c r="E818" t="s">
        <v>34</v>
      </c>
      <c r="F818">
        <v>3</v>
      </c>
      <c r="G818">
        <v>2</v>
      </c>
      <c r="H818" t="s">
        <v>89</v>
      </c>
      <c r="I818">
        <v>4</v>
      </c>
      <c r="J818" t="s">
        <v>36</v>
      </c>
      <c r="K818">
        <v>7756</v>
      </c>
      <c r="L818">
        <v>0</v>
      </c>
      <c r="M818" t="s">
        <v>41</v>
      </c>
      <c r="N818">
        <v>17</v>
      </c>
      <c r="O818">
        <v>3</v>
      </c>
      <c r="P818">
        <v>0</v>
      </c>
      <c r="Q818">
        <v>7</v>
      </c>
      <c r="R818">
        <v>1</v>
      </c>
      <c r="S818">
        <v>6</v>
      </c>
      <c r="T818">
        <v>0</v>
      </c>
      <c r="U818">
        <v>4</v>
      </c>
      <c r="V818" t="s">
        <v>37</v>
      </c>
      <c r="W818" s="2">
        <v>42250</v>
      </c>
      <c r="Y818" t="s">
        <v>54</v>
      </c>
      <c r="Z818" t="s">
        <v>47</v>
      </c>
      <c r="AA818">
        <v>5</v>
      </c>
      <c r="AB818">
        <v>2</v>
      </c>
      <c r="AC818" t="s">
        <v>31</v>
      </c>
      <c r="AD818" t="s">
        <v>67</v>
      </c>
      <c r="AE818" t="s">
        <v>43</v>
      </c>
      <c r="AF818" s="3">
        <v>1132</v>
      </c>
      <c r="AG818" s="3">
        <v>70</v>
      </c>
      <c r="AH818">
        <v>80</v>
      </c>
      <c r="AI818">
        <v>4</v>
      </c>
      <c r="AJ818">
        <v>0</v>
      </c>
      <c r="AL818">
        <v>0</v>
      </c>
      <c r="AM818">
        <v>1</v>
      </c>
      <c r="AN818" t="s">
        <v>768</v>
      </c>
      <c r="AO818" t="s">
        <v>41</v>
      </c>
    </row>
    <row r="819" spans="1:41" x14ac:dyDescent="0.25">
      <c r="A819">
        <v>37</v>
      </c>
      <c r="B819" t="s">
        <v>32</v>
      </c>
      <c r="C819" t="s">
        <v>33</v>
      </c>
      <c r="D819">
        <v>25</v>
      </c>
      <c r="E819" t="s">
        <v>61</v>
      </c>
      <c r="F819">
        <v>2</v>
      </c>
      <c r="G819">
        <v>2</v>
      </c>
      <c r="H819" t="s">
        <v>89</v>
      </c>
      <c r="I819">
        <v>4</v>
      </c>
      <c r="J819" t="s">
        <v>57</v>
      </c>
      <c r="K819">
        <v>5731</v>
      </c>
      <c r="L819">
        <v>7</v>
      </c>
      <c r="M819" t="s">
        <v>41</v>
      </c>
      <c r="N819">
        <v>13</v>
      </c>
      <c r="O819">
        <v>3</v>
      </c>
      <c r="P819">
        <v>2</v>
      </c>
      <c r="Q819">
        <v>9</v>
      </c>
      <c r="R819">
        <v>2</v>
      </c>
      <c r="S819">
        <v>6</v>
      </c>
      <c r="T819">
        <v>1</v>
      </c>
      <c r="U819">
        <v>3</v>
      </c>
      <c r="V819" t="s">
        <v>72</v>
      </c>
      <c r="W819" s="1" t="s">
        <v>412</v>
      </c>
      <c r="Y819" t="s">
        <v>54</v>
      </c>
      <c r="Z819" t="s">
        <v>47</v>
      </c>
      <c r="AA819">
        <v>5</v>
      </c>
      <c r="AB819">
        <v>2</v>
      </c>
      <c r="AC819" t="s">
        <v>41</v>
      </c>
      <c r="AD819" t="s">
        <v>48</v>
      </c>
      <c r="AE819" t="s">
        <v>60</v>
      </c>
      <c r="AF819" s="3">
        <v>1133</v>
      </c>
      <c r="AG819" s="3">
        <v>78</v>
      </c>
      <c r="AH819">
        <v>80</v>
      </c>
      <c r="AI819">
        <v>9</v>
      </c>
      <c r="AJ819">
        <v>0</v>
      </c>
      <c r="AL819">
        <v>0</v>
      </c>
      <c r="AM819">
        <v>1</v>
      </c>
      <c r="AN819" t="s">
        <v>768</v>
      </c>
      <c r="AO819" t="s">
        <v>41</v>
      </c>
    </row>
    <row r="820" spans="1:41" x14ac:dyDescent="0.25">
      <c r="A820">
        <v>34</v>
      </c>
      <c r="B820" t="s">
        <v>32</v>
      </c>
      <c r="C820" t="s">
        <v>55</v>
      </c>
      <c r="D820">
        <v>9</v>
      </c>
      <c r="E820" t="s">
        <v>61</v>
      </c>
      <c r="F820">
        <v>3</v>
      </c>
      <c r="G820">
        <v>2</v>
      </c>
      <c r="H820" t="s">
        <v>70</v>
      </c>
      <c r="I820">
        <v>3</v>
      </c>
      <c r="J820" t="s">
        <v>51</v>
      </c>
      <c r="K820">
        <v>5714</v>
      </c>
      <c r="L820">
        <v>1</v>
      </c>
      <c r="M820" t="s">
        <v>41</v>
      </c>
      <c r="N820">
        <v>20</v>
      </c>
      <c r="O820">
        <v>4</v>
      </c>
      <c r="P820">
        <v>0</v>
      </c>
      <c r="Q820">
        <v>6</v>
      </c>
      <c r="R820">
        <v>3</v>
      </c>
      <c r="S820">
        <v>6</v>
      </c>
      <c r="T820">
        <v>1</v>
      </c>
      <c r="U820">
        <v>3</v>
      </c>
      <c r="V820" t="s">
        <v>58</v>
      </c>
      <c r="W820" s="1" t="s">
        <v>413</v>
      </c>
      <c r="Y820" t="s">
        <v>46</v>
      </c>
      <c r="Z820" t="s">
        <v>40</v>
      </c>
      <c r="AA820">
        <v>5</v>
      </c>
      <c r="AB820">
        <v>3</v>
      </c>
      <c r="AC820" t="s">
        <v>31</v>
      </c>
      <c r="AD820" t="s">
        <v>48</v>
      </c>
      <c r="AE820" t="s">
        <v>43</v>
      </c>
      <c r="AF820" s="3">
        <v>1135</v>
      </c>
      <c r="AG820" s="3">
        <v>67</v>
      </c>
      <c r="AH820">
        <v>80</v>
      </c>
      <c r="AI820">
        <v>2</v>
      </c>
      <c r="AJ820">
        <v>0</v>
      </c>
      <c r="AL820">
        <v>0</v>
      </c>
      <c r="AM820">
        <v>1</v>
      </c>
      <c r="AN820" t="s">
        <v>768</v>
      </c>
      <c r="AO820" t="s">
        <v>41</v>
      </c>
    </row>
    <row r="821" spans="1:41" x14ac:dyDescent="0.25">
      <c r="A821">
        <v>42</v>
      </c>
      <c r="B821" t="s">
        <v>32</v>
      </c>
      <c r="C821" t="s">
        <v>55</v>
      </c>
      <c r="D821">
        <v>4</v>
      </c>
      <c r="E821" t="s">
        <v>34</v>
      </c>
      <c r="F821">
        <v>3</v>
      </c>
      <c r="G821">
        <v>2</v>
      </c>
      <c r="H821" t="s">
        <v>70</v>
      </c>
      <c r="I821">
        <v>1</v>
      </c>
      <c r="J821" t="s">
        <v>36</v>
      </c>
      <c r="K821">
        <v>5155</v>
      </c>
      <c r="L821">
        <v>7</v>
      </c>
      <c r="M821" t="s">
        <v>41</v>
      </c>
      <c r="N821">
        <v>13</v>
      </c>
      <c r="O821">
        <v>3</v>
      </c>
      <c r="P821">
        <v>0</v>
      </c>
      <c r="Q821">
        <v>9</v>
      </c>
      <c r="R821">
        <v>3</v>
      </c>
      <c r="S821">
        <v>6</v>
      </c>
      <c r="T821">
        <v>1</v>
      </c>
      <c r="U821">
        <v>5</v>
      </c>
      <c r="V821" t="s">
        <v>37</v>
      </c>
      <c r="W821" s="2">
        <v>42342</v>
      </c>
      <c r="Y821" t="s">
        <v>46</v>
      </c>
      <c r="Z821" t="s">
        <v>40</v>
      </c>
      <c r="AA821">
        <v>5</v>
      </c>
      <c r="AB821">
        <v>2</v>
      </c>
      <c r="AC821" t="s">
        <v>41</v>
      </c>
      <c r="AD821" t="s">
        <v>65</v>
      </c>
      <c r="AE821" t="s">
        <v>60</v>
      </c>
      <c r="AF821" s="3">
        <v>1136</v>
      </c>
      <c r="AG821" s="3">
        <v>67</v>
      </c>
      <c r="AH821">
        <v>80</v>
      </c>
      <c r="AI821">
        <v>3</v>
      </c>
      <c r="AJ821">
        <v>0</v>
      </c>
      <c r="AL821">
        <v>0</v>
      </c>
      <c r="AM821">
        <v>1</v>
      </c>
      <c r="AN821" t="s">
        <v>768</v>
      </c>
      <c r="AO821" t="s">
        <v>41</v>
      </c>
    </row>
    <row r="822" spans="1:41" x14ac:dyDescent="0.25">
      <c r="A822">
        <v>44</v>
      </c>
      <c r="B822" t="s">
        <v>32</v>
      </c>
      <c r="C822" t="s">
        <v>33</v>
      </c>
      <c r="D822">
        <v>10</v>
      </c>
      <c r="E822" t="s">
        <v>34</v>
      </c>
      <c r="F822">
        <v>3</v>
      </c>
      <c r="G822">
        <v>1</v>
      </c>
      <c r="H822" t="s">
        <v>44</v>
      </c>
      <c r="I822">
        <v>3</v>
      </c>
      <c r="J822" t="s">
        <v>36</v>
      </c>
      <c r="K822">
        <v>2936</v>
      </c>
      <c r="L822">
        <v>1</v>
      </c>
      <c r="M822" t="s">
        <v>31</v>
      </c>
      <c r="N822">
        <v>11</v>
      </c>
      <c r="O822">
        <v>3</v>
      </c>
      <c r="P822">
        <v>0</v>
      </c>
      <c r="Q822">
        <v>6</v>
      </c>
      <c r="R822">
        <v>4</v>
      </c>
      <c r="S822">
        <v>6</v>
      </c>
      <c r="T822">
        <v>0</v>
      </c>
      <c r="U822">
        <v>2</v>
      </c>
      <c r="V822" t="s">
        <v>58</v>
      </c>
      <c r="W822" s="2">
        <v>42341</v>
      </c>
      <c r="Y822" t="s">
        <v>69</v>
      </c>
      <c r="Z822" t="s">
        <v>40</v>
      </c>
      <c r="AA822">
        <v>3</v>
      </c>
      <c r="AB822">
        <v>3</v>
      </c>
      <c r="AC822" t="s">
        <v>31</v>
      </c>
      <c r="AD822" t="s">
        <v>65</v>
      </c>
      <c r="AE822" t="s">
        <v>60</v>
      </c>
      <c r="AF822" s="3">
        <v>1137</v>
      </c>
      <c r="AG822" s="3">
        <v>54</v>
      </c>
      <c r="AH822">
        <v>80</v>
      </c>
      <c r="AI822">
        <v>2</v>
      </c>
      <c r="AJ822">
        <v>0</v>
      </c>
      <c r="AL822">
        <v>0</v>
      </c>
      <c r="AM822">
        <v>1</v>
      </c>
      <c r="AN822" t="s">
        <v>768</v>
      </c>
      <c r="AO822" t="s">
        <v>41</v>
      </c>
    </row>
    <row r="823" spans="1:41" x14ac:dyDescent="0.25">
      <c r="A823">
        <v>28</v>
      </c>
      <c r="B823" t="s">
        <v>32</v>
      </c>
      <c r="C823" t="s">
        <v>33</v>
      </c>
      <c r="D823">
        <v>19</v>
      </c>
      <c r="E823" t="s">
        <v>34</v>
      </c>
      <c r="F823">
        <v>2</v>
      </c>
      <c r="G823">
        <v>1</v>
      </c>
      <c r="H823" t="s">
        <v>35</v>
      </c>
      <c r="I823">
        <v>1</v>
      </c>
      <c r="J823" t="s">
        <v>51</v>
      </c>
      <c r="K823">
        <v>3196</v>
      </c>
      <c r="L823">
        <v>1</v>
      </c>
      <c r="M823" t="s">
        <v>41</v>
      </c>
      <c r="N823">
        <v>12</v>
      </c>
      <c r="O823">
        <v>3</v>
      </c>
      <c r="P823">
        <v>3</v>
      </c>
      <c r="Q823">
        <v>6</v>
      </c>
      <c r="R823">
        <v>2</v>
      </c>
      <c r="S823">
        <v>6</v>
      </c>
      <c r="T823">
        <v>3</v>
      </c>
      <c r="U823">
        <v>3</v>
      </c>
      <c r="V823" t="s">
        <v>52</v>
      </c>
      <c r="W823" s="1" t="s">
        <v>394</v>
      </c>
      <c r="Y823" t="s">
        <v>63</v>
      </c>
      <c r="Z823" t="s">
        <v>47</v>
      </c>
      <c r="AA823">
        <v>0</v>
      </c>
      <c r="AB823">
        <v>3</v>
      </c>
      <c r="AC823" t="s">
        <v>41</v>
      </c>
      <c r="AD823" t="s">
        <v>42</v>
      </c>
      <c r="AE823" t="s">
        <v>49</v>
      </c>
      <c r="AF823" s="3">
        <v>1138</v>
      </c>
      <c r="AG823" s="3">
        <v>56</v>
      </c>
      <c r="AH823">
        <v>80</v>
      </c>
      <c r="AI823">
        <v>8</v>
      </c>
      <c r="AJ823">
        <v>0</v>
      </c>
      <c r="AL823">
        <v>0</v>
      </c>
      <c r="AM823">
        <v>1</v>
      </c>
      <c r="AN823" t="s">
        <v>768</v>
      </c>
      <c r="AO823" t="s">
        <v>41</v>
      </c>
    </row>
    <row r="824" spans="1:41" x14ac:dyDescent="0.25">
      <c r="A824">
        <v>46</v>
      </c>
      <c r="B824" t="s">
        <v>32</v>
      </c>
      <c r="C824" t="s">
        <v>33</v>
      </c>
      <c r="D824">
        <v>2</v>
      </c>
      <c r="E824" t="s">
        <v>34</v>
      </c>
      <c r="F824">
        <v>3</v>
      </c>
      <c r="G824">
        <v>2</v>
      </c>
      <c r="H824" t="s">
        <v>78</v>
      </c>
      <c r="I824">
        <v>4</v>
      </c>
      <c r="J824" t="s">
        <v>57</v>
      </c>
      <c r="K824">
        <v>7379</v>
      </c>
      <c r="L824">
        <v>2</v>
      </c>
      <c r="M824" t="s">
        <v>41</v>
      </c>
      <c r="N824">
        <v>11</v>
      </c>
      <c r="O824">
        <v>3</v>
      </c>
      <c r="P824">
        <v>1</v>
      </c>
      <c r="Q824">
        <v>12</v>
      </c>
      <c r="R824">
        <v>3</v>
      </c>
      <c r="S824">
        <v>6</v>
      </c>
      <c r="T824">
        <v>1</v>
      </c>
      <c r="U824">
        <v>4</v>
      </c>
      <c r="V824" t="s">
        <v>52</v>
      </c>
      <c r="W824" s="1" t="s">
        <v>414</v>
      </c>
      <c r="Y824" t="s">
        <v>63</v>
      </c>
      <c r="Z824" t="s">
        <v>47</v>
      </c>
      <c r="AA824">
        <v>2</v>
      </c>
      <c r="AB824">
        <v>1</v>
      </c>
      <c r="AC824" t="s">
        <v>31</v>
      </c>
      <c r="AD824" t="s">
        <v>42</v>
      </c>
      <c r="AE824" t="s">
        <v>43</v>
      </c>
      <c r="AF824" s="3">
        <v>1140</v>
      </c>
      <c r="AG824" s="3">
        <v>95</v>
      </c>
      <c r="AH824">
        <v>80</v>
      </c>
      <c r="AI824">
        <v>2</v>
      </c>
      <c r="AJ824">
        <v>0</v>
      </c>
      <c r="AL824">
        <v>0</v>
      </c>
      <c r="AM824">
        <v>1</v>
      </c>
      <c r="AN824" t="s">
        <v>768</v>
      </c>
      <c r="AO824" t="s">
        <v>41</v>
      </c>
    </row>
    <row r="825" spans="1:41" x14ac:dyDescent="0.25">
      <c r="A825">
        <v>31</v>
      </c>
      <c r="B825" t="s">
        <v>32</v>
      </c>
      <c r="C825" t="s">
        <v>33</v>
      </c>
      <c r="D825">
        <v>11</v>
      </c>
      <c r="E825" t="s">
        <v>34</v>
      </c>
      <c r="F825">
        <v>3</v>
      </c>
      <c r="G825">
        <v>2</v>
      </c>
      <c r="H825" t="s">
        <v>89</v>
      </c>
      <c r="I825">
        <v>1</v>
      </c>
      <c r="J825" t="s">
        <v>51</v>
      </c>
      <c r="K825">
        <v>6833</v>
      </c>
      <c r="L825">
        <v>1</v>
      </c>
      <c r="M825" t="s">
        <v>31</v>
      </c>
      <c r="N825">
        <v>12</v>
      </c>
      <c r="O825">
        <v>3</v>
      </c>
      <c r="P825">
        <v>0</v>
      </c>
      <c r="Q825">
        <v>6</v>
      </c>
      <c r="R825">
        <v>2</v>
      </c>
      <c r="S825">
        <v>6</v>
      </c>
      <c r="T825">
        <v>0</v>
      </c>
      <c r="U825">
        <v>1</v>
      </c>
      <c r="V825" t="s">
        <v>37</v>
      </c>
      <c r="W825" s="2">
        <v>42158</v>
      </c>
      <c r="Y825" t="s">
        <v>39</v>
      </c>
      <c r="Z825" t="s">
        <v>47</v>
      </c>
      <c r="AA825">
        <v>4</v>
      </c>
      <c r="AB825">
        <v>3</v>
      </c>
      <c r="AC825" t="s">
        <v>41</v>
      </c>
      <c r="AD825" t="s">
        <v>42</v>
      </c>
      <c r="AE825" t="s">
        <v>43</v>
      </c>
      <c r="AF825" s="3">
        <v>1143</v>
      </c>
      <c r="AG825" s="3">
        <v>61</v>
      </c>
      <c r="AH825">
        <v>80</v>
      </c>
      <c r="AI825">
        <v>5</v>
      </c>
      <c r="AJ825">
        <v>0</v>
      </c>
      <c r="AL825">
        <v>0</v>
      </c>
      <c r="AM825">
        <v>1</v>
      </c>
      <c r="AN825" t="s">
        <v>768</v>
      </c>
      <c r="AO825" t="s">
        <v>41</v>
      </c>
    </row>
    <row r="826" spans="1:41" x14ac:dyDescent="0.25">
      <c r="A826">
        <v>59</v>
      </c>
      <c r="B826" t="s">
        <v>32</v>
      </c>
      <c r="C826" t="s">
        <v>55</v>
      </c>
      <c r="D826">
        <v>3</v>
      </c>
      <c r="E826" t="s">
        <v>61</v>
      </c>
      <c r="F826">
        <v>2</v>
      </c>
      <c r="G826">
        <v>2</v>
      </c>
      <c r="H826" t="s">
        <v>70</v>
      </c>
      <c r="I826">
        <v>4</v>
      </c>
      <c r="J826" t="s">
        <v>36</v>
      </c>
      <c r="K826">
        <v>5171</v>
      </c>
      <c r="L826">
        <v>5</v>
      </c>
      <c r="M826" t="s">
        <v>41</v>
      </c>
      <c r="N826">
        <v>17</v>
      </c>
      <c r="O826">
        <v>3</v>
      </c>
      <c r="P826">
        <v>0</v>
      </c>
      <c r="Q826">
        <v>13</v>
      </c>
      <c r="R826">
        <v>2</v>
      </c>
      <c r="S826">
        <v>6</v>
      </c>
      <c r="T826">
        <v>0</v>
      </c>
      <c r="U826">
        <v>5</v>
      </c>
      <c r="V826" t="s">
        <v>52</v>
      </c>
      <c r="W826" s="2">
        <v>42344</v>
      </c>
      <c r="Y826" t="s">
        <v>54</v>
      </c>
      <c r="Z826" t="s">
        <v>47</v>
      </c>
      <c r="AA826">
        <v>5</v>
      </c>
      <c r="AB826">
        <v>0</v>
      </c>
      <c r="AC826" t="s">
        <v>41</v>
      </c>
      <c r="AD826" t="s">
        <v>42</v>
      </c>
      <c r="AE826" t="s">
        <v>43</v>
      </c>
      <c r="AF826" s="3">
        <v>1148</v>
      </c>
      <c r="AG826" s="3">
        <v>56</v>
      </c>
      <c r="AH826">
        <v>80</v>
      </c>
      <c r="AI826">
        <v>0</v>
      </c>
      <c r="AJ826">
        <v>0</v>
      </c>
      <c r="AL826">
        <v>0</v>
      </c>
      <c r="AM826">
        <v>1</v>
      </c>
      <c r="AN826" t="s">
        <v>768</v>
      </c>
      <c r="AO826" t="s">
        <v>41</v>
      </c>
    </row>
    <row r="827" spans="1:41" x14ac:dyDescent="0.25">
      <c r="A827">
        <v>29</v>
      </c>
      <c r="B827" t="s">
        <v>32</v>
      </c>
      <c r="C827" t="s">
        <v>33</v>
      </c>
      <c r="D827">
        <v>7</v>
      </c>
      <c r="E827" t="s">
        <v>34</v>
      </c>
      <c r="F827">
        <v>3</v>
      </c>
      <c r="G827">
        <v>2</v>
      </c>
      <c r="H827" t="s">
        <v>89</v>
      </c>
      <c r="I827">
        <v>4</v>
      </c>
      <c r="J827" t="s">
        <v>57</v>
      </c>
      <c r="K827">
        <v>6623</v>
      </c>
      <c r="L827">
        <v>1</v>
      </c>
      <c r="M827" t="s">
        <v>31</v>
      </c>
      <c r="N827">
        <v>11</v>
      </c>
      <c r="O827">
        <v>3</v>
      </c>
      <c r="P827">
        <v>2</v>
      </c>
      <c r="Q827">
        <v>6</v>
      </c>
      <c r="R827">
        <v>2</v>
      </c>
      <c r="S827">
        <v>6</v>
      </c>
      <c r="T827">
        <v>1</v>
      </c>
      <c r="U827">
        <v>0</v>
      </c>
      <c r="V827" t="s">
        <v>52</v>
      </c>
      <c r="W827" s="2">
        <v>42068</v>
      </c>
      <c r="Y827" t="s">
        <v>54</v>
      </c>
      <c r="Z827" t="s">
        <v>40</v>
      </c>
      <c r="AA827">
        <v>2</v>
      </c>
      <c r="AB827">
        <v>0</v>
      </c>
      <c r="AC827" t="s">
        <v>41</v>
      </c>
      <c r="AD827" t="s">
        <v>67</v>
      </c>
      <c r="AE827" t="s">
        <v>49</v>
      </c>
      <c r="AF827" s="3">
        <v>1150</v>
      </c>
      <c r="AG827" s="3">
        <v>79</v>
      </c>
      <c r="AH827">
        <v>80</v>
      </c>
      <c r="AI827">
        <v>7</v>
      </c>
      <c r="AJ827">
        <v>0</v>
      </c>
      <c r="AL827">
        <v>0</v>
      </c>
      <c r="AM827">
        <v>1</v>
      </c>
      <c r="AN827" t="s">
        <v>768</v>
      </c>
      <c r="AO827" t="s">
        <v>41</v>
      </c>
    </row>
    <row r="828" spans="1:41" x14ac:dyDescent="0.25">
      <c r="A828">
        <v>27</v>
      </c>
      <c r="B828" t="s">
        <v>66</v>
      </c>
      <c r="C828" t="s">
        <v>55</v>
      </c>
      <c r="D828">
        <v>2</v>
      </c>
      <c r="E828" t="s">
        <v>34</v>
      </c>
      <c r="F828">
        <v>1</v>
      </c>
      <c r="G828">
        <v>2</v>
      </c>
      <c r="H828" t="s">
        <v>70</v>
      </c>
      <c r="I828">
        <v>4</v>
      </c>
      <c r="J828" t="s">
        <v>36</v>
      </c>
      <c r="K828">
        <v>5071</v>
      </c>
      <c r="L828">
        <v>3</v>
      </c>
      <c r="M828" t="s">
        <v>41</v>
      </c>
      <c r="N828">
        <v>20</v>
      </c>
      <c r="O828">
        <v>4</v>
      </c>
      <c r="P828">
        <v>0</v>
      </c>
      <c r="Q828">
        <v>8</v>
      </c>
      <c r="R828">
        <v>3</v>
      </c>
      <c r="S828">
        <v>6</v>
      </c>
      <c r="T828">
        <v>0</v>
      </c>
      <c r="U828">
        <v>0</v>
      </c>
      <c r="V828" t="s">
        <v>58</v>
      </c>
      <c r="W828" s="1" t="s">
        <v>415</v>
      </c>
      <c r="Y828" t="s">
        <v>39</v>
      </c>
      <c r="Z828" t="s">
        <v>47</v>
      </c>
      <c r="AA828">
        <v>5</v>
      </c>
      <c r="AB828">
        <v>3</v>
      </c>
      <c r="AC828" t="s">
        <v>41</v>
      </c>
      <c r="AD828" t="s">
        <v>65</v>
      </c>
      <c r="AE828" t="s">
        <v>43</v>
      </c>
      <c r="AF828" s="3">
        <v>1152</v>
      </c>
      <c r="AG828" s="3">
        <v>37</v>
      </c>
      <c r="AH828">
        <v>80</v>
      </c>
      <c r="AI828">
        <v>6</v>
      </c>
      <c r="AJ828">
        <v>0</v>
      </c>
      <c r="AL828">
        <v>0</v>
      </c>
      <c r="AM828">
        <v>1</v>
      </c>
      <c r="AN828" t="s">
        <v>768</v>
      </c>
      <c r="AO828" t="s">
        <v>41</v>
      </c>
    </row>
    <row r="829" spans="1:41" x14ac:dyDescent="0.25">
      <c r="A829">
        <v>41</v>
      </c>
      <c r="B829" t="s">
        <v>66</v>
      </c>
      <c r="C829" t="s">
        <v>33</v>
      </c>
      <c r="D829">
        <v>22</v>
      </c>
      <c r="E829" t="s">
        <v>61</v>
      </c>
      <c r="F829">
        <v>3</v>
      </c>
      <c r="G829">
        <v>2</v>
      </c>
      <c r="H829" t="s">
        <v>44</v>
      </c>
      <c r="I829">
        <v>4</v>
      </c>
      <c r="J829" t="s">
        <v>57</v>
      </c>
      <c r="K829">
        <v>5467</v>
      </c>
      <c r="L829">
        <v>3</v>
      </c>
      <c r="M829" t="s">
        <v>31</v>
      </c>
      <c r="N829">
        <v>14</v>
      </c>
      <c r="O829">
        <v>3</v>
      </c>
      <c r="P829">
        <v>2</v>
      </c>
      <c r="Q829">
        <v>12</v>
      </c>
      <c r="R829">
        <v>4</v>
      </c>
      <c r="S829">
        <v>6</v>
      </c>
      <c r="T829">
        <v>3</v>
      </c>
      <c r="U829">
        <v>3</v>
      </c>
      <c r="V829" t="s">
        <v>72</v>
      </c>
      <c r="W829" s="1" t="s">
        <v>407</v>
      </c>
      <c r="Y829" t="s">
        <v>46</v>
      </c>
      <c r="Z829" t="s">
        <v>47</v>
      </c>
      <c r="AA829">
        <v>4</v>
      </c>
      <c r="AB829">
        <v>3</v>
      </c>
      <c r="AC829" t="s">
        <v>41</v>
      </c>
      <c r="AD829" t="s">
        <v>67</v>
      </c>
      <c r="AE829" t="s">
        <v>43</v>
      </c>
      <c r="AF829" s="3">
        <v>1154</v>
      </c>
      <c r="AG829" s="3">
        <v>39</v>
      </c>
      <c r="AH829">
        <v>80</v>
      </c>
      <c r="AI829">
        <v>1</v>
      </c>
      <c r="AJ829">
        <v>0</v>
      </c>
      <c r="AL829">
        <v>0</v>
      </c>
      <c r="AM829">
        <v>1</v>
      </c>
      <c r="AN829" t="s">
        <v>768</v>
      </c>
      <c r="AO829" t="s">
        <v>41</v>
      </c>
    </row>
    <row r="830" spans="1:41" x14ac:dyDescent="0.25">
      <c r="A830">
        <v>37</v>
      </c>
      <c r="B830" t="s">
        <v>32</v>
      </c>
      <c r="C830" t="s">
        <v>33</v>
      </c>
      <c r="D830">
        <v>4</v>
      </c>
      <c r="E830" t="s">
        <v>34</v>
      </c>
      <c r="F830">
        <v>3</v>
      </c>
      <c r="G830">
        <v>1</v>
      </c>
      <c r="H830" t="s">
        <v>44</v>
      </c>
      <c r="I830">
        <v>3</v>
      </c>
      <c r="J830" t="s">
        <v>51</v>
      </c>
      <c r="K830">
        <v>2996</v>
      </c>
      <c r="L830">
        <v>7</v>
      </c>
      <c r="M830" t="s">
        <v>31</v>
      </c>
      <c r="N830">
        <v>15</v>
      </c>
      <c r="O830">
        <v>3</v>
      </c>
      <c r="P830">
        <v>0</v>
      </c>
      <c r="Q830">
        <v>8</v>
      </c>
      <c r="R830">
        <v>2</v>
      </c>
      <c r="S830">
        <v>6</v>
      </c>
      <c r="T830">
        <v>1</v>
      </c>
      <c r="U830">
        <v>3</v>
      </c>
      <c r="V830" t="s">
        <v>58</v>
      </c>
      <c r="W830" s="1" t="s">
        <v>416</v>
      </c>
      <c r="Y830" t="s">
        <v>63</v>
      </c>
      <c r="Z830" t="s">
        <v>40</v>
      </c>
      <c r="AA830">
        <v>3</v>
      </c>
      <c r="AB830">
        <v>1</v>
      </c>
      <c r="AC830" t="s">
        <v>41</v>
      </c>
      <c r="AD830" t="s">
        <v>48</v>
      </c>
      <c r="AE830" t="s">
        <v>60</v>
      </c>
      <c r="AF830" s="3">
        <v>1156</v>
      </c>
      <c r="AG830" s="3">
        <v>80</v>
      </c>
      <c r="AH830">
        <v>80</v>
      </c>
      <c r="AI830">
        <v>0</v>
      </c>
      <c r="AJ830">
        <v>1</v>
      </c>
      <c r="AK830">
        <v>1</v>
      </c>
      <c r="AL830">
        <v>1</v>
      </c>
      <c r="AM830">
        <v>0</v>
      </c>
      <c r="AN830" t="s">
        <v>767</v>
      </c>
      <c r="AO830" t="s">
        <v>31</v>
      </c>
    </row>
    <row r="831" spans="1:41" x14ac:dyDescent="0.25">
      <c r="A831">
        <v>39</v>
      </c>
      <c r="B831" t="s">
        <v>81</v>
      </c>
      <c r="C831" t="s">
        <v>33</v>
      </c>
      <c r="D831">
        <v>25</v>
      </c>
      <c r="E831" t="s">
        <v>34</v>
      </c>
      <c r="F831">
        <v>3</v>
      </c>
      <c r="G831">
        <v>3</v>
      </c>
      <c r="H831" t="s">
        <v>89</v>
      </c>
      <c r="I831">
        <v>3</v>
      </c>
      <c r="J831" t="s">
        <v>51</v>
      </c>
      <c r="K831">
        <v>10920</v>
      </c>
      <c r="L831">
        <v>3</v>
      </c>
      <c r="M831" t="s">
        <v>41</v>
      </c>
      <c r="N831">
        <v>21</v>
      </c>
      <c r="O831">
        <v>4</v>
      </c>
      <c r="P831">
        <v>1</v>
      </c>
      <c r="Q831">
        <v>13</v>
      </c>
      <c r="R831">
        <v>2</v>
      </c>
      <c r="S831">
        <v>6</v>
      </c>
      <c r="T831">
        <v>0</v>
      </c>
      <c r="U831">
        <v>5</v>
      </c>
      <c r="V831" t="s">
        <v>52</v>
      </c>
      <c r="W831" s="2">
        <v>42158</v>
      </c>
      <c r="Y831" t="s">
        <v>63</v>
      </c>
      <c r="Z831" t="s">
        <v>40</v>
      </c>
      <c r="AA831">
        <v>4</v>
      </c>
      <c r="AB831">
        <v>2</v>
      </c>
      <c r="AC831" t="s">
        <v>31</v>
      </c>
      <c r="AD831" t="s">
        <v>65</v>
      </c>
      <c r="AE831" t="s">
        <v>43</v>
      </c>
      <c r="AF831" s="3">
        <v>1157</v>
      </c>
      <c r="AG831" s="3">
        <v>77</v>
      </c>
      <c r="AH831">
        <v>80</v>
      </c>
      <c r="AI831">
        <v>2</v>
      </c>
      <c r="AJ831">
        <v>1</v>
      </c>
      <c r="AK831">
        <v>1</v>
      </c>
      <c r="AL831">
        <v>1</v>
      </c>
      <c r="AM831">
        <v>0</v>
      </c>
      <c r="AN831" t="s">
        <v>767</v>
      </c>
      <c r="AO831" t="s">
        <v>31</v>
      </c>
    </row>
    <row r="832" spans="1:41" x14ac:dyDescent="0.25">
      <c r="A832">
        <v>27</v>
      </c>
      <c r="B832" t="s">
        <v>32</v>
      </c>
      <c r="C832" t="s">
        <v>55</v>
      </c>
      <c r="D832">
        <v>10</v>
      </c>
      <c r="E832" t="s">
        <v>61</v>
      </c>
      <c r="F832">
        <v>2</v>
      </c>
      <c r="G832">
        <v>2</v>
      </c>
      <c r="H832" t="s">
        <v>70</v>
      </c>
      <c r="I832">
        <v>4</v>
      </c>
      <c r="J832" t="s">
        <v>51</v>
      </c>
      <c r="K832">
        <v>5769</v>
      </c>
      <c r="L832">
        <v>1</v>
      </c>
      <c r="M832" t="s">
        <v>31</v>
      </c>
      <c r="N832">
        <v>11</v>
      </c>
      <c r="O832">
        <v>3</v>
      </c>
      <c r="P832">
        <v>0</v>
      </c>
      <c r="Q832">
        <v>6</v>
      </c>
      <c r="R832">
        <v>3</v>
      </c>
      <c r="S832">
        <v>6</v>
      </c>
      <c r="T832">
        <v>4</v>
      </c>
      <c r="U832">
        <v>4</v>
      </c>
      <c r="V832" t="s">
        <v>37</v>
      </c>
      <c r="W832" s="1" t="s">
        <v>417</v>
      </c>
      <c r="Y832" t="s">
        <v>54</v>
      </c>
      <c r="Z832" t="s">
        <v>47</v>
      </c>
      <c r="AA832">
        <v>0</v>
      </c>
      <c r="AB832">
        <v>2</v>
      </c>
      <c r="AC832" t="s">
        <v>41</v>
      </c>
      <c r="AD832" t="s">
        <v>42</v>
      </c>
      <c r="AE832" t="s">
        <v>49</v>
      </c>
      <c r="AF832" s="3">
        <v>1158</v>
      </c>
      <c r="AG832" s="3">
        <v>46</v>
      </c>
      <c r="AH832">
        <v>80</v>
      </c>
      <c r="AI832">
        <v>0</v>
      </c>
      <c r="AJ832">
        <v>0</v>
      </c>
      <c r="AL832">
        <v>0</v>
      </c>
      <c r="AM832">
        <v>1</v>
      </c>
      <c r="AN832" t="s">
        <v>768</v>
      </c>
      <c r="AO832" t="s">
        <v>41</v>
      </c>
    </row>
    <row r="833" spans="1:41" x14ac:dyDescent="0.25">
      <c r="A833">
        <v>47</v>
      </c>
      <c r="B833" t="s">
        <v>32</v>
      </c>
      <c r="C833" t="s">
        <v>33</v>
      </c>
      <c r="D833">
        <v>1</v>
      </c>
      <c r="E833" t="s">
        <v>34</v>
      </c>
      <c r="F833">
        <v>3</v>
      </c>
      <c r="G833">
        <v>1</v>
      </c>
      <c r="H833" t="s">
        <v>44</v>
      </c>
      <c r="I833">
        <v>4</v>
      </c>
      <c r="J833" t="s">
        <v>51</v>
      </c>
      <c r="K833">
        <v>3420</v>
      </c>
      <c r="L833">
        <v>7</v>
      </c>
      <c r="M833" t="s">
        <v>41</v>
      </c>
      <c r="N833">
        <v>12</v>
      </c>
      <c r="O833">
        <v>3</v>
      </c>
      <c r="P833">
        <v>1</v>
      </c>
      <c r="Q833">
        <v>17</v>
      </c>
      <c r="R833">
        <v>2</v>
      </c>
      <c r="S833">
        <v>6</v>
      </c>
      <c r="T833">
        <v>1</v>
      </c>
      <c r="U833">
        <v>2</v>
      </c>
      <c r="V833" t="s">
        <v>72</v>
      </c>
      <c r="W833" s="1" t="s">
        <v>408</v>
      </c>
      <c r="Y833" t="s">
        <v>63</v>
      </c>
      <c r="Z833" t="s">
        <v>47</v>
      </c>
      <c r="AA833">
        <v>2</v>
      </c>
      <c r="AB833">
        <v>1</v>
      </c>
      <c r="AC833" t="s">
        <v>41</v>
      </c>
      <c r="AD833" t="s">
        <v>42</v>
      </c>
      <c r="AE833" t="s">
        <v>60</v>
      </c>
      <c r="AF833" s="3">
        <v>1160</v>
      </c>
      <c r="AG833" s="3">
        <v>72</v>
      </c>
      <c r="AH833">
        <v>80</v>
      </c>
      <c r="AI833">
        <v>2</v>
      </c>
      <c r="AJ833">
        <v>1</v>
      </c>
      <c r="AK833">
        <v>1</v>
      </c>
      <c r="AL833">
        <v>1</v>
      </c>
      <c r="AM833">
        <v>0</v>
      </c>
      <c r="AN833" t="s">
        <v>767</v>
      </c>
      <c r="AO833" t="s">
        <v>31</v>
      </c>
    </row>
    <row r="834" spans="1:41" x14ac:dyDescent="0.25">
      <c r="A834">
        <v>37</v>
      </c>
      <c r="B834" t="s">
        <v>81</v>
      </c>
      <c r="C834" t="s">
        <v>33</v>
      </c>
      <c r="D834">
        <v>5</v>
      </c>
      <c r="E834" t="s">
        <v>34</v>
      </c>
      <c r="F834">
        <v>4</v>
      </c>
      <c r="G834">
        <v>1</v>
      </c>
      <c r="H834" t="s">
        <v>35</v>
      </c>
      <c r="I834">
        <v>3</v>
      </c>
      <c r="J834" t="s">
        <v>36</v>
      </c>
      <c r="K834">
        <v>3500</v>
      </c>
      <c r="L834">
        <v>0</v>
      </c>
      <c r="M834" t="s">
        <v>41</v>
      </c>
      <c r="N834">
        <v>14</v>
      </c>
      <c r="O834">
        <v>3</v>
      </c>
      <c r="P834">
        <v>0</v>
      </c>
      <c r="Q834">
        <v>7</v>
      </c>
      <c r="R834">
        <v>2</v>
      </c>
      <c r="S834">
        <v>6</v>
      </c>
      <c r="T834">
        <v>1</v>
      </c>
      <c r="U834">
        <v>3</v>
      </c>
      <c r="V834" t="s">
        <v>58</v>
      </c>
      <c r="W834" s="1" t="s">
        <v>418</v>
      </c>
      <c r="Y834" t="s">
        <v>63</v>
      </c>
      <c r="Z834" t="s">
        <v>47</v>
      </c>
      <c r="AA834">
        <v>4</v>
      </c>
      <c r="AB834">
        <v>0</v>
      </c>
      <c r="AC834" t="s">
        <v>41</v>
      </c>
      <c r="AD834" t="s">
        <v>65</v>
      </c>
      <c r="AE834" t="s">
        <v>49</v>
      </c>
      <c r="AF834" s="3">
        <v>1161</v>
      </c>
      <c r="AG834" s="3">
        <v>52</v>
      </c>
      <c r="AH834">
        <v>80</v>
      </c>
      <c r="AI834">
        <v>2</v>
      </c>
      <c r="AJ834">
        <v>0</v>
      </c>
      <c r="AL834">
        <v>0</v>
      </c>
      <c r="AM834">
        <v>1</v>
      </c>
      <c r="AN834" t="s">
        <v>768</v>
      </c>
      <c r="AO834" t="s">
        <v>41</v>
      </c>
    </row>
    <row r="835" spans="1:41" x14ac:dyDescent="0.25">
      <c r="A835">
        <v>38</v>
      </c>
      <c r="B835" t="s">
        <v>66</v>
      </c>
      <c r="C835" t="s">
        <v>120</v>
      </c>
      <c r="D835">
        <v>10</v>
      </c>
      <c r="E835" t="s">
        <v>34</v>
      </c>
      <c r="F835">
        <v>3</v>
      </c>
      <c r="G835">
        <v>2</v>
      </c>
      <c r="H835" t="s">
        <v>120</v>
      </c>
      <c r="I835">
        <v>3</v>
      </c>
      <c r="J835" t="s">
        <v>51</v>
      </c>
      <c r="K835">
        <v>6077</v>
      </c>
      <c r="L835">
        <v>3</v>
      </c>
      <c r="M835" t="s">
        <v>41</v>
      </c>
      <c r="N835">
        <v>11</v>
      </c>
      <c r="O835">
        <v>3</v>
      </c>
      <c r="P835">
        <v>0</v>
      </c>
      <c r="Q835">
        <v>10</v>
      </c>
      <c r="R835">
        <v>2</v>
      </c>
      <c r="S835">
        <v>6</v>
      </c>
      <c r="T835">
        <v>1</v>
      </c>
      <c r="U835">
        <v>2</v>
      </c>
      <c r="V835" t="s">
        <v>52</v>
      </c>
      <c r="W835" s="1" t="s">
        <v>419</v>
      </c>
      <c r="Y835" t="s">
        <v>39</v>
      </c>
      <c r="Z835" t="s">
        <v>40</v>
      </c>
      <c r="AA835">
        <v>4</v>
      </c>
      <c r="AB835">
        <v>1</v>
      </c>
      <c r="AC835" t="s">
        <v>41</v>
      </c>
      <c r="AD835" t="s">
        <v>42</v>
      </c>
      <c r="AE835" t="s">
        <v>49</v>
      </c>
      <c r="AF835" s="3">
        <v>1162</v>
      </c>
      <c r="AG835" s="3">
        <v>55</v>
      </c>
      <c r="AH835">
        <v>80</v>
      </c>
      <c r="AI835">
        <v>2</v>
      </c>
      <c r="AJ835">
        <v>0</v>
      </c>
      <c r="AL835">
        <v>0</v>
      </c>
      <c r="AM835">
        <v>1</v>
      </c>
      <c r="AN835" t="s">
        <v>768</v>
      </c>
      <c r="AO835" t="s">
        <v>41</v>
      </c>
    </row>
    <row r="836" spans="1:41" x14ac:dyDescent="0.25">
      <c r="A836">
        <v>32</v>
      </c>
      <c r="B836" t="s">
        <v>81</v>
      </c>
      <c r="C836" t="s">
        <v>33</v>
      </c>
      <c r="D836">
        <v>1</v>
      </c>
      <c r="E836" t="s">
        <v>34</v>
      </c>
      <c r="F836">
        <v>3</v>
      </c>
      <c r="G836">
        <v>2</v>
      </c>
      <c r="H836" t="s">
        <v>44</v>
      </c>
      <c r="I836">
        <v>1</v>
      </c>
      <c r="J836" t="s">
        <v>51</v>
      </c>
      <c r="K836">
        <v>4087</v>
      </c>
      <c r="L836">
        <v>4</v>
      </c>
      <c r="M836" t="s">
        <v>41</v>
      </c>
      <c r="N836">
        <v>14</v>
      </c>
      <c r="O836">
        <v>3</v>
      </c>
      <c r="P836">
        <v>1</v>
      </c>
      <c r="Q836">
        <v>9</v>
      </c>
      <c r="R836">
        <v>3</v>
      </c>
      <c r="S836">
        <v>6</v>
      </c>
      <c r="T836">
        <v>1</v>
      </c>
      <c r="U836">
        <v>2</v>
      </c>
      <c r="V836" t="s">
        <v>37</v>
      </c>
      <c r="W836" s="1" t="s">
        <v>420</v>
      </c>
      <c r="Y836" t="s">
        <v>39</v>
      </c>
      <c r="Z836" t="s">
        <v>47</v>
      </c>
      <c r="AA836">
        <v>1</v>
      </c>
      <c r="AB836">
        <v>1</v>
      </c>
      <c r="AC836" t="s">
        <v>31</v>
      </c>
      <c r="AD836" t="s">
        <v>65</v>
      </c>
      <c r="AE836" t="s">
        <v>60</v>
      </c>
      <c r="AF836" s="3">
        <v>1163</v>
      </c>
      <c r="AG836" s="3">
        <v>70</v>
      </c>
      <c r="AH836">
        <v>80</v>
      </c>
      <c r="AI836">
        <v>5</v>
      </c>
      <c r="AJ836">
        <v>0</v>
      </c>
      <c r="AL836">
        <v>0</v>
      </c>
      <c r="AM836">
        <v>1</v>
      </c>
      <c r="AN836" t="s">
        <v>768</v>
      </c>
      <c r="AO836" t="s">
        <v>41</v>
      </c>
    </row>
    <row r="837" spans="1:41" x14ac:dyDescent="0.25">
      <c r="A837">
        <v>29</v>
      </c>
      <c r="B837" t="s">
        <v>66</v>
      </c>
      <c r="C837" t="s">
        <v>33</v>
      </c>
      <c r="D837">
        <v>2</v>
      </c>
      <c r="E837" t="s">
        <v>34</v>
      </c>
      <c r="F837">
        <v>3</v>
      </c>
      <c r="G837">
        <v>2</v>
      </c>
      <c r="H837" t="s">
        <v>89</v>
      </c>
      <c r="I837">
        <v>4</v>
      </c>
      <c r="J837" t="s">
        <v>57</v>
      </c>
      <c r="K837">
        <v>8853</v>
      </c>
      <c r="L837">
        <v>1</v>
      </c>
      <c r="M837" t="s">
        <v>41</v>
      </c>
      <c r="N837">
        <v>19</v>
      </c>
      <c r="O837">
        <v>3</v>
      </c>
      <c r="P837">
        <v>1</v>
      </c>
      <c r="Q837">
        <v>6</v>
      </c>
      <c r="R837">
        <v>0</v>
      </c>
      <c r="S837">
        <v>6</v>
      </c>
      <c r="T837">
        <v>1</v>
      </c>
      <c r="U837">
        <v>3</v>
      </c>
      <c r="V837" t="s">
        <v>58</v>
      </c>
      <c r="W837" s="1" t="s">
        <v>421</v>
      </c>
      <c r="Y837" t="s">
        <v>39</v>
      </c>
      <c r="Z837" t="s">
        <v>40</v>
      </c>
      <c r="AA837">
        <v>2</v>
      </c>
      <c r="AB837">
        <v>3</v>
      </c>
      <c r="AC837" t="s">
        <v>31</v>
      </c>
      <c r="AD837" t="s">
        <v>67</v>
      </c>
      <c r="AE837" t="s">
        <v>60</v>
      </c>
      <c r="AF837" s="3">
        <v>1164</v>
      </c>
      <c r="AG837" s="3">
        <v>100</v>
      </c>
      <c r="AH837">
        <v>80</v>
      </c>
      <c r="AI837">
        <v>4</v>
      </c>
      <c r="AJ837">
        <v>0</v>
      </c>
      <c r="AL837">
        <v>0</v>
      </c>
      <c r="AM837">
        <v>1</v>
      </c>
      <c r="AN837" t="s">
        <v>768</v>
      </c>
      <c r="AO837" t="s">
        <v>41</v>
      </c>
    </row>
    <row r="838" spans="1:41" x14ac:dyDescent="0.25">
      <c r="A838">
        <v>43</v>
      </c>
      <c r="B838" t="s">
        <v>32</v>
      </c>
      <c r="C838" t="s">
        <v>33</v>
      </c>
      <c r="D838">
        <v>27</v>
      </c>
      <c r="E838" t="s">
        <v>34</v>
      </c>
      <c r="F838">
        <v>4</v>
      </c>
      <c r="G838">
        <v>1</v>
      </c>
      <c r="H838" t="s">
        <v>35</v>
      </c>
      <c r="I838">
        <v>2</v>
      </c>
      <c r="J838" t="s">
        <v>57</v>
      </c>
      <c r="K838">
        <v>4876</v>
      </c>
      <c r="L838">
        <v>5</v>
      </c>
      <c r="M838" t="s">
        <v>41</v>
      </c>
      <c r="N838">
        <v>12</v>
      </c>
      <c r="O838">
        <v>3</v>
      </c>
      <c r="P838">
        <v>1</v>
      </c>
      <c r="Q838">
        <v>8</v>
      </c>
      <c r="R838">
        <v>0</v>
      </c>
      <c r="S838">
        <v>6</v>
      </c>
      <c r="T838">
        <v>0</v>
      </c>
      <c r="U838">
        <v>2</v>
      </c>
      <c r="V838" t="s">
        <v>72</v>
      </c>
      <c r="W838" s="2">
        <v>42039</v>
      </c>
      <c r="Y838" t="s">
        <v>46</v>
      </c>
      <c r="Z838" t="s">
        <v>40</v>
      </c>
      <c r="AA838">
        <v>2</v>
      </c>
      <c r="AB838">
        <v>2</v>
      </c>
      <c r="AC838" t="s">
        <v>31</v>
      </c>
      <c r="AD838" t="s">
        <v>67</v>
      </c>
      <c r="AE838" t="s">
        <v>43</v>
      </c>
      <c r="AF838" s="3">
        <v>1165</v>
      </c>
      <c r="AG838" s="3">
        <v>45</v>
      </c>
      <c r="AH838">
        <v>80</v>
      </c>
      <c r="AI838">
        <v>8</v>
      </c>
      <c r="AJ838">
        <v>1</v>
      </c>
      <c r="AK838">
        <v>1</v>
      </c>
      <c r="AL838">
        <v>1</v>
      </c>
      <c r="AM838">
        <v>0</v>
      </c>
      <c r="AN838" t="s">
        <v>767</v>
      </c>
      <c r="AO838" t="s">
        <v>31</v>
      </c>
    </row>
    <row r="839" spans="1:41" x14ac:dyDescent="0.25">
      <c r="A839">
        <v>30</v>
      </c>
      <c r="B839" t="s">
        <v>32</v>
      </c>
      <c r="C839" t="s">
        <v>33</v>
      </c>
      <c r="D839">
        <v>7</v>
      </c>
      <c r="E839" t="s">
        <v>34</v>
      </c>
      <c r="F839">
        <v>2</v>
      </c>
      <c r="G839">
        <v>1</v>
      </c>
      <c r="H839" t="s">
        <v>44</v>
      </c>
      <c r="I839">
        <v>2</v>
      </c>
      <c r="J839" t="s">
        <v>51</v>
      </c>
      <c r="K839">
        <v>2141</v>
      </c>
      <c r="L839">
        <v>1</v>
      </c>
      <c r="M839" t="s">
        <v>41</v>
      </c>
      <c r="N839">
        <v>12</v>
      </c>
      <c r="O839">
        <v>3</v>
      </c>
      <c r="P839">
        <v>1</v>
      </c>
      <c r="Q839">
        <v>6</v>
      </c>
      <c r="R839">
        <v>3</v>
      </c>
      <c r="S839">
        <v>6</v>
      </c>
      <c r="T839">
        <v>1</v>
      </c>
      <c r="U839">
        <v>1</v>
      </c>
      <c r="V839" t="s">
        <v>37</v>
      </c>
      <c r="W839" s="1" t="s">
        <v>422</v>
      </c>
      <c r="Y839" t="s">
        <v>46</v>
      </c>
      <c r="Z839" t="s">
        <v>40</v>
      </c>
      <c r="AA839">
        <v>0</v>
      </c>
      <c r="AB839">
        <v>0</v>
      </c>
      <c r="AC839" t="s">
        <v>31</v>
      </c>
      <c r="AD839" t="s">
        <v>42</v>
      </c>
      <c r="AE839" t="s">
        <v>60</v>
      </c>
      <c r="AF839" s="3">
        <v>1166</v>
      </c>
      <c r="AG839" s="3">
        <v>88</v>
      </c>
      <c r="AH839">
        <v>80</v>
      </c>
      <c r="AI839">
        <v>7</v>
      </c>
      <c r="AJ839">
        <v>0</v>
      </c>
      <c r="AL839">
        <v>0</v>
      </c>
      <c r="AM839">
        <v>1</v>
      </c>
      <c r="AN839" t="s">
        <v>768</v>
      </c>
      <c r="AO839" t="s">
        <v>41</v>
      </c>
    </row>
    <row r="840" spans="1:41" x14ac:dyDescent="0.25">
      <c r="A840">
        <v>24</v>
      </c>
      <c r="B840" t="s">
        <v>66</v>
      </c>
      <c r="C840" t="s">
        <v>33</v>
      </c>
      <c r="D840">
        <v>2</v>
      </c>
      <c r="E840" t="s">
        <v>61</v>
      </c>
      <c r="F840">
        <v>3</v>
      </c>
      <c r="G840">
        <v>1</v>
      </c>
      <c r="H840" t="s">
        <v>44</v>
      </c>
      <c r="I840">
        <v>4</v>
      </c>
      <c r="J840" t="s">
        <v>36</v>
      </c>
      <c r="K840">
        <v>3760</v>
      </c>
      <c r="L840">
        <v>1</v>
      </c>
      <c r="M840" t="s">
        <v>31</v>
      </c>
      <c r="N840">
        <v>13</v>
      </c>
      <c r="O840">
        <v>3</v>
      </c>
      <c r="P840">
        <v>0</v>
      </c>
      <c r="Q840">
        <v>6</v>
      </c>
      <c r="R840">
        <v>2</v>
      </c>
      <c r="S840">
        <v>6</v>
      </c>
      <c r="T840">
        <v>1</v>
      </c>
      <c r="U840">
        <v>3</v>
      </c>
      <c r="V840" t="s">
        <v>72</v>
      </c>
      <c r="W840" s="1" t="s">
        <v>407</v>
      </c>
      <c r="Y840" t="s">
        <v>63</v>
      </c>
      <c r="Z840" t="s">
        <v>40</v>
      </c>
      <c r="AA840">
        <v>4</v>
      </c>
      <c r="AB840">
        <v>0</v>
      </c>
      <c r="AC840" t="s">
        <v>31</v>
      </c>
      <c r="AD840" t="s">
        <v>65</v>
      </c>
      <c r="AE840" t="s">
        <v>49</v>
      </c>
      <c r="AF840" s="3">
        <v>1167</v>
      </c>
      <c r="AG840" s="3">
        <v>44</v>
      </c>
      <c r="AH840">
        <v>80</v>
      </c>
      <c r="AI840">
        <v>9</v>
      </c>
      <c r="AJ840">
        <v>1</v>
      </c>
      <c r="AK840">
        <v>1</v>
      </c>
      <c r="AL840">
        <v>1</v>
      </c>
      <c r="AM840">
        <v>0</v>
      </c>
      <c r="AN840" t="s">
        <v>767</v>
      </c>
      <c r="AO840" t="s">
        <v>31</v>
      </c>
    </row>
    <row r="841" spans="1:41" x14ac:dyDescent="0.25">
      <c r="A841">
        <v>33</v>
      </c>
      <c r="B841" t="s">
        <v>32</v>
      </c>
      <c r="C841" t="s">
        <v>55</v>
      </c>
      <c r="D841">
        <v>2</v>
      </c>
      <c r="E841" t="s">
        <v>34</v>
      </c>
      <c r="F841">
        <v>3</v>
      </c>
      <c r="G841">
        <v>2</v>
      </c>
      <c r="H841" t="s">
        <v>70</v>
      </c>
      <c r="I841">
        <v>4</v>
      </c>
      <c r="J841" t="s">
        <v>57</v>
      </c>
      <c r="K841">
        <v>5505</v>
      </c>
      <c r="L841">
        <v>1</v>
      </c>
      <c r="M841" t="s">
        <v>41</v>
      </c>
      <c r="N841">
        <v>14</v>
      </c>
      <c r="O841">
        <v>3</v>
      </c>
      <c r="P841">
        <v>2</v>
      </c>
      <c r="Q841">
        <v>6</v>
      </c>
      <c r="R841">
        <v>5</v>
      </c>
      <c r="S841">
        <v>6</v>
      </c>
      <c r="T841">
        <v>0</v>
      </c>
      <c r="U841">
        <v>4</v>
      </c>
      <c r="V841" t="s">
        <v>37</v>
      </c>
      <c r="W841" s="1" t="s">
        <v>423</v>
      </c>
      <c r="Y841" t="s">
        <v>69</v>
      </c>
      <c r="Z841" t="s">
        <v>47</v>
      </c>
      <c r="AA841">
        <v>3</v>
      </c>
      <c r="AB841">
        <v>2</v>
      </c>
      <c r="AC841" t="s">
        <v>31</v>
      </c>
      <c r="AD841" t="s">
        <v>42</v>
      </c>
      <c r="AE841" t="s">
        <v>60</v>
      </c>
      <c r="AF841" s="3">
        <v>1171</v>
      </c>
      <c r="AG841" s="3">
        <v>45</v>
      </c>
      <c r="AH841">
        <v>80</v>
      </c>
      <c r="AI841">
        <v>4</v>
      </c>
      <c r="AJ841">
        <v>0</v>
      </c>
      <c r="AL841">
        <v>0</v>
      </c>
      <c r="AM841">
        <v>1</v>
      </c>
      <c r="AN841" t="s">
        <v>768</v>
      </c>
      <c r="AO841" t="s">
        <v>41</v>
      </c>
    </row>
    <row r="842" spans="1:41" x14ac:dyDescent="0.25">
      <c r="A842">
        <v>33</v>
      </c>
      <c r="B842" t="s">
        <v>81</v>
      </c>
      <c r="C842" t="s">
        <v>55</v>
      </c>
      <c r="D842">
        <v>16</v>
      </c>
      <c r="E842" t="s">
        <v>61</v>
      </c>
      <c r="F842">
        <v>3</v>
      </c>
      <c r="G842">
        <v>2</v>
      </c>
      <c r="H842" t="s">
        <v>70</v>
      </c>
      <c r="I842">
        <v>4</v>
      </c>
      <c r="J842" t="s">
        <v>57</v>
      </c>
      <c r="K842">
        <v>5368</v>
      </c>
      <c r="L842">
        <v>1</v>
      </c>
      <c r="M842" t="s">
        <v>31</v>
      </c>
      <c r="N842">
        <v>25</v>
      </c>
      <c r="O842">
        <v>4</v>
      </c>
      <c r="P842">
        <v>1</v>
      </c>
      <c r="Q842">
        <v>7</v>
      </c>
      <c r="R842">
        <v>2</v>
      </c>
      <c r="S842">
        <v>6</v>
      </c>
      <c r="T842">
        <v>1</v>
      </c>
      <c r="U842">
        <v>2</v>
      </c>
      <c r="V842" t="s">
        <v>37</v>
      </c>
      <c r="W842" s="2">
        <v>42156</v>
      </c>
      <c r="Y842" t="s">
        <v>39</v>
      </c>
      <c r="Z842" t="s">
        <v>40</v>
      </c>
      <c r="AA842">
        <v>0</v>
      </c>
      <c r="AB842">
        <v>0</v>
      </c>
      <c r="AC842" t="s">
        <v>41</v>
      </c>
      <c r="AD842" t="s">
        <v>67</v>
      </c>
      <c r="AE842" t="s">
        <v>60</v>
      </c>
      <c r="AF842" s="3">
        <v>1172</v>
      </c>
      <c r="AG842" s="3">
        <v>58</v>
      </c>
      <c r="AH842">
        <v>80</v>
      </c>
      <c r="AI842">
        <v>0</v>
      </c>
      <c r="AJ842">
        <v>0</v>
      </c>
      <c r="AL842">
        <v>0</v>
      </c>
      <c r="AM842">
        <v>1</v>
      </c>
      <c r="AN842" t="s">
        <v>768</v>
      </c>
      <c r="AO842" t="s">
        <v>41</v>
      </c>
    </row>
    <row r="843" spans="1:41" x14ac:dyDescent="0.25">
      <c r="A843">
        <v>37</v>
      </c>
      <c r="B843" t="s">
        <v>66</v>
      </c>
      <c r="C843" t="s">
        <v>55</v>
      </c>
      <c r="D843">
        <v>1</v>
      </c>
      <c r="E843" t="s">
        <v>34</v>
      </c>
      <c r="F843">
        <v>1</v>
      </c>
      <c r="G843">
        <v>2</v>
      </c>
      <c r="H843" t="s">
        <v>70</v>
      </c>
      <c r="I843">
        <v>4</v>
      </c>
      <c r="J843" t="s">
        <v>57</v>
      </c>
      <c r="K843">
        <v>9525</v>
      </c>
      <c r="L843">
        <v>1</v>
      </c>
      <c r="M843" t="s">
        <v>41</v>
      </c>
      <c r="N843">
        <v>14</v>
      </c>
      <c r="O843">
        <v>3</v>
      </c>
      <c r="P843">
        <v>2</v>
      </c>
      <c r="Q843">
        <v>6</v>
      </c>
      <c r="R843">
        <v>2</v>
      </c>
      <c r="S843">
        <v>6</v>
      </c>
      <c r="T843">
        <v>1</v>
      </c>
      <c r="U843">
        <v>3</v>
      </c>
      <c r="V843" t="s">
        <v>37</v>
      </c>
      <c r="W843" s="1" t="s">
        <v>396</v>
      </c>
      <c r="Y843" t="s">
        <v>69</v>
      </c>
      <c r="Z843" t="s">
        <v>40</v>
      </c>
      <c r="AA843">
        <v>3</v>
      </c>
      <c r="AB843">
        <v>3</v>
      </c>
      <c r="AC843" t="s">
        <v>41</v>
      </c>
      <c r="AD843" t="s">
        <v>42</v>
      </c>
      <c r="AE843" t="s">
        <v>43</v>
      </c>
      <c r="AF843" s="3">
        <v>1173</v>
      </c>
      <c r="AG843" s="3">
        <v>49</v>
      </c>
      <c r="AH843">
        <v>80</v>
      </c>
      <c r="AI843">
        <v>3</v>
      </c>
      <c r="AJ843">
        <v>0</v>
      </c>
      <c r="AL843">
        <v>0</v>
      </c>
      <c r="AM843">
        <v>1</v>
      </c>
      <c r="AN843" t="s">
        <v>768</v>
      </c>
      <c r="AO843" t="s">
        <v>41</v>
      </c>
    </row>
    <row r="844" spans="1:41" x14ac:dyDescent="0.25">
      <c r="A844">
        <v>24</v>
      </c>
      <c r="B844" t="s">
        <v>32</v>
      </c>
      <c r="C844" t="s">
        <v>33</v>
      </c>
      <c r="D844">
        <v>29</v>
      </c>
      <c r="E844" t="s">
        <v>34</v>
      </c>
      <c r="F844">
        <v>3</v>
      </c>
      <c r="G844">
        <v>1</v>
      </c>
      <c r="H844" t="s">
        <v>35</v>
      </c>
      <c r="I844">
        <v>1</v>
      </c>
      <c r="J844" t="s">
        <v>57</v>
      </c>
      <c r="K844">
        <v>3907</v>
      </c>
      <c r="L844">
        <v>1</v>
      </c>
      <c r="M844" t="s">
        <v>41</v>
      </c>
      <c r="N844">
        <v>13</v>
      </c>
      <c r="O844">
        <v>3</v>
      </c>
      <c r="P844">
        <v>3</v>
      </c>
      <c r="Q844">
        <v>6</v>
      </c>
      <c r="R844">
        <v>2</v>
      </c>
      <c r="S844">
        <v>6</v>
      </c>
      <c r="T844">
        <v>1</v>
      </c>
      <c r="U844">
        <v>2</v>
      </c>
      <c r="V844" t="s">
        <v>37</v>
      </c>
      <c r="W844" s="1" t="s">
        <v>408</v>
      </c>
      <c r="Y844" t="s">
        <v>39</v>
      </c>
      <c r="Z844" t="s">
        <v>47</v>
      </c>
      <c r="AA844">
        <v>4</v>
      </c>
      <c r="AB844">
        <v>1</v>
      </c>
      <c r="AC844" t="s">
        <v>31</v>
      </c>
      <c r="AD844" t="s">
        <v>48</v>
      </c>
      <c r="AE844" t="s">
        <v>49</v>
      </c>
      <c r="AF844" s="3">
        <v>1175</v>
      </c>
      <c r="AG844" s="3">
        <v>79</v>
      </c>
      <c r="AH844">
        <v>80</v>
      </c>
      <c r="AI844">
        <v>1</v>
      </c>
      <c r="AJ844">
        <v>1</v>
      </c>
      <c r="AK844">
        <v>1</v>
      </c>
      <c r="AL844">
        <v>1</v>
      </c>
      <c r="AM844">
        <v>0</v>
      </c>
      <c r="AN844" t="s">
        <v>767</v>
      </c>
      <c r="AO844" t="s">
        <v>31</v>
      </c>
    </row>
    <row r="845" spans="1:41" x14ac:dyDescent="0.25">
      <c r="A845">
        <v>27</v>
      </c>
      <c r="B845" t="s">
        <v>32</v>
      </c>
      <c r="C845" t="s">
        <v>33</v>
      </c>
      <c r="D845">
        <v>8</v>
      </c>
      <c r="E845" t="s">
        <v>61</v>
      </c>
      <c r="F845">
        <v>3</v>
      </c>
      <c r="G845">
        <v>1</v>
      </c>
      <c r="H845" t="s">
        <v>44</v>
      </c>
      <c r="I845">
        <v>4</v>
      </c>
      <c r="J845" t="s">
        <v>36</v>
      </c>
      <c r="K845">
        <v>3445</v>
      </c>
      <c r="L845">
        <v>1</v>
      </c>
      <c r="M845" t="s">
        <v>41</v>
      </c>
      <c r="N845">
        <v>11</v>
      </c>
      <c r="O845">
        <v>3</v>
      </c>
      <c r="P845">
        <v>0</v>
      </c>
      <c r="Q845">
        <v>6</v>
      </c>
      <c r="R845">
        <v>5</v>
      </c>
      <c r="S845">
        <v>6</v>
      </c>
      <c r="T845">
        <v>1</v>
      </c>
      <c r="U845">
        <v>4</v>
      </c>
      <c r="V845" t="s">
        <v>37</v>
      </c>
      <c r="W845" s="2">
        <v>42339</v>
      </c>
      <c r="Y845" t="s">
        <v>63</v>
      </c>
      <c r="Z845" t="s">
        <v>47</v>
      </c>
      <c r="AA845">
        <v>3</v>
      </c>
      <c r="AB845">
        <v>3</v>
      </c>
      <c r="AC845" t="s">
        <v>31</v>
      </c>
      <c r="AD845" t="s">
        <v>48</v>
      </c>
      <c r="AE845" t="s">
        <v>43</v>
      </c>
      <c r="AF845" s="3">
        <v>1177</v>
      </c>
      <c r="AG845" s="3">
        <v>82</v>
      </c>
      <c r="AH845">
        <v>80</v>
      </c>
      <c r="AI845">
        <v>7</v>
      </c>
      <c r="AJ845">
        <v>0</v>
      </c>
      <c r="AL845">
        <v>0</v>
      </c>
      <c r="AM845">
        <v>1</v>
      </c>
      <c r="AN845" t="s">
        <v>768</v>
      </c>
      <c r="AO845" t="s">
        <v>41</v>
      </c>
    </row>
    <row r="846" spans="1:41" x14ac:dyDescent="0.25">
      <c r="A846">
        <v>38</v>
      </c>
      <c r="B846" t="s">
        <v>66</v>
      </c>
      <c r="C846" t="s">
        <v>33</v>
      </c>
      <c r="D846">
        <v>2</v>
      </c>
      <c r="E846" t="s">
        <v>61</v>
      </c>
      <c r="F846">
        <v>2</v>
      </c>
      <c r="G846">
        <v>1</v>
      </c>
      <c r="H846" t="s">
        <v>35</v>
      </c>
      <c r="I846">
        <v>2</v>
      </c>
      <c r="J846" t="s">
        <v>51</v>
      </c>
      <c r="K846">
        <v>2468</v>
      </c>
      <c r="L846">
        <v>4</v>
      </c>
      <c r="M846" t="s">
        <v>41</v>
      </c>
      <c r="N846">
        <v>14</v>
      </c>
      <c r="O846">
        <v>3</v>
      </c>
      <c r="P846">
        <v>1</v>
      </c>
      <c r="Q846">
        <v>9</v>
      </c>
      <c r="R846">
        <v>4</v>
      </c>
      <c r="S846">
        <v>6</v>
      </c>
      <c r="T846">
        <v>0</v>
      </c>
      <c r="U846">
        <v>5</v>
      </c>
      <c r="V846" t="s">
        <v>37</v>
      </c>
      <c r="W846" s="1" t="s">
        <v>424</v>
      </c>
      <c r="Y846" t="s">
        <v>39</v>
      </c>
      <c r="Z846" t="s">
        <v>40</v>
      </c>
      <c r="AA846">
        <v>0</v>
      </c>
      <c r="AB846">
        <v>0</v>
      </c>
      <c r="AC846" t="s">
        <v>41</v>
      </c>
      <c r="AD846" t="s">
        <v>48</v>
      </c>
      <c r="AE846" t="s">
        <v>60</v>
      </c>
      <c r="AF846" s="3">
        <v>1179</v>
      </c>
      <c r="AG846" s="3">
        <v>72</v>
      </c>
      <c r="AH846">
        <v>80</v>
      </c>
      <c r="AI846">
        <v>3</v>
      </c>
      <c r="AJ846">
        <v>0</v>
      </c>
      <c r="AL846">
        <v>0</v>
      </c>
      <c r="AM846">
        <v>1</v>
      </c>
      <c r="AN846" t="s">
        <v>768</v>
      </c>
      <c r="AO846" t="s">
        <v>41</v>
      </c>
    </row>
    <row r="847" spans="1:41" x14ac:dyDescent="0.25">
      <c r="A847">
        <v>42</v>
      </c>
      <c r="B847" t="s">
        <v>81</v>
      </c>
      <c r="C847" t="s">
        <v>33</v>
      </c>
      <c r="D847">
        <v>10</v>
      </c>
      <c r="E847" t="s">
        <v>34</v>
      </c>
      <c r="F847">
        <v>3</v>
      </c>
      <c r="G847">
        <v>1</v>
      </c>
      <c r="H847" t="s">
        <v>44</v>
      </c>
      <c r="I847">
        <v>3</v>
      </c>
      <c r="J847" t="s">
        <v>51</v>
      </c>
      <c r="K847">
        <v>2936</v>
      </c>
      <c r="L847">
        <v>3</v>
      </c>
      <c r="M847" t="s">
        <v>41</v>
      </c>
      <c r="N847">
        <v>22</v>
      </c>
      <c r="O847">
        <v>4</v>
      </c>
      <c r="P847">
        <v>2</v>
      </c>
      <c r="Q847">
        <v>10</v>
      </c>
      <c r="R847">
        <v>1</v>
      </c>
      <c r="S847">
        <v>6</v>
      </c>
      <c r="T847">
        <v>3</v>
      </c>
      <c r="U847">
        <v>3</v>
      </c>
      <c r="V847" t="s">
        <v>58</v>
      </c>
      <c r="W847" s="2">
        <v>42314</v>
      </c>
      <c r="Y847" t="s">
        <v>63</v>
      </c>
      <c r="Z847" t="s">
        <v>40</v>
      </c>
      <c r="AA847">
        <v>4</v>
      </c>
      <c r="AB847">
        <v>2</v>
      </c>
      <c r="AC847" t="s">
        <v>31</v>
      </c>
      <c r="AD847" t="s">
        <v>65</v>
      </c>
      <c r="AE847" t="s">
        <v>49</v>
      </c>
      <c r="AF847" s="3">
        <v>1180</v>
      </c>
      <c r="AG847" s="3">
        <v>92</v>
      </c>
      <c r="AH847">
        <v>80</v>
      </c>
      <c r="AI847">
        <v>1</v>
      </c>
      <c r="AJ847">
        <v>0</v>
      </c>
      <c r="AL847">
        <v>0</v>
      </c>
      <c r="AM847">
        <v>1</v>
      </c>
      <c r="AN847" t="s">
        <v>768</v>
      </c>
      <c r="AO847" t="s">
        <v>41</v>
      </c>
    </row>
    <row r="848" spans="1:41" x14ac:dyDescent="0.25">
      <c r="A848">
        <v>38</v>
      </c>
      <c r="B848" t="s">
        <v>66</v>
      </c>
      <c r="C848" t="s">
        <v>120</v>
      </c>
      <c r="D848">
        <v>1</v>
      </c>
      <c r="E848" t="s">
        <v>34</v>
      </c>
      <c r="F848">
        <v>3</v>
      </c>
      <c r="G848">
        <v>1</v>
      </c>
      <c r="H848" t="s">
        <v>120</v>
      </c>
      <c r="I848">
        <v>2</v>
      </c>
      <c r="J848" t="s">
        <v>51</v>
      </c>
      <c r="K848">
        <v>2991</v>
      </c>
      <c r="L848">
        <v>0</v>
      </c>
      <c r="M848" t="s">
        <v>31</v>
      </c>
      <c r="N848">
        <v>11</v>
      </c>
      <c r="O848">
        <v>3</v>
      </c>
      <c r="P848">
        <v>1</v>
      </c>
      <c r="Q848">
        <v>7</v>
      </c>
      <c r="R848">
        <v>2</v>
      </c>
      <c r="S848">
        <v>6</v>
      </c>
      <c r="T848">
        <v>1</v>
      </c>
      <c r="U848">
        <v>2</v>
      </c>
      <c r="V848" t="s">
        <v>58</v>
      </c>
      <c r="W848" s="1" t="s">
        <v>425</v>
      </c>
      <c r="Y848" t="s">
        <v>54</v>
      </c>
      <c r="Z848" t="s">
        <v>40</v>
      </c>
      <c r="AA848">
        <v>1</v>
      </c>
      <c r="AB848">
        <v>3</v>
      </c>
      <c r="AC848" t="s">
        <v>41</v>
      </c>
      <c r="AD848" t="s">
        <v>48</v>
      </c>
      <c r="AE848" t="s">
        <v>43</v>
      </c>
      <c r="AF848" s="3">
        <v>1182</v>
      </c>
      <c r="AG848" s="3">
        <v>44</v>
      </c>
      <c r="AH848">
        <v>80</v>
      </c>
      <c r="AI848">
        <v>7</v>
      </c>
      <c r="AJ848">
        <v>0</v>
      </c>
      <c r="AL848">
        <v>0</v>
      </c>
      <c r="AM848">
        <v>1</v>
      </c>
      <c r="AN848" t="s">
        <v>768</v>
      </c>
      <c r="AO848" t="s">
        <v>41</v>
      </c>
    </row>
    <row r="849" spans="1:41" x14ac:dyDescent="0.25">
      <c r="A849">
        <v>32</v>
      </c>
      <c r="B849" t="s">
        <v>32</v>
      </c>
      <c r="C849" t="s">
        <v>33</v>
      </c>
      <c r="D849">
        <v>29</v>
      </c>
      <c r="E849" t="s">
        <v>61</v>
      </c>
      <c r="F849">
        <v>2</v>
      </c>
      <c r="G849">
        <v>1</v>
      </c>
      <c r="H849" t="s">
        <v>35</v>
      </c>
      <c r="I849">
        <v>2</v>
      </c>
      <c r="J849" t="s">
        <v>36</v>
      </c>
      <c r="K849">
        <v>2837</v>
      </c>
      <c r="L849">
        <v>1</v>
      </c>
      <c r="M849" t="s">
        <v>41</v>
      </c>
      <c r="N849">
        <v>13</v>
      </c>
      <c r="O849">
        <v>3</v>
      </c>
      <c r="P849">
        <v>0</v>
      </c>
      <c r="Q849">
        <v>6</v>
      </c>
      <c r="R849">
        <v>3</v>
      </c>
      <c r="S849">
        <v>6</v>
      </c>
      <c r="T849">
        <v>4</v>
      </c>
      <c r="U849">
        <v>1</v>
      </c>
      <c r="V849" t="s">
        <v>52</v>
      </c>
      <c r="W849" s="2">
        <v>42041</v>
      </c>
      <c r="Y849" t="s">
        <v>46</v>
      </c>
      <c r="Z849" t="s">
        <v>47</v>
      </c>
      <c r="AA849">
        <v>1</v>
      </c>
      <c r="AB849">
        <v>3</v>
      </c>
      <c r="AC849" t="s">
        <v>31</v>
      </c>
      <c r="AD849" t="s">
        <v>67</v>
      </c>
      <c r="AE849" t="s">
        <v>49</v>
      </c>
      <c r="AF849" s="3">
        <v>1184</v>
      </c>
      <c r="AG849" s="3">
        <v>97</v>
      </c>
      <c r="AH849">
        <v>80</v>
      </c>
      <c r="AI849">
        <v>9</v>
      </c>
      <c r="AJ849">
        <v>0</v>
      </c>
      <c r="AL849">
        <v>0</v>
      </c>
      <c r="AM849">
        <v>1</v>
      </c>
      <c r="AN849" t="s">
        <v>768</v>
      </c>
      <c r="AO849" t="s">
        <v>41</v>
      </c>
    </row>
    <row r="850" spans="1:41" x14ac:dyDescent="0.25">
      <c r="A850">
        <v>39</v>
      </c>
      <c r="B850" t="s">
        <v>81</v>
      </c>
      <c r="C850" t="s">
        <v>33</v>
      </c>
      <c r="D850">
        <v>9</v>
      </c>
      <c r="E850" t="s">
        <v>34</v>
      </c>
      <c r="F850">
        <v>3</v>
      </c>
      <c r="G850">
        <v>5</v>
      </c>
      <c r="H850" t="s">
        <v>75</v>
      </c>
      <c r="I850">
        <v>4</v>
      </c>
      <c r="J850" t="s">
        <v>36</v>
      </c>
      <c r="K850">
        <v>19431</v>
      </c>
      <c r="L850">
        <v>2</v>
      </c>
      <c r="M850" t="s">
        <v>41</v>
      </c>
      <c r="N850">
        <v>13</v>
      </c>
      <c r="O850">
        <v>3</v>
      </c>
      <c r="P850">
        <v>0</v>
      </c>
      <c r="Q850">
        <v>21</v>
      </c>
      <c r="R850">
        <v>3</v>
      </c>
      <c r="S850">
        <v>6</v>
      </c>
      <c r="T850">
        <v>1</v>
      </c>
      <c r="U850">
        <v>3</v>
      </c>
      <c r="V850" t="s">
        <v>52</v>
      </c>
      <c r="W850" s="2">
        <v>42069</v>
      </c>
      <c r="Y850" t="s">
        <v>69</v>
      </c>
      <c r="Z850" t="s">
        <v>47</v>
      </c>
      <c r="AA850">
        <v>1</v>
      </c>
      <c r="AB850">
        <v>1</v>
      </c>
      <c r="AC850" t="s">
        <v>41</v>
      </c>
      <c r="AD850" t="s">
        <v>42</v>
      </c>
      <c r="AE850" t="s">
        <v>43</v>
      </c>
      <c r="AF850" s="3">
        <v>1185</v>
      </c>
      <c r="AG850" s="3">
        <v>47</v>
      </c>
      <c r="AH850">
        <v>80</v>
      </c>
      <c r="AI850">
        <v>2</v>
      </c>
      <c r="AJ850">
        <v>0</v>
      </c>
      <c r="AL850">
        <v>0</v>
      </c>
      <c r="AM850">
        <v>1</v>
      </c>
      <c r="AN850" t="s">
        <v>768</v>
      </c>
      <c r="AO850" t="s">
        <v>41</v>
      </c>
    </row>
    <row r="851" spans="1:41" x14ac:dyDescent="0.25">
      <c r="A851">
        <v>50</v>
      </c>
      <c r="B851" t="s">
        <v>66</v>
      </c>
      <c r="C851" t="s">
        <v>55</v>
      </c>
      <c r="D851">
        <v>1</v>
      </c>
      <c r="E851" t="s">
        <v>34</v>
      </c>
      <c r="F851">
        <v>3</v>
      </c>
      <c r="G851">
        <v>2</v>
      </c>
      <c r="H851" t="s">
        <v>70</v>
      </c>
      <c r="I851">
        <v>3</v>
      </c>
      <c r="J851" t="s">
        <v>57</v>
      </c>
      <c r="K851">
        <v>6728</v>
      </c>
      <c r="L851">
        <v>7</v>
      </c>
      <c r="M851" t="s">
        <v>41</v>
      </c>
      <c r="N851">
        <v>12</v>
      </c>
      <c r="O851">
        <v>3</v>
      </c>
      <c r="P851">
        <v>2</v>
      </c>
      <c r="Q851">
        <v>12</v>
      </c>
      <c r="R851">
        <v>3</v>
      </c>
      <c r="S851">
        <v>6</v>
      </c>
      <c r="T851">
        <v>0</v>
      </c>
      <c r="U851">
        <v>1</v>
      </c>
      <c r="V851" t="s">
        <v>37</v>
      </c>
      <c r="W851" s="1" t="s">
        <v>426</v>
      </c>
      <c r="Y851" t="s">
        <v>54</v>
      </c>
      <c r="Z851" t="s">
        <v>40</v>
      </c>
      <c r="AA851">
        <v>5</v>
      </c>
      <c r="AB851">
        <v>0</v>
      </c>
      <c r="AC851" t="s">
        <v>41</v>
      </c>
      <c r="AD851" t="s">
        <v>48</v>
      </c>
      <c r="AE851" t="s">
        <v>43</v>
      </c>
      <c r="AF851" s="3">
        <v>1188</v>
      </c>
      <c r="AG851" s="3">
        <v>85</v>
      </c>
      <c r="AH851">
        <v>80</v>
      </c>
      <c r="AI851">
        <v>3</v>
      </c>
      <c r="AJ851">
        <v>1</v>
      </c>
      <c r="AK851">
        <v>1</v>
      </c>
      <c r="AL851">
        <v>1</v>
      </c>
      <c r="AM851">
        <v>0</v>
      </c>
      <c r="AN851" t="s">
        <v>767</v>
      </c>
      <c r="AO851" t="s">
        <v>31</v>
      </c>
    </row>
    <row r="852" spans="1:41" x14ac:dyDescent="0.25">
      <c r="A852">
        <v>36</v>
      </c>
      <c r="B852" t="s">
        <v>32</v>
      </c>
      <c r="C852" t="s">
        <v>55</v>
      </c>
      <c r="D852">
        <v>11</v>
      </c>
      <c r="E852" t="s">
        <v>61</v>
      </c>
      <c r="F852">
        <v>2</v>
      </c>
      <c r="G852">
        <v>2</v>
      </c>
      <c r="H852" t="s">
        <v>70</v>
      </c>
      <c r="I852">
        <v>4</v>
      </c>
      <c r="J852" t="s">
        <v>51</v>
      </c>
      <c r="K852">
        <v>6652</v>
      </c>
      <c r="L852">
        <v>4</v>
      </c>
      <c r="M852" t="s">
        <v>41</v>
      </c>
      <c r="N852">
        <v>13</v>
      </c>
      <c r="O852">
        <v>3</v>
      </c>
      <c r="P852">
        <v>1</v>
      </c>
      <c r="Q852">
        <v>8</v>
      </c>
      <c r="R852">
        <v>2</v>
      </c>
      <c r="S852">
        <v>6</v>
      </c>
      <c r="T852">
        <v>0</v>
      </c>
      <c r="U852">
        <v>0</v>
      </c>
      <c r="V852" t="s">
        <v>72</v>
      </c>
      <c r="W852" s="1" t="s">
        <v>395</v>
      </c>
      <c r="Y852" t="s">
        <v>63</v>
      </c>
      <c r="Z852" t="s">
        <v>40</v>
      </c>
      <c r="AA852">
        <v>2</v>
      </c>
      <c r="AB852">
        <v>3</v>
      </c>
      <c r="AC852" t="s">
        <v>41</v>
      </c>
      <c r="AD852" t="s">
        <v>42</v>
      </c>
      <c r="AE852" t="s">
        <v>43</v>
      </c>
      <c r="AF852" s="3">
        <v>1190</v>
      </c>
      <c r="AG852" s="3">
        <v>76</v>
      </c>
      <c r="AH852">
        <v>80</v>
      </c>
      <c r="AI852">
        <v>0</v>
      </c>
      <c r="AJ852">
        <v>0</v>
      </c>
      <c r="AL852">
        <v>0</v>
      </c>
      <c r="AM852">
        <v>1</v>
      </c>
      <c r="AN852" t="s">
        <v>768</v>
      </c>
      <c r="AO852" t="s">
        <v>41</v>
      </c>
    </row>
    <row r="853" spans="1:41" x14ac:dyDescent="0.25">
      <c r="A853">
        <v>27</v>
      </c>
      <c r="B853" t="s">
        <v>32</v>
      </c>
      <c r="C853" t="s">
        <v>33</v>
      </c>
      <c r="D853">
        <v>4</v>
      </c>
      <c r="E853" t="s">
        <v>34</v>
      </c>
      <c r="F853">
        <v>4</v>
      </c>
      <c r="G853">
        <v>2</v>
      </c>
      <c r="H853" t="s">
        <v>78</v>
      </c>
      <c r="I853">
        <v>2</v>
      </c>
      <c r="J853" t="s">
        <v>51</v>
      </c>
      <c r="K853">
        <v>6142</v>
      </c>
      <c r="L853">
        <v>1</v>
      </c>
      <c r="M853" t="s">
        <v>31</v>
      </c>
      <c r="N853">
        <v>20</v>
      </c>
      <c r="O853">
        <v>4</v>
      </c>
      <c r="P853">
        <v>1</v>
      </c>
      <c r="Q853">
        <v>6</v>
      </c>
      <c r="R853">
        <v>0</v>
      </c>
      <c r="S853">
        <v>6</v>
      </c>
      <c r="T853">
        <v>0</v>
      </c>
      <c r="U853">
        <v>3</v>
      </c>
      <c r="V853" t="s">
        <v>52</v>
      </c>
      <c r="W853" s="1" t="s">
        <v>404</v>
      </c>
      <c r="Y853" t="s">
        <v>39</v>
      </c>
      <c r="Z853" t="s">
        <v>40</v>
      </c>
      <c r="AA853">
        <v>5</v>
      </c>
      <c r="AB853">
        <v>0</v>
      </c>
      <c r="AC853" t="s">
        <v>31</v>
      </c>
      <c r="AD853" t="s">
        <v>65</v>
      </c>
      <c r="AE853" t="s">
        <v>43</v>
      </c>
      <c r="AF853" s="3">
        <v>1191</v>
      </c>
      <c r="AG853" s="3">
        <v>92</v>
      </c>
      <c r="AH853">
        <v>80</v>
      </c>
      <c r="AI853">
        <v>2</v>
      </c>
      <c r="AJ853">
        <v>0</v>
      </c>
      <c r="AL853">
        <v>0</v>
      </c>
      <c r="AM853">
        <v>1</v>
      </c>
      <c r="AN853" t="s">
        <v>768</v>
      </c>
      <c r="AO853" t="s">
        <v>41</v>
      </c>
    </row>
    <row r="854" spans="1:41" x14ac:dyDescent="0.25">
      <c r="A854">
        <v>32</v>
      </c>
      <c r="B854" t="s">
        <v>66</v>
      </c>
      <c r="C854" t="s">
        <v>33</v>
      </c>
      <c r="D854">
        <v>2</v>
      </c>
      <c r="E854" t="s">
        <v>34</v>
      </c>
      <c r="F854">
        <v>3</v>
      </c>
      <c r="G854">
        <v>1</v>
      </c>
      <c r="H854" t="s">
        <v>35</v>
      </c>
      <c r="I854">
        <v>4</v>
      </c>
      <c r="J854" t="s">
        <v>36</v>
      </c>
      <c r="K854">
        <v>3068</v>
      </c>
      <c r="L854">
        <v>0</v>
      </c>
      <c r="M854" t="s">
        <v>41</v>
      </c>
      <c r="N854">
        <v>13</v>
      </c>
      <c r="O854">
        <v>3</v>
      </c>
      <c r="P854">
        <v>0</v>
      </c>
      <c r="Q854">
        <v>8</v>
      </c>
      <c r="R854">
        <v>2</v>
      </c>
      <c r="S854">
        <v>7</v>
      </c>
      <c r="T854">
        <v>3</v>
      </c>
      <c r="U854">
        <v>6</v>
      </c>
      <c r="V854" t="s">
        <v>58</v>
      </c>
      <c r="W854" s="2">
        <v>41673</v>
      </c>
      <c r="Y854" t="s">
        <v>39</v>
      </c>
      <c r="Z854" t="s">
        <v>47</v>
      </c>
      <c r="AA854">
        <v>5</v>
      </c>
      <c r="AB854">
        <v>1</v>
      </c>
      <c r="AC854" t="s">
        <v>31</v>
      </c>
      <c r="AD854" t="s">
        <v>67</v>
      </c>
      <c r="AE854" t="s">
        <v>49</v>
      </c>
      <c r="AF854" s="3">
        <v>1192</v>
      </c>
      <c r="AG854" s="3">
        <v>54</v>
      </c>
      <c r="AH854">
        <v>80</v>
      </c>
      <c r="AI854">
        <v>8</v>
      </c>
      <c r="AJ854">
        <v>0</v>
      </c>
      <c r="AL854">
        <v>0</v>
      </c>
      <c r="AM854">
        <v>1</v>
      </c>
      <c r="AN854" t="s">
        <v>768</v>
      </c>
      <c r="AO854" t="s">
        <v>41</v>
      </c>
    </row>
    <row r="855" spans="1:41" x14ac:dyDescent="0.25">
      <c r="A855">
        <v>36</v>
      </c>
      <c r="B855" t="s">
        <v>32</v>
      </c>
      <c r="C855" t="s">
        <v>33</v>
      </c>
      <c r="D855">
        <v>27</v>
      </c>
      <c r="E855" t="s">
        <v>34</v>
      </c>
      <c r="F855">
        <v>3</v>
      </c>
      <c r="G855">
        <v>2</v>
      </c>
      <c r="H855" t="s">
        <v>89</v>
      </c>
      <c r="I855">
        <v>3</v>
      </c>
      <c r="J855" t="s">
        <v>51</v>
      </c>
      <c r="K855">
        <v>5237</v>
      </c>
      <c r="L855">
        <v>6</v>
      </c>
      <c r="M855" t="s">
        <v>41</v>
      </c>
      <c r="N855">
        <v>13</v>
      </c>
      <c r="O855">
        <v>3</v>
      </c>
      <c r="P855">
        <v>2</v>
      </c>
      <c r="Q855">
        <v>17</v>
      </c>
      <c r="R855">
        <v>3</v>
      </c>
      <c r="S855">
        <v>7</v>
      </c>
      <c r="T855">
        <v>7</v>
      </c>
      <c r="U855">
        <v>7</v>
      </c>
      <c r="V855" t="s">
        <v>72</v>
      </c>
      <c r="W855" s="1" t="s">
        <v>427</v>
      </c>
      <c r="Y855" t="s">
        <v>69</v>
      </c>
      <c r="Z855" t="s">
        <v>40</v>
      </c>
      <c r="AA855">
        <v>0</v>
      </c>
      <c r="AB855">
        <v>2</v>
      </c>
      <c r="AC855" t="s">
        <v>41</v>
      </c>
      <c r="AD855" t="s">
        <v>48</v>
      </c>
      <c r="AE855" t="s">
        <v>43</v>
      </c>
      <c r="AF855" s="3">
        <v>1193</v>
      </c>
      <c r="AG855" s="3">
        <v>54</v>
      </c>
      <c r="AH855">
        <v>80</v>
      </c>
      <c r="AI855">
        <v>1</v>
      </c>
      <c r="AJ855">
        <v>0</v>
      </c>
      <c r="AL855">
        <v>0</v>
      </c>
      <c r="AM855">
        <v>1</v>
      </c>
      <c r="AN855" t="s">
        <v>768</v>
      </c>
      <c r="AO855" t="s">
        <v>41</v>
      </c>
    </row>
    <row r="856" spans="1:41" x14ac:dyDescent="0.25">
      <c r="A856">
        <v>31</v>
      </c>
      <c r="B856" t="s">
        <v>32</v>
      </c>
      <c r="C856" t="s">
        <v>33</v>
      </c>
      <c r="D856">
        <v>7</v>
      </c>
      <c r="E856" t="s">
        <v>34</v>
      </c>
      <c r="F856">
        <v>3</v>
      </c>
      <c r="G856">
        <v>2</v>
      </c>
      <c r="H856" t="s">
        <v>35</v>
      </c>
      <c r="I856">
        <v>4</v>
      </c>
      <c r="J856" t="s">
        <v>57</v>
      </c>
      <c r="K856">
        <v>5915</v>
      </c>
      <c r="L856">
        <v>3</v>
      </c>
      <c r="M856" t="s">
        <v>41</v>
      </c>
      <c r="N856">
        <v>22</v>
      </c>
      <c r="O856">
        <v>4</v>
      </c>
      <c r="P856">
        <v>1</v>
      </c>
      <c r="Q856">
        <v>10</v>
      </c>
      <c r="R856">
        <v>3</v>
      </c>
      <c r="S856">
        <v>7</v>
      </c>
      <c r="T856">
        <v>1</v>
      </c>
      <c r="U856">
        <v>7</v>
      </c>
      <c r="V856" t="s">
        <v>52</v>
      </c>
      <c r="W856" s="1" t="s">
        <v>428</v>
      </c>
      <c r="Y856" t="s">
        <v>63</v>
      </c>
      <c r="Z856" t="s">
        <v>47</v>
      </c>
      <c r="AA856">
        <v>5</v>
      </c>
      <c r="AB856">
        <v>3</v>
      </c>
      <c r="AC856" t="s">
        <v>41</v>
      </c>
      <c r="AD856" t="s">
        <v>48</v>
      </c>
      <c r="AE856" t="s">
        <v>60</v>
      </c>
      <c r="AF856" s="3">
        <v>1195</v>
      </c>
      <c r="AG856" s="3">
        <v>83</v>
      </c>
      <c r="AH856">
        <v>80</v>
      </c>
      <c r="AI856">
        <v>2</v>
      </c>
      <c r="AJ856">
        <v>0</v>
      </c>
      <c r="AL856">
        <v>0</v>
      </c>
      <c r="AM856">
        <v>1</v>
      </c>
      <c r="AN856" t="s">
        <v>768</v>
      </c>
      <c r="AO856" t="s">
        <v>41</v>
      </c>
    </row>
    <row r="857" spans="1:41" x14ac:dyDescent="0.25">
      <c r="A857">
        <v>37</v>
      </c>
      <c r="B857" t="s">
        <v>32</v>
      </c>
      <c r="C857" t="s">
        <v>33</v>
      </c>
      <c r="D857">
        <v>1</v>
      </c>
      <c r="E857" t="s">
        <v>34</v>
      </c>
      <c r="F857">
        <v>2</v>
      </c>
      <c r="G857">
        <v>2</v>
      </c>
      <c r="H857" t="s">
        <v>78</v>
      </c>
      <c r="I857">
        <v>3</v>
      </c>
      <c r="J857" t="s">
        <v>57</v>
      </c>
      <c r="K857">
        <v>5993</v>
      </c>
      <c r="L857">
        <v>1</v>
      </c>
      <c r="M857" t="s">
        <v>41</v>
      </c>
      <c r="N857">
        <v>18</v>
      </c>
      <c r="O857">
        <v>3</v>
      </c>
      <c r="P857">
        <v>1</v>
      </c>
      <c r="Q857">
        <v>7</v>
      </c>
      <c r="R857">
        <v>2</v>
      </c>
      <c r="S857">
        <v>7</v>
      </c>
      <c r="T857">
        <v>0</v>
      </c>
      <c r="U857">
        <v>7</v>
      </c>
      <c r="V857" t="s">
        <v>52</v>
      </c>
      <c r="W857" s="2">
        <v>41885</v>
      </c>
      <c r="Y857" t="s">
        <v>54</v>
      </c>
      <c r="Z857" t="s">
        <v>47</v>
      </c>
      <c r="AA857">
        <v>0</v>
      </c>
      <c r="AB857">
        <v>3</v>
      </c>
      <c r="AC857" t="s">
        <v>41</v>
      </c>
      <c r="AD857" t="s">
        <v>42</v>
      </c>
      <c r="AE857" t="s">
        <v>49</v>
      </c>
      <c r="AF857" s="3">
        <v>1196</v>
      </c>
      <c r="AG857" s="3">
        <v>56</v>
      </c>
      <c r="AH857">
        <v>80</v>
      </c>
      <c r="AI857">
        <v>8</v>
      </c>
      <c r="AJ857">
        <v>0</v>
      </c>
      <c r="AL857">
        <v>0</v>
      </c>
      <c r="AM857">
        <v>1</v>
      </c>
      <c r="AN857" t="s">
        <v>768</v>
      </c>
      <c r="AO857" t="s">
        <v>41</v>
      </c>
    </row>
    <row r="858" spans="1:41" x14ac:dyDescent="0.25">
      <c r="A858">
        <v>33</v>
      </c>
      <c r="B858" t="s">
        <v>81</v>
      </c>
      <c r="C858" t="s">
        <v>55</v>
      </c>
      <c r="D858">
        <v>22</v>
      </c>
      <c r="E858" t="s">
        <v>34</v>
      </c>
      <c r="F858">
        <v>3</v>
      </c>
      <c r="G858">
        <v>2</v>
      </c>
      <c r="H858" t="s">
        <v>70</v>
      </c>
      <c r="I858">
        <v>2</v>
      </c>
      <c r="J858" t="s">
        <v>51</v>
      </c>
      <c r="K858">
        <v>6146</v>
      </c>
      <c r="L858">
        <v>0</v>
      </c>
      <c r="M858" t="s">
        <v>41</v>
      </c>
      <c r="N858">
        <v>13</v>
      </c>
      <c r="O858">
        <v>3</v>
      </c>
      <c r="P858">
        <v>1</v>
      </c>
      <c r="Q858">
        <v>8</v>
      </c>
      <c r="R858">
        <v>2</v>
      </c>
      <c r="S858">
        <v>7</v>
      </c>
      <c r="T858">
        <v>0</v>
      </c>
      <c r="U858">
        <v>7</v>
      </c>
      <c r="V858" t="s">
        <v>58</v>
      </c>
      <c r="W858" s="2">
        <v>41857</v>
      </c>
      <c r="Y858" t="s">
        <v>46</v>
      </c>
      <c r="Z858" t="s">
        <v>40</v>
      </c>
      <c r="AA858">
        <v>4</v>
      </c>
      <c r="AB858">
        <v>3</v>
      </c>
      <c r="AC858" t="s">
        <v>41</v>
      </c>
      <c r="AD858" t="s">
        <v>65</v>
      </c>
      <c r="AE858" t="s">
        <v>43</v>
      </c>
      <c r="AF858" s="3">
        <v>1198</v>
      </c>
      <c r="AG858" s="3">
        <v>87</v>
      </c>
      <c r="AH858">
        <v>80</v>
      </c>
      <c r="AI858">
        <v>2</v>
      </c>
      <c r="AJ858">
        <v>0</v>
      </c>
      <c r="AL858">
        <v>0</v>
      </c>
      <c r="AM858">
        <v>1</v>
      </c>
      <c r="AN858" t="s">
        <v>768</v>
      </c>
      <c r="AO858" t="s">
        <v>41</v>
      </c>
    </row>
    <row r="859" spans="1:41" x14ac:dyDescent="0.25">
      <c r="A859">
        <v>31</v>
      </c>
      <c r="B859" t="s">
        <v>32</v>
      </c>
      <c r="C859" t="s">
        <v>55</v>
      </c>
      <c r="D859">
        <v>6</v>
      </c>
      <c r="E859" t="s">
        <v>34</v>
      </c>
      <c r="F859">
        <v>1</v>
      </c>
      <c r="G859">
        <v>2</v>
      </c>
      <c r="H859" t="s">
        <v>70</v>
      </c>
      <c r="I859">
        <v>3</v>
      </c>
      <c r="J859" t="s">
        <v>51</v>
      </c>
      <c r="K859">
        <v>6172</v>
      </c>
      <c r="L859">
        <v>4</v>
      </c>
      <c r="M859" t="s">
        <v>31</v>
      </c>
      <c r="N859">
        <v>18</v>
      </c>
      <c r="O859">
        <v>3</v>
      </c>
      <c r="P859">
        <v>0</v>
      </c>
      <c r="Q859">
        <v>12</v>
      </c>
      <c r="R859">
        <v>3</v>
      </c>
      <c r="S859">
        <v>7</v>
      </c>
      <c r="T859">
        <v>7</v>
      </c>
      <c r="U859">
        <v>7</v>
      </c>
      <c r="V859" t="s">
        <v>52</v>
      </c>
      <c r="W859" s="2">
        <v>41672</v>
      </c>
      <c r="Y859" t="s">
        <v>39</v>
      </c>
      <c r="Z859" t="s">
        <v>47</v>
      </c>
      <c r="AA859">
        <v>1</v>
      </c>
      <c r="AB859">
        <v>1</v>
      </c>
      <c r="AC859" t="s">
        <v>41</v>
      </c>
      <c r="AD859" t="s">
        <v>65</v>
      </c>
      <c r="AE859" t="s">
        <v>49</v>
      </c>
      <c r="AF859" s="3">
        <v>1200</v>
      </c>
      <c r="AG859" s="3">
        <v>96</v>
      </c>
      <c r="AH859">
        <v>80</v>
      </c>
      <c r="AI859">
        <v>4</v>
      </c>
      <c r="AJ859">
        <v>1</v>
      </c>
      <c r="AK859">
        <v>1</v>
      </c>
      <c r="AL859">
        <v>1</v>
      </c>
      <c r="AM859">
        <v>0</v>
      </c>
      <c r="AN859" t="s">
        <v>767</v>
      </c>
      <c r="AO859" t="s">
        <v>31</v>
      </c>
    </row>
    <row r="860" spans="1:41" x14ac:dyDescent="0.25">
      <c r="A860">
        <v>41</v>
      </c>
      <c r="B860" t="s">
        <v>66</v>
      </c>
      <c r="C860" t="s">
        <v>33</v>
      </c>
      <c r="D860">
        <v>10</v>
      </c>
      <c r="E860" t="s">
        <v>34</v>
      </c>
      <c r="F860">
        <v>2</v>
      </c>
      <c r="G860">
        <v>4</v>
      </c>
      <c r="H860" t="s">
        <v>75</v>
      </c>
      <c r="I860">
        <v>1</v>
      </c>
      <c r="J860" t="s">
        <v>57</v>
      </c>
      <c r="K860">
        <v>17181</v>
      </c>
      <c r="L860">
        <v>4</v>
      </c>
      <c r="M860" t="s">
        <v>41</v>
      </c>
      <c r="N860">
        <v>13</v>
      </c>
      <c r="O860">
        <v>3</v>
      </c>
      <c r="P860">
        <v>1</v>
      </c>
      <c r="Q860">
        <v>21</v>
      </c>
      <c r="R860">
        <v>2</v>
      </c>
      <c r="S860">
        <v>7</v>
      </c>
      <c r="T860">
        <v>7</v>
      </c>
      <c r="U860">
        <v>7</v>
      </c>
      <c r="V860" t="s">
        <v>52</v>
      </c>
      <c r="W860" s="2">
        <v>41644</v>
      </c>
      <c r="Y860" t="s">
        <v>54</v>
      </c>
      <c r="Z860" t="s">
        <v>40</v>
      </c>
      <c r="AA860">
        <v>2</v>
      </c>
      <c r="AB860">
        <v>2</v>
      </c>
      <c r="AC860" t="s">
        <v>31</v>
      </c>
      <c r="AD860" t="s">
        <v>67</v>
      </c>
      <c r="AE860" t="s">
        <v>49</v>
      </c>
      <c r="AF860" s="3">
        <v>1201</v>
      </c>
      <c r="AG860" s="3">
        <v>50</v>
      </c>
      <c r="AH860">
        <v>80</v>
      </c>
      <c r="AI860">
        <v>7</v>
      </c>
      <c r="AJ860">
        <v>0</v>
      </c>
      <c r="AL860">
        <v>0</v>
      </c>
      <c r="AM860">
        <v>1</v>
      </c>
      <c r="AN860" t="s">
        <v>768</v>
      </c>
      <c r="AO860" t="s">
        <v>41</v>
      </c>
    </row>
    <row r="861" spans="1:41" x14ac:dyDescent="0.25">
      <c r="A861">
        <v>53</v>
      </c>
      <c r="B861" t="s">
        <v>32</v>
      </c>
      <c r="C861" t="s">
        <v>55</v>
      </c>
      <c r="D861">
        <v>6</v>
      </c>
      <c r="E861" t="s">
        <v>34</v>
      </c>
      <c r="F861">
        <v>3</v>
      </c>
      <c r="G861">
        <v>2</v>
      </c>
      <c r="H861" t="s">
        <v>56</v>
      </c>
      <c r="I861">
        <v>3</v>
      </c>
      <c r="J861" t="s">
        <v>51</v>
      </c>
      <c r="K861">
        <v>2306</v>
      </c>
      <c r="L861">
        <v>2</v>
      </c>
      <c r="M861" t="s">
        <v>31</v>
      </c>
      <c r="N861">
        <v>20</v>
      </c>
      <c r="O861">
        <v>4</v>
      </c>
      <c r="P861">
        <v>1</v>
      </c>
      <c r="Q861">
        <v>13</v>
      </c>
      <c r="R861">
        <v>3</v>
      </c>
      <c r="S861">
        <v>7</v>
      </c>
      <c r="T861">
        <v>4</v>
      </c>
      <c r="U861">
        <v>5</v>
      </c>
      <c r="V861" t="s">
        <v>58</v>
      </c>
      <c r="W861" s="1" t="s">
        <v>429</v>
      </c>
      <c r="Y861" t="s">
        <v>69</v>
      </c>
      <c r="Z861" t="s">
        <v>47</v>
      </c>
      <c r="AA861">
        <v>0</v>
      </c>
      <c r="AB861">
        <v>1</v>
      </c>
      <c r="AC861" t="s">
        <v>41</v>
      </c>
      <c r="AD861" t="s">
        <v>48</v>
      </c>
      <c r="AE861" t="s">
        <v>43</v>
      </c>
      <c r="AF861" s="3">
        <v>1202</v>
      </c>
      <c r="AG861" s="3">
        <v>69</v>
      </c>
      <c r="AH861">
        <v>80</v>
      </c>
      <c r="AI861">
        <v>4</v>
      </c>
      <c r="AJ861">
        <v>0</v>
      </c>
      <c r="AL861">
        <v>0</v>
      </c>
      <c r="AM861">
        <v>1</v>
      </c>
      <c r="AN861" t="s">
        <v>768</v>
      </c>
      <c r="AO861" t="s">
        <v>41</v>
      </c>
    </row>
    <row r="862" spans="1:41" x14ac:dyDescent="0.25">
      <c r="A862">
        <v>51</v>
      </c>
      <c r="B862" t="s">
        <v>32</v>
      </c>
      <c r="C862" t="s">
        <v>33</v>
      </c>
      <c r="D862">
        <v>3</v>
      </c>
      <c r="E862" t="s">
        <v>61</v>
      </c>
      <c r="F862">
        <v>3</v>
      </c>
      <c r="G862">
        <v>4</v>
      </c>
      <c r="H862" t="s">
        <v>89</v>
      </c>
      <c r="I862">
        <v>2</v>
      </c>
      <c r="J862" t="s">
        <v>36</v>
      </c>
      <c r="K862">
        <v>13734</v>
      </c>
      <c r="L862">
        <v>3</v>
      </c>
      <c r="M862" t="s">
        <v>41</v>
      </c>
      <c r="N862">
        <v>18</v>
      </c>
      <c r="O862">
        <v>3</v>
      </c>
      <c r="P862">
        <v>0</v>
      </c>
      <c r="Q862">
        <v>21</v>
      </c>
      <c r="R862">
        <v>6</v>
      </c>
      <c r="S862">
        <v>7</v>
      </c>
      <c r="T862">
        <v>1</v>
      </c>
      <c r="U862">
        <v>0</v>
      </c>
      <c r="V862" t="s">
        <v>37</v>
      </c>
      <c r="W862" s="1" t="s">
        <v>430</v>
      </c>
      <c r="Y862" t="s">
        <v>39</v>
      </c>
      <c r="Z862" t="s">
        <v>47</v>
      </c>
      <c r="AA862">
        <v>0</v>
      </c>
      <c r="AB862">
        <v>2</v>
      </c>
      <c r="AC862" t="s">
        <v>31</v>
      </c>
      <c r="AD862" t="s">
        <v>48</v>
      </c>
      <c r="AE862" t="s">
        <v>60</v>
      </c>
      <c r="AF862" s="3">
        <v>1203</v>
      </c>
      <c r="AG862" s="3">
        <v>48</v>
      </c>
      <c r="AH862">
        <v>80</v>
      </c>
      <c r="AI862">
        <v>0</v>
      </c>
      <c r="AJ862">
        <v>1</v>
      </c>
      <c r="AK862">
        <v>1</v>
      </c>
      <c r="AL862">
        <v>1</v>
      </c>
      <c r="AM862">
        <v>0</v>
      </c>
      <c r="AN862" t="s">
        <v>767</v>
      </c>
      <c r="AO862" t="s">
        <v>31</v>
      </c>
    </row>
    <row r="863" spans="1:41" x14ac:dyDescent="0.25">
      <c r="A863">
        <v>27</v>
      </c>
      <c r="B863" t="s">
        <v>32</v>
      </c>
      <c r="C863" t="s">
        <v>33</v>
      </c>
      <c r="D863">
        <v>9</v>
      </c>
      <c r="E863" t="s">
        <v>61</v>
      </c>
      <c r="F863">
        <v>3</v>
      </c>
      <c r="G863">
        <v>1</v>
      </c>
      <c r="H863" t="s">
        <v>44</v>
      </c>
      <c r="I863">
        <v>2</v>
      </c>
      <c r="J863" t="s">
        <v>36</v>
      </c>
      <c r="K863">
        <v>2279</v>
      </c>
      <c r="L863">
        <v>1</v>
      </c>
      <c r="M863" t="s">
        <v>41</v>
      </c>
      <c r="N863">
        <v>16</v>
      </c>
      <c r="O863">
        <v>3</v>
      </c>
      <c r="P863">
        <v>0</v>
      </c>
      <c r="Q863">
        <v>7</v>
      </c>
      <c r="R863">
        <v>2</v>
      </c>
      <c r="S863">
        <v>7</v>
      </c>
      <c r="T863">
        <v>0</v>
      </c>
      <c r="U863">
        <v>3</v>
      </c>
      <c r="V863" t="s">
        <v>72</v>
      </c>
      <c r="W863" s="1" t="s">
        <v>431</v>
      </c>
      <c r="Y863" t="s">
        <v>39</v>
      </c>
      <c r="Z863" t="s">
        <v>47</v>
      </c>
      <c r="AA863">
        <v>1</v>
      </c>
      <c r="AB863">
        <v>1</v>
      </c>
      <c r="AC863" t="s">
        <v>31</v>
      </c>
      <c r="AD863" t="s">
        <v>42</v>
      </c>
      <c r="AE863" t="s">
        <v>43</v>
      </c>
      <c r="AF863" s="3">
        <v>1204</v>
      </c>
      <c r="AG863" s="3">
        <v>69</v>
      </c>
      <c r="AH863">
        <v>80</v>
      </c>
      <c r="AI863">
        <v>15</v>
      </c>
      <c r="AJ863">
        <v>0</v>
      </c>
      <c r="AL863">
        <v>0</v>
      </c>
      <c r="AM863">
        <v>1</v>
      </c>
      <c r="AN863" t="s">
        <v>768</v>
      </c>
      <c r="AO863" t="s">
        <v>41</v>
      </c>
    </row>
    <row r="864" spans="1:41" x14ac:dyDescent="0.25">
      <c r="A864">
        <v>38</v>
      </c>
      <c r="B864" t="s">
        <v>32</v>
      </c>
      <c r="C864" t="s">
        <v>33</v>
      </c>
      <c r="D864">
        <v>29</v>
      </c>
      <c r="E864" t="s">
        <v>34</v>
      </c>
      <c r="F864">
        <v>3</v>
      </c>
      <c r="G864">
        <v>2</v>
      </c>
      <c r="H864" t="s">
        <v>78</v>
      </c>
      <c r="I864">
        <v>4</v>
      </c>
      <c r="J864" t="s">
        <v>51</v>
      </c>
      <c r="K864">
        <v>6261</v>
      </c>
      <c r="L864">
        <v>3</v>
      </c>
      <c r="M864" t="s">
        <v>41</v>
      </c>
      <c r="N864">
        <v>18</v>
      </c>
      <c r="O864">
        <v>3</v>
      </c>
      <c r="P864">
        <v>1</v>
      </c>
      <c r="Q864">
        <v>9</v>
      </c>
      <c r="R864">
        <v>3</v>
      </c>
      <c r="S864">
        <v>7</v>
      </c>
      <c r="T864">
        <v>1</v>
      </c>
      <c r="U864">
        <v>7</v>
      </c>
      <c r="V864" t="s">
        <v>72</v>
      </c>
      <c r="W864" s="2">
        <v>41673</v>
      </c>
      <c r="Y864" t="s">
        <v>63</v>
      </c>
      <c r="Z864" t="s">
        <v>40</v>
      </c>
      <c r="AA864">
        <v>3</v>
      </c>
      <c r="AB864">
        <v>0</v>
      </c>
      <c r="AC864" t="s">
        <v>41</v>
      </c>
      <c r="AD864" t="s">
        <v>48</v>
      </c>
      <c r="AE864" t="s">
        <v>60</v>
      </c>
      <c r="AF864" s="3">
        <v>1206</v>
      </c>
      <c r="AG864" s="3">
        <v>74</v>
      </c>
      <c r="AH864">
        <v>80</v>
      </c>
      <c r="AI864">
        <v>0</v>
      </c>
      <c r="AJ864">
        <v>0</v>
      </c>
      <c r="AL864">
        <v>0</v>
      </c>
      <c r="AM864">
        <v>1</v>
      </c>
      <c r="AN864" t="s">
        <v>768</v>
      </c>
      <c r="AO864" t="s">
        <v>41</v>
      </c>
    </row>
    <row r="865" spans="1:41" x14ac:dyDescent="0.25">
      <c r="A865">
        <v>49</v>
      </c>
      <c r="B865" t="s">
        <v>81</v>
      </c>
      <c r="C865" t="s">
        <v>33</v>
      </c>
      <c r="D865">
        <v>18</v>
      </c>
      <c r="E865" t="s">
        <v>34</v>
      </c>
      <c r="F865">
        <v>3</v>
      </c>
      <c r="G865">
        <v>2</v>
      </c>
      <c r="H865" t="s">
        <v>78</v>
      </c>
      <c r="I865">
        <v>4</v>
      </c>
      <c r="J865" t="s">
        <v>57</v>
      </c>
      <c r="K865">
        <v>6804</v>
      </c>
      <c r="L865">
        <v>1</v>
      </c>
      <c r="M865" t="s">
        <v>31</v>
      </c>
      <c r="N865">
        <v>15</v>
      </c>
      <c r="O865">
        <v>3</v>
      </c>
      <c r="P865">
        <v>2</v>
      </c>
      <c r="Q865">
        <v>7</v>
      </c>
      <c r="R865">
        <v>0</v>
      </c>
      <c r="S865">
        <v>7</v>
      </c>
      <c r="T865">
        <v>1</v>
      </c>
      <c r="U865">
        <v>7</v>
      </c>
      <c r="V865" t="s">
        <v>72</v>
      </c>
      <c r="W865" s="1" t="s">
        <v>432</v>
      </c>
      <c r="Y865" t="s">
        <v>46</v>
      </c>
      <c r="Z865" t="s">
        <v>47</v>
      </c>
      <c r="AA865">
        <v>2</v>
      </c>
      <c r="AB865">
        <v>0</v>
      </c>
      <c r="AC865" t="s">
        <v>41</v>
      </c>
      <c r="AD865" t="s">
        <v>67</v>
      </c>
      <c r="AE865" t="s">
        <v>49</v>
      </c>
      <c r="AF865" s="3">
        <v>1207</v>
      </c>
      <c r="AG865" s="3">
        <v>99</v>
      </c>
      <c r="AH865">
        <v>80</v>
      </c>
      <c r="AI865">
        <v>4</v>
      </c>
      <c r="AJ865">
        <v>0</v>
      </c>
      <c r="AL865">
        <v>0</v>
      </c>
      <c r="AM865">
        <v>1</v>
      </c>
      <c r="AN865" t="s">
        <v>768</v>
      </c>
      <c r="AO865" t="s">
        <v>41</v>
      </c>
    </row>
    <row r="866" spans="1:41" x14ac:dyDescent="0.25">
      <c r="A866">
        <v>40</v>
      </c>
      <c r="B866" t="s">
        <v>32</v>
      </c>
      <c r="C866" t="s">
        <v>33</v>
      </c>
      <c r="D866">
        <v>19</v>
      </c>
      <c r="E866" t="s">
        <v>34</v>
      </c>
      <c r="F866">
        <v>3</v>
      </c>
      <c r="G866">
        <v>2</v>
      </c>
      <c r="H866" t="s">
        <v>35</v>
      </c>
      <c r="I866">
        <v>4</v>
      </c>
      <c r="J866" t="s">
        <v>51</v>
      </c>
      <c r="K866">
        <v>2741</v>
      </c>
      <c r="L866">
        <v>8</v>
      </c>
      <c r="M866" t="s">
        <v>31</v>
      </c>
      <c r="N866">
        <v>15</v>
      </c>
      <c r="O866">
        <v>3</v>
      </c>
      <c r="P866">
        <v>1</v>
      </c>
      <c r="Q866">
        <v>15</v>
      </c>
      <c r="R866">
        <v>2</v>
      </c>
      <c r="S866">
        <v>7</v>
      </c>
      <c r="T866">
        <v>3</v>
      </c>
      <c r="U866">
        <v>7</v>
      </c>
      <c r="V866" t="s">
        <v>52</v>
      </c>
      <c r="W866" s="1" t="s">
        <v>433</v>
      </c>
      <c r="Y866" t="s">
        <v>63</v>
      </c>
      <c r="Z866" t="s">
        <v>40</v>
      </c>
      <c r="AA866">
        <v>3</v>
      </c>
      <c r="AB866">
        <v>2</v>
      </c>
      <c r="AC866" t="s">
        <v>31</v>
      </c>
      <c r="AD866" t="s">
        <v>65</v>
      </c>
      <c r="AE866" t="s">
        <v>60</v>
      </c>
      <c r="AF866" s="3">
        <v>1210</v>
      </c>
      <c r="AG866" s="3">
        <v>95</v>
      </c>
      <c r="AH866">
        <v>80</v>
      </c>
      <c r="AI866">
        <v>0</v>
      </c>
      <c r="AJ866">
        <v>1</v>
      </c>
      <c r="AK866">
        <v>1</v>
      </c>
      <c r="AL866">
        <v>1</v>
      </c>
      <c r="AM866">
        <v>0</v>
      </c>
      <c r="AN866" t="s">
        <v>767</v>
      </c>
      <c r="AO866" t="s">
        <v>31</v>
      </c>
    </row>
    <row r="867" spans="1:41" x14ac:dyDescent="0.25">
      <c r="A867">
        <v>27</v>
      </c>
      <c r="B867" t="s">
        <v>66</v>
      </c>
      <c r="C867" t="s">
        <v>55</v>
      </c>
      <c r="D867">
        <v>20</v>
      </c>
      <c r="E867" t="s">
        <v>61</v>
      </c>
      <c r="F867">
        <v>3</v>
      </c>
      <c r="G867">
        <v>2</v>
      </c>
      <c r="H867" t="s">
        <v>70</v>
      </c>
      <c r="I867">
        <v>3</v>
      </c>
      <c r="J867" t="s">
        <v>36</v>
      </c>
      <c r="K867">
        <v>9981</v>
      </c>
      <c r="L867">
        <v>1</v>
      </c>
      <c r="M867" t="s">
        <v>41</v>
      </c>
      <c r="N867">
        <v>14</v>
      </c>
      <c r="O867">
        <v>3</v>
      </c>
      <c r="P867">
        <v>0</v>
      </c>
      <c r="Q867">
        <v>7</v>
      </c>
      <c r="R867">
        <v>2</v>
      </c>
      <c r="S867">
        <v>7</v>
      </c>
      <c r="T867">
        <v>0</v>
      </c>
      <c r="U867">
        <v>7</v>
      </c>
      <c r="V867" t="s">
        <v>58</v>
      </c>
      <c r="W867" s="1" t="s">
        <v>434</v>
      </c>
      <c r="Y867" t="s">
        <v>69</v>
      </c>
      <c r="Z867" t="s">
        <v>47</v>
      </c>
      <c r="AA867">
        <v>2</v>
      </c>
      <c r="AB867">
        <v>3</v>
      </c>
      <c r="AC867" t="s">
        <v>41</v>
      </c>
      <c r="AD867" t="s">
        <v>42</v>
      </c>
      <c r="AE867" t="s">
        <v>49</v>
      </c>
      <c r="AF867" s="3">
        <v>1211</v>
      </c>
      <c r="AG867" s="3">
        <v>61</v>
      </c>
      <c r="AH867">
        <v>80</v>
      </c>
      <c r="AI867">
        <v>3</v>
      </c>
      <c r="AJ867">
        <v>0</v>
      </c>
      <c r="AL867">
        <v>0</v>
      </c>
      <c r="AM867">
        <v>1</v>
      </c>
      <c r="AN867" t="s">
        <v>768</v>
      </c>
      <c r="AO867" t="s">
        <v>41</v>
      </c>
    </row>
    <row r="868" spans="1:41" x14ac:dyDescent="0.25">
      <c r="A868">
        <v>50</v>
      </c>
      <c r="B868" t="s">
        <v>32</v>
      </c>
      <c r="C868" t="s">
        <v>55</v>
      </c>
      <c r="D868">
        <v>1</v>
      </c>
      <c r="E868" t="s">
        <v>61</v>
      </c>
      <c r="F868">
        <v>3</v>
      </c>
      <c r="G868">
        <v>5</v>
      </c>
      <c r="H868" t="s">
        <v>75</v>
      </c>
      <c r="I868">
        <v>4</v>
      </c>
      <c r="J868" t="s">
        <v>57</v>
      </c>
      <c r="K868">
        <v>19517</v>
      </c>
      <c r="L868">
        <v>3</v>
      </c>
      <c r="M868" t="s">
        <v>41</v>
      </c>
      <c r="N868">
        <v>11</v>
      </c>
      <c r="O868">
        <v>3</v>
      </c>
      <c r="P868">
        <v>1</v>
      </c>
      <c r="Q868">
        <v>32</v>
      </c>
      <c r="R868">
        <v>3</v>
      </c>
      <c r="S868">
        <v>7</v>
      </c>
      <c r="T868">
        <v>0</v>
      </c>
      <c r="U868">
        <v>6</v>
      </c>
      <c r="V868" t="s">
        <v>52</v>
      </c>
      <c r="W868" s="1" t="s">
        <v>435</v>
      </c>
      <c r="Y868" t="s">
        <v>46</v>
      </c>
      <c r="Z868" t="s">
        <v>40</v>
      </c>
      <c r="AA868">
        <v>1</v>
      </c>
      <c r="AB868">
        <v>2</v>
      </c>
      <c r="AC868" t="s">
        <v>41</v>
      </c>
      <c r="AD868" t="s">
        <v>67</v>
      </c>
      <c r="AE868" t="s">
        <v>43</v>
      </c>
      <c r="AF868" s="3">
        <v>1212</v>
      </c>
      <c r="AG868" s="3">
        <v>62</v>
      </c>
      <c r="AH868">
        <v>80</v>
      </c>
      <c r="AI868">
        <v>0</v>
      </c>
      <c r="AJ868">
        <v>0</v>
      </c>
      <c r="AL868">
        <v>0</v>
      </c>
      <c r="AM868">
        <v>1</v>
      </c>
      <c r="AN868" t="s">
        <v>768</v>
      </c>
      <c r="AO868" t="s">
        <v>41</v>
      </c>
    </row>
    <row r="869" spans="1:41" x14ac:dyDescent="0.25">
      <c r="A869">
        <v>46</v>
      </c>
      <c r="B869" t="s">
        <v>32</v>
      </c>
      <c r="C869" t="s">
        <v>55</v>
      </c>
      <c r="D869">
        <v>2</v>
      </c>
      <c r="E869" t="s">
        <v>61</v>
      </c>
      <c r="F869">
        <v>1</v>
      </c>
      <c r="G869">
        <v>4</v>
      </c>
      <c r="H869" t="s">
        <v>75</v>
      </c>
      <c r="I869">
        <v>2</v>
      </c>
      <c r="J869" t="s">
        <v>51</v>
      </c>
      <c r="K869">
        <v>16872</v>
      </c>
      <c r="L869">
        <v>3</v>
      </c>
      <c r="M869" t="s">
        <v>31</v>
      </c>
      <c r="N869">
        <v>12</v>
      </c>
      <c r="O869">
        <v>3</v>
      </c>
      <c r="P869">
        <v>1</v>
      </c>
      <c r="Q869">
        <v>28</v>
      </c>
      <c r="R869">
        <v>2</v>
      </c>
      <c r="S869">
        <v>7</v>
      </c>
      <c r="T869">
        <v>7</v>
      </c>
      <c r="U869">
        <v>7</v>
      </c>
      <c r="V869" t="s">
        <v>58</v>
      </c>
      <c r="W869" s="1" t="s">
        <v>432</v>
      </c>
      <c r="Y869" t="s">
        <v>63</v>
      </c>
      <c r="Z869" t="s">
        <v>40</v>
      </c>
      <c r="AA869">
        <v>2</v>
      </c>
      <c r="AB869">
        <v>0</v>
      </c>
      <c r="AC869" t="s">
        <v>31</v>
      </c>
      <c r="AD869" t="s">
        <v>65</v>
      </c>
      <c r="AE869" t="s">
        <v>60</v>
      </c>
      <c r="AF869" s="3">
        <v>1215</v>
      </c>
      <c r="AG869" s="3">
        <v>30</v>
      </c>
      <c r="AH869">
        <v>80</v>
      </c>
      <c r="AI869">
        <v>2</v>
      </c>
      <c r="AJ869">
        <v>0</v>
      </c>
      <c r="AL869">
        <v>0</v>
      </c>
      <c r="AM869">
        <v>1</v>
      </c>
      <c r="AN869" t="s">
        <v>768</v>
      </c>
      <c r="AO869" t="s">
        <v>41</v>
      </c>
    </row>
    <row r="870" spans="1:41" x14ac:dyDescent="0.25">
      <c r="A870">
        <v>35</v>
      </c>
      <c r="B870" t="s">
        <v>32</v>
      </c>
      <c r="C870" t="s">
        <v>33</v>
      </c>
      <c r="D870">
        <v>22</v>
      </c>
      <c r="E870" t="s">
        <v>61</v>
      </c>
      <c r="F870">
        <v>4</v>
      </c>
      <c r="G870">
        <v>3</v>
      </c>
      <c r="H870" t="s">
        <v>75</v>
      </c>
      <c r="I870">
        <v>2</v>
      </c>
      <c r="J870" t="s">
        <v>57</v>
      </c>
      <c r="K870">
        <v>11996</v>
      </c>
      <c r="L870">
        <v>7</v>
      </c>
      <c r="M870" t="s">
        <v>41</v>
      </c>
      <c r="N870">
        <v>18</v>
      </c>
      <c r="O870">
        <v>3</v>
      </c>
      <c r="P870">
        <v>1</v>
      </c>
      <c r="Q870">
        <v>10</v>
      </c>
      <c r="R870">
        <v>6</v>
      </c>
      <c r="S870">
        <v>7</v>
      </c>
      <c r="T870">
        <v>6</v>
      </c>
      <c r="U870">
        <v>2</v>
      </c>
      <c r="V870" t="s">
        <v>37</v>
      </c>
      <c r="W870" s="1" t="s">
        <v>436</v>
      </c>
      <c r="Y870" t="s">
        <v>69</v>
      </c>
      <c r="Z870" t="s">
        <v>40</v>
      </c>
      <c r="AA870">
        <v>5</v>
      </c>
      <c r="AB870">
        <v>0</v>
      </c>
      <c r="AC870" t="s">
        <v>41</v>
      </c>
      <c r="AD870" t="s">
        <v>65</v>
      </c>
      <c r="AE870" t="s">
        <v>60</v>
      </c>
      <c r="AF870" s="3">
        <v>1216</v>
      </c>
      <c r="AG870" s="3">
        <v>78</v>
      </c>
      <c r="AH870">
        <v>80</v>
      </c>
      <c r="AI870">
        <v>5</v>
      </c>
      <c r="AJ870">
        <v>0</v>
      </c>
      <c r="AL870">
        <v>0</v>
      </c>
      <c r="AM870">
        <v>1</v>
      </c>
      <c r="AN870" t="s">
        <v>768</v>
      </c>
      <c r="AO870" t="s">
        <v>41</v>
      </c>
    </row>
    <row r="871" spans="1:41" x14ac:dyDescent="0.25">
      <c r="A871">
        <v>49</v>
      </c>
      <c r="B871" t="s">
        <v>32</v>
      </c>
      <c r="C871" t="s">
        <v>33</v>
      </c>
      <c r="D871">
        <v>1</v>
      </c>
      <c r="E871" t="s">
        <v>61</v>
      </c>
      <c r="F871">
        <v>2</v>
      </c>
      <c r="G871">
        <v>4</v>
      </c>
      <c r="H871" t="s">
        <v>89</v>
      </c>
      <c r="I871">
        <v>3</v>
      </c>
      <c r="J871" t="s">
        <v>36</v>
      </c>
      <c r="K871">
        <v>13964</v>
      </c>
      <c r="L871">
        <v>7</v>
      </c>
      <c r="M871" t="s">
        <v>31</v>
      </c>
      <c r="N871">
        <v>12</v>
      </c>
      <c r="O871">
        <v>3</v>
      </c>
      <c r="P871">
        <v>0</v>
      </c>
      <c r="Q871">
        <v>25</v>
      </c>
      <c r="R871">
        <v>2</v>
      </c>
      <c r="S871">
        <v>7</v>
      </c>
      <c r="T871">
        <v>0</v>
      </c>
      <c r="U871">
        <v>7</v>
      </c>
      <c r="V871" t="s">
        <v>52</v>
      </c>
      <c r="W871" s="2">
        <v>41915</v>
      </c>
      <c r="Y871" t="s">
        <v>63</v>
      </c>
      <c r="Z871" t="s">
        <v>47</v>
      </c>
      <c r="AA871">
        <v>5</v>
      </c>
      <c r="AB871">
        <v>1</v>
      </c>
      <c r="AC871" t="s">
        <v>31</v>
      </c>
      <c r="AD871" t="s">
        <v>67</v>
      </c>
      <c r="AE871" t="s">
        <v>43</v>
      </c>
      <c r="AF871" s="3">
        <v>1217</v>
      </c>
      <c r="AG871" s="3">
        <v>52</v>
      </c>
      <c r="AH871">
        <v>80</v>
      </c>
      <c r="AI871">
        <v>2</v>
      </c>
      <c r="AJ871">
        <v>0</v>
      </c>
      <c r="AL871">
        <v>0</v>
      </c>
      <c r="AM871">
        <v>1</v>
      </c>
      <c r="AN871" t="s">
        <v>768</v>
      </c>
      <c r="AO871" t="s">
        <v>41</v>
      </c>
    </row>
    <row r="872" spans="1:41" x14ac:dyDescent="0.25">
      <c r="A872">
        <v>31</v>
      </c>
      <c r="B872" t="s">
        <v>32</v>
      </c>
      <c r="C872" t="s">
        <v>55</v>
      </c>
      <c r="D872">
        <v>7</v>
      </c>
      <c r="E872" t="s">
        <v>34</v>
      </c>
      <c r="F872">
        <v>3</v>
      </c>
      <c r="G872">
        <v>2</v>
      </c>
      <c r="H872" t="s">
        <v>70</v>
      </c>
      <c r="I872">
        <v>4</v>
      </c>
      <c r="J872" t="s">
        <v>57</v>
      </c>
      <c r="K872">
        <v>7547</v>
      </c>
      <c r="L872">
        <v>4</v>
      </c>
      <c r="M872" t="s">
        <v>41</v>
      </c>
      <c r="N872">
        <v>12</v>
      </c>
      <c r="O872">
        <v>3</v>
      </c>
      <c r="P872">
        <v>3</v>
      </c>
      <c r="Q872">
        <v>13</v>
      </c>
      <c r="R872">
        <v>3</v>
      </c>
      <c r="S872">
        <v>7</v>
      </c>
      <c r="T872">
        <v>1</v>
      </c>
      <c r="U872">
        <v>7</v>
      </c>
      <c r="V872" t="s">
        <v>52</v>
      </c>
      <c r="W872" s="1" t="s">
        <v>437</v>
      </c>
      <c r="Y872" t="s">
        <v>69</v>
      </c>
      <c r="Z872" t="s">
        <v>40</v>
      </c>
      <c r="AA872">
        <v>0</v>
      </c>
      <c r="AB872">
        <v>2</v>
      </c>
      <c r="AC872" t="s">
        <v>31</v>
      </c>
      <c r="AD872" t="s">
        <v>65</v>
      </c>
      <c r="AE872" t="s">
        <v>60</v>
      </c>
      <c r="AF872" s="3">
        <v>1218</v>
      </c>
      <c r="AG872" s="3">
        <v>94</v>
      </c>
      <c r="AH872">
        <v>80</v>
      </c>
      <c r="AI872">
        <v>7</v>
      </c>
      <c r="AJ872">
        <v>0</v>
      </c>
      <c r="AL872">
        <v>0</v>
      </c>
      <c r="AM872">
        <v>1</v>
      </c>
      <c r="AN872" t="s">
        <v>768</v>
      </c>
      <c r="AO872" t="s">
        <v>41</v>
      </c>
    </row>
    <row r="873" spans="1:41" x14ac:dyDescent="0.25">
      <c r="A873">
        <v>32</v>
      </c>
      <c r="B873" t="s">
        <v>32</v>
      </c>
      <c r="C873" t="s">
        <v>33</v>
      </c>
      <c r="D873">
        <v>2</v>
      </c>
      <c r="E873" t="s">
        <v>61</v>
      </c>
      <c r="F873">
        <v>4</v>
      </c>
      <c r="G873">
        <v>2</v>
      </c>
      <c r="H873" t="s">
        <v>44</v>
      </c>
      <c r="I873">
        <v>4</v>
      </c>
      <c r="J873" t="s">
        <v>36</v>
      </c>
      <c r="K873">
        <v>5055</v>
      </c>
      <c r="L873">
        <v>7</v>
      </c>
      <c r="M873" t="s">
        <v>41</v>
      </c>
      <c r="N873">
        <v>16</v>
      </c>
      <c r="O873">
        <v>3</v>
      </c>
      <c r="P873">
        <v>0</v>
      </c>
      <c r="Q873">
        <v>10</v>
      </c>
      <c r="R873">
        <v>0</v>
      </c>
      <c r="S873">
        <v>7</v>
      </c>
      <c r="T873">
        <v>0</v>
      </c>
      <c r="U873">
        <v>7</v>
      </c>
      <c r="V873" t="s">
        <v>72</v>
      </c>
      <c r="W873" s="1" t="s">
        <v>438</v>
      </c>
      <c r="Y873" t="s">
        <v>54</v>
      </c>
      <c r="Z873" t="s">
        <v>47</v>
      </c>
      <c r="AA873">
        <v>1</v>
      </c>
      <c r="AB873">
        <v>1</v>
      </c>
      <c r="AC873" t="s">
        <v>41</v>
      </c>
      <c r="AD873" t="s">
        <v>65</v>
      </c>
      <c r="AE873" t="s">
        <v>49</v>
      </c>
      <c r="AF873" s="3">
        <v>1219</v>
      </c>
      <c r="AG873" s="3">
        <v>97</v>
      </c>
      <c r="AH873">
        <v>80</v>
      </c>
      <c r="AI873">
        <v>0</v>
      </c>
      <c r="AJ873">
        <v>1</v>
      </c>
      <c r="AK873">
        <v>1</v>
      </c>
      <c r="AL873">
        <v>1</v>
      </c>
      <c r="AM873">
        <v>0</v>
      </c>
      <c r="AN873" t="s">
        <v>767</v>
      </c>
      <c r="AO873" t="s">
        <v>31</v>
      </c>
    </row>
    <row r="874" spans="1:41" x14ac:dyDescent="0.25">
      <c r="A874">
        <v>33</v>
      </c>
      <c r="B874" t="s">
        <v>66</v>
      </c>
      <c r="C874" t="s">
        <v>55</v>
      </c>
      <c r="D874">
        <v>10</v>
      </c>
      <c r="E874" t="s">
        <v>34</v>
      </c>
      <c r="F874">
        <v>2</v>
      </c>
      <c r="G874">
        <v>2</v>
      </c>
      <c r="H874" t="s">
        <v>70</v>
      </c>
      <c r="I874">
        <v>4</v>
      </c>
      <c r="J874" t="s">
        <v>36</v>
      </c>
      <c r="K874">
        <v>4682</v>
      </c>
      <c r="L874">
        <v>3</v>
      </c>
      <c r="M874" t="s">
        <v>41</v>
      </c>
      <c r="N874">
        <v>14</v>
      </c>
      <c r="O874">
        <v>3</v>
      </c>
      <c r="P874">
        <v>0</v>
      </c>
      <c r="Q874">
        <v>9</v>
      </c>
      <c r="R874">
        <v>6</v>
      </c>
      <c r="S874">
        <v>7</v>
      </c>
      <c r="T874">
        <v>0</v>
      </c>
      <c r="U874">
        <v>1</v>
      </c>
      <c r="V874" t="s">
        <v>58</v>
      </c>
      <c r="W874" s="1" t="s">
        <v>439</v>
      </c>
      <c r="Y874" t="s">
        <v>46</v>
      </c>
      <c r="Z874" t="s">
        <v>40</v>
      </c>
      <c r="AA874">
        <v>5</v>
      </c>
      <c r="AB874">
        <v>0</v>
      </c>
      <c r="AC874" t="s">
        <v>31</v>
      </c>
      <c r="AD874" t="s">
        <v>67</v>
      </c>
      <c r="AE874" t="s">
        <v>43</v>
      </c>
      <c r="AF874" s="3">
        <v>1220</v>
      </c>
      <c r="AG874" s="3">
        <v>82</v>
      </c>
      <c r="AH874">
        <v>80</v>
      </c>
      <c r="AI874">
        <v>7</v>
      </c>
      <c r="AJ874">
        <v>0</v>
      </c>
      <c r="AL874">
        <v>0</v>
      </c>
      <c r="AM874">
        <v>1</v>
      </c>
      <c r="AN874" t="s">
        <v>768</v>
      </c>
      <c r="AO874" t="s">
        <v>41</v>
      </c>
    </row>
    <row r="875" spans="1:41" x14ac:dyDescent="0.25">
      <c r="A875">
        <v>29</v>
      </c>
      <c r="B875" t="s">
        <v>32</v>
      </c>
      <c r="C875" t="s">
        <v>33</v>
      </c>
      <c r="D875">
        <v>8</v>
      </c>
      <c r="E875" t="s">
        <v>34</v>
      </c>
      <c r="F875">
        <v>1</v>
      </c>
      <c r="G875">
        <v>1</v>
      </c>
      <c r="H875" t="s">
        <v>35</v>
      </c>
      <c r="I875">
        <v>1</v>
      </c>
      <c r="J875" t="s">
        <v>51</v>
      </c>
      <c r="K875">
        <v>2119</v>
      </c>
      <c r="L875">
        <v>1</v>
      </c>
      <c r="M875" t="s">
        <v>31</v>
      </c>
      <c r="N875">
        <v>11</v>
      </c>
      <c r="O875">
        <v>3</v>
      </c>
      <c r="P875">
        <v>0</v>
      </c>
      <c r="Q875">
        <v>7</v>
      </c>
      <c r="R875">
        <v>4</v>
      </c>
      <c r="S875">
        <v>7</v>
      </c>
      <c r="T875">
        <v>0</v>
      </c>
      <c r="U875">
        <v>7</v>
      </c>
      <c r="V875" t="s">
        <v>37</v>
      </c>
      <c r="W875" s="1" t="s">
        <v>440</v>
      </c>
      <c r="Y875" t="s">
        <v>54</v>
      </c>
      <c r="Z875" t="s">
        <v>47</v>
      </c>
      <c r="AA875">
        <v>0</v>
      </c>
      <c r="AB875">
        <v>0</v>
      </c>
      <c r="AC875" t="s">
        <v>31</v>
      </c>
      <c r="AD875" t="s">
        <v>67</v>
      </c>
      <c r="AE875" t="s">
        <v>60</v>
      </c>
      <c r="AF875" s="3">
        <v>1221</v>
      </c>
      <c r="AG875" s="3">
        <v>60</v>
      </c>
      <c r="AH875">
        <v>80</v>
      </c>
      <c r="AI875">
        <v>7</v>
      </c>
      <c r="AJ875">
        <v>0</v>
      </c>
      <c r="AL875">
        <v>0</v>
      </c>
      <c r="AM875">
        <v>1</v>
      </c>
      <c r="AN875" t="s">
        <v>768</v>
      </c>
      <c r="AO875" t="s">
        <v>41</v>
      </c>
    </row>
    <row r="876" spans="1:41" x14ac:dyDescent="0.25">
      <c r="A876">
        <v>29</v>
      </c>
      <c r="B876" t="s">
        <v>32</v>
      </c>
      <c r="C876" t="s">
        <v>55</v>
      </c>
      <c r="D876">
        <v>10</v>
      </c>
      <c r="E876" t="s">
        <v>61</v>
      </c>
      <c r="F876">
        <v>2</v>
      </c>
      <c r="G876">
        <v>2</v>
      </c>
      <c r="H876" t="s">
        <v>70</v>
      </c>
      <c r="I876">
        <v>2</v>
      </c>
      <c r="J876" t="s">
        <v>57</v>
      </c>
      <c r="K876">
        <v>8268</v>
      </c>
      <c r="L876">
        <v>1</v>
      </c>
      <c r="M876" t="s">
        <v>31</v>
      </c>
      <c r="N876">
        <v>14</v>
      </c>
      <c r="O876">
        <v>3</v>
      </c>
      <c r="P876">
        <v>2</v>
      </c>
      <c r="Q876">
        <v>7</v>
      </c>
      <c r="R876">
        <v>2</v>
      </c>
      <c r="S876">
        <v>7</v>
      </c>
      <c r="T876">
        <v>1</v>
      </c>
      <c r="U876">
        <v>7</v>
      </c>
      <c r="V876" t="s">
        <v>72</v>
      </c>
      <c r="W876" s="1" t="s">
        <v>441</v>
      </c>
      <c r="Y876" t="s">
        <v>63</v>
      </c>
      <c r="Z876" t="s">
        <v>40</v>
      </c>
      <c r="AA876">
        <v>5</v>
      </c>
      <c r="AB876">
        <v>2</v>
      </c>
      <c r="AC876" t="s">
        <v>31</v>
      </c>
      <c r="AD876" t="s">
        <v>67</v>
      </c>
      <c r="AE876" t="s">
        <v>49</v>
      </c>
      <c r="AF876" s="3">
        <v>1224</v>
      </c>
      <c r="AG876" s="3">
        <v>49</v>
      </c>
      <c r="AH876">
        <v>80</v>
      </c>
      <c r="AI876">
        <v>7</v>
      </c>
      <c r="AJ876">
        <v>0</v>
      </c>
      <c r="AL876">
        <v>0</v>
      </c>
      <c r="AM876">
        <v>1</v>
      </c>
      <c r="AN876" t="s">
        <v>768</v>
      </c>
      <c r="AO876" t="s">
        <v>41</v>
      </c>
    </row>
    <row r="877" spans="1:41" x14ac:dyDescent="0.25">
      <c r="A877">
        <v>37</v>
      </c>
      <c r="B877" t="s">
        <v>32</v>
      </c>
      <c r="C877" t="s">
        <v>33</v>
      </c>
      <c r="D877">
        <v>6</v>
      </c>
      <c r="E877" t="s">
        <v>34</v>
      </c>
      <c r="F877">
        <v>4</v>
      </c>
      <c r="G877">
        <v>2</v>
      </c>
      <c r="H877" t="s">
        <v>44</v>
      </c>
      <c r="I877">
        <v>1</v>
      </c>
      <c r="J877" t="s">
        <v>57</v>
      </c>
      <c r="K877">
        <v>5974</v>
      </c>
      <c r="L877">
        <v>4</v>
      </c>
      <c r="M877" t="s">
        <v>31</v>
      </c>
      <c r="N877">
        <v>13</v>
      </c>
      <c r="O877">
        <v>3</v>
      </c>
      <c r="P877">
        <v>2</v>
      </c>
      <c r="Q877">
        <v>13</v>
      </c>
      <c r="R877">
        <v>2</v>
      </c>
      <c r="S877">
        <v>7</v>
      </c>
      <c r="T877">
        <v>6</v>
      </c>
      <c r="U877">
        <v>7</v>
      </c>
      <c r="V877" t="s">
        <v>37</v>
      </c>
      <c r="W877" s="1" t="s">
        <v>442</v>
      </c>
      <c r="Y877" t="s">
        <v>46</v>
      </c>
      <c r="Z877" t="s">
        <v>47</v>
      </c>
      <c r="AA877">
        <v>3</v>
      </c>
      <c r="AB877">
        <v>0</v>
      </c>
      <c r="AC877" t="s">
        <v>31</v>
      </c>
      <c r="AD877" t="s">
        <v>67</v>
      </c>
      <c r="AE877" t="s">
        <v>49</v>
      </c>
      <c r="AF877" s="3">
        <v>1225</v>
      </c>
      <c r="AG877" s="3">
        <v>32</v>
      </c>
      <c r="AH877">
        <v>80</v>
      </c>
      <c r="AI877">
        <v>11</v>
      </c>
      <c r="AJ877">
        <v>0</v>
      </c>
      <c r="AL877">
        <v>0</v>
      </c>
      <c r="AM877">
        <v>1</v>
      </c>
      <c r="AN877" t="s">
        <v>768</v>
      </c>
      <c r="AO877" t="s">
        <v>41</v>
      </c>
    </row>
    <row r="878" spans="1:41" x14ac:dyDescent="0.25">
      <c r="A878">
        <v>40</v>
      </c>
      <c r="B878" t="s">
        <v>32</v>
      </c>
      <c r="C878" t="s">
        <v>33</v>
      </c>
      <c r="D878">
        <v>10</v>
      </c>
      <c r="E878" t="s">
        <v>61</v>
      </c>
      <c r="F878">
        <v>4</v>
      </c>
      <c r="G878">
        <v>1</v>
      </c>
      <c r="H878" t="s">
        <v>35</v>
      </c>
      <c r="I878">
        <v>3</v>
      </c>
      <c r="J878" t="s">
        <v>51</v>
      </c>
      <c r="K878">
        <v>2213</v>
      </c>
      <c r="L878">
        <v>3</v>
      </c>
      <c r="M878" t="s">
        <v>31</v>
      </c>
      <c r="N878">
        <v>13</v>
      </c>
      <c r="O878">
        <v>3</v>
      </c>
      <c r="P878">
        <v>1</v>
      </c>
      <c r="Q878">
        <v>10</v>
      </c>
      <c r="R878">
        <v>3</v>
      </c>
      <c r="S878">
        <v>7</v>
      </c>
      <c r="T878">
        <v>1</v>
      </c>
      <c r="U878">
        <v>7</v>
      </c>
      <c r="V878" t="s">
        <v>72</v>
      </c>
      <c r="W878" s="2">
        <v>41948</v>
      </c>
      <c r="Y878" t="s">
        <v>39</v>
      </c>
      <c r="Z878" t="s">
        <v>47</v>
      </c>
      <c r="AA878">
        <v>5</v>
      </c>
      <c r="AB878">
        <v>2</v>
      </c>
      <c r="AC878" t="s">
        <v>41</v>
      </c>
      <c r="AD878" t="s">
        <v>67</v>
      </c>
      <c r="AE878" t="s">
        <v>60</v>
      </c>
      <c r="AF878" s="3">
        <v>1226</v>
      </c>
      <c r="AG878" s="3">
        <v>43</v>
      </c>
      <c r="AH878">
        <v>80</v>
      </c>
      <c r="AI878">
        <v>1</v>
      </c>
      <c r="AJ878">
        <v>0</v>
      </c>
      <c r="AL878">
        <v>0</v>
      </c>
      <c r="AM878">
        <v>1</v>
      </c>
      <c r="AN878" t="s">
        <v>768</v>
      </c>
      <c r="AO878" t="s">
        <v>41</v>
      </c>
    </row>
    <row r="879" spans="1:41" x14ac:dyDescent="0.25">
      <c r="A879">
        <v>28</v>
      </c>
      <c r="B879" t="s">
        <v>32</v>
      </c>
      <c r="C879" t="s">
        <v>55</v>
      </c>
      <c r="D879">
        <v>9</v>
      </c>
      <c r="E879" t="s">
        <v>34</v>
      </c>
      <c r="F879">
        <v>3</v>
      </c>
      <c r="G879">
        <v>2</v>
      </c>
      <c r="H879" t="s">
        <v>70</v>
      </c>
      <c r="I879">
        <v>4</v>
      </c>
      <c r="J879" t="s">
        <v>36</v>
      </c>
      <c r="K879">
        <v>5253</v>
      </c>
      <c r="L879">
        <v>1</v>
      </c>
      <c r="M879" t="s">
        <v>41</v>
      </c>
      <c r="N879">
        <v>16</v>
      </c>
      <c r="O879">
        <v>3</v>
      </c>
      <c r="P879">
        <v>0</v>
      </c>
      <c r="Q879">
        <v>7</v>
      </c>
      <c r="R879">
        <v>1</v>
      </c>
      <c r="S879">
        <v>7</v>
      </c>
      <c r="T879">
        <v>0</v>
      </c>
      <c r="U879">
        <v>7</v>
      </c>
      <c r="V879" t="s">
        <v>37</v>
      </c>
      <c r="W879" s="2">
        <v>41823</v>
      </c>
      <c r="Y879" t="s">
        <v>39</v>
      </c>
      <c r="Z879" t="s">
        <v>40</v>
      </c>
      <c r="AA879">
        <v>4</v>
      </c>
      <c r="AB879">
        <v>0</v>
      </c>
      <c r="AC879" t="s">
        <v>41</v>
      </c>
      <c r="AD879" t="s">
        <v>48</v>
      </c>
      <c r="AE879" t="s">
        <v>60</v>
      </c>
      <c r="AF879" s="3">
        <v>1228</v>
      </c>
      <c r="AG879" s="3">
        <v>60</v>
      </c>
      <c r="AH879">
        <v>80</v>
      </c>
      <c r="AI879">
        <v>3</v>
      </c>
      <c r="AJ879">
        <v>0</v>
      </c>
      <c r="AL879">
        <v>0</v>
      </c>
      <c r="AM879">
        <v>1</v>
      </c>
      <c r="AN879" t="s">
        <v>768</v>
      </c>
      <c r="AO879" t="s">
        <v>41</v>
      </c>
    </row>
    <row r="880" spans="1:41" x14ac:dyDescent="0.25">
      <c r="A880">
        <v>51</v>
      </c>
      <c r="B880" t="s">
        <v>32</v>
      </c>
      <c r="C880" t="s">
        <v>55</v>
      </c>
      <c r="D880">
        <v>14</v>
      </c>
      <c r="E880" t="s">
        <v>61</v>
      </c>
      <c r="F880">
        <v>3</v>
      </c>
      <c r="G880">
        <v>2</v>
      </c>
      <c r="H880" t="s">
        <v>70</v>
      </c>
      <c r="I880">
        <v>4</v>
      </c>
      <c r="J880" t="s">
        <v>51</v>
      </c>
      <c r="K880">
        <v>4936</v>
      </c>
      <c r="L880">
        <v>4</v>
      </c>
      <c r="M880" t="s">
        <v>41</v>
      </c>
      <c r="N880">
        <v>11</v>
      </c>
      <c r="O880">
        <v>3</v>
      </c>
      <c r="P880">
        <v>1</v>
      </c>
      <c r="Q880">
        <v>18</v>
      </c>
      <c r="R880">
        <v>2</v>
      </c>
      <c r="S880">
        <v>7</v>
      </c>
      <c r="T880">
        <v>0</v>
      </c>
      <c r="U880">
        <v>7</v>
      </c>
      <c r="V880" t="s">
        <v>58</v>
      </c>
      <c r="W880" s="1" t="s">
        <v>443</v>
      </c>
      <c r="Y880" t="s">
        <v>54</v>
      </c>
      <c r="Z880" t="s">
        <v>47</v>
      </c>
      <c r="AA880">
        <v>4</v>
      </c>
      <c r="AB880">
        <v>1</v>
      </c>
      <c r="AC880" t="s">
        <v>31</v>
      </c>
      <c r="AD880" t="s">
        <v>65</v>
      </c>
      <c r="AE880" t="s">
        <v>60</v>
      </c>
      <c r="AF880" s="3">
        <v>1231</v>
      </c>
      <c r="AG880" s="3">
        <v>79</v>
      </c>
      <c r="AH880">
        <v>80</v>
      </c>
      <c r="AI880">
        <v>3</v>
      </c>
      <c r="AJ880">
        <v>0</v>
      </c>
      <c r="AL880">
        <v>0</v>
      </c>
      <c r="AM880">
        <v>1</v>
      </c>
      <c r="AN880" t="s">
        <v>768</v>
      </c>
      <c r="AO880" t="s">
        <v>41</v>
      </c>
    </row>
    <row r="881" spans="1:41" x14ac:dyDescent="0.25">
      <c r="A881">
        <v>56</v>
      </c>
      <c r="B881" t="s">
        <v>66</v>
      </c>
      <c r="C881" t="s">
        <v>55</v>
      </c>
      <c r="D881">
        <v>6</v>
      </c>
      <c r="E881" t="s">
        <v>61</v>
      </c>
      <c r="F881">
        <v>4</v>
      </c>
      <c r="G881">
        <v>4</v>
      </c>
      <c r="H881" t="s">
        <v>70</v>
      </c>
      <c r="I881">
        <v>1</v>
      </c>
      <c r="J881" t="s">
        <v>51</v>
      </c>
      <c r="K881">
        <v>13212</v>
      </c>
      <c r="L881">
        <v>9</v>
      </c>
      <c r="M881" t="s">
        <v>41</v>
      </c>
      <c r="N881">
        <v>11</v>
      </c>
      <c r="O881">
        <v>3</v>
      </c>
      <c r="P881">
        <v>3</v>
      </c>
      <c r="Q881">
        <v>36</v>
      </c>
      <c r="R881">
        <v>0</v>
      </c>
      <c r="S881">
        <v>7</v>
      </c>
      <c r="T881">
        <v>7</v>
      </c>
      <c r="U881">
        <v>7</v>
      </c>
      <c r="V881" t="s">
        <v>37</v>
      </c>
      <c r="W881" s="2">
        <v>41824</v>
      </c>
      <c r="Y881" t="s">
        <v>69</v>
      </c>
      <c r="Z881" t="s">
        <v>40</v>
      </c>
      <c r="AA881">
        <v>5</v>
      </c>
      <c r="AB881">
        <v>1</v>
      </c>
      <c r="AC881" t="s">
        <v>31</v>
      </c>
      <c r="AD881" t="s">
        <v>67</v>
      </c>
      <c r="AE881" t="s">
        <v>60</v>
      </c>
      <c r="AF881" s="3">
        <v>1233</v>
      </c>
      <c r="AG881" s="3">
        <v>52</v>
      </c>
      <c r="AH881">
        <v>80</v>
      </c>
      <c r="AI881">
        <v>7</v>
      </c>
      <c r="AJ881">
        <v>0</v>
      </c>
      <c r="AL881">
        <v>0</v>
      </c>
      <c r="AM881">
        <v>1</v>
      </c>
      <c r="AN881" t="s">
        <v>768</v>
      </c>
      <c r="AO881" t="s">
        <v>41</v>
      </c>
    </row>
    <row r="882" spans="1:41" x14ac:dyDescent="0.25">
      <c r="A882">
        <v>34</v>
      </c>
      <c r="B882" t="s">
        <v>32</v>
      </c>
      <c r="C882" t="s">
        <v>33</v>
      </c>
      <c r="D882">
        <v>2</v>
      </c>
      <c r="E882" t="s">
        <v>34</v>
      </c>
      <c r="F882">
        <v>2</v>
      </c>
      <c r="G882">
        <v>1</v>
      </c>
      <c r="H882" t="s">
        <v>44</v>
      </c>
      <c r="I882">
        <v>3</v>
      </c>
      <c r="J882" t="s">
        <v>57</v>
      </c>
      <c r="K882">
        <v>2768</v>
      </c>
      <c r="L882">
        <v>3</v>
      </c>
      <c r="M882" t="s">
        <v>41</v>
      </c>
      <c r="N882">
        <v>12</v>
      </c>
      <c r="O882">
        <v>3</v>
      </c>
      <c r="P882">
        <v>1</v>
      </c>
      <c r="Q882">
        <v>14</v>
      </c>
      <c r="R882">
        <v>3</v>
      </c>
      <c r="S882">
        <v>7</v>
      </c>
      <c r="T882">
        <v>5</v>
      </c>
      <c r="U882">
        <v>7</v>
      </c>
      <c r="V882" t="s">
        <v>72</v>
      </c>
      <c r="W882" s="1" t="s">
        <v>444</v>
      </c>
      <c r="Y882" t="s">
        <v>39</v>
      </c>
      <c r="Z882" t="s">
        <v>47</v>
      </c>
      <c r="AA882">
        <v>2</v>
      </c>
      <c r="AB882">
        <v>0</v>
      </c>
      <c r="AC882" t="s">
        <v>31</v>
      </c>
      <c r="AD882" t="s">
        <v>48</v>
      </c>
      <c r="AE882" t="s">
        <v>49</v>
      </c>
      <c r="AF882" s="3">
        <v>1234</v>
      </c>
      <c r="AG882" s="3">
        <v>77</v>
      </c>
      <c r="AH882">
        <v>80</v>
      </c>
      <c r="AI882">
        <v>2</v>
      </c>
      <c r="AJ882">
        <v>0</v>
      </c>
      <c r="AL882">
        <v>0</v>
      </c>
      <c r="AM882">
        <v>1</v>
      </c>
      <c r="AN882" t="s">
        <v>768</v>
      </c>
      <c r="AO882" t="s">
        <v>41</v>
      </c>
    </row>
    <row r="883" spans="1:41" x14ac:dyDescent="0.25">
      <c r="A883">
        <v>33</v>
      </c>
      <c r="B883" t="s">
        <v>32</v>
      </c>
      <c r="C883" t="s">
        <v>33</v>
      </c>
      <c r="D883">
        <v>15</v>
      </c>
      <c r="E883" t="s">
        <v>34</v>
      </c>
      <c r="F883">
        <v>3</v>
      </c>
      <c r="G883">
        <v>3</v>
      </c>
      <c r="H883" t="s">
        <v>75</v>
      </c>
      <c r="I883">
        <v>3</v>
      </c>
      <c r="J883" t="s">
        <v>51</v>
      </c>
      <c r="K883">
        <v>13610</v>
      </c>
      <c r="L883">
        <v>7</v>
      </c>
      <c r="M883" t="s">
        <v>31</v>
      </c>
      <c r="N883">
        <v>12</v>
      </c>
      <c r="O883">
        <v>3</v>
      </c>
      <c r="P883">
        <v>0</v>
      </c>
      <c r="Q883">
        <v>15</v>
      </c>
      <c r="R883">
        <v>2</v>
      </c>
      <c r="S883">
        <v>7</v>
      </c>
      <c r="T883">
        <v>7</v>
      </c>
      <c r="U883">
        <v>7</v>
      </c>
      <c r="V883" t="s">
        <v>72</v>
      </c>
      <c r="W883" s="1" t="s">
        <v>445</v>
      </c>
      <c r="Y883" t="s">
        <v>54</v>
      </c>
      <c r="Z883" t="s">
        <v>40</v>
      </c>
      <c r="AA883">
        <v>2</v>
      </c>
      <c r="AB883">
        <v>1</v>
      </c>
      <c r="AC883" t="s">
        <v>41</v>
      </c>
      <c r="AD883" t="s">
        <v>42</v>
      </c>
      <c r="AE883" t="s">
        <v>49</v>
      </c>
      <c r="AF883" s="3">
        <v>1235</v>
      </c>
      <c r="AG883" s="3">
        <v>38</v>
      </c>
      <c r="AH883">
        <v>80</v>
      </c>
      <c r="AI883">
        <v>7</v>
      </c>
      <c r="AJ883">
        <v>0</v>
      </c>
      <c r="AL883">
        <v>0</v>
      </c>
      <c r="AM883">
        <v>1</v>
      </c>
      <c r="AN883" t="s">
        <v>768</v>
      </c>
      <c r="AO883" t="s">
        <v>41</v>
      </c>
    </row>
    <row r="884" spans="1:41" x14ac:dyDescent="0.25">
      <c r="A884">
        <v>26</v>
      </c>
      <c r="B884" t="s">
        <v>66</v>
      </c>
      <c r="C884" t="s">
        <v>120</v>
      </c>
      <c r="D884">
        <v>17</v>
      </c>
      <c r="E884" t="s">
        <v>61</v>
      </c>
      <c r="F884">
        <v>3</v>
      </c>
      <c r="G884">
        <v>1</v>
      </c>
      <c r="H884" t="s">
        <v>120</v>
      </c>
      <c r="I884">
        <v>3</v>
      </c>
      <c r="J884" t="s">
        <v>57</v>
      </c>
      <c r="K884">
        <v>2741</v>
      </c>
      <c r="L884">
        <v>0</v>
      </c>
      <c r="M884" t="s">
        <v>31</v>
      </c>
      <c r="N884">
        <v>11</v>
      </c>
      <c r="O884">
        <v>3</v>
      </c>
      <c r="P884">
        <v>1</v>
      </c>
      <c r="Q884">
        <v>8</v>
      </c>
      <c r="R884">
        <v>2</v>
      </c>
      <c r="S884">
        <v>7</v>
      </c>
      <c r="T884">
        <v>1</v>
      </c>
      <c r="U884">
        <v>0</v>
      </c>
      <c r="V884" t="s">
        <v>37</v>
      </c>
      <c r="W884" s="2">
        <v>41700</v>
      </c>
      <c r="Y884" t="s">
        <v>54</v>
      </c>
      <c r="Z884" t="s">
        <v>47</v>
      </c>
      <c r="AA884">
        <v>4</v>
      </c>
      <c r="AB884">
        <v>3</v>
      </c>
      <c r="AC884" t="s">
        <v>31</v>
      </c>
      <c r="AD884" t="s">
        <v>42</v>
      </c>
      <c r="AE884" t="s">
        <v>43</v>
      </c>
      <c r="AF884" s="3">
        <v>1237</v>
      </c>
      <c r="AG884" s="3">
        <v>77</v>
      </c>
      <c r="AH884">
        <v>80</v>
      </c>
      <c r="AI884">
        <v>7</v>
      </c>
      <c r="AJ884">
        <v>0</v>
      </c>
      <c r="AL884">
        <v>0</v>
      </c>
      <c r="AM884">
        <v>1</v>
      </c>
      <c r="AN884" t="s">
        <v>768</v>
      </c>
      <c r="AO884" t="s">
        <v>41</v>
      </c>
    </row>
    <row r="885" spans="1:41" x14ac:dyDescent="0.25">
      <c r="A885">
        <v>25</v>
      </c>
      <c r="B885" t="s">
        <v>32</v>
      </c>
      <c r="C885" t="s">
        <v>55</v>
      </c>
      <c r="D885">
        <v>13</v>
      </c>
      <c r="E885" t="s">
        <v>34</v>
      </c>
      <c r="F885">
        <v>3</v>
      </c>
      <c r="G885">
        <v>1</v>
      </c>
      <c r="H885" t="s">
        <v>56</v>
      </c>
      <c r="I885">
        <v>3</v>
      </c>
      <c r="J885" t="s">
        <v>51</v>
      </c>
      <c r="K885">
        <v>2096</v>
      </c>
      <c r="L885">
        <v>1</v>
      </c>
      <c r="M885" t="s">
        <v>41</v>
      </c>
      <c r="N885">
        <v>11</v>
      </c>
      <c r="O885">
        <v>3</v>
      </c>
      <c r="P885">
        <v>0</v>
      </c>
      <c r="Q885">
        <v>7</v>
      </c>
      <c r="R885">
        <v>1</v>
      </c>
      <c r="S885">
        <v>7</v>
      </c>
      <c r="T885">
        <v>0</v>
      </c>
      <c r="U885">
        <v>6</v>
      </c>
      <c r="V885" t="s">
        <v>58</v>
      </c>
      <c r="W885" s="1" t="s">
        <v>446</v>
      </c>
      <c r="Y885" t="s">
        <v>46</v>
      </c>
      <c r="Z885" t="s">
        <v>40</v>
      </c>
      <c r="AA885">
        <v>1</v>
      </c>
      <c r="AB885">
        <v>1</v>
      </c>
      <c r="AC885" t="s">
        <v>41</v>
      </c>
      <c r="AD885" t="s">
        <v>42</v>
      </c>
      <c r="AE885" t="s">
        <v>43</v>
      </c>
      <c r="AF885" s="3">
        <v>1238</v>
      </c>
      <c r="AG885" s="3">
        <v>60</v>
      </c>
      <c r="AH885">
        <v>80</v>
      </c>
      <c r="AI885">
        <v>10</v>
      </c>
      <c r="AJ885">
        <v>0</v>
      </c>
      <c r="AL885">
        <v>0</v>
      </c>
      <c r="AM885">
        <v>1</v>
      </c>
      <c r="AN885" t="s">
        <v>768</v>
      </c>
      <c r="AO885" t="s">
        <v>41</v>
      </c>
    </row>
    <row r="886" spans="1:41" x14ac:dyDescent="0.25">
      <c r="A886">
        <v>31</v>
      </c>
      <c r="B886" t="s">
        <v>32</v>
      </c>
      <c r="C886" t="s">
        <v>55</v>
      </c>
      <c r="D886">
        <v>6</v>
      </c>
      <c r="E886" t="s">
        <v>34</v>
      </c>
      <c r="F886">
        <v>4</v>
      </c>
      <c r="G886">
        <v>2</v>
      </c>
      <c r="H886" t="s">
        <v>70</v>
      </c>
      <c r="I886">
        <v>4</v>
      </c>
      <c r="J886" t="s">
        <v>57</v>
      </c>
      <c r="K886">
        <v>5460</v>
      </c>
      <c r="L886">
        <v>4</v>
      </c>
      <c r="M886" t="s">
        <v>41</v>
      </c>
      <c r="N886">
        <v>22</v>
      </c>
      <c r="O886">
        <v>4</v>
      </c>
      <c r="P886">
        <v>2</v>
      </c>
      <c r="Q886">
        <v>13</v>
      </c>
      <c r="R886">
        <v>4</v>
      </c>
      <c r="S886">
        <v>7</v>
      </c>
      <c r="T886">
        <v>5</v>
      </c>
      <c r="U886">
        <v>7</v>
      </c>
      <c r="V886" t="s">
        <v>58</v>
      </c>
      <c r="W886" s="1" t="s">
        <v>447</v>
      </c>
      <c r="Y886" t="s">
        <v>46</v>
      </c>
      <c r="Z886" t="s">
        <v>47</v>
      </c>
      <c r="AA886">
        <v>4</v>
      </c>
      <c r="AB886">
        <v>1</v>
      </c>
      <c r="AC886" t="s">
        <v>41</v>
      </c>
      <c r="AD886" t="s">
        <v>48</v>
      </c>
      <c r="AE886" t="s">
        <v>49</v>
      </c>
      <c r="AF886" s="3">
        <v>1239</v>
      </c>
      <c r="AG886" s="3">
        <v>84</v>
      </c>
      <c r="AH886">
        <v>80</v>
      </c>
      <c r="AI886">
        <v>1</v>
      </c>
      <c r="AJ886">
        <v>0</v>
      </c>
      <c r="AL886">
        <v>0</v>
      </c>
      <c r="AM886">
        <v>1</v>
      </c>
      <c r="AN886" t="s">
        <v>768</v>
      </c>
      <c r="AO886" t="s">
        <v>41</v>
      </c>
    </row>
    <row r="887" spans="1:41" x14ac:dyDescent="0.25">
      <c r="A887">
        <v>38</v>
      </c>
      <c r="B887" t="s">
        <v>32</v>
      </c>
      <c r="C887" t="s">
        <v>55</v>
      </c>
      <c r="D887">
        <v>7</v>
      </c>
      <c r="E887" t="s">
        <v>61</v>
      </c>
      <c r="F887">
        <v>2</v>
      </c>
      <c r="G887">
        <v>2</v>
      </c>
      <c r="H887" t="s">
        <v>70</v>
      </c>
      <c r="I887">
        <v>4</v>
      </c>
      <c r="J887" t="s">
        <v>36</v>
      </c>
      <c r="K887">
        <v>4028</v>
      </c>
      <c r="L887">
        <v>0</v>
      </c>
      <c r="M887" t="s">
        <v>41</v>
      </c>
      <c r="N887">
        <v>20</v>
      </c>
      <c r="O887">
        <v>4</v>
      </c>
      <c r="P887">
        <v>0</v>
      </c>
      <c r="Q887">
        <v>8</v>
      </c>
      <c r="R887">
        <v>2</v>
      </c>
      <c r="S887">
        <v>7</v>
      </c>
      <c r="T887">
        <v>0</v>
      </c>
      <c r="U887">
        <v>5</v>
      </c>
      <c r="V887" t="s">
        <v>58</v>
      </c>
      <c r="W887" s="1" t="s">
        <v>448</v>
      </c>
      <c r="Y887" t="s">
        <v>46</v>
      </c>
      <c r="Z887" t="s">
        <v>40</v>
      </c>
      <c r="AA887">
        <v>1</v>
      </c>
      <c r="AB887">
        <v>2</v>
      </c>
      <c r="AC887" t="s">
        <v>41</v>
      </c>
      <c r="AD887" t="s">
        <v>48</v>
      </c>
      <c r="AE887" t="s">
        <v>60</v>
      </c>
      <c r="AF887" s="3">
        <v>1240</v>
      </c>
      <c r="AG887" s="3">
        <v>57</v>
      </c>
      <c r="AH887">
        <v>80</v>
      </c>
      <c r="AI887">
        <v>3</v>
      </c>
      <c r="AJ887">
        <v>0</v>
      </c>
      <c r="AL887">
        <v>0</v>
      </c>
      <c r="AM887">
        <v>1</v>
      </c>
      <c r="AN887" t="s">
        <v>768</v>
      </c>
      <c r="AO887" t="s">
        <v>41</v>
      </c>
    </row>
    <row r="888" spans="1:41" x14ac:dyDescent="0.25">
      <c r="A888">
        <v>32</v>
      </c>
      <c r="B888" t="s">
        <v>32</v>
      </c>
      <c r="C888" t="s">
        <v>33</v>
      </c>
      <c r="D888">
        <v>3</v>
      </c>
      <c r="E888" t="s">
        <v>61</v>
      </c>
      <c r="F888">
        <v>3</v>
      </c>
      <c r="G888">
        <v>3</v>
      </c>
      <c r="H888" t="s">
        <v>50</v>
      </c>
      <c r="I888">
        <v>4</v>
      </c>
      <c r="J888" t="s">
        <v>36</v>
      </c>
      <c r="K888">
        <v>11159</v>
      </c>
      <c r="L888">
        <v>3</v>
      </c>
      <c r="M888" t="s">
        <v>41</v>
      </c>
      <c r="N888">
        <v>15</v>
      </c>
      <c r="O888">
        <v>3</v>
      </c>
      <c r="P888">
        <v>0</v>
      </c>
      <c r="Q888">
        <v>10</v>
      </c>
      <c r="R888">
        <v>6</v>
      </c>
      <c r="S888">
        <v>7</v>
      </c>
      <c r="T888">
        <v>7</v>
      </c>
      <c r="U888">
        <v>7</v>
      </c>
      <c r="V888" t="s">
        <v>37</v>
      </c>
      <c r="W888" s="1" t="s">
        <v>449</v>
      </c>
      <c r="Y888" t="s">
        <v>54</v>
      </c>
      <c r="Z888" t="s">
        <v>47</v>
      </c>
      <c r="AA888">
        <v>4</v>
      </c>
      <c r="AB888">
        <v>1</v>
      </c>
      <c r="AC888" t="s">
        <v>31</v>
      </c>
      <c r="AD888" t="s">
        <v>67</v>
      </c>
      <c r="AE888" t="s">
        <v>60</v>
      </c>
      <c r="AF888" s="3">
        <v>1241</v>
      </c>
      <c r="AG888" s="3">
        <v>63</v>
      </c>
      <c r="AH888">
        <v>80</v>
      </c>
      <c r="AI888">
        <v>9</v>
      </c>
      <c r="AJ888">
        <v>0</v>
      </c>
      <c r="AL888">
        <v>0</v>
      </c>
      <c r="AM888">
        <v>1</v>
      </c>
      <c r="AN888" t="s">
        <v>768</v>
      </c>
      <c r="AO888" t="s">
        <v>41</v>
      </c>
    </row>
    <row r="889" spans="1:41" x14ac:dyDescent="0.25">
      <c r="A889">
        <v>47</v>
      </c>
      <c r="B889" t="s">
        <v>32</v>
      </c>
      <c r="C889" t="s">
        <v>55</v>
      </c>
      <c r="D889">
        <v>14</v>
      </c>
      <c r="E889" t="s">
        <v>34</v>
      </c>
      <c r="F889">
        <v>3</v>
      </c>
      <c r="G889">
        <v>2</v>
      </c>
      <c r="H889" t="s">
        <v>70</v>
      </c>
      <c r="I889">
        <v>1</v>
      </c>
      <c r="J889" t="s">
        <v>36</v>
      </c>
      <c r="K889">
        <v>4960</v>
      </c>
      <c r="L889">
        <v>2</v>
      </c>
      <c r="M889" t="s">
        <v>41</v>
      </c>
      <c r="N889">
        <v>12</v>
      </c>
      <c r="O889">
        <v>3</v>
      </c>
      <c r="P889">
        <v>0</v>
      </c>
      <c r="Q889">
        <v>20</v>
      </c>
      <c r="R889">
        <v>2</v>
      </c>
      <c r="S889">
        <v>7</v>
      </c>
      <c r="T889">
        <v>1</v>
      </c>
      <c r="U889">
        <v>7</v>
      </c>
      <c r="V889" t="s">
        <v>52</v>
      </c>
      <c r="W889" s="1" t="s">
        <v>450</v>
      </c>
      <c r="Y889" t="s">
        <v>39</v>
      </c>
      <c r="Z889" t="s">
        <v>47</v>
      </c>
      <c r="AA889">
        <v>5</v>
      </c>
      <c r="AB889">
        <v>0</v>
      </c>
      <c r="AC889" t="s">
        <v>41</v>
      </c>
      <c r="AD889" t="s">
        <v>48</v>
      </c>
      <c r="AE889" t="s">
        <v>49</v>
      </c>
      <c r="AF889" s="3">
        <v>1242</v>
      </c>
      <c r="AG889" s="3">
        <v>60</v>
      </c>
      <c r="AH889">
        <v>80</v>
      </c>
      <c r="AI889">
        <v>0</v>
      </c>
      <c r="AJ889">
        <v>0</v>
      </c>
      <c r="AL889">
        <v>0</v>
      </c>
      <c r="AM889">
        <v>1</v>
      </c>
      <c r="AN889" t="s">
        <v>768</v>
      </c>
      <c r="AO889" t="s">
        <v>41</v>
      </c>
    </row>
    <row r="890" spans="1:41" x14ac:dyDescent="0.25">
      <c r="A890">
        <v>28</v>
      </c>
      <c r="B890" t="s">
        <v>32</v>
      </c>
      <c r="C890" t="s">
        <v>33</v>
      </c>
      <c r="D890">
        <v>1</v>
      </c>
      <c r="E890" t="s">
        <v>61</v>
      </c>
      <c r="F890">
        <v>1</v>
      </c>
      <c r="G890">
        <v>1</v>
      </c>
      <c r="H890" t="s">
        <v>44</v>
      </c>
      <c r="I890">
        <v>2</v>
      </c>
      <c r="J890" t="s">
        <v>36</v>
      </c>
      <c r="K890">
        <v>2216</v>
      </c>
      <c r="L890">
        <v>7</v>
      </c>
      <c r="M890" t="s">
        <v>31</v>
      </c>
      <c r="N890">
        <v>13</v>
      </c>
      <c r="O890">
        <v>3</v>
      </c>
      <c r="P890">
        <v>0</v>
      </c>
      <c r="Q890">
        <v>10</v>
      </c>
      <c r="R890">
        <v>4</v>
      </c>
      <c r="S890">
        <v>7</v>
      </c>
      <c r="T890">
        <v>3</v>
      </c>
      <c r="U890">
        <v>7</v>
      </c>
      <c r="V890" t="s">
        <v>72</v>
      </c>
      <c r="W890" s="2">
        <v>41949</v>
      </c>
      <c r="Y890" t="s">
        <v>39</v>
      </c>
      <c r="Z890" t="s">
        <v>40</v>
      </c>
      <c r="AA890">
        <v>0</v>
      </c>
      <c r="AB890">
        <v>0</v>
      </c>
      <c r="AC890" t="s">
        <v>31</v>
      </c>
      <c r="AD890" t="s">
        <v>65</v>
      </c>
      <c r="AE890" t="s">
        <v>60</v>
      </c>
      <c r="AF890" s="3">
        <v>1243</v>
      </c>
      <c r="AG890" s="3">
        <v>78</v>
      </c>
      <c r="AH890">
        <v>80</v>
      </c>
      <c r="AI890">
        <v>2</v>
      </c>
      <c r="AJ890">
        <v>0</v>
      </c>
      <c r="AL890">
        <v>0</v>
      </c>
      <c r="AM890">
        <v>1</v>
      </c>
      <c r="AN890" t="s">
        <v>768</v>
      </c>
      <c r="AO890" t="s">
        <v>41</v>
      </c>
    </row>
    <row r="891" spans="1:41" x14ac:dyDescent="0.25">
      <c r="A891">
        <v>27</v>
      </c>
      <c r="B891" t="s">
        <v>32</v>
      </c>
      <c r="C891" t="s">
        <v>33</v>
      </c>
      <c r="D891">
        <v>7</v>
      </c>
      <c r="E891" t="s">
        <v>61</v>
      </c>
      <c r="F891">
        <v>2</v>
      </c>
      <c r="G891">
        <v>2</v>
      </c>
      <c r="H891" t="s">
        <v>89</v>
      </c>
      <c r="I891">
        <v>1</v>
      </c>
      <c r="J891" t="s">
        <v>36</v>
      </c>
      <c r="K891">
        <v>6811</v>
      </c>
      <c r="L891">
        <v>8</v>
      </c>
      <c r="M891" t="s">
        <v>41</v>
      </c>
      <c r="N891">
        <v>19</v>
      </c>
      <c r="O891">
        <v>3</v>
      </c>
      <c r="P891">
        <v>0</v>
      </c>
      <c r="Q891">
        <v>9</v>
      </c>
      <c r="R891">
        <v>2</v>
      </c>
      <c r="S891">
        <v>7</v>
      </c>
      <c r="T891">
        <v>0</v>
      </c>
      <c r="U891">
        <v>7</v>
      </c>
      <c r="V891" t="s">
        <v>58</v>
      </c>
      <c r="W891" s="2">
        <v>41822</v>
      </c>
      <c r="Y891" t="s">
        <v>39</v>
      </c>
      <c r="Z891" t="s">
        <v>47</v>
      </c>
      <c r="AA891">
        <v>3</v>
      </c>
      <c r="AB891">
        <v>2</v>
      </c>
      <c r="AC891" t="s">
        <v>41</v>
      </c>
      <c r="AD891" t="s">
        <v>67</v>
      </c>
      <c r="AE891" t="s">
        <v>60</v>
      </c>
      <c r="AF891" s="3">
        <v>1244</v>
      </c>
      <c r="AG891" s="3">
        <v>42</v>
      </c>
      <c r="AH891">
        <v>80</v>
      </c>
      <c r="AI891">
        <v>7</v>
      </c>
      <c r="AJ891">
        <v>0</v>
      </c>
      <c r="AL891">
        <v>0</v>
      </c>
      <c r="AM891">
        <v>1</v>
      </c>
      <c r="AN891" t="s">
        <v>768</v>
      </c>
      <c r="AO891" t="s">
        <v>41</v>
      </c>
    </row>
    <row r="892" spans="1:41" x14ac:dyDescent="0.25">
      <c r="A892">
        <v>47</v>
      </c>
      <c r="B892" t="s">
        <v>32</v>
      </c>
      <c r="C892" t="s">
        <v>55</v>
      </c>
      <c r="D892">
        <v>2</v>
      </c>
      <c r="E892" t="s">
        <v>61</v>
      </c>
      <c r="F892">
        <v>3</v>
      </c>
      <c r="G892">
        <v>2</v>
      </c>
      <c r="H892" t="s">
        <v>70</v>
      </c>
      <c r="I892">
        <v>4</v>
      </c>
      <c r="J892" t="s">
        <v>51</v>
      </c>
      <c r="K892">
        <v>4537</v>
      </c>
      <c r="L892">
        <v>0</v>
      </c>
      <c r="M892" t="s">
        <v>31</v>
      </c>
      <c r="N892">
        <v>22</v>
      </c>
      <c r="O892">
        <v>4</v>
      </c>
      <c r="P892">
        <v>1</v>
      </c>
      <c r="Q892">
        <v>8</v>
      </c>
      <c r="R892">
        <v>2</v>
      </c>
      <c r="S892">
        <v>7</v>
      </c>
      <c r="T892">
        <v>7</v>
      </c>
      <c r="U892">
        <v>7</v>
      </c>
      <c r="V892" t="s">
        <v>72</v>
      </c>
      <c r="W892" s="1" t="s">
        <v>451</v>
      </c>
      <c r="Y892" t="s">
        <v>46</v>
      </c>
      <c r="Z892" t="s">
        <v>47</v>
      </c>
      <c r="AA892">
        <v>2</v>
      </c>
      <c r="AB892">
        <v>0</v>
      </c>
      <c r="AC892" t="s">
        <v>31</v>
      </c>
      <c r="AD892" t="s">
        <v>42</v>
      </c>
      <c r="AE892" t="s">
        <v>49</v>
      </c>
      <c r="AF892" s="3">
        <v>1245</v>
      </c>
      <c r="AG892" s="3">
        <v>53</v>
      </c>
      <c r="AH892">
        <v>80</v>
      </c>
      <c r="AI892">
        <v>4</v>
      </c>
      <c r="AJ892">
        <v>0</v>
      </c>
      <c r="AL892">
        <v>0</v>
      </c>
      <c r="AM892">
        <v>1</v>
      </c>
      <c r="AN892" t="s">
        <v>768</v>
      </c>
      <c r="AO892" t="s">
        <v>41</v>
      </c>
    </row>
    <row r="893" spans="1:41" x14ac:dyDescent="0.25">
      <c r="A893">
        <v>41</v>
      </c>
      <c r="B893" t="s">
        <v>32</v>
      </c>
      <c r="C893" t="s">
        <v>33</v>
      </c>
      <c r="D893">
        <v>2</v>
      </c>
      <c r="E893" t="s">
        <v>61</v>
      </c>
      <c r="F893">
        <v>1</v>
      </c>
      <c r="G893">
        <v>1</v>
      </c>
      <c r="H893" t="s">
        <v>35</v>
      </c>
      <c r="I893">
        <v>4</v>
      </c>
      <c r="J893" t="s">
        <v>57</v>
      </c>
      <c r="K893">
        <v>2778</v>
      </c>
      <c r="L893">
        <v>4</v>
      </c>
      <c r="M893" t="s">
        <v>31</v>
      </c>
      <c r="N893">
        <v>13</v>
      </c>
      <c r="O893">
        <v>3</v>
      </c>
      <c r="P893">
        <v>1</v>
      </c>
      <c r="Q893">
        <v>10</v>
      </c>
      <c r="R893">
        <v>1</v>
      </c>
      <c r="S893">
        <v>7</v>
      </c>
      <c r="T893">
        <v>1</v>
      </c>
      <c r="U893">
        <v>0</v>
      </c>
      <c r="V893" t="s">
        <v>37</v>
      </c>
      <c r="W893" s="1" t="s">
        <v>452</v>
      </c>
      <c r="Y893" t="s">
        <v>54</v>
      </c>
      <c r="Z893" t="s">
        <v>40</v>
      </c>
      <c r="AA893">
        <v>0</v>
      </c>
      <c r="AB893">
        <v>2</v>
      </c>
      <c r="AC893" t="s">
        <v>31</v>
      </c>
      <c r="AD893" t="s">
        <v>67</v>
      </c>
      <c r="AE893" t="s">
        <v>60</v>
      </c>
      <c r="AF893" s="3">
        <v>1246</v>
      </c>
      <c r="AG893" s="3">
        <v>72</v>
      </c>
      <c r="AH893">
        <v>80</v>
      </c>
      <c r="AI893">
        <v>5</v>
      </c>
      <c r="AJ893">
        <v>0</v>
      </c>
      <c r="AL893">
        <v>0</v>
      </c>
      <c r="AM893">
        <v>1</v>
      </c>
      <c r="AN893" t="s">
        <v>768</v>
      </c>
      <c r="AO893" t="s">
        <v>41</v>
      </c>
    </row>
    <row r="894" spans="1:41" x14ac:dyDescent="0.25">
      <c r="A894">
        <v>31</v>
      </c>
      <c r="B894" t="s">
        <v>32</v>
      </c>
      <c r="C894" t="s">
        <v>55</v>
      </c>
      <c r="D894">
        <v>7</v>
      </c>
      <c r="E894" t="s">
        <v>34</v>
      </c>
      <c r="F894">
        <v>2</v>
      </c>
      <c r="G894">
        <v>1</v>
      </c>
      <c r="H894" t="s">
        <v>56</v>
      </c>
      <c r="I894">
        <v>3</v>
      </c>
      <c r="J894" t="s">
        <v>51</v>
      </c>
      <c r="K894">
        <v>2329</v>
      </c>
      <c r="L894">
        <v>3</v>
      </c>
      <c r="M894" t="s">
        <v>41</v>
      </c>
      <c r="N894">
        <v>15</v>
      </c>
      <c r="O894">
        <v>3</v>
      </c>
      <c r="P894">
        <v>0</v>
      </c>
      <c r="Q894">
        <v>13</v>
      </c>
      <c r="R894">
        <v>2</v>
      </c>
      <c r="S894">
        <v>7</v>
      </c>
      <c r="T894">
        <v>5</v>
      </c>
      <c r="U894">
        <v>2</v>
      </c>
      <c r="V894" t="s">
        <v>72</v>
      </c>
      <c r="W894" s="2">
        <v>41734</v>
      </c>
      <c r="Y894" t="s">
        <v>54</v>
      </c>
      <c r="Z894" t="s">
        <v>40</v>
      </c>
      <c r="AA894">
        <v>3</v>
      </c>
      <c r="AB894">
        <v>0</v>
      </c>
      <c r="AC894" t="s">
        <v>41</v>
      </c>
      <c r="AD894" t="s">
        <v>67</v>
      </c>
      <c r="AE894" t="s">
        <v>60</v>
      </c>
      <c r="AF894" s="3">
        <v>1248</v>
      </c>
      <c r="AG894" s="3">
        <v>96</v>
      </c>
      <c r="AH894">
        <v>80</v>
      </c>
      <c r="AI894">
        <v>1</v>
      </c>
      <c r="AJ894">
        <v>1</v>
      </c>
      <c r="AK894">
        <v>1</v>
      </c>
      <c r="AL894">
        <v>1</v>
      </c>
      <c r="AM894">
        <v>0</v>
      </c>
      <c r="AN894" t="s">
        <v>767</v>
      </c>
      <c r="AO894" t="s">
        <v>31</v>
      </c>
    </row>
    <row r="895" spans="1:41" x14ac:dyDescent="0.25">
      <c r="A895">
        <v>26</v>
      </c>
      <c r="B895" t="s">
        <v>66</v>
      </c>
      <c r="C895" t="s">
        <v>55</v>
      </c>
      <c r="D895">
        <v>1</v>
      </c>
      <c r="E895" t="s">
        <v>34</v>
      </c>
      <c r="F895">
        <v>2</v>
      </c>
      <c r="G895">
        <v>2</v>
      </c>
      <c r="H895" t="s">
        <v>70</v>
      </c>
      <c r="I895">
        <v>1</v>
      </c>
      <c r="J895" t="s">
        <v>36</v>
      </c>
      <c r="K895">
        <v>4294</v>
      </c>
      <c r="L895">
        <v>1</v>
      </c>
      <c r="M895" t="s">
        <v>41</v>
      </c>
      <c r="N895">
        <v>12</v>
      </c>
      <c r="O895">
        <v>3</v>
      </c>
      <c r="P895">
        <v>0</v>
      </c>
      <c r="Q895">
        <v>7</v>
      </c>
      <c r="R895">
        <v>2</v>
      </c>
      <c r="S895">
        <v>7</v>
      </c>
      <c r="T895">
        <v>0</v>
      </c>
      <c r="U895">
        <v>7</v>
      </c>
      <c r="V895" t="s">
        <v>58</v>
      </c>
      <c r="W895" s="1" t="s">
        <v>453</v>
      </c>
      <c r="Y895" t="s">
        <v>63</v>
      </c>
      <c r="Z895" t="s">
        <v>47</v>
      </c>
      <c r="AA895">
        <v>4</v>
      </c>
      <c r="AB895">
        <v>2</v>
      </c>
      <c r="AC895" t="s">
        <v>41</v>
      </c>
      <c r="AD895" t="s">
        <v>48</v>
      </c>
      <c r="AE895" t="s">
        <v>49</v>
      </c>
      <c r="AF895" s="3">
        <v>1249</v>
      </c>
      <c r="AG895" s="3">
        <v>97</v>
      </c>
      <c r="AH895">
        <v>80</v>
      </c>
      <c r="AI895">
        <v>2</v>
      </c>
      <c r="AJ895">
        <v>0</v>
      </c>
      <c r="AL895">
        <v>0</v>
      </c>
      <c r="AM895">
        <v>1</v>
      </c>
      <c r="AN895" t="s">
        <v>768</v>
      </c>
      <c r="AO895" t="s">
        <v>41</v>
      </c>
    </row>
    <row r="896" spans="1:41" x14ac:dyDescent="0.25">
      <c r="A896">
        <v>36</v>
      </c>
      <c r="B896" t="s">
        <v>81</v>
      </c>
      <c r="C896" t="s">
        <v>55</v>
      </c>
      <c r="D896">
        <v>8</v>
      </c>
      <c r="E896" t="s">
        <v>34</v>
      </c>
      <c r="F896">
        <v>3</v>
      </c>
      <c r="G896">
        <v>2</v>
      </c>
      <c r="H896" t="s">
        <v>70</v>
      </c>
      <c r="I896">
        <v>4</v>
      </c>
      <c r="J896" t="s">
        <v>57</v>
      </c>
      <c r="K896">
        <v>5079</v>
      </c>
      <c r="L896">
        <v>4</v>
      </c>
      <c r="M896" t="s">
        <v>41</v>
      </c>
      <c r="N896">
        <v>13</v>
      </c>
      <c r="O896">
        <v>3</v>
      </c>
      <c r="P896">
        <v>2</v>
      </c>
      <c r="Q896">
        <v>12</v>
      </c>
      <c r="R896">
        <v>3</v>
      </c>
      <c r="S896">
        <v>7</v>
      </c>
      <c r="T896">
        <v>0</v>
      </c>
      <c r="U896">
        <v>7</v>
      </c>
      <c r="V896" t="s">
        <v>72</v>
      </c>
      <c r="W896" s="1" t="s">
        <v>454</v>
      </c>
      <c r="Y896" t="s">
        <v>39</v>
      </c>
      <c r="Z896" t="s">
        <v>40</v>
      </c>
      <c r="AA896">
        <v>1</v>
      </c>
      <c r="AB896">
        <v>2</v>
      </c>
      <c r="AC896" t="s">
        <v>31</v>
      </c>
      <c r="AD896" t="s">
        <v>42</v>
      </c>
      <c r="AE896" t="s">
        <v>60</v>
      </c>
      <c r="AF896" s="3">
        <v>1250</v>
      </c>
      <c r="AG896" s="3">
        <v>85</v>
      </c>
      <c r="AH896">
        <v>80</v>
      </c>
      <c r="AI896">
        <v>9</v>
      </c>
      <c r="AJ896">
        <v>0</v>
      </c>
      <c r="AL896">
        <v>0</v>
      </c>
      <c r="AM896">
        <v>1</v>
      </c>
      <c r="AN896" t="s">
        <v>768</v>
      </c>
      <c r="AO896" t="s">
        <v>41</v>
      </c>
    </row>
    <row r="897" spans="1:41" x14ac:dyDescent="0.25">
      <c r="A897">
        <v>40</v>
      </c>
      <c r="B897" t="s">
        <v>32</v>
      </c>
      <c r="C897" t="s">
        <v>55</v>
      </c>
      <c r="D897">
        <v>26</v>
      </c>
      <c r="E897" t="s">
        <v>34</v>
      </c>
      <c r="F897">
        <v>3</v>
      </c>
      <c r="G897">
        <v>2</v>
      </c>
      <c r="H897" t="s">
        <v>70</v>
      </c>
      <c r="I897">
        <v>1</v>
      </c>
      <c r="J897" t="s">
        <v>51</v>
      </c>
      <c r="K897">
        <v>8396</v>
      </c>
      <c r="L897">
        <v>1</v>
      </c>
      <c r="M897" t="s">
        <v>41</v>
      </c>
      <c r="N897">
        <v>14</v>
      </c>
      <c r="O897">
        <v>3</v>
      </c>
      <c r="P897">
        <v>1</v>
      </c>
      <c r="Q897">
        <v>8</v>
      </c>
      <c r="R897">
        <v>3</v>
      </c>
      <c r="S897">
        <v>7</v>
      </c>
      <c r="T897">
        <v>7</v>
      </c>
      <c r="U897">
        <v>5</v>
      </c>
      <c r="V897" t="s">
        <v>52</v>
      </c>
      <c r="W897" s="1" t="s">
        <v>455</v>
      </c>
      <c r="Y897" t="s">
        <v>54</v>
      </c>
      <c r="Z897" t="s">
        <v>47</v>
      </c>
      <c r="AA897">
        <v>0</v>
      </c>
      <c r="AB897">
        <v>3</v>
      </c>
      <c r="AC897" t="s">
        <v>41</v>
      </c>
      <c r="AD897" t="s">
        <v>67</v>
      </c>
      <c r="AE897" t="s">
        <v>60</v>
      </c>
      <c r="AF897" s="3">
        <v>1251</v>
      </c>
      <c r="AG897" s="3">
        <v>80</v>
      </c>
      <c r="AH897">
        <v>80</v>
      </c>
      <c r="AI897">
        <v>5</v>
      </c>
      <c r="AJ897">
        <v>0</v>
      </c>
      <c r="AL897">
        <v>0</v>
      </c>
      <c r="AM897">
        <v>1</v>
      </c>
      <c r="AN897" t="s">
        <v>768</v>
      </c>
      <c r="AO897" t="s">
        <v>41</v>
      </c>
    </row>
    <row r="898" spans="1:41" x14ac:dyDescent="0.25">
      <c r="A898">
        <v>25</v>
      </c>
      <c r="B898" t="s">
        <v>32</v>
      </c>
      <c r="C898" t="s">
        <v>33</v>
      </c>
      <c r="D898">
        <v>4</v>
      </c>
      <c r="E898" t="s">
        <v>34</v>
      </c>
      <c r="F898">
        <v>3</v>
      </c>
      <c r="G898">
        <v>1</v>
      </c>
      <c r="H898" t="s">
        <v>35</v>
      </c>
      <c r="I898">
        <v>4</v>
      </c>
      <c r="J898" t="s">
        <v>51</v>
      </c>
      <c r="K898">
        <v>3691</v>
      </c>
      <c r="L898">
        <v>1</v>
      </c>
      <c r="M898" t="s">
        <v>31</v>
      </c>
      <c r="N898">
        <v>15</v>
      </c>
      <c r="O898">
        <v>3</v>
      </c>
      <c r="P898">
        <v>1</v>
      </c>
      <c r="Q898">
        <v>7</v>
      </c>
      <c r="R898">
        <v>3</v>
      </c>
      <c r="S898">
        <v>7</v>
      </c>
      <c r="T898">
        <v>5</v>
      </c>
      <c r="U898">
        <v>6</v>
      </c>
      <c r="V898" t="s">
        <v>72</v>
      </c>
      <c r="W898" s="2">
        <v>41914</v>
      </c>
      <c r="Y898" t="s">
        <v>46</v>
      </c>
      <c r="Z898" t="s">
        <v>40</v>
      </c>
      <c r="AA898">
        <v>4</v>
      </c>
      <c r="AB898">
        <v>2</v>
      </c>
      <c r="AC898" t="s">
        <v>31</v>
      </c>
      <c r="AD898" t="s">
        <v>42</v>
      </c>
      <c r="AE898" t="s">
        <v>43</v>
      </c>
      <c r="AF898" s="3">
        <v>1252</v>
      </c>
      <c r="AG898" s="3">
        <v>96</v>
      </c>
      <c r="AH898">
        <v>80</v>
      </c>
      <c r="AI898">
        <v>9</v>
      </c>
      <c r="AJ898">
        <v>0</v>
      </c>
      <c r="AL898">
        <v>0</v>
      </c>
      <c r="AM898">
        <v>1</v>
      </c>
      <c r="AN898" t="s">
        <v>768</v>
      </c>
      <c r="AO898" t="s">
        <v>41</v>
      </c>
    </row>
    <row r="899" spans="1:41" x14ac:dyDescent="0.25">
      <c r="A899">
        <v>29</v>
      </c>
      <c r="B899" t="s">
        <v>32</v>
      </c>
      <c r="C899" t="s">
        <v>33</v>
      </c>
      <c r="D899">
        <v>28</v>
      </c>
      <c r="E899" t="s">
        <v>61</v>
      </c>
      <c r="F899">
        <v>3</v>
      </c>
      <c r="G899">
        <v>1</v>
      </c>
      <c r="H899" t="s">
        <v>44</v>
      </c>
      <c r="I899">
        <v>4</v>
      </c>
      <c r="J899" t="s">
        <v>57</v>
      </c>
      <c r="K899">
        <v>2514</v>
      </c>
      <c r="L899">
        <v>4</v>
      </c>
      <c r="M899" t="s">
        <v>41</v>
      </c>
      <c r="N899">
        <v>22</v>
      </c>
      <c r="O899">
        <v>4</v>
      </c>
      <c r="P899">
        <v>1</v>
      </c>
      <c r="Q899">
        <v>11</v>
      </c>
      <c r="R899">
        <v>1</v>
      </c>
      <c r="S899">
        <v>7</v>
      </c>
      <c r="T899">
        <v>1</v>
      </c>
      <c r="U899">
        <v>7</v>
      </c>
      <c r="V899" t="s">
        <v>52</v>
      </c>
      <c r="W899" s="1" t="s">
        <v>456</v>
      </c>
      <c r="Y899" t="s">
        <v>69</v>
      </c>
      <c r="Z899" t="s">
        <v>40</v>
      </c>
      <c r="AA899">
        <v>1</v>
      </c>
      <c r="AB899">
        <v>3</v>
      </c>
      <c r="AC899" t="s">
        <v>31</v>
      </c>
      <c r="AD899" t="s">
        <v>65</v>
      </c>
      <c r="AE899" t="s">
        <v>43</v>
      </c>
      <c r="AF899" s="3">
        <v>1254</v>
      </c>
      <c r="AG899" s="3">
        <v>48</v>
      </c>
      <c r="AH899">
        <v>80</v>
      </c>
      <c r="AI899">
        <v>1</v>
      </c>
      <c r="AJ899">
        <v>0</v>
      </c>
      <c r="AL899">
        <v>0</v>
      </c>
      <c r="AM899">
        <v>1</v>
      </c>
      <c r="AN899" t="s">
        <v>768</v>
      </c>
      <c r="AO899" t="s">
        <v>41</v>
      </c>
    </row>
    <row r="900" spans="1:41" x14ac:dyDescent="0.25">
      <c r="A900">
        <v>29</v>
      </c>
      <c r="B900" t="s">
        <v>66</v>
      </c>
      <c r="C900" t="s">
        <v>33</v>
      </c>
      <c r="D900">
        <v>10</v>
      </c>
      <c r="E900" t="s">
        <v>61</v>
      </c>
      <c r="F900">
        <v>3</v>
      </c>
      <c r="G900">
        <v>1</v>
      </c>
      <c r="H900" t="s">
        <v>44</v>
      </c>
      <c r="I900">
        <v>2</v>
      </c>
      <c r="J900" t="s">
        <v>57</v>
      </c>
      <c r="K900">
        <v>3291</v>
      </c>
      <c r="L900">
        <v>0</v>
      </c>
      <c r="M900" t="s">
        <v>41</v>
      </c>
      <c r="N900">
        <v>14</v>
      </c>
      <c r="O900">
        <v>3</v>
      </c>
      <c r="P900">
        <v>2</v>
      </c>
      <c r="Q900">
        <v>8</v>
      </c>
      <c r="R900">
        <v>2</v>
      </c>
      <c r="S900">
        <v>7</v>
      </c>
      <c r="T900">
        <v>1</v>
      </c>
      <c r="U900">
        <v>1</v>
      </c>
      <c r="V900" t="s">
        <v>58</v>
      </c>
      <c r="W900" s="1" t="s">
        <v>457</v>
      </c>
      <c r="Y900" t="s">
        <v>46</v>
      </c>
      <c r="Z900" t="s">
        <v>40</v>
      </c>
      <c r="AA900">
        <v>1</v>
      </c>
      <c r="AB900">
        <v>1</v>
      </c>
      <c r="AC900" t="s">
        <v>41</v>
      </c>
      <c r="AD900" t="s">
        <v>67</v>
      </c>
      <c r="AE900" t="s">
        <v>43</v>
      </c>
      <c r="AF900" s="3">
        <v>1255</v>
      </c>
      <c r="AG900" s="3">
        <v>96</v>
      </c>
      <c r="AH900">
        <v>80</v>
      </c>
      <c r="AI900">
        <v>7</v>
      </c>
      <c r="AJ900">
        <v>0</v>
      </c>
      <c r="AL900">
        <v>0</v>
      </c>
      <c r="AM900">
        <v>1</v>
      </c>
      <c r="AN900" t="s">
        <v>768</v>
      </c>
      <c r="AO900" t="s">
        <v>41</v>
      </c>
    </row>
    <row r="901" spans="1:41" x14ac:dyDescent="0.25">
      <c r="A901">
        <v>38</v>
      </c>
      <c r="B901" t="s">
        <v>32</v>
      </c>
      <c r="C901" t="s">
        <v>120</v>
      </c>
      <c r="D901">
        <v>1</v>
      </c>
      <c r="E901" t="s">
        <v>34</v>
      </c>
      <c r="F901">
        <v>4</v>
      </c>
      <c r="G901">
        <v>1</v>
      </c>
      <c r="H901" t="s">
        <v>120</v>
      </c>
      <c r="I901">
        <v>3</v>
      </c>
      <c r="J901" t="s">
        <v>51</v>
      </c>
      <c r="K901">
        <v>2844</v>
      </c>
      <c r="L901">
        <v>1</v>
      </c>
      <c r="M901" t="s">
        <v>41</v>
      </c>
      <c r="N901">
        <v>13</v>
      </c>
      <c r="O901">
        <v>3</v>
      </c>
      <c r="P901">
        <v>1</v>
      </c>
      <c r="Q901">
        <v>7</v>
      </c>
      <c r="R901">
        <v>2</v>
      </c>
      <c r="S901">
        <v>7</v>
      </c>
      <c r="T901">
        <v>5</v>
      </c>
      <c r="U901">
        <v>0</v>
      </c>
      <c r="V901" t="s">
        <v>37</v>
      </c>
      <c r="W901" s="2">
        <v>41793</v>
      </c>
      <c r="Y901" t="s">
        <v>39</v>
      </c>
      <c r="Z901" t="s">
        <v>40</v>
      </c>
      <c r="AA901">
        <v>4</v>
      </c>
      <c r="AB901">
        <v>2</v>
      </c>
      <c r="AC901" t="s">
        <v>41</v>
      </c>
      <c r="AD901" t="s">
        <v>65</v>
      </c>
      <c r="AE901" t="s">
        <v>49</v>
      </c>
      <c r="AF901" s="3">
        <v>1256</v>
      </c>
      <c r="AG901" s="3">
        <v>85</v>
      </c>
      <c r="AH901">
        <v>80</v>
      </c>
      <c r="AI901">
        <v>0</v>
      </c>
      <c r="AJ901">
        <v>0</v>
      </c>
      <c r="AL901">
        <v>0</v>
      </c>
      <c r="AM901">
        <v>1</v>
      </c>
      <c r="AN901" t="s">
        <v>768</v>
      </c>
      <c r="AO901" t="s">
        <v>41</v>
      </c>
    </row>
    <row r="902" spans="1:41" x14ac:dyDescent="0.25">
      <c r="A902">
        <v>35</v>
      </c>
      <c r="B902" t="s">
        <v>32</v>
      </c>
      <c r="C902" t="s">
        <v>33</v>
      </c>
      <c r="D902">
        <v>2</v>
      </c>
      <c r="E902" t="s">
        <v>34</v>
      </c>
      <c r="F902">
        <v>2</v>
      </c>
      <c r="G902">
        <v>3</v>
      </c>
      <c r="H902" t="s">
        <v>78</v>
      </c>
      <c r="I902">
        <v>2</v>
      </c>
      <c r="J902" t="s">
        <v>57</v>
      </c>
      <c r="K902">
        <v>10274</v>
      </c>
      <c r="L902">
        <v>2</v>
      </c>
      <c r="M902" t="s">
        <v>41</v>
      </c>
      <c r="N902">
        <v>18</v>
      </c>
      <c r="O902">
        <v>3</v>
      </c>
      <c r="P902">
        <v>1</v>
      </c>
      <c r="Q902">
        <v>15</v>
      </c>
      <c r="R902">
        <v>2</v>
      </c>
      <c r="S902">
        <v>7</v>
      </c>
      <c r="T902">
        <v>6</v>
      </c>
      <c r="U902">
        <v>4</v>
      </c>
      <c r="V902" t="s">
        <v>37</v>
      </c>
      <c r="W902" s="2">
        <v>41948</v>
      </c>
      <c r="Y902" t="s">
        <v>63</v>
      </c>
      <c r="Z902" t="s">
        <v>47</v>
      </c>
      <c r="AA902">
        <v>2</v>
      </c>
      <c r="AB902">
        <v>0</v>
      </c>
      <c r="AC902" t="s">
        <v>31</v>
      </c>
      <c r="AD902" t="s">
        <v>67</v>
      </c>
      <c r="AE902" t="s">
        <v>60</v>
      </c>
      <c r="AF902" s="3">
        <v>1257</v>
      </c>
      <c r="AG902" s="3">
        <v>46</v>
      </c>
      <c r="AH902">
        <v>80</v>
      </c>
      <c r="AI902">
        <v>10</v>
      </c>
      <c r="AJ902">
        <v>0</v>
      </c>
      <c r="AL902">
        <v>0</v>
      </c>
      <c r="AM902">
        <v>1</v>
      </c>
      <c r="AN902" t="s">
        <v>768</v>
      </c>
      <c r="AO902" t="s">
        <v>41</v>
      </c>
    </row>
    <row r="903" spans="1:41" x14ac:dyDescent="0.25">
      <c r="A903">
        <v>53</v>
      </c>
      <c r="B903" t="s">
        <v>32</v>
      </c>
      <c r="C903" t="s">
        <v>33</v>
      </c>
      <c r="D903">
        <v>7</v>
      </c>
      <c r="E903" t="s">
        <v>61</v>
      </c>
      <c r="F903">
        <v>3</v>
      </c>
      <c r="G903">
        <v>5</v>
      </c>
      <c r="H903" t="s">
        <v>75</v>
      </c>
      <c r="I903">
        <v>3</v>
      </c>
      <c r="J903" t="s">
        <v>57</v>
      </c>
      <c r="K903">
        <v>18606</v>
      </c>
      <c r="L903">
        <v>3</v>
      </c>
      <c r="M903" t="s">
        <v>41</v>
      </c>
      <c r="N903">
        <v>18</v>
      </c>
      <c r="O903">
        <v>3</v>
      </c>
      <c r="P903">
        <v>1</v>
      </c>
      <c r="Q903">
        <v>26</v>
      </c>
      <c r="R903">
        <v>6</v>
      </c>
      <c r="S903">
        <v>7</v>
      </c>
      <c r="T903">
        <v>4</v>
      </c>
      <c r="U903">
        <v>7</v>
      </c>
      <c r="V903" t="s">
        <v>37</v>
      </c>
      <c r="W903" s="1" t="s">
        <v>458</v>
      </c>
      <c r="Y903" t="s">
        <v>39</v>
      </c>
      <c r="Z903" t="s">
        <v>47</v>
      </c>
      <c r="AA903">
        <v>2</v>
      </c>
      <c r="AB903">
        <v>2</v>
      </c>
      <c r="AC903" t="s">
        <v>41</v>
      </c>
      <c r="AD903" t="s">
        <v>42</v>
      </c>
      <c r="AE903" t="s">
        <v>43</v>
      </c>
      <c r="AF903" s="3">
        <v>1258</v>
      </c>
      <c r="AG903" s="3">
        <v>76</v>
      </c>
      <c r="AH903">
        <v>80</v>
      </c>
      <c r="AI903">
        <v>0</v>
      </c>
      <c r="AJ903">
        <v>0</v>
      </c>
      <c r="AL903">
        <v>0</v>
      </c>
      <c r="AM903">
        <v>1</v>
      </c>
      <c r="AN903" t="s">
        <v>768</v>
      </c>
      <c r="AO903" t="s">
        <v>41</v>
      </c>
    </row>
    <row r="904" spans="1:41" x14ac:dyDescent="0.25">
      <c r="A904">
        <v>35</v>
      </c>
      <c r="B904" t="s">
        <v>32</v>
      </c>
      <c r="C904" t="s">
        <v>55</v>
      </c>
      <c r="D904">
        <v>17</v>
      </c>
      <c r="E904" t="s">
        <v>34</v>
      </c>
      <c r="F904">
        <v>3</v>
      </c>
      <c r="G904">
        <v>2</v>
      </c>
      <c r="H904" t="s">
        <v>70</v>
      </c>
      <c r="I904">
        <v>1</v>
      </c>
      <c r="J904" t="s">
        <v>51</v>
      </c>
      <c r="K904">
        <v>8966</v>
      </c>
      <c r="L904">
        <v>3</v>
      </c>
      <c r="M904" t="s">
        <v>31</v>
      </c>
      <c r="N904">
        <v>15</v>
      </c>
      <c r="O904">
        <v>3</v>
      </c>
      <c r="P904">
        <v>3</v>
      </c>
      <c r="Q904">
        <v>15</v>
      </c>
      <c r="R904">
        <v>2</v>
      </c>
      <c r="S904">
        <v>7</v>
      </c>
      <c r="T904">
        <v>1</v>
      </c>
      <c r="U904">
        <v>7</v>
      </c>
      <c r="V904" t="s">
        <v>72</v>
      </c>
      <c r="W904" s="1" t="s">
        <v>431</v>
      </c>
      <c r="Y904" t="s">
        <v>54</v>
      </c>
      <c r="Z904" t="s">
        <v>40</v>
      </c>
      <c r="AA904">
        <v>4</v>
      </c>
      <c r="AB904">
        <v>0</v>
      </c>
      <c r="AC904" t="s">
        <v>31</v>
      </c>
      <c r="AD904" t="s">
        <v>42</v>
      </c>
      <c r="AE904" t="s">
        <v>43</v>
      </c>
      <c r="AF904" s="3">
        <v>1259</v>
      </c>
      <c r="AG904" s="3">
        <v>76</v>
      </c>
      <c r="AH904">
        <v>80</v>
      </c>
      <c r="AI904">
        <v>3</v>
      </c>
      <c r="AJ904">
        <v>0</v>
      </c>
      <c r="AL904">
        <v>0</v>
      </c>
      <c r="AM904">
        <v>1</v>
      </c>
      <c r="AN904" t="s">
        <v>768</v>
      </c>
      <c r="AO904" t="s">
        <v>41</v>
      </c>
    </row>
    <row r="905" spans="1:41" x14ac:dyDescent="0.25">
      <c r="A905">
        <v>36</v>
      </c>
      <c r="B905" t="s">
        <v>32</v>
      </c>
      <c r="C905" t="s">
        <v>33</v>
      </c>
      <c r="D905">
        <v>6</v>
      </c>
      <c r="E905" t="s">
        <v>34</v>
      </c>
      <c r="F905">
        <v>1</v>
      </c>
      <c r="G905">
        <v>1</v>
      </c>
      <c r="H905" t="s">
        <v>35</v>
      </c>
      <c r="I905">
        <v>3</v>
      </c>
      <c r="J905" t="s">
        <v>57</v>
      </c>
      <c r="K905">
        <v>2741</v>
      </c>
      <c r="L905">
        <v>1</v>
      </c>
      <c r="M905" t="s">
        <v>41</v>
      </c>
      <c r="N905">
        <v>14</v>
      </c>
      <c r="O905">
        <v>3</v>
      </c>
      <c r="P905">
        <v>1</v>
      </c>
      <c r="Q905">
        <v>7</v>
      </c>
      <c r="R905">
        <v>4</v>
      </c>
      <c r="S905">
        <v>7</v>
      </c>
      <c r="T905">
        <v>1</v>
      </c>
      <c r="U905">
        <v>7</v>
      </c>
      <c r="V905" t="s">
        <v>52</v>
      </c>
      <c r="W905" s="2">
        <v>41854</v>
      </c>
      <c r="Y905" t="s">
        <v>69</v>
      </c>
      <c r="Z905" t="s">
        <v>40</v>
      </c>
      <c r="AA905">
        <v>2</v>
      </c>
      <c r="AB905">
        <v>0</v>
      </c>
      <c r="AC905" t="s">
        <v>41</v>
      </c>
      <c r="AD905" t="s">
        <v>48</v>
      </c>
      <c r="AE905" t="s">
        <v>49</v>
      </c>
      <c r="AF905" s="3">
        <v>1260</v>
      </c>
      <c r="AG905" s="3">
        <v>82</v>
      </c>
      <c r="AH905">
        <v>80</v>
      </c>
      <c r="AI905">
        <v>0</v>
      </c>
      <c r="AJ905">
        <v>0</v>
      </c>
      <c r="AL905">
        <v>0</v>
      </c>
      <c r="AM905">
        <v>1</v>
      </c>
      <c r="AN905" t="s">
        <v>768</v>
      </c>
      <c r="AO905" t="s">
        <v>41</v>
      </c>
    </row>
    <row r="906" spans="1:41" x14ac:dyDescent="0.25">
      <c r="A906">
        <v>36</v>
      </c>
      <c r="B906" t="s">
        <v>32</v>
      </c>
      <c r="C906" t="s">
        <v>33</v>
      </c>
      <c r="D906">
        <v>1</v>
      </c>
      <c r="E906" t="s">
        <v>61</v>
      </c>
      <c r="F906">
        <v>1</v>
      </c>
      <c r="G906">
        <v>3</v>
      </c>
      <c r="H906" t="s">
        <v>78</v>
      </c>
      <c r="I906">
        <v>1</v>
      </c>
      <c r="J906" t="s">
        <v>57</v>
      </c>
      <c r="K906">
        <v>10252</v>
      </c>
      <c r="L906">
        <v>2</v>
      </c>
      <c r="M906" t="s">
        <v>31</v>
      </c>
      <c r="N906">
        <v>21</v>
      </c>
      <c r="O906">
        <v>4</v>
      </c>
      <c r="P906">
        <v>1</v>
      </c>
      <c r="Q906">
        <v>17</v>
      </c>
      <c r="R906">
        <v>2</v>
      </c>
      <c r="S906">
        <v>7</v>
      </c>
      <c r="T906">
        <v>7</v>
      </c>
      <c r="U906">
        <v>7</v>
      </c>
      <c r="V906" t="s">
        <v>58</v>
      </c>
      <c r="W906" s="1" t="s">
        <v>459</v>
      </c>
      <c r="Y906" t="s">
        <v>54</v>
      </c>
      <c r="Z906" t="s">
        <v>40</v>
      </c>
      <c r="AA906">
        <v>5</v>
      </c>
      <c r="AB906">
        <v>1</v>
      </c>
      <c r="AC906" t="s">
        <v>41</v>
      </c>
      <c r="AD906" t="s">
        <v>48</v>
      </c>
      <c r="AE906" t="s">
        <v>60</v>
      </c>
      <c r="AF906" s="3">
        <v>1263</v>
      </c>
      <c r="AG906" s="3">
        <v>76</v>
      </c>
      <c r="AH906">
        <v>80</v>
      </c>
      <c r="AI906">
        <v>0</v>
      </c>
      <c r="AJ906">
        <v>0</v>
      </c>
      <c r="AL906">
        <v>0</v>
      </c>
      <c r="AM906">
        <v>1</v>
      </c>
      <c r="AN906" t="s">
        <v>768</v>
      </c>
      <c r="AO906" t="s">
        <v>41</v>
      </c>
    </row>
    <row r="907" spans="1:41" x14ac:dyDescent="0.25">
      <c r="A907">
        <v>29</v>
      </c>
      <c r="B907" t="s">
        <v>32</v>
      </c>
      <c r="C907" t="s">
        <v>33</v>
      </c>
      <c r="D907">
        <v>1</v>
      </c>
      <c r="E907" t="s">
        <v>61</v>
      </c>
      <c r="F907">
        <v>2</v>
      </c>
      <c r="G907">
        <v>4</v>
      </c>
      <c r="H907" t="s">
        <v>50</v>
      </c>
      <c r="I907">
        <v>4</v>
      </c>
      <c r="J907" t="s">
        <v>57</v>
      </c>
      <c r="K907">
        <v>16124</v>
      </c>
      <c r="L907">
        <v>3</v>
      </c>
      <c r="M907" t="s">
        <v>41</v>
      </c>
      <c r="N907">
        <v>14</v>
      </c>
      <c r="O907">
        <v>3</v>
      </c>
      <c r="P907">
        <v>2</v>
      </c>
      <c r="Q907">
        <v>9</v>
      </c>
      <c r="R907">
        <v>2</v>
      </c>
      <c r="S907">
        <v>7</v>
      </c>
      <c r="T907">
        <v>1</v>
      </c>
      <c r="U907">
        <v>7</v>
      </c>
      <c r="V907" t="s">
        <v>72</v>
      </c>
      <c r="W907" s="2">
        <v>41642</v>
      </c>
      <c r="Y907" t="s">
        <v>54</v>
      </c>
      <c r="Z907" t="s">
        <v>40</v>
      </c>
      <c r="AA907">
        <v>0</v>
      </c>
      <c r="AB907">
        <v>3</v>
      </c>
      <c r="AC907" t="s">
        <v>41</v>
      </c>
      <c r="AD907" t="s">
        <v>67</v>
      </c>
      <c r="AE907" t="s">
        <v>43</v>
      </c>
      <c r="AF907" s="3">
        <v>1264</v>
      </c>
      <c r="AG907" s="3">
        <v>87</v>
      </c>
      <c r="AH907">
        <v>80</v>
      </c>
      <c r="AI907">
        <v>7</v>
      </c>
      <c r="AJ907">
        <v>0</v>
      </c>
      <c r="AL907">
        <v>0</v>
      </c>
      <c r="AM907">
        <v>1</v>
      </c>
      <c r="AN907" t="s">
        <v>768</v>
      </c>
      <c r="AO907" t="s">
        <v>41</v>
      </c>
    </row>
    <row r="908" spans="1:41" x14ac:dyDescent="0.25">
      <c r="A908">
        <v>51</v>
      </c>
      <c r="B908" t="s">
        <v>66</v>
      </c>
      <c r="C908" t="s">
        <v>33</v>
      </c>
      <c r="D908">
        <v>6</v>
      </c>
      <c r="E908" t="s">
        <v>61</v>
      </c>
      <c r="F908">
        <v>2</v>
      </c>
      <c r="G908">
        <v>1</v>
      </c>
      <c r="H908" t="s">
        <v>35</v>
      </c>
      <c r="I908">
        <v>3</v>
      </c>
      <c r="J908" t="s">
        <v>36</v>
      </c>
      <c r="K908">
        <v>2838</v>
      </c>
      <c r="L908">
        <v>0</v>
      </c>
      <c r="M908" t="s">
        <v>41</v>
      </c>
      <c r="N908">
        <v>14</v>
      </c>
      <c r="O908">
        <v>3</v>
      </c>
      <c r="P908">
        <v>0</v>
      </c>
      <c r="Q908">
        <v>8</v>
      </c>
      <c r="R908">
        <v>6</v>
      </c>
      <c r="S908">
        <v>7</v>
      </c>
      <c r="T908">
        <v>7</v>
      </c>
      <c r="U908">
        <v>7</v>
      </c>
      <c r="V908" t="s">
        <v>72</v>
      </c>
      <c r="W908" s="2">
        <v>41671</v>
      </c>
      <c r="Y908" t="s">
        <v>63</v>
      </c>
      <c r="Z908" t="s">
        <v>47</v>
      </c>
      <c r="AA908">
        <v>1</v>
      </c>
      <c r="AB908">
        <v>3</v>
      </c>
      <c r="AC908" t="s">
        <v>31</v>
      </c>
      <c r="AD908" t="s">
        <v>65</v>
      </c>
      <c r="AE908" t="s">
        <v>43</v>
      </c>
      <c r="AF908" s="3">
        <v>1265</v>
      </c>
      <c r="AG908" s="3">
        <v>89</v>
      </c>
      <c r="AH908">
        <v>80</v>
      </c>
      <c r="AI908">
        <v>0</v>
      </c>
      <c r="AJ908">
        <v>0</v>
      </c>
      <c r="AL908">
        <v>0</v>
      </c>
      <c r="AM908">
        <v>1</v>
      </c>
      <c r="AN908" t="s">
        <v>768</v>
      </c>
      <c r="AO908" t="s">
        <v>41</v>
      </c>
    </row>
    <row r="909" spans="1:41" x14ac:dyDescent="0.25">
      <c r="A909">
        <v>29</v>
      </c>
      <c r="B909" t="s">
        <v>32</v>
      </c>
      <c r="C909" t="s">
        <v>33</v>
      </c>
      <c r="D909">
        <v>7</v>
      </c>
      <c r="E909" t="s">
        <v>61</v>
      </c>
      <c r="F909">
        <v>3</v>
      </c>
      <c r="G909">
        <v>1</v>
      </c>
      <c r="H909" t="s">
        <v>35</v>
      </c>
      <c r="I909">
        <v>3</v>
      </c>
      <c r="J909" t="s">
        <v>57</v>
      </c>
      <c r="K909">
        <v>3339</v>
      </c>
      <c r="L909">
        <v>3</v>
      </c>
      <c r="M909" t="s">
        <v>31</v>
      </c>
      <c r="N909">
        <v>13</v>
      </c>
      <c r="O909">
        <v>3</v>
      </c>
      <c r="P909">
        <v>2</v>
      </c>
      <c r="Q909">
        <v>10</v>
      </c>
      <c r="R909">
        <v>2</v>
      </c>
      <c r="S909">
        <v>7</v>
      </c>
      <c r="T909">
        <v>7</v>
      </c>
      <c r="U909">
        <v>7</v>
      </c>
      <c r="V909" t="s">
        <v>58</v>
      </c>
      <c r="W909" s="1" t="s">
        <v>460</v>
      </c>
      <c r="Y909" t="s">
        <v>63</v>
      </c>
      <c r="Z909" t="s">
        <v>47</v>
      </c>
      <c r="AA909">
        <v>1</v>
      </c>
      <c r="AB909">
        <v>2</v>
      </c>
      <c r="AC909" t="s">
        <v>31</v>
      </c>
      <c r="AD909" t="s">
        <v>65</v>
      </c>
      <c r="AE909" t="s">
        <v>49</v>
      </c>
      <c r="AF909" s="3">
        <v>1267</v>
      </c>
      <c r="AG909" s="3">
        <v>88</v>
      </c>
      <c r="AH909">
        <v>80</v>
      </c>
      <c r="AI909">
        <v>9</v>
      </c>
      <c r="AJ909">
        <v>0</v>
      </c>
      <c r="AL909">
        <v>0</v>
      </c>
      <c r="AM909">
        <v>1</v>
      </c>
      <c r="AN909" t="s">
        <v>768</v>
      </c>
      <c r="AO909" t="s">
        <v>41</v>
      </c>
    </row>
    <row r="910" spans="1:41" x14ac:dyDescent="0.25">
      <c r="A910">
        <v>36</v>
      </c>
      <c r="B910" t="s">
        <v>32</v>
      </c>
      <c r="C910" t="s">
        <v>33</v>
      </c>
      <c r="D910">
        <v>10</v>
      </c>
      <c r="E910" t="s">
        <v>61</v>
      </c>
      <c r="F910">
        <v>3</v>
      </c>
      <c r="G910">
        <v>3</v>
      </c>
      <c r="H910" t="s">
        <v>89</v>
      </c>
      <c r="I910">
        <v>3</v>
      </c>
      <c r="J910" t="s">
        <v>51</v>
      </c>
      <c r="K910">
        <v>7094</v>
      </c>
      <c r="L910">
        <v>3</v>
      </c>
      <c r="M910" t="s">
        <v>41</v>
      </c>
      <c r="N910">
        <v>12</v>
      </c>
      <c r="O910">
        <v>3</v>
      </c>
      <c r="P910">
        <v>0</v>
      </c>
      <c r="Q910">
        <v>10</v>
      </c>
      <c r="R910">
        <v>0</v>
      </c>
      <c r="S910">
        <v>7</v>
      </c>
      <c r="T910">
        <v>1</v>
      </c>
      <c r="U910">
        <v>7</v>
      </c>
      <c r="V910" t="s">
        <v>58</v>
      </c>
      <c r="W910" s="1" t="s">
        <v>461</v>
      </c>
      <c r="Y910" t="s">
        <v>39</v>
      </c>
      <c r="Z910" t="s">
        <v>47</v>
      </c>
      <c r="AA910">
        <v>1</v>
      </c>
      <c r="AB910">
        <v>0</v>
      </c>
      <c r="AC910" t="s">
        <v>31</v>
      </c>
      <c r="AD910" t="s">
        <v>48</v>
      </c>
      <c r="AE910" t="s">
        <v>43</v>
      </c>
      <c r="AF910" s="3">
        <v>1268</v>
      </c>
      <c r="AG910" s="3">
        <v>82</v>
      </c>
      <c r="AH910">
        <v>80</v>
      </c>
      <c r="AI910">
        <v>8</v>
      </c>
      <c r="AJ910">
        <v>0</v>
      </c>
      <c r="AL910">
        <v>0</v>
      </c>
      <c r="AM910">
        <v>1</v>
      </c>
      <c r="AN910" t="s">
        <v>768</v>
      </c>
      <c r="AO910" t="s">
        <v>41</v>
      </c>
    </row>
    <row r="911" spans="1:41" x14ac:dyDescent="0.25">
      <c r="A911">
        <v>46</v>
      </c>
      <c r="B911" t="s">
        <v>32</v>
      </c>
      <c r="C911" t="s">
        <v>120</v>
      </c>
      <c r="D911">
        <v>1</v>
      </c>
      <c r="E911" t="s">
        <v>61</v>
      </c>
      <c r="F911">
        <v>3</v>
      </c>
      <c r="G911">
        <v>1</v>
      </c>
      <c r="H911" t="s">
        <v>120</v>
      </c>
      <c r="I911">
        <v>1</v>
      </c>
      <c r="J911" t="s">
        <v>36</v>
      </c>
      <c r="K911">
        <v>3423</v>
      </c>
      <c r="L911">
        <v>6</v>
      </c>
      <c r="M911" t="s">
        <v>41</v>
      </c>
      <c r="N911">
        <v>12</v>
      </c>
      <c r="O911">
        <v>3</v>
      </c>
      <c r="P911">
        <v>0</v>
      </c>
      <c r="Q911">
        <v>10</v>
      </c>
      <c r="R911">
        <v>3</v>
      </c>
      <c r="S911">
        <v>7</v>
      </c>
      <c r="T911">
        <v>5</v>
      </c>
      <c r="U911">
        <v>7</v>
      </c>
      <c r="V911" t="s">
        <v>37</v>
      </c>
      <c r="W911" s="1" t="s">
        <v>462</v>
      </c>
      <c r="Y911" t="s">
        <v>54</v>
      </c>
      <c r="Z911" t="s">
        <v>40</v>
      </c>
      <c r="AA911">
        <v>5</v>
      </c>
      <c r="AB911">
        <v>3</v>
      </c>
      <c r="AC911" t="s">
        <v>31</v>
      </c>
      <c r="AD911" t="s">
        <v>48</v>
      </c>
      <c r="AE911" t="s">
        <v>49</v>
      </c>
      <c r="AF911" s="3">
        <v>1269</v>
      </c>
      <c r="AG911" s="3">
        <v>57</v>
      </c>
      <c r="AH911">
        <v>80</v>
      </c>
      <c r="AI911">
        <v>0</v>
      </c>
      <c r="AJ911">
        <v>0</v>
      </c>
      <c r="AL911">
        <v>0</v>
      </c>
      <c r="AM911">
        <v>1</v>
      </c>
      <c r="AN911" t="s">
        <v>768</v>
      </c>
      <c r="AO911" t="s">
        <v>41</v>
      </c>
    </row>
    <row r="912" spans="1:41" x14ac:dyDescent="0.25">
      <c r="A912">
        <v>56</v>
      </c>
      <c r="B912" t="s">
        <v>32</v>
      </c>
      <c r="C912" t="s">
        <v>120</v>
      </c>
      <c r="D912">
        <v>8</v>
      </c>
      <c r="E912" t="s">
        <v>34</v>
      </c>
      <c r="F912">
        <v>3</v>
      </c>
      <c r="G912">
        <v>5</v>
      </c>
      <c r="H912" t="s">
        <v>75</v>
      </c>
      <c r="I912">
        <v>2</v>
      </c>
      <c r="J912" t="s">
        <v>36</v>
      </c>
      <c r="K912">
        <v>19717</v>
      </c>
      <c r="L912">
        <v>6</v>
      </c>
      <c r="M912" t="s">
        <v>41</v>
      </c>
      <c r="N912">
        <v>14</v>
      </c>
      <c r="O912">
        <v>3</v>
      </c>
      <c r="P912">
        <v>0</v>
      </c>
      <c r="Q912">
        <v>36</v>
      </c>
      <c r="R912">
        <v>4</v>
      </c>
      <c r="S912">
        <v>7</v>
      </c>
      <c r="T912">
        <v>7</v>
      </c>
      <c r="U912">
        <v>7</v>
      </c>
      <c r="V912" t="s">
        <v>72</v>
      </c>
      <c r="W912" s="2">
        <v>41949</v>
      </c>
      <c r="Y912" t="s">
        <v>46</v>
      </c>
      <c r="Z912" t="s">
        <v>40</v>
      </c>
      <c r="AA912">
        <v>3</v>
      </c>
      <c r="AB912">
        <v>2</v>
      </c>
      <c r="AC912" t="s">
        <v>31</v>
      </c>
      <c r="AD912" t="s">
        <v>42</v>
      </c>
      <c r="AE912" t="s">
        <v>49</v>
      </c>
      <c r="AF912" s="3">
        <v>1270</v>
      </c>
      <c r="AG912" s="3">
        <v>47</v>
      </c>
      <c r="AH912">
        <v>80</v>
      </c>
      <c r="AI912">
        <v>0</v>
      </c>
      <c r="AJ912">
        <v>0</v>
      </c>
      <c r="AL912">
        <v>0</v>
      </c>
      <c r="AM912">
        <v>1</v>
      </c>
      <c r="AN912" t="s">
        <v>768</v>
      </c>
      <c r="AO912" t="s">
        <v>41</v>
      </c>
    </row>
    <row r="913" spans="1:41" x14ac:dyDescent="0.25">
      <c r="A913">
        <v>38</v>
      </c>
      <c r="B913" t="s">
        <v>32</v>
      </c>
      <c r="C913" t="s">
        <v>55</v>
      </c>
      <c r="D913">
        <v>2</v>
      </c>
      <c r="E913" t="s">
        <v>61</v>
      </c>
      <c r="F913">
        <v>3</v>
      </c>
      <c r="G913">
        <v>2</v>
      </c>
      <c r="H913" t="s">
        <v>70</v>
      </c>
      <c r="I913">
        <v>1</v>
      </c>
      <c r="J913" t="s">
        <v>57</v>
      </c>
      <c r="K913">
        <v>6893</v>
      </c>
      <c r="L913">
        <v>3</v>
      </c>
      <c r="M913" t="s">
        <v>41</v>
      </c>
      <c r="N913">
        <v>15</v>
      </c>
      <c r="O913">
        <v>3</v>
      </c>
      <c r="P913">
        <v>1</v>
      </c>
      <c r="Q913">
        <v>11</v>
      </c>
      <c r="R913">
        <v>3</v>
      </c>
      <c r="S913">
        <v>7</v>
      </c>
      <c r="T913">
        <v>1</v>
      </c>
      <c r="U913">
        <v>7</v>
      </c>
      <c r="V913" t="s">
        <v>58</v>
      </c>
      <c r="W913" s="2">
        <v>41823</v>
      </c>
      <c r="Y913" t="s">
        <v>54</v>
      </c>
      <c r="Z913" t="s">
        <v>40</v>
      </c>
      <c r="AA913">
        <v>0</v>
      </c>
      <c r="AB913">
        <v>3</v>
      </c>
      <c r="AC913" t="s">
        <v>41</v>
      </c>
      <c r="AD913" t="s">
        <v>48</v>
      </c>
      <c r="AE913" t="s">
        <v>43</v>
      </c>
      <c r="AF913" s="3">
        <v>1273</v>
      </c>
      <c r="AG913" s="3">
        <v>73</v>
      </c>
      <c r="AH913">
        <v>80</v>
      </c>
      <c r="AI913">
        <v>0</v>
      </c>
      <c r="AJ913">
        <v>1</v>
      </c>
      <c r="AK913">
        <v>1</v>
      </c>
      <c r="AL913">
        <v>1</v>
      </c>
      <c r="AM913">
        <v>0</v>
      </c>
      <c r="AN913" t="s">
        <v>767</v>
      </c>
      <c r="AO913" t="s">
        <v>31</v>
      </c>
    </row>
    <row r="914" spans="1:41" x14ac:dyDescent="0.25">
      <c r="A914">
        <v>26</v>
      </c>
      <c r="B914" t="s">
        <v>32</v>
      </c>
      <c r="C914" t="s">
        <v>33</v>
      </c>
      <c r="D914">
        <v>7</v>
      </c>
      <c r="E914" t="s">
        <v>34</v>
      </c>
      <c r="F914">
        <v>4</v>
      </c>
      <c r="G914">
        <v>1</v>
      </c>
      <c r="H914" t="s">
        <v>35</v>
      </c>
      <c r="I914">
        <v>1</v>
      </c>
      <c r="J914" t="s">
        <v>36</v>
      </c>
      <c r="K914">
        <v>3578</v>
      </c>
      <c r="L914">
        <v>0</v>
      </c>
      <c r="M914" t="s">
        <v>41</v>
      </c>
      <c r="N914">
        <v>12</v>
      </c>
      <c r="O914">
        <v>3</v>
      </c>
      <c r="P914">
        <v>0</v>
      </c>
      <c r="Q914">
        <v>8</v>
      </c>
      <c r="R914">
        <v>2</v>
      </c>
      <c r="S914">
        <v>7</v>
      </c>
      <c r="T914">
        <v>0</v>
      </c>
      <c r="U914">
        <v>7</v>
      </c>
      <c r="V914" t="s">
        <v>58</v>
      </c>
      <c r="W914" s="2">
        <v>41704</v>
      </c>
      <c r="Y914" t="s">
        <v>54</v>
      </c>
      <c r="Z914" t="s">
        <v>47</v>
      </c>
      <c r="AA914">
        <v>3</v>
      </c>
      <c r="AB914">
        <v>0</v>
      </c>
      <c r="AC914" t="s">
        <v>31</v>
      </c>
      <c r="AD914" t="s">
        <v>67</v>
      </c>
      <c r="AE914" t="s">
        <v>49</v>
      </c>
      <c r="AF914" s="3">
        <v>1275</v>
      </c>
      <c r="AG914" s="3">
        <v>53</v>
      </c>
      <c r="AH914">
        <v>80</v>
      </c>
      <c r="AI914">
        <v>5</v>
      </c>
      <c r="AJ914">
        <v>0</v>
      </c>
      <c r="AL914">
        <v>0</v>
      </c>
      <c r="AM914">
        <v>1</v>
      </c>
      <c r="AN914" t="s">
        <v>768</v>
      </c>
      <c r="AO914" t="s">
        <v>41</v>
      </c>
    </row>
    <row r="915" spans="1:41" x14ac:dyDescent="0.25">
      <c r="A915">
        <v>55</v>
      </c>
      <c r="B915" t="s">
        <v>32</v>
      </c>
      <c r="C915" t="s">
        <v>33</v>
      </c>
      <c r="D915">
        <v>1</v>
      </c>
      <c r="E915" t="s">
        <v>34</v>
      </c>
      <c r="F915">
        <v>4</v>
      </c>
      <c r="G915">
        <v>4</v>
      </c>
      <c r="H915" t="s">
        <v>50</v>
      </c>
      <c r="I915">
        <v>4</v>
      </c>
      <c r="J915" t="s">
        <v>57</v>
      </c>
      <c r="K915">
        <v>14732</v>
      </c>
      <c r="L915">
        <v>2</v>
      </c>
      <c r="M915" t="s">
        <v>41</v>
      </c>
      <c r="N915">
        <v>13</v>
      </c>
      <c r="O915">
        <v>3</v>
      </c>
      <c r="P915">
        <v>2</v>
      </c>
      <c r="Q915">
        <v>31</v>
      </c>
      <c r="R915">
        <v>4</v>
      </c>
      <c r="S915">
        <v>7</v>
      </c>
      <c r="T915">
        <v>0</v>
      </c>
      <c r="U915">
        <v>0</v>
      </c>
      <c r="V915" t="s">
        <v>52</v>
      </c>
      <c r="W915" s="1" t="s">
        <v>432</v>
      </c>
      <c r="Y915" t="s">
        <v>69</v>
      </c>
      <c r="Z915" t="s">
        <v>40</v>
      </c>
      <c r="AA915">
        <v>3</v>
      </c>
      <c r="AB915">
        <v>0</v>
      </c>
      <c r="AC915" t="s">
        <v>41</v>
      </c>
      <c r="AD915" t="s">
        <v>65</v>
      </c>
      <c r="AE915" t="s">
        <v>43</v>
      </c>
      <c r="AF915" s="3">
        <v>1277</v>
      </c>
      <c r="AG915" s="3">
        <v>94</v>
      </c>
      <c r="AH915">
        <v>80</v>
      </c>
      <c r="AI915">
        <v>10</v>
      </c>
      <c r="AJ915">
        <v>1</v>
      </c>
      <c r="AK915">
        <v>1</v>
      </c>
      <c r="AL915">
        <v>1</v>
      </c>
      <c r="AM915">
        <v>0</v>
      </c>
      <c r="AN915" t="s">
        <v>767</v>
      </c>
      <c r="AO915" t="s">
        <v>31</v>
      </c>
    </row>
    <row r="916" spans="1:41" x14ac:dyDescent="0.25">
      <c r="A916">
        <v>46</v>
      </c>
      <c r="B916" t="s">
        <v>32</v>
      </c>
      <c r="C916" t="s">
        <v>55</v>
      </c>
      <c r="D916">
        <v>9</v>
      </c>
      <c r="E916" t="s">
        <v>34</v>
      </c>
      <c r="F916">
        <v>3</v>
      </c>
      <c r="G916">
        <v>3</v>
      </c>
      <c r="H916" t="s">
        <v>70</v>
      </c>
      <c r="I916">
        <v>4</v>
      </c>
      <c r="J916" t="s">
        <v>57</v>
      </c>
      <c r="K916">
        <v>10096</v>
      </c>
      <c r="L916">
        <v>4</v>
      </c>
      <c r="M916" t="s">
        <v>41</v>
      </c>
      <c r="N916">
        <v>11</v>
      </c>
      <c r="O916">
        <v>3</v>
      </c>
      <c r="P916">
        <v>1</v>
      </c>
      <c r="Q916">
        <v>28</v>
      </c>
      <c r="R916">
        <v>1</v>
      </c>
      <c r="S916">
        <v>7</v>
      </c>
      <c r="T916">
        <v>4</v>
      </c>
      <c r="U916">
        <v>3</v>
      </c>
      <c r="V916" t="s">
        <v>72</v>
      </c>
      <c r="W916" s="1" t="s">
        <v>439</v>
      </c>
      <c r="Y916" t="s">
        <v>39</v>
      </c>
      <c r="Z916" t="s">
        <v>40</v>
      </c>
      <c r="AA916">
        <v>4</v>
      </c>
      <c r="AB916">
        <v>0</v>
      </c>
      <c r="AC916" t="s">
        <v>31</v>
      </c>
      <c r="AD916" t="s">
        <v>67</v>
      </c>
      <c r="AE916" t="s">
        <v>60</v>
      </c>
      <c r="AF916" s="3">
        <v>1278</v>
      </c>
      <c r="AG916" s="3">
        <v>37</v>
      </c>
      <c r="AH916">
        <v>80</v>
      </c>
      <c r="AI916">
        <v>9</v>
      </c>
      <c r="AJ916">
        <v>0</v>
      </c>
      <c r="AL916">
        <v>0</v>
      </c>
      <c r="AM916">
        <v>1</v>
      </c>
      <c r="AN916" t="s">
        <v>768</v>
      </c>
      <c r="AO916" t="s">
        <v>41</v>
      </c>
    </row>
    <row r="917" spans="1:41" x14ac:dyDescent="0.25">
      <c r="A917">
        <v>45</v>
      </c>
      <c r="B917" t="s">
        <v>32</v>
      </c>
      <c r="C917" t="s">
        <v>33</v>
      </c>
      <c r="D917">
        <v>20</v>
      </c>
      <c r="E917" t="s">
        <v>34</v>
      </c>
      <c r="F917">
        <v>1</v>
      </c>
      <c r="G917">
        <v>3</v>
      </c>
      <c r="H917" t="s">
        <v>89</v>
      </c>
      <c r="I917">
        <v>1</v>
      </c>
      <c r="J917" t="s">
        <v>57</v>
      </c>
      <c r="K917">
        <v>10851</v>
      </c>
      <c r="L917">
        <v>2</v>
      </c>
      <c r="M917" t="s">
        <v>31</v>
      </c>
      <c r="N917">
        <v>18</v>
      </c>
      <c r="O917">
        <v>3</v>
      </c>
      <c r="P917">
        <v>1</v>
      </c>
      <c r="Q917">
        <v>24</v>
      </c>
      <c r="R917">
        <v>2</v>
      </c>
      <c r="S917">
        <v>7</v>
      </c>
      <c r="T917">
        <v>0</v>
      </c>
      <c r="U917">
        <v>7</v>
      </c>
      <c r="V917" t="s">
        <v>58</v>
      </c>
      <c r="W917" s="1" t="s">
        <v>463</v>
      </c>
      <c r="Y917" t="s">
        <v>54</v>
      </c>
      <c r="Z917" t="s">
        <v>47</v>
      </c>
      <c r="AA917">
        <v>2</v>
      </c>
      <c r="AB917">
        <v>0</v>
      </c>
      <c r="AC917" t="s">
        <v>41</v>
      </c>
      <c r="AD917" t="s">
        <v>48</v>
      </c>
      <c r="AE917" t="s">
        <v>43</v>
      </c>
      <c r="AF917" s="3">
        <v>1279</v>
      </c>
      <c r="AG917" s="3">
        <v>45</v>
      </c>
      <c r="AH917">
        <v>80</v>
      </c>
      <c r="AI917">
        <v>2</v>
      </c>
      <c r="AJ917">
        <v>1</v>
      </c>
      <c r="AK917">
        <v>1</v>
      </c>
      <c r="AL917">
        <v>1</v>
      </c>
      <c r="AM917">
        <v>0</v>
      </c>
      <c r="AN917" t="s">
        <v>767</v>
      </c>
      <c r="AO917" t="s">
        <v>31</v>
      </c>
    </row>
    <row r="918" spans="1:41" x14ac:dyDescent="0.25">
      <c r="A918">
        <v>31</v>
      </c>
      <c r="B918" t="s">
        <v>66</v>
      </c>
      <c r="C918" t="s">
        <v>33</v>
      </c>
      <c r="D918">
        <v>3</v>
      </c>
      <c r="E918" t="s">
        <v>61</v>
      </c>
      <c r="F918">
        <v>3</v>
      </c>
      <c r="G918">
        <v>1</v>
      </c>
      <c r="H918" t="s">
        <v>44</v>
      </c>
      <c r="I918">
        <v>3</v>
      </c>
      <c r="J918" t="s">
        <v>36</v>
      </c>
      <c r="K918">
        <v>4084</v>
      </c>
      <c r="L918">
        <v>1</v>
      </c>
      <c r="M918" t="s">
        <v>41</v>
      </c>
      <c r="N918">
        <v>12</v>
      </c>
      <c r="O918">
        <v>3</v>
      </c>
      <c r="P918">
        <v>0</v>
      </c>
      <c r="Q918">
        <v>7</v>
      </c>
      <c r="R918">
        <v>2</v>
      </c>
      <c r="S918">
        <v>7</v>
      </c>
      <c r="T918">
        <v>7</v>
      </c>
      <c r="U918">
        <v>7</v>
      </c>
      <c r="V918" t="s">
        <v>52</v>
      </c>
      <c r="W918" s="2">
        <v>41918</v>
      </c>
      <c r="Y918" t="s">
        <v>39</v>
      </c>
      <c r="Z918" t="s">
        <v>40</v>
      </c>
      <c r="AA918">
        <v>1</v>
      </c>
      <c r="AB918">
        <v>2</v>
      </c>
      <c r="AC918" t="s">
        <v>41</v>
      </c>
      <c r="AD918" t="s">
        <v>48</v>
      </c>
      <c r="AE918" t="s">
        <v>49</v>
      </c>
      <c r="AF918" s="3">
        <v>1280</v>
      </c>
      <c r="AG918" s="3">
        <v>33</v>
      </c>
      <c r="AH918">
        <v>80</v>
      </c>
      <c r="AI918">
        <v>4</v>
      </c>
      <c r="AJ918">
        <v>0</v>
      </c>
      <c r="AL918">
        <v>0</v>
      </c>
      <c r="AM918">
        <v>1</v>
      </c>
      <c r="AN918" t="s">
        <v>768</v>
      </c>
      <c r="AO918" t="s">
        <v>41</v>
      </c>
    </row>
    <row r="919" spans="1:41" x14ac:dyDescent="0.25">
      <c r="A919">
        <v>29</v>
      </c>
      <c r="B919" t="s">
        <v>32</v>
      </c>
      <c r="C919" t="s">
        <v>33</v>
      </c>
      <c r="D919">
        <v>8</v>
      </c>
      <c r="E919" t="s">
        <v>61</v>
      </c>
      <c r="F919">
        <v>1</v>
      </c>
      <c r="G919">
        <v>2</v>
      </c>
      <c r="H919" t="s">
        <v>89</v>
      </c>
      <c r="I919">
        <v>1</v>
      </c>
      <c r="J919" t="s">
        <v>51</v>
      </c>
      <c r="K919">
        <v>9715</v>
      </c>
      <c r="L919">
        <v>3</v>
      </c>
      <c r="M919" t="s">
        <v>41</v>
      </c>
      <c r="N919">
        <v>13</v>
      </c>
      <c r="O919">
        <v>3</v>
      </c>
      <c r="P919">
        <v>1</v>
      </c>
      <c r="Q919">
        <v>9</v>
      </c>
      <c r="R919">
        <v>3</v>
      </c>
      <c r="S919">
        <v>7</v>
      </c>
      <c r="T919">
        <v>0</v>
      </c>
      <c r="U919">
        <v>7</v>
      </c>
      <c r="V919" t="s">
        <v>58</v>
      </c>
      <c r="W919" s="2">
        <v>41948</v>
      </c>
      <c r="Y919" t="s">
        <v>69</v>
      </c>
      <c r="Z919" t="s">
        <v>47</v>
      </c>
      <c r="AA919">
        <v>5</v>
      </c>
      <c r="AB919">
        <v>0</v>
      </c>
      <c r="AC919" t="s">
        <v>31</v>
      </c>
      <c r="AD919" t="s">
        <v>67</v>
      </c>
      <c r="AE919" t="s">
        <v>49</v>
      </c>
      <c r="AF919" s="3">
        <v>1281</v>
      </c>
      <c r="AG919" s="3">
        <v>86</v>
      </c>
      <c r="AH919">
        <v>80</v>
      </c>
      <c r="AI919">
        <v>2</v>
      </c>
      <c r="AJ919">
        <v>0</v>
      </c>
      <c r="AL919">
        <v>0</v>
      </c>
      <c r="AM919">
        <v>1</v>
      </c>
      <c r="AN919" t="s">
        <v>768</v>
      </c>
      <c r="AO919" t="s">
        <v>41</v>
      </c>
    </row>
    <row r="920" spans="1:41" x14ac:dyDescent="0.25">
      <c r="A920">
        <v>32</v>
      </c>
      <c r="B920" t="s">
        <v>32</v>
      </c>
      <c r="C920" t="s">
        <v>33</v>
      </c>
      <c r="D920">
        <v>5</v>
      </c>
      <c r="E920" t="s">
        <v>61</v>
      </c>
      <c r="F920">
        <v>2</v>
      </c>
      <c r="G920">
        <v>2</v>
      </c>
      <c r="H920" t="s">
        <v>44</v>
      </c>
      <c r="I920">
        <v>2</v>
      </c>
      <c r="J920" t="s">
        <v>51</v>
      </c>
      <c r="K920">
        <v>5878</v>
      </c>
      <c r="L920">
        <v>3</v>
      </c>
      <c r="M920" t="s">
        <v>41</v>
      </c>
      <c r="N920">
        <v>12</v>
      </c>
      <c r="O920">
        <v>3</v>
      </c>
      <c r="P920">
        <v>1</v>
      </c>
      <c r="Q920">
        <v>12</v>
      </c>
      <c r="R920">
        <v>2</v>
      </c>
      <c r="S920">
        <v>7</v>
      </c>
      <c r="T920">
        <v>2</v>
      </c>
      <c r="U920">
        <v>5</v>
      </c>
      <c r="V920" t="s">
        <v>52</v>
      </c>
      <c r="W920" s="1" t="s">
        <v>430</v>
      </c>
      <c r="Y920" t="s">
        <v>69</v>
      </c>
      <c r="Z920" t="s">
        <v>40</v>
      </c>
      <c r="AA920">
        <v>3</v>
      </c>
      <c r="AB920">
        <v>1</v>
      </c>
      <c r="AC920" t="s">
        <v>31</v>
      </c>
      <c r="AD920" t="s">
        <v>65</v>
      </c>
      <c r="AE920" t="s">
        <v>49</v>
      </c>
      <c r="AF920" s="3">
        <v>1282</v>
      </c>
      <c r="AG920" s="3">
        <v>83</v>
      </c>
      <c r="AH920">
        <v>80</v>
      </c>
      <c r="AI920">
        <v>10</v>
      </c>
      <c r="AJ920">
        <v>0</v>
      </c>
      <c r="AL920">
        <v>0</v>
      </c>
      <c r="AM920">
        <v>1</v>
      </c>
      <c r="AN920" t="s">
        <v>768</v>
      </c>
      <c r="AO920" t="s">
        <v>41</v>
      </c>
    </row>
    <row r="921" spans="1:41" x14ac:dyDescent="0.25">
      <c r="A921">
        <v>39</v>
      </c>
      <c r="B921" t="s">
        <v>32</v>
      </c>
      <c r="C921" t="s">
        <v>55</v>
      </c>
      <c r="D921">
        <v>6</v>
      </c>
      <c r="E921" t="s">
        <v>34</v>
      </c>
      <c r="F921">
        <v>4</v>
      </c>
      <c r="G921">
        <v>3</v>
      </c>
      <c r="H921" t="s">
        <v>70</v>
      </c>
      <c r="I921">
        <v>3</v>
      </c>
      <c r="J921" t="s">
        <v>51</v>
      </c>
      <c r="K921">
        <v>8237</v>
      </c>
      <c r="L921">
        <v>2</v>
      </c>
      <c r="M921" t="s">
        <v>41</v>
      </c>
      <c r="N921">
        <v>11</v>
      </c>
      <c r="O921">
        <v>3</v>
      </c>
      <c r="P921">
        <v>1</v>
      </c>
      <c r="Q921">
        <v>11</v>
      </c>
      <c r="R921">
        <v>3</v>
      </c>
      <c r="S921">
        <v>7</v>
      </c>
      <c r="T921">
        <v>7</v>
      </c>
      <c r="U921">
        <v>6</v>
      </c>
      <c r="V921" t="s">
        <v>37</v>
      </c>
      <c r="W921" s="2">
        <v>41885</v>
      </c>
      <c r="Y921" t="s">
        <v>54</v>
      </c>
      <c r="Z921" t="s">
        <v>40</v>
      </c>
      <c r="AA921">
        <v>2</v>
      </c>
      <c r="AB921">
        <v>0</v>
      </c>
      <c r="AC921" t="s">
        <v>31</v>
      </c>
      <c r="AD921" t="s">
        <v>48</v>
      </c>
      <c r="AE921" t="s">
        <v>49</v>
      </c>
      <c r="AF921" s="3">
        <v>1283</v>
      </c>
      <c r="AG921" s="3">
        <v>67</v>
      </c>
      <c r="AH921">
        <v>80</v>
      </c>
      <c r="AI921">
        <v>7</v>
      </c>
      <c r="AJ921">
        <v>0</v>
      </c>
      <c r="AL921">
        <v>0</v>
      </c>
      <c r="AM921">
        <v>1</v>
      </c>
      <c r="AN921" t="s">
        <v>768</v>
      </c>
      <c r="AO921" t="s">
        <v>41</v>
      </c>
    </row>
    <row r="922" spans="1:41" x14ac:dyDescent="0.25">
      <c r="A922">
        <v>39</v>
      </c>
      <c r="B922" t="s">
        <v>32</v>
      </c>
      <c r="C922" t="s">
        <v>33</v>
      </c>
      <c r="D922">
        <v>10</v>
      </c>
      <c r="E922" t="s">
        <v>34</v>
      </c>
      <c r="F922">
        <v>3</v>
      </c>
      <c r="G922">
        <v>2</v>
      </c>
      <c r="H922" t="s">
        <v>78</v>
      </c>
      <c r="I922">
        <v>1</v>
      </c>
      <c r="J922" t="s">
        <v>51</v>
      </c>
      <c r="K922">
        <v>5377</v>
      </c>
      <c r="L922">
        <v>2</v>
      </c>
      <c r="M922" t="s">
        <v>41</v>
      </c>
      <c r="N922">
        <v>13</v>
      </c>
      <c r="O922">
        <v>3</v>
      </c>
      <c r="P922">
        <v>3</v>
      </c>
      <c r="Q922">
        <v>10</v>
      </c>
      <c r="R922">
        <v>3</v>
      </c>
      <c r="S922">
        <v>7</v>
      </c>
      <c r="T922">
        <v>7</v>
      </c>
      <c r="U922">
        <v>7</v>
      </c>
      <c r="V922" t="s">
        <v>58</v>
      </c>
      <c r="W922" s="1" t="s">
        <v>464</v>
      </c>
      <c r="Y922" t="s">
        <v>63</v>
      </c>
      <c r="Z922" t="s">
        <v>47</v>
      </c>
      <c r="AA922">
        <v>5</v>
      </c>
      <c r="AB922">
        <v>3</v>
      </c>
      <c r="AC922" t="s">
        <v>31</v>
      </c>
      <c r="AD922" t="s">
        <v>65</v>
      </c>
      <c r="AE922" t="s">
        <v>49</v>
      </c>
      <c r="AF922" s="3">
        <v>1285</v>
      </c>
      <c r="AG922" s="3">
        <v>46</v>
      </c>
      <c r="AH922">
        <v>80</v>
      </c>
      <c r="AI922">
        <v>8</v>
      </c>
      <c r="AJ922">
        <v>0</v>
      </c>
      <c r="AL922">
        <v>0</v>
      </c>
      <c r="AM922">
        <v>1</v>
      </c>
      <c r="AN922" t="s">
        <v>768</v>
      </c>
      <c r="AO922" t="s">
        <v>41</v>
      </c>
    </row>
    <row r="923" spans="1:41" x14ac:dyDescent="0.25">
      <c r="A923">
        <v>27</v>
      </c>
      <c r="B923" t="s">
        <v>32</v>
      </c>
      <c r="C923" t="s">
        <v>33</v>
      </c>
      <c r="D923">
        <v>19</v>
      </c>
      <c r="E923" t="s">
        <v>34</v>
      </c>
      <c r="F923">
        <v>2</v>
      </c>
      <c r="G923">
        <v>1</v>
      </c>
      <c r="H923" t="s">
        <v>35</v>
      </c>
      <c r="I923">
        <v>1</v>
      </c>
      <c r="J923" t="s">
        <v>57</v>
      </c>
      <c r="K923">
        <v>4066</v>
      </c>
      <c r="L923">
        <v>1</v>
      </c>
      <c r="M923" t="s">
        <v>41</v>
      </c>
      <c r="N923">
        <v>11</v>
      </c>
      <c r="O923">
        <v>3</v>
      </c>
      <c r="P923">
        <v>2</v>
      </c>
      <c r="Q923">
        <v>7</v>
      </c>
      <c r="R923">
        <v>3</v>
      </c>
      <c r="S923">
        <v>7</v>
      </c>
      <c r="T923">
        <v>0</v>
      </c>
      <c r="U923">
        <v>7</v>
      </c>
      <c r="V923" t="s">
        <v>72</v>
      </c>
      <c r="W923" s="2">
        <v>41976</v>
      </c>
      <c r="Y923" t="s">
        <v>39</v>
      </c>
      <c r="Z923" t="s">
        <v>40</v>
      </c>
      <c r="AA923">
        <v>3</v>
      </c>
      <c r="AB923">
        <v>2</v>
      </c>
      <c r="AC923" t="s">
        <v>41</v>
      </c>
      <c r="AD923" t="s">
        <v>42</v>
      </c>
      <c r="AE923" t="s">
        <v>60</v>
      </c>
      <c r="AF923" s="3">
        <v>1286</v>
      </c>
      <c r="AG923" s="3">
        <v>44</v>
      </c>
      <c r="AH923">
        <v>80</v>
      </c>
      <c r="AI923">
        <v>2</v>
      </c>
      <c r="AJ923">
        <v>0</v>
      </c>
      <c r="AL923">
        <v>0</v>
      </c>
      <c r="AM923">
        <v>1</v>
      </c>
      <c r="AN923" t="s">
        <v>768</v>
      </c>
      <c r="AO923" t="s">
        <v>41</v>
      </c>
    </row>
    <row r="924" spans="1:41" x14ac:dyDescent="0.25">
      <c r="A924">
        <v>25</v>
      </c>
      <c r="B924" t="s">
        <v>66</v>
      </c>
      <c r="C924" t="s">
        <v>33</v>
      </c>
      <c r="D924">
        <v>2</v>
      </c>
      <c r="E924" t="s">
        <v>34</v>
      </c>
      <c r="F924">
        <v>4</v>
      </c>
      <c r="G924">
        <v>2</v>
      </c>
      <c r="H924" t="s">
        <v>78</v>
      </c>
      <c r="I924">
        <v>3</v>
      </c>
      <c r="J924" t="s">
        <v>57</v>
      </c>
      <c r="K924">
        <v>5206</v>
      </c>
      <c r="L924">
        <v>1</v>
      </c>
      <c r="M924" t="s">
        <v>41</v>
      </c>
      <c r="N924">
        <v>17</v>
      </c>
      <c r="O924">
        <v>3</v>
      </c>
      <c r="P924">
        <v>2</v>
      </c>
      <c r="Q924">
        <v>7</v>
      </c>
      <c r="R924">
        <v>6</v>
      </c>
      <c r="S924">
        <v>7</v>
      </c>
      <c r="T924">
        <v>0</v>
      </c>
      <c r="U924">
        <v>7</v>
      </c>
      <c r="V924" t="s">
        <v>58</v>
      </c>
      <c r="W924" s="2">
        <v>41765</v>
      </c>
      <c r="Y924" t="s">
        <v>63</v>
      </c>
      <c r="Z924" t="s">
        <v>40</v>
      </c>
      <c r="AA924">
        <v>5</v>
      </c>
      <c r="AB924">
        <v>3</v>
      </c>
      <c r="AC924" t="s">
        <v>41</v>
      </c>
      <c r="AD924" t="s">
        <v>65</v>
      </c>
      <c r="AE924" t="s">
        <v>49</v>
      </c>
      <c r="AF924" s="3">
        <v>1288</v>
      </c>
      <c r="AG924" s="3">
        <v>92</v>
      </c>
      <c r="AH924">
        <v>80</v>
      </c>
      <c r="AI924">
        <v>9</v>
      </c>
      <c r="AJ924">
        <v>0</v>
      </c>
      <c r="AL924">
        <v>0</v>
      </c>
      <c r="AM924">
        <v>1</v>
      </c>
      <c r="AN924" t="s">
        <v>768</v>
      </c>
      <c r="AO924" t="s">
        <v>41</v>
      </c>
    </row>
    <row r="925" spans="1:41" x14ac:dyDescent="0.25">
      <c r="A925">
        <v>26</v>
      </c>
      <c r="B925" t="s">
        <v>81</v>
      </c>
      <c r="C925" t="s">
        <v>33</v>
      </c>
      <c r="D925">
        <v>7</v>
      </c>
      <c r="E925" t="s">
        <v>34</v>
      </c>
      <c r="F925">
        <v>3</v>
      </c>
      <c r="G925">
        <v>1</v>
      </c>
      <c r="H925" t="s">
        <v>35</v>
      </c>
      <c r="I925">
        <v>4</v>
      </c>
      <c r="J925" t="s">
        <v>36</v>
      </c>
      <c r="K925">
        <v>2570</v>
      </c>
      <c r="L925">
        <v>1</v>
      </c>
      <c r="M925" t="s">
        <v>41</v>
      </c>
      <c r="N925">
        <v>20</v>
      </c>
      <c r="O925">
        <v>4</v>
      </c>
      <c r="P925">
        <v>0</v>
      </c>
      <c r="Q925">
        <v>7</v>
      </c>
      <c r="R925">
        <v>5</v>
      </c>
      <c r="S925">
        <v>7</v>
      </c>
      <c r="T925">
        <v>5</v>
      </c>
      <c r="U925">
        <v>7</v>
      </c>
      <c r="V925" t="s">
        <v>58</v>
      </c>
      <c r="W925" s="2">
        <v>41945</v>
      </c>
      <c r="Y925" t="s">
        <v>39</v>
      </c>
      <c r="Z925" t="s">
        <v>40</v>
      </c>
      <c r="AA925">
        <v>3</v>
      </c>
      <c r="AB925">
        <v>1</v>
      </c>
      <c r="AC925" t="s">
        <v>31</v>
      </c>
      <c r="AD925" t="s">
        <v>42</v>
      </c>
      <c r="AE925" t="s">
        <v>49</v>
      </c>
      <c r="AF925" s="3">
        <v>1289</v>
      </c>
      <c r="AG925" s="3">
        <v>56</v>
      </c>
      <c r="AH925">
        <v>80</v>
      </c>
      <c r="AI925">
        <v>9</v>
      </c>
      <c r="AJ925">
        <v>0</v>
      </c>
      <c r="AL925">
        <v>0</v>
      </c>
      <c r="AM925">
        <v>1</v>
      </c>
      <c r="AN925" t="s">
        <v>768</v>
      </c>
      <c r="AO925" t="s">
        <v>41</v>
      </c>
    </row>
    <row r="926" spans="1:41" x14ac:dyDescent="0.25">
      <c r="A926">
        <v>35</v>
      </c>
      <c r="B926" t="s">
        <v>32</v>
      </c>
      <c r="C926" t="s">
        <v>33</v>
      </c>
      <c r="D926">
        <v>27</v>
      </c>
      <c r="E926" t="s">
        <v>34</v>
      </c>
      <c r="F926">
        <v>3</v>
      </c>
      <c r="G926">
        <v>2</v>
      </c>
      <c r="H926" t="s">
        <v>78</v>
      </c>
      <c r="I926">
        <v>3</v>
      </c>
      <c r="J926" t="s">
        <v>51</v>
      </c>
      <c r="K926">
        <v>6883</v>
      </c>
      <c r="L926">
        <v>2</v>
      </c>
      <c r="M926" t="s">
        <v>41</v>
      </c>
      <c r="N926">
        <v>16</v>
      </c>
      <c r="O926">
        <v>3</v>
      </c>
      <c r="P926">
        <v>1</v>
      </c>
      <c r="Q926">
        <v>17</v>
      </c>
      <c r="R926">
        <v>3</v>
      </c>
      <c r="S926">
        <v>7</v>
      </c>
      <c r="T926">
        <v>0</v>
      </c>
      <c r="U926">
        <v>7</v>
      </c>
      <c r="V926" t="s">
        <v>37</v>
      </c>
      <c r="W926" s="1" t="s">
        <v>465</v>
      </c>
      <c r="Y926" t="s">
        <v>39</v>
      </c>
      <c r="Z926" t="s">
        <v>40</v>
      </c>
      <c r="AA926">
        <v>2</v>
      </c>
      <c r="AB926">
        <v>3</v>
      </c>
      <c r="AC926" t="s">
        <v>31</v>
      </c>
      <c r="AD926" t="s">
        <v>48</v>
      </c>
      <c r="AE926" t="s">
        <v>43</v>
      </c>
      <c r="AF926" s="3">
        <v>1291</v>
      </c>
      <c r="AG926" s="3">
        <v>66</v>
      </c>
      <c r="AH926">
        <v>80</v>
      </c>
      <c r="AI926">
        <v>2</v>
      </c>
      <c r="AJ926">
        <v>0</v>
      </c>
      <c r="AL926">
        <v>0</v>
      </c>
      <c r="AM926">
        <v>1</v>
      </c>
      <c r="AN926" t="s">
        <v>768</v>
      </c>
      <c r="AO926" t="s">
        <v>41</v>
      </c>
    </row>
    <row r="927" spans="1:41" x14ac:dyDescent="0.25">
      <c r="A927">
        <v>30</v>
      </c>
      <c r="B927" t="s">
        <v>32</v>
      </c>
      <c r="C927" t="s">
        <v>55</v>
      </c>
      <c r="D927">
        <v>15</v>
      </c>
      <c r="E927" t="s">
        <v>34</v>
      </c>
      <c r="F927">
        <v>2</v>
      </c>
      <c r="G927">
        <v>3</v>
      </c>
      <c r="H927" t="s">
        <v>70</v>
      </c>
      <c r="I927">
        <v>1</v>
      </c>
      <c r="J927" t="s">
        <v>57</v>
      </c>
      <c r="K927">
        <v>7140</v>
      </c>
      <c r="L927">
        <v>2</v>
      </c>
      <c r="M927" t="s">
        <v>41</v>
      </c>
      <c r="N927">
        <v>11</v>
      </c>
      <c r="O927">
        <v>3</v>
      </c>
      <c r="P927">
        <v>1</v>
      </c>
      <c r="Q927">
        <v>12</v>
      </c>
      <c r="R927">
        <v>2</v>
      </c>
      <c r="S927">
        <v>7</v>
      </c>
      <c r="T927">
        <v>1</v>
      </c>
      <c r="U927">
        <v>7</v>
      </c>
      <c r="V927" t="s">
        <v>37</v>
      </c>
      <c r="W927" s="1" t="s">
        <v>466</v>
      </c>
      <c r="Y927" t="s">
        <v>46</v>
      </c>
      <c r="Z927" t="s">
        <v>40</v>
      </c>
      <c r="AA927">
        <v>3</v>
      </c>
      <c r="AB927">
        <v>3</v>
      </c>
      <c r="AC927" t="s">
        <v>41</v>
      </c>
      <c r="AD927" t="s">
        <v>65</v>
      </c>
      <c r="AE927" t="s">
        <v>60</v>
      </c>
      <c r="AF927" s="3">
        <v>1292</v>
      </c>
      <c r="AG927" s="3">
        <v>78</v>
      </c>
      <c r="AH927">
        <v>80</v>
      </c>
      <c r="AI927">
        <v>0</v>
      </c>
      <c r="AJ927">
        <v>0</v>
      </c>
      <c r="AL927">
        <v>0</v>
      </c>
      <c r="AM927">
        <v>1</v>
      </c>
      <c r="AN927" t="s">
        <v>768</v>
      </c>
      <c r="AO927" t="s">
        <v>41</v>
      </c>
    </row>
    <row r="928" spans="1:41" x14ac:dyDescent="0.25">
      <c r="A928">
        <v>30</v>
      </c>
      <c r="B928" t="s">
        <v>32</v>
      </c>
      <c r="C928" t="s">
        <v>33</v>
      </c>
      <c r="D928">
        <v>16</v>
      </c>
      <c r="E928" t="s">
        <v>34</v>
      </c>
      <c r="F928">
        <v>4</v>
      </c>
      <c r="G928">
        <v>2</v>
      </c>
      <c r="H928" t="s">
        <v>89</v>
      </c>
      <c r="I928">
        <v>3</v>
      </c>
      <c r="J928" t="s">
        <v>51</v>
      </c>
      <c r="K928">
        <v>5294</v>
      </c>
      <c r="L928">
        <v>3</v>
      </c>
      <c r="M928" t="s">
        <v>41</v>
      </c>
      <c r="N928">
        <v>16</v>
      </c>
      <c r="O928">
        <v>3</v>
      </c>
      <c r="P928">
        <v>1</v>
      </c>
      <c r="Q928">
        <v>10</v>
      </c>
      <c r="R928">
        <v>3</v>
      </c>
      <c r="S928">
        <v>7</v>
      </c>
      <c r="T928">
        <v>1</v>
      </c>
      <c r="U928">
        <v>7</v>
      </c>
      <c r="V928" t="s">
        <v>37</v>
      </c>
      <c r="W928" s="1" t="s">
        <v>466</v>
      </c>
      <c r="Y928" t="s">
        <v>46</v>
      </c>
      <c r="Z928" t="s">
        <v>40</v>
      </c>
      <c r="AA928">
        <v>4</v>
      </c>
      <c r="AB928">
        <v>1</v>
      </c>
      <c r="AC928" t="s">
        <v>31</v>
      </c>
      <c r="AD928" t="s">
        <v>42</v>
      </c>
      <c r="AE928" t="s">
        <v>49</v>
      </c>
      <c r="AF928" s="3">
        <v>1293</v>
      </c>
      <c r="AG928" s="3">
        <v>56</v>
      </c>
      <c r="AH928">
        <v>80</v>
      </c>
      <c r="AI928">
        <v>7</v>
      </c>
      <c r="AJ928">
        <v>0</v>
      </c>
      <c r="AL928">
        <v>0</v>
      </c>
      <c r="AM928">
        <v>1</v>
      </c>
      <c r="AN928" t="s">
        <v>768</v>
      </c>
      <c r="AO928" t="s">
        <v>41</v>
      </c>
    </row>
    <row r="929" spans="1:41" x14ac:dyDescent="0.25">
      <c r="A929">
        <v>32</v>
      </c>
      <c r="B929" t="s">
        <v>81</v>
      </c>
      <c r="C929" t="s">
        <v>33</v>
      </c>
      <c r="D929">
        <v>5</v>
      </c>
      <c r="E929" t="s">
        <v>34</v>
      </c>
      <c r="F929">
        <v>3</v>
      </c>
      <c r="G929">
        <v>1</v>
      </c>
      <c r="H929" t="s">
        <v>44</v>
      </c>
      <c r="I929">
        <v>2</v>
      </c>
      <c r="J929" t="s">
        <v>36</v>
      </c>
      <c r="K929">
        <v>2718</v>
      </c>
      <c r="L929">
        <v>2</v>
      </c>
      <c r="M929" t="s">
        <v>41</v>
      </c>
      <c r="N929">
        <v>14</v>
      </c>
      <c r="O929">
        <v>3</v>
      </c>
      <c r="P929">
        <v>0</v>
      </c>
      <c r="Q929">
        <v>12</v>
      </c>
      <c r="R929">
        <v>3</v>
      </c>
      <c r="S929">
        <v>7</v>
      </c>
      <c r="T929">
        <v>0</v>
      </c>
      <c r="U929">
        <v>7</v>
      </c>
      <c r="V929" t="s">
        <v>52</v>
      </c>
      <c r="W929" s="1" t="s">
        <v>438</v>
      </c>
      <c r="Y929" t="s">
        <v>69</v>
      </c>
      <c r="Z929" t="s">
        <v>47</v>
      </c>
      <c r="AA929">
        <v>4</v>
      </c>
      <c r="AB929">
        <v>1</v>
      </c>
      <c r="AC929" t="s">
        <v>31</v>
      </c>
      <c r="AD929" t="s">
        <v>48</v>
      </c>
      <c r="AE929" t="s">
        <v>60</v>
      </c>
      <c r="AF929" s="3">
        <v>1294</v>
      </c>
      <c r="AG929" s="3">
        <v>53</v>
      </c>
      <c r="AH929">
        <v>80</v>
      </c>
      <c r="AI929">
        <v>14</v>
      </c>
      <c r="AJ929">
        <v>0</v>
      </c>
      <c r="AL929">
        <v>0</v>
      </c>
      <c r="AM929">
        <v>1</v>
      </c>
      <c r="AN929" t="s">
        <v>768</v>
      </c>
      <c r="AO929" t="s">
        <v>41</v>
      </c>
    </row>
    <row r="930" spans="1:41" x14ac:dyDescent="0.25">
      <c r="A930">
        <v>35</v>
      </c>
      <c r="B930" t="s">
        <v>81</v>
      </c>
      <c r="C930" t="s">
        <v>33</v>
      </c>
      <c r="D930">
        <v>2</v>
      </c>
      <c r="E930" t="s">
        <v>34</v>
      </c>
      <c r="F930">
        <v>3</v>
      </c>
      <c r="G930">
        <v>2</v>
      </c>
      <c r="H930" t="s">
        <v>78</v>
      </c>
      <c r="I930">
        <v>4</v>
      </c>
      <c r="J930" t="s">
        <v>57</v>
      </c>
      <c r="K930">
        <v>5762</v>
      </c>
      <c r="L930">
        <v>2</v>
      </c>
      <c r="M930" t="s">
        <v>41</v>
      </c>
      <c r="N930">
        <v>14</v>
      </c>
      <c r="O930">
        <v>3</v>
      </c>
      <c r="P930">
        <v>1</v>
      </c>
      <c r="Q930">
        <v>15</v>
      </c>
      <c r="R930">
        <v>6</v>
      </c>
      <c r="S930">
        <v>7</v>
      </c>
      <c r="T930">
        <v>1</v>
      </c>
      <c r="U930">
        <v>7</v>
      </c>
      <c r="V930" t="s">
        <v>58</v>
      </c>
      <c r="W930" s="1" t="s">
        <v>467</v>
      </c>
      <c r="Y930" t="s">
        <v>54</v>
      </c>
      <c r="Z930" t="s">
        <v>47</v>
      </c>
      <c r="AA930">
        <v>3</v>
      </c>
      <c r="AB930">
        <v>1</v>
      </c>
      <c r="AC930" t="s">
        <v>31</v>
      </c>
      <c r="AD930" t="s">
        <v>48</v>
      </c>
      <c r="AE930" t="s">
        <v>49</v>
      </c>
      <c r="AF930" s="3">
        <v>1295</v>
      </c>
      <c r="AG930" s="3">
        <v>73</v>
      </c>
      <c r="AH930">
        <v>80</v>
      </c>
      <c r="AI930">
        <v>7</v>
      </c>
      <c r="AJ930">
        <v>1</v>
      </c>
      <c r="AK930">
        <v>1</v>
      </c>
      <c r="AL930">
        <v>1</v>
      </c>
      <c r="AM930">
        <v>0</v>
      </c>
      <c r="AN930" t="s">
        <v>767</v>
      </c>
      <c r="AO930" t="s">
        <v>31</v>
      </c>
    </row>
    <row r="931" spans="1:41" x14ac:dyDescent="0.25">
      <c r="A931">
        <v>34</v>
      </c>
      <c r="B931" t="s">
        <v>66</v>
      </c>
      <c r="C931" t="s">
        <v>33</v>
      </c>
      <c r="D931">
        <v>9</v>
      </c>
      <c r="E931" t="s">
        <v>34</v>
      </c>
      <c r="F931">
        <v>3</v>
      </c>
      <c r="G931">
        <v>2</v>
      </c>
      <c r="H931" t="s">
        <v>35</v>
      </c>
      <c r="I931">
        <v>1</v>
      </c>
      <c r="J931" t="s">
        <v>51</v>
      </c>
      <c r="K931">
        <v>5346</v>
      </c>
      <c r="L931">
        <v>4</v>
      </c>
      <c r="M931" t="s">
        <v>41</v>
      </c>
      <c r="N931">
        <v>17</v>
      </c>
      <c r="O931">
        <v>3</v>
      </c>
      <c r="P931">
        <v>1</v>
      </c>
      <c r="Q931">
        <v>11</v>
      </c>
      <c r="R931">
        <v>3</v>
      </c>
      <c r="S931">
        <v>7</v>
      </c>
      <c r="T931">
        <v>0</v>
      </c>
      <c r="U931">
        <v>7</v>
      </c>
      <c r="V931" t="s">
        <v>72</v>
      </c>
      <c r="W931" s="2">
        <v>41676</v>
      </c>
      <c r="Y931" t="s">
        <v>46</v>
      </c>
      <c r="Z931" t="s">
        <v>47</v>
      </c>
      <c r="AA931">
        <v>2</v>
      </c>
      <c r="AB931">
        <v>3</v>
      </c>
      <c r="AC931" t="s">
        <v>31</v>
      </c>
      <c r="AD931" t="s">
        <v>42</v>
      </c>
      <c r="AE931" t="s">
        <v>43</v>
      </c>
      <c r="AF931" s="3">
        <v>1296</v>
      </c>
      <c r="AG931" s="3">
        <v>52</v>
      </c>
      <c r="AH931">
        <v>80</v>
      </c>
      <c r="AI931">
        <v>2</v>
      </c>
      <c r="AJ931">
        <v>0</v>
      </c>
      <c r="AL931">
        <v>0</v>
      </c>
      <c r="AM931">
        <v>1</v>
      </c>
      <c r="AN931" t="s">
        <v>768</v>
      </c>
      <c r="AO931" t="s">
        <v>41</v>
      </c>
    </row>
    <row r="932" spans="1:41" x14ac:dyDescent="0.25">
      <c r="A932">
        <v>30</v>
      </c>
      <c r="B932" t="s">
        <v>32</v>
      </c>
      <c r="C932" t="s">
        <v>33</v>
      </c>
      <c r="D932">
        <v>10</v>
      </c>
      <c r="E932" t="s">
        <v>61</v>
      </c>
      <c r="F932">
        <v>3</v>
      </c>
      <c r="G932">
        <v>3</v>
      </c>
      <c r="H932" t="s">
        <v>78</v>
      </c>
      <c r="I932">
        <v>3</v>
      </c>
      <c r="J932" t="s">
        <v>36</v>
      </c>
      <c r="K932">
        <v>9667</v>
      </c>
      <c r="L932">
        <v>9</v>
      </c>
      <c r="M932" t="s">
        <v>41</v>
      </c>
      <c r="N932">
        <v>14</v>
      </c>
      <c r="O932">
        <v>3</v>
      </c>
      <c r="P932">
        <v>0</v>
      </c>
      <c r="Q932">
        <v>9</v>
      </c>
      <c r="R932">
        <v>3</v>
      </c>
      <c r="S932">
        <v>7</v>
      </c>
      <c r="T932">
        <v>0</v>
      </c>
      <c r="U932">
        <v>2</v>
      </c>
      <c r="V932" t="s">
        <v>72</v>
      </c>
      <c r="W932" s="1" t="s">
        <v>461</v>
      </c>
      <c r="Y932" t="s">
        <v>63</v>
      </c>
      <c r="Z932" t="s">
        <v>47</v>
      </c>
      <c r="AA932">
        <v>3</v>
      </c>
      <c r="AB932">
        <v>3</v>
      </c>
      <c r="AC932" t="s">
        <v>31</v>
      </c>
      <c r="AD932" t="s">
        <v>48</v>
      </c>
      <c r="AE932" t="s">
        <v>49</v>
      </c>
      <c r="AF932" s="3">
        <v>1297</v>
      </c>
      <c r="AG932" s="3">
        <v>40</v>
      </c>
      <c r="AH932">
        <v>80</v>
      </c>
      <c r="AI932">
        <v>0</v>
      </c>
      <c r="AJ932">
        <v>0</v>
      </c>
      <c r="AL932">
        <v>0</v>
      </c>
      <c r="AM932">
        <v>1</v>
      </c>
      <c r="AN932" t="s">
        <v>768</v>
      </c>
      <c r="AO932" t="s">
        <v>41</v>
      </c>
    </row>
    <row r="933" spans="1:41" x14ac:dyDescent="0.25">
      <c r="A933">
        <v>40</v>
      </c>
      <c r="B933" t="s">
        <v>32</v>
      </c>
      <c r="C933" t="s">
        <v>33</v>
      </c>
      <c r="D933">
        <v>12</v>
      </c>
      <c r="E933" t="s">
        <v>61</v>
      </c>
      <c r="F933">
        <v>3</v>
      </c>
      <c r="G933">
        <v>2</v>
      </c>
      <c r="H933" t="s">
        <v>89</v>
      </c>
      <c r="I933">
        <v>1</v>
      </c>
      <c r="J933" t="s">
        <v>57</v>
      </c>
      <c r="K933">
        <v>4448</v>
      </c>
      <c r="L933">
        <v>2</v>
      </c>
      <c r="M933" t="s">
        <v>41</v>
      </c>
      <c r="N933">
        <v>12</v>
      </c>
      <c r="O933">
        <v>3</v>
      </c>
      <c r="P933">
        <v>1</v>
      </c>
      <c r="Q933">
        <v>15</v>
      </c>
      <c r="R933">
        <v>3</v>
      </c>
      <c r="S933">
        <v>7</v>
      </c>
      <c r="T933">
        <v>7</v>
      </c>
      <c r="U933">
        <v>7</v>
      </c>
      <c r="V933" t="s">
        <v>72</v>
      </c>
      <c r="W933" s="2">
        <v>41794</v>
      </c>
      <c r="Y933" t="s">
        <v>69</v>
      </c>
      <c r="Z933" t="s">
        <v>47</v>
      </c>
      <c r="AA933">
        <v>3</v>
      </c>
      <c r="AB933">
        <v>3</v>
      </c>
      <c r="AC933" t="s">
        <v>31</v>
      </c>
      <c r="AD933" t="s">
        <v>67</v>
      </c>
      <c r="AE933" t="s">
        <v>43</v>
      </c>
      <c r="AF933" s="3">
        <v>1298</v>
      </c>
      <c r="AG933" s="3">
        <v>72</v>
      </c>
      <c r="AH933">
        <v>80</v>
      </c>
      <c r="AI933">
        <v>4</v>
      </c>
      <c r="AJ933">
        <v>0</v>
      </c>
      <c r="AL933">
        <v>0</v>
      </c>
      <c r="AM933">
        <v>1</v>
      </c>
      <c r="AN933" t="s">
        <v>768</v>
      </c>
      <c r="AO933" t="s">
        <v>41</v>
      </c>
    </row>
    <row r="934" spans="1:41" x14ac:dyDescent="0.25">
      <c r="A934">
        <v>54</v>
      </c>
      <c r="B934" t="s">
        <v>32</v>
      </c>
      <c r="C934" t="s">
        <v>33</v>
      </c>
      <c r="D934">
        <v>7</v>
      </c>
      <c r="E934" t="s">
        <v>61</v>
      </c>
      <c r="F934">
        <v>3</v>
      </c>
      <c r="G934">
        <v>2</v>
      </c>
      <c r="H934" t="s">
        <v>44</v>
      </c>
      <c r="I934">
        <v>4</v>
      </c>
      <c r="J934" t="s">
        <v>51</v>
      </c>
      <c r="K934">
        <v>6854</v>
      </c>
      <c r="L934">
        <v>4</v>
      </c>
      <c r="M934" t="s">
        <v>41</v>
      </c>
      <c r="N934">
        <v>15</v>
      </c>
      <c r="O934">
        <v>3</v>
      </c>
      <c r="P934">
        <v>1</v>
      </c>
      <c r="Q934">
        <v>14</v>
      </c>
      <c r="R934">
        <v>2</v>
      </c>
      <c r="S934">
        <v>7</v>
      </c>
      <c r="T934">
        <v>1</v>
      </c>
      <c r="U934">
        <v>7</v>
      </c>
      <c r="V934" t="s">
        <v>37</v>
      </c>
      <c r="W934" s="1" t="s">
        <v>446</v>
      </c>
      <c r="Y934" t="s">
        <v>39</v>
      </c>
      <c r="Z934" t="s">
        <v>47</v>
      </c>
      <c r="AA934">
        <v>1</v>
      </c>
      <c r="AB934">
        <v>3</v>
      </c>
      <c r="AC934" t="s">
        <v>41</v>
      </c>
      <c r="AD934" t="s">
        <v>65</v>
      </c>
      <c r="AE934" t="s">
        <v>49</v>
      </c>
      <c r="AF934" s="3">
        <v>1299</v>
      </c>
      <c r="AG934" s="3">
        <v>39</v>
      </c>
      <c r="AH934">
        <v>80</v>
      </c>
      <c r="AI934">
        <v>7</v>
      </c>
      <c r="AJ934">
        <v>1</v>
      </c>
      <c r="AK934">
        <v>1</v>
      </c>
      <c r="AL934">
        <v>1</v>
      </c>
      <c r="AM934">
        <v>0</v>
      </c>
      <c r="AN934" t="s">
        <v>767</v>
      </c>
      <c r="AO934" t="s">
        <v>31</v>
      </c>
    </row>
    <row r="935" spans="1:41" x14ac:dyDescent="0.25">
      <c r="A935">
        <v>43</v>
      </c>
      <c r="B935" t="s">
        <v>66</v>
      </c>
      <c r="C935" t="s">
        <v>55</v>
      </c>
      <c r="D935">
        <v>2</v>
      </c>
      <c r="E935" t="s">
        <v>34</v>
      </c>
      <c r="F935">
        <v>3</v>
      </c>
      <c r="G935">
        <v>2</v>
      </c>
      <c r="H935" t="s">
        <v>70</v>
      </c>
      <c r="I935">
        <v>4</v>
      </c>
      <c r="J935" t="s">
        <v>51</v>
      </c>
      <c r="K935">
        <v>5675</v>
      </c>
      <c r="L935">
        <v>1</v>
      </c>
      <c r="M935" t="s">
        <v>41</v>
      </c>
      <c r="N935">
        <v>20</v>
      </c>
      <c r="O935">
        <v>4</v>
      </c>
      <c r="P935">
        <v>1</v>
      </c>
      <c r="Q935">
        <v>7</v>
      </c>
      <c r="R935">
        <v>5</v>
      </c>
      <c r="S935">
        <v>7</v>
      </c>
      <c r="T935">
        <v>7</v>
      </c>
      <c r="U935">
        <v>7</v>
      </c>
      <c r="V935" t="s">
        <v>58</v>
      </c>
      <c r="W935" s="1" t="s">
        <v>468</v>
      </c>
      <c r="Y935" t="s">
        <v>69</v>
      </c>
      <c r="Z935" t="s">
        <v>40</v>
      </c>
      <c r="AA935">
        <v>2</v>
      </c>
      <c r="AB935">
        <v>3</v>
      </c>
      <c r="AC935" t="s">
        <v>41</v>
      </c>
      <c r="AD935" t="s">
        <v>65</v>
      </c>
      <c r="AE935" t="s">
        <v>43</v>
      </c>
      <c r="AF935" s="3">
        <v>1301</v>
      </c>
      <c r="AG935" s="3">
        <v>84</v>
      </c>
      <c r="AH935">
        <v>80</v>
      </c>
      <c r="AI935">
        <v>2</v>
      </c>
      <c r="AJ935">
        <v>0</v>
      </c>
      <c r="AL935">
        <v>0</v>
      </c>
      <c r="AM935">
        <v>1</v>
      </c>
      <c r="AN935" t="s">
        <v>768</v>
      </c>
      <c r="AO935" t="s">
        <v>41</v>
      </c>
    </row>
    <row r="936" spans="1:41" x14ac:dyDescent="0.25">
      <c r="A936">
        <v>29</v>
      </c>
      <c r="B936" t="s">
        <v>32</v>
      </c>
      <c r="C936" t="s">
        <v>33</v>
      </c>
      <c r="D936">
        <v>29</v>
      </c>
      <c r="E936" t="s">
        <v>34</v>
      </c>
      <c r="F936">
        <v>1</v>
      </c>
      <c r="G936">
        <v>2</v>
      </c>
      <c r="H936" t="s">
        <v>89</v>
      </c>
      <c r="I936">
        <v>3</v>
      </c>
      <c r="J936" t="s">
        <v>57</v>
      </c>
      <c r="K936">
        <v>6384</v>
      </c>
      <c r="L936">
        <v>8</v>
      </c>
      <c r="M936" t="s">
        <v>41</v>
      </c>
      <c r="N936">
        <v>17</v>
      </c>
      <c r="O936">
        <v>3</v>
      </c>
      <c r="P936">
        <v>2</v>
      </c>
      <c r="Q936">
        <v>11</v>
      </c>
      <c r="R936">
        <v>3</v>
      </c>
      <c r="S936">
        <v>7</v>
      </c>
      <c r="T936">
        <v>1</v>
      </c>
      <c r="U936">
        <v>6</v>
      </c>
      <c r="V936" t="s">
        <v>52</v>
      </c>
      <c r="W936" s="1" t="s">
        <v>433</v>
      </c>
      <c r="Y936" t="s">
        <v>46</v>
      </c>
      <c r="Z936" t="s">
        <v>47</v>
      </c>
      <c r="AA936">
        <v>0</v>
      </c>
      <c r="AB936">
        <v>1</v>
      </c>
      <c r="AC936" t="s">
        <v>31</v>
      </c>
      <c r="AD936" t="s">
        <v>67</v>
      </c>
      <c r="AE936" t="s">
        <v>43</v>
      </c>
      <c r="AF936" s="3">
        <v>1303</v>
      </c>
      <c r="AG936" s="3">
        <v>40</v>
      </c>
      <c r="AH936">
        <v>80</v>
      </c>
      <c r="AI936">
        <v>2</v>
      </c>
      <c r="AJ936">
        <v>0</v>
      </c>
      <c r="AL936">
        <v>0</v>
      </c>
      <c r="AM936">
        <v>1</v>
      </c>
      <c r="AN936" t="s">
        <v>768</v>
      </c>
      <c r="AO936" t="s">
        <v>41</v>
      </c>
    </row>
    <row r="937" spans="1:41" x14ac:dyDescent="0.25">
      <c r="A937">
        <v>27</v>
      </c>
      <c r="B937" t="s">
        <v>66</v>
      </c>
      <c r="C937" t="s">
        <v>33</v>
      </c>
      <c r="D937">
        <v>15</v>
      </c>
      <c r="E937" t="s">
        <v>61</v>
      </c>
      <c r="F937">
        <v>2</v>
      </c>
      <c r="G937">
        <v>1</v>
      </c>
      <c r="H937" t="s">
        <v>44</v>
      </c>
      <c r="I937">
        <v>1</v>
      </c>
      <c r="J937" t="s">
        <v>51</v>
      </c>
      <c r="K937">
        <v>4774</v>
      </c>
      <c r="L937">
        <v>0</v>
      </c>
      <c r="M937" t="s">
        <v>41</v>
      </c>
      <c r="N937">
        <v>19</v>
      </c>
      <c r="O937">
        <v>3</v>
      </c>
      <c r="P937">
        <v>1</v>
      </c>
      <c r="Q937">
        <v>8</v>
      </c>
      <c r="R937">
        <v>2</v>
      </c>
      <c r="S937">
        <v>7</v>
      </c>
      <c r="T937">
        <v>7</v>
      </c>
      <c r="U937">
        <v>3</v>
      </c>
      <c r="V937" t="s">
        <v>52</v>
      </c>
      <c r="W937" s="1" t="s">
        <v>440</v>
      </c>
      <c r="Y937" t="s">
        <v>54</v>
      </c>
      <c r="Z937" t="s">
        <v>47</v>
      </c>
      <c r="AA937">
        <v>2</v>
      </c>
      <c r="AB937">
        <v>1</v>
      </c>
      <c r="AC937" t="s">
        <v>31</v>
      </c>
      <c r="AD937" t="s">
        <v>65</v>
      </c>
      <c r="AE937" t="s">
        <v>49</v>
      </c>
      <c r="AF937" s="3">
        <v>1304</v>
      </c>
      <c r="AG937" s="3">
        <v>56</v>
      </c>
      <c r="AH937">
        <v>80</v>
      </c>
      <c r="AI937">
        <v>7</v>
      </c>
      <c r="AJ937">
        <v>0</v>
      </c>
      <c r="AL937">
        <v>0</v>
      </c>
      <c r="AM937">
        <v>1</v>
      </c>
      <c r="AN937" t="s">
        <v>768</v>
      </c>
      <c r="AO937" t="s">
        <v>41</v>
      </c>
    </row>
    <row r="938" spans="1:41" x14ac:dyDescent="0.25">
      <c r="A938">
        <v>26</v>
      </c>
      <c r="B938" t="s">
        <v>66</v>
      </c>
      <c r="C938" t="s">
        <v>33</v>
      </c>
      <c r="D938">
        <v>6</v>
      </c>
      <c r="E938" t="s">
        <v>34</v>
      </c>
      <c r="F938">
        <v>4</v>
      </c>
      <c r="G938">
        <v>1</v>
      </c>
      <c r="H938" t="s">
        <v>35</v>
      </c>
      <c r="I938">
        <v>4</v>
      </c>
      <c r="J938" t="s">
        <v>51</v>
      </c>
      <c r="K938">
        <v>2544</v>
      </c>
      <c r="L938">
        <v>0</v>
      </c>
      <c r="M938" t="s">
        <v>41</v>
      </c>
      <c r="N938">
        <v>18</v>
      </c>
      <c r="O938">
        <v>3</v>
      </c>
      <c r="P938">
        <v>1</v>
      </c>
      <c r="Q938">
        <v>8</v>
      </c>
      <c r="R938">
        <v>3</v>
      </c>
      <c r="S938">
        <v>7</v>
      </c>
      <c r="T938">
        <v>7</v>
      </c>
      <c r="U938">
        <v>7</v>
      </c>
      <c r="V938" t="s">
        <v>37</v>
      </c>
      <c r="W938" s="1" t="s">
        <v>449</v>
      </c>
      <c r="Y938" t="s">
        <v>39</v>
      </c>
      <c r="Z938" t="s">
        <v>47</v>
      </c>
      <c r="AA938">
        <v>5</v>
      </c>
      <c r="AB938">
        <v>0</v>
      </c>
      <c r="AC938" t="s">
        <v>41</v>
      </c>
      <c r="AD938" t="s">
        <v>42</v>
      </c>
      <c r="AE938" t="s">
        <v>60</v>
      </c>
      <c r="AF938" s="3">
        <v>1306</v>
      </c>
      <c r="AG938" s="3">
        <v>83</v>
      </c>
      <c r="AH938">
        <v>80</v>
      </c>
      <c r="AI938">
        <v>0</v>
      </c>
      <c r="AJ938">
        <v>0</v>
      </c>
      <c r="AL938">
        <v>0</v>
      </c>
      <c r="AM938">
        <v>1</v>
      </c>
      <c r="AN938" t="s">
        <v>768</v>
      </c>
      <c r="AO938" t="s">
        <v>41</v>
      </c>
    </row>
    <row r="939" spans="1:41" x14ac:dyDescent="0.25">
      <c r="A939">
        <v>28</v>
      </c>
      <c r="B939" t="s">
        <v>66</v>
      </c>
      <c r="C939" t="s">
        <v>55</v>
      </c>
      <c r="D939">
        <v>1</v>
      </c>
      <c r="E939" t="s">
        <v>34</v>
      </c>
      <c r="F939">
        <v>2</v>
      </c>
      <c r="G939">
        <v>2</v>
      </c>
      <c r="H939" t="s">
        <v>70</v>
      </c>
      <c r="I939">
        <v>4</v>
      </c>
      <c r="J939" t="s">
        <v>51</v>
      </c>
      <c r="K939">
        <v>6834</v>
      </c>
      <c r="L939">
        <v>1</v>
      </c>
      <c r="M939" t="s">
        <v>31</v>
      </c>
      <c r="N939">
        <v>12</v>
      </c>
      <c r="O939">
        <v>3</v>
      </c>
      <c r="P939">
        <v>1</v>
      </c>
      <c r="Q939">
        <v>7</v>
      </c>
      <c r="R939">
        <v>2</v>
      </c>
      <c r="S939">
        <v>7</v>
      </c>
      <c r="T939">
        <v>0</v>
      </c>
      <c r="U939">
        <v>7</v>
      </c>
      <c r="V939" t="s">
        <v>52</v>
      </c>
      <c r="W939" s="1" t="s">
        <v>469</v>
      </c>
      <c r="Y939" t="s">
        <v>69</v>
      </c>
      <c r="Z939" t="s">
        <v>47</v>
      </c>
      <c r="AA939">
        <v>2</v>
      </c>
      <c r="AB939">
        <v>0</v>
      </c>
      <c r="AC939" t="s">
        <v>41</v>
      </c>
      <c r="AD939" t="s">
        <v>42</v>
      </c>
      <c r="AE939" t="s">
        <v>49</v>
      </c>
      <c r="AF939" s="3">
        <v>1307</v>
      </c>
      <c r="AG939" s="3">
        <v>94</v>
      </c>
      <c r="AH939">
        <v>80</v>
      </c>
      <c r="AI939">
        <v>9</v>
      </c>
      <c r="AJ939">
        <v>0</v>
      </c>
      <c r="AL939">
        <v>0</v>
      </c>
      <c r="AM939">
        <v>1</v>
      </c>
      <c r="AN939" t="s">
        <v>768</v>
      </c>
      <c r="AO939" t="s">
        <v>41</v>
      </c>
    </row>
    <row r="940" spans="1:41" x14ac:dyDescent="0.25">
      <c r="A940">
        <v>26</v>
      </c>
      <c r="B940" t="s">
        <v>32</v>
      </c>
      <c r="C940" t="s">
        <v>33</v>
      </c>
      <c r="D940">
        <v>1</v>
      </c>
      <c r="E940" t="s">
        <v>34</v>
      </c>
      <c r="F940">
        <v>3</v>
      </c>
      <c r="G940">
        <v>1</v>
      </c>
      <c r="H940" t="s">
        <v>35</v>
      </c>
      <c r="I940">
        <v>1</v>
      </c>
      <c r="J940" t="s">
        <v>36</v>
      </c>
      <c r="K940">
        <v>2867</v>
      </c>
      <c r="L940">
        <v>0</v>
      </c>
      <c r="M940" t="s">
        <v>41</v>
      </c>
      <c r="N940">
        <v>13</v>
      </c>
      <c r="O940">
        <v>3</v>
      </c>
      <c r="P940">
        <v>0</v>
      </c>
      <c r="Q940">
        <v>8</v>
      </c>
      <c r="R940">
        <v>6</v>
      </c>
      <c r="S940">
        <v>7</v>
      </c>
      <c r="T940">
        <v>7</v>
      </c>
      <c r="U940">
        <v>6</v>
      </c>
      <c r="V940" t="s">
        <v>37</v>
      </c>
      <c r="W940" s="1" t="s">
        <v>470</v>
      </c>
      <c r="Y940" t="s">
        <v>46</v>
      </c>
      <c r="Z940" t="s">
        <v>40</v>
      </c>
      <c r="AA940">
        <v>1</v>
      </c>
      <c r="AB940">
        <v>0</v>
      </c>
      <c r="AC940" t="s">
        <v>41</v>
      </c>
      <c r="AD940" t="s">
        <v>65</v>
      </c>
      <c r="AE940" t="s">
        <v>60</v>
      </c>
      <c r="AF940" s="3">
        <v>1308</v>
      </c>
      <c r="AG940" s="3">
        <v>88</v>
      </c>
      <c r="AH940">
        <v>80</v>
      </c>
      <c r="AI940">
        <v>2</v>
      </c>
      <c r="AJ940">
        <v>0</v>
      </c>
      <c r="AL940">
        <v>0</v>
      </c>
      <c r="AM940">
        <v>1</v>
      </c>
      <c r="AN940" t="s">
        <v>768</v>
      </c>
      <c r="AO940" t="s">
        <v>41</v>
      </c>
    </row>
    <row r="941" spans="1:41" x14ac:dyDescent="0.25">
      <c r="A941">
        <v>27</v>
      </c>
      <c r="B941" t="s">
        <v>32</v>
      </c>
      <c r="C941" t="s">
        <v>55</v>
      </c>
      <c r="D941">
        <v>9</v>
      </c>
      <c r="E941" t="s">
        <v>34</v>
      </c>
      <c r="F941">
        <v>3</v>
      </c>
      <c r="G941">
        <v>2</v>
      </c>
      <c r="H941" t="s">
        <v>70</v>
      </c>
      <c r="I941">
        <v>4</v>
      </c>
      <c r="J941" t="s">
        <v>36</v>
      </c>
      <c r="K941">
        <v>4105</v>
      </c>
      <c r="L941">
        <v>1</v>
      </c>
      <c r="M941" t="s">
        <v>41</v>
      </c>
      <c r="N941">
        <v>14</v>
      </c>
      <c r="O941">
        <v>3</v>
      </c>
      <c r="P941">
        <v>0</v>
      </c>
      <c r="Q941">
        <v>7</v>
      </c>
      <c r="R941">
        <v>5</v>
      </c>
      <c r="S941">
        <v>7</v>
      </c>
      <c r="T941">
        <v>0</v>
      </c>
      <c r="U941">
        <v>7</v>
      </c>
      <c r="V941" t="s">
        <v>72</v>
      </c>
      <c r="W941" s="1" t="s">
        <v>471</v>
      </c>
      <c r="Y941" t="s">
        <v>54</v>
      </c>
      <c r="Z941" t="s">
        <v>40</v>
      </c>
      <c r="AA941">
        <v>4</v>
      </c>
      <c r="AB941">
        <v>1</v>
      </c>
      <c r="AC941" t="s">
        <v>41</v>
      </c>
      <c r="AD941" t="s">
        <v>42</v>
      </c>
      <c r="AE941" t="s">
        <v>60</v>
      </c>
      <c r="AF941" s="3">
        <v>1309</v>
      </c>
      <c r="AG941" s="3">
        <v>79</v>
      </c>
      <c r="AH941">
        <v>80</v>
      </c>
      <c r="AI941">
        <v>4</v>
      </c>
      <c r="AJ941">
        <v>1</v>
      </c>
      <c r="AK941">
        <v>1</v>
      </c>
      <c r="AL941">
        <v>1</v>
      </c>
      <c r="AM941">
        <v>0</v>
      </c>
      <c r="AN941" t="s">
        <v>767</v>
      </c>
      <c r="AO941" t="s">
        <v>31</v>
      </c>
    </row>
    <row r="942" spans="1:41" x14ac:dyDescent="0.25">
      <c r="A942">
        <v>39</v>
      </c>
      <c r="B942" t="s">
        <v>32</v>
      </c>
      <c r="C942" t="s">
        <v>33</v>
      </c>
      <c r="D942">
        <v>24</v>
      </c>
      <c r="E942" t="s">
        <v>34</v>
      </c>
      <c r="F942">
        <v>3</v>
      </c>
      <c r="G942">
        <v>2</v>
      </c>
      <c r="H942" t="s">
        <v>44</v>
      </c>
      <c r="I942">
        <v>4</v>
      </c>
      <c r="J942" t="s">
        <v>36</v>
      </c>
      <c r="K942">
        <v>4108</v>
      </c>
      <c r="L942">
        <v>7</v>
      </c>
      <c r="M942" t="s">
        <v>41</v>
      </c>
      <c r="N942">
        <v>13</v>
      </c>
      <c r="O942">
        <v>3</v>
      </c>
      <c r="P942">
        <v>0</v>
      </c>
      <c r="Q942">
        <v>18</v>
      </c>
      <c r="R942">
        <v>2</v>
      </c>
      <c r="S942">
        <v>7</v>
      </c>
      <c r="T942">
        <v>1</v>
      </c>
      <c r="U942">
        <v>7</v>
      </c>
      <c r="V942" t="s">
        <v>37</v>
      </c>
      <c r="W942" s="1" t="s">
        <v>454</v>
      </c>
      <c r="Y942" t="s">
        <v>39</v>
      </c>
      <c r="Z942" t="s">
        <v>40</v>
      </c>
      <c r="AA942">
        <v>2</v>
      </c>
      <c r="AB942">
        <v>0</v>
      </c>
      <c r="AC942" t="s">
        <v>31</v>
      </c>
      <c r="AD942" t="s">
        <v>48</v>
      </c>
      <c r="AE942" t="s">
        <v>43</v>
      </c>
      <c r="AF942" s="3">
        <v>1310</v>
      </c>
      <c r="AG942" s="3">
        <v>93</v>
      </c>
      <c r="AH942">
        <v>80</v>
      </c>
      <c r="AI942">
        <v>2</v>
      </c>
      <c r="AJ942">
        <v>1</v>
      </c>
      <c r="AK942">
        <v>1</v>
      </c>
      <c r="AL942">
        <v>1</v>
      </c>
      <c r="AM942">
        <v>0</v>
      </c>
      <c r="AN942" t="s">
        <v>767</v>
      </c>
      <c r="AO942" t="s">
        <v>31</v>
      </c>
    </row>
    <row r="943" spans="1:41" x14ac:dyDescent="0.25">
      <c r="A943">
        <v>39</v>
      </c>
      <c r="B943" t="s">
        <v>32</v>
      </c>
      <c r="C943" t="s">
        <v>33</v>
      </c>
      <c r="D943">
        <v>6</v>
      </c>
      <c r="E943" t="s">
        <v>34</v>
      </c>
      <c r="F943">
        <v>2</v>
      </c>
      <c r="G943">
        <v>3</v>
      </c>
      <c r="H943" t="s">
        <v>89</v>
      </c>
      <c r="I943">
        <v>1</v>
      </c>
      <c r="J943" t="s">
        <v>51</v>
      </c>
      <c r="K943">
        <v>9991</v>
      </c>
      <c r="L943">
        <v>4</v>
      </c>
      <c r="M943" t="s">
        <v>41</v>
      </c>
      <c r="N943">
        <v>15</v>
      </c>
      <c r="O943">
        <v>3</v>
      </c>
      <c r="P943">
        <v>1</v>
      </c>
      <c r="Q943">
        <v>9</v>
      </c>
      <c r="R943">
        <v>5</v>
      </c>
      <c r="S943">
        <v>7</v>
      </c>
      <c r="T943">
        <v>1</v>
      </c>
      <c r="U943">
        <v>7</v>
      </c>
      <c r="V943" t="s">
        <v>52</v>
      </c>
      <c r="W943" s="1" t="s">
        <v>467</v>
      </c>
      <c r="Y943" t="s">
        <v>46</v>
      </c>
      <c r="Z943" t="s">
        <v>40</v>
      </c>
      <c r="AA943">
        <v>5</v>
      </c>
      <c r="AB943">
        <v>2</v>
      </c>
      <c r="AC943" t="s">
        <v>31</v>
      </c>
      <c r="AD943" t="s">
        <v>65</v>
      </c>
      <c r="AE943" t="s">
        <v>60</v>
      </c>
      <c r="AF943" s="3">
        <v>1311</v>
      </c>
      <c r="AG943" s="3">
        <v>48</v>
      </c>
      <c r="AH943">
        <v>80</v>
      </c>
      <c r="AI943">
        <v>2</v>
      </c>
      <c r="AJ943">
        <v>0</v>
      </c>
      <c r="AL943">
        <v>0</v>
      </c>
      <c r="AM943">
        <v>1</v>
      </c>
      <c r="AN943" t="s">
        <v>768</v>
      </c>
      <c r="AO943" t="s">
        <v>41</v>
      </c>
    </row>
    <row r="944" spans="1:41" x14ac:dyDescent="0.25">
      <c r="A944">
        <v>33</v>
      </c>
      <c r="B944" t="s">
        <v>66</v>
      </c>
      <c r="C944" t="s">
        <v>33</v>
      </c>
      <c r="D944">
        <v>3</v>
      </c>
      <c r="E944" t="s">
        <v>61</v>
      </c>
      <c r="F944">
        <v>3</v>
      </c>
      <c r="G944">
        <v>1</v>
      </c>
      <c r="H944" t="s">
        <v>44</v>
      </c>
      <c r="I944">
        <v>3</v>
      </c>
      <c r="J944" t="s">
        <v>51</v>
      </c>
      <c r="K944">
        <v>2909</v>
      </c>
      <c r="L944">
        <v>1</v>
      </c>
      <c r="M944" t="s">
        <v>31</v>
      </c>
      <c r="N944">
        <v>11</v>
      </c>
      <c r="O944">
        <v>3</v>
      </c>
      <c r="P944">
        <v>0</v>
      </c>
      <c r="Q944">
        <v>8</v>
      </c>
      <c r="R944">
        <v>3</v>
      </c>
      <c r="S944">
        <v>8</v>
      </c>
      <c r="T944">
        <v>3</v>
      </c>
      <c r="U944">
        <v>0</v>
      </c>
      <c r="V944" t="s">
        <v>37</v>
      </c>
      <c r="W944" s="1" t="s">
        <v>472</v>
      </c>
      <c r="Y944" t="s">
        <v>54</v>
      </c>
      <c r="Z944" t="s">
        <v>47</v>
      </c>
      <c r="AA944">
        <v>2</v>
      </c>
      <c r="AB944">
        <v>0</v>
      </c>
      <c r="AC944" t="s">
        <v>41</v>
      </c>
      <c r="AD944" t="s">
        <v>67</v>
      </c>
      <c r="AE944" t="s">
        <v>43</v>
      </c>
      <c r="AF944" s="3">
        <v>1312</v>
      </c>
      <c r="AG944" s="3">
        <v>63</v>
      </c>
      <c r="AH944">
        <v>80</v>
      </c>
      <c r="AI944">
        <v>7</v>
      </c>
      <c r="AJ944">
        <v>0</v>
      </c>
      <c r="AL944">
        <v>0</v>
      </c>
      <c r="AM944">
        <v>1</v>
      </c>
      <c r="AN944" t="s">
        <v>768</v>
      </c>
      <c r="AO944" t="s">
        <v>41</v>
      </c>
    </row>
    <row r="945" spans="1:41" x14ac:dyDescent="0.25">
      <c r="A945">
        <v>50</v>
      </c>
      <c r="B945" t="s">
        <v>66</v>
      </c>
      <c r="C945" t="s">
        <v>33</v>
      </c>
      <c r="D945">
        <v>1</v>
      </c>
      <c r="E945" t="s">
        <v>61</v>
      </c>
      <c r="F945">
        <v>3</v>
      </c>
      <c r="G945">
        <v>5</v>
      </c>
      <c r="H945" t="s">
        <v>50</v>
      </c>
      <c r="I945">
        <v>2</v>
      </c>
      <c r="J945" t="s">
        <v>51</v>
      </c>
      <c r="K945">
        <v>18172</v>
      </c>
      <c r="L945">
        <v>3</v>
      </c>
      <c r="M945" t="s">
        <v>31</v>
      </c>
      <c r="N945">
        <v>19</v>
      </c>
      <c r="O945">
        <v>3</v>
      </c>
      <c r="P945">
        <v>0</v>
      </c>
      <c r="Q945">
        <v>28</v>
      </c>
      <c r="R945">
        <v>1</v>
      </c>
      <c r="S945">
        <v>8</v>
      </c>
      <c r="T945">
        <v>0</v>
      </c>
      <c r="U945">
        <v>7</v>
      </c>
      <c r="V945" t="s">
        <v>52</v>
      </c>
      <c r="W945" s="1" t="s">
        <v>473</v>
      </c>
      <c r="Y945" t="s">
        <v>46</v>
      </c>
      <c r="Z945" t="s">
        <v>47</v>
      </c>
      <c r="AA945">
        <v>5</v>
      </c>
      <c r="AB945">
        <v>3</v>
      </c>
      <c r="AC945" t="s">
        <v>31</v>
      </c>
      <c r="AD945" t="s">
        <v>67</v>
      </c>
      <c r="AE945" t="s">
        <v>60</v>
      </c>
      <c r="AF945" s="3">
        <v>1314</v>
      </c>
      <c r="AG945" s="3">
        <v>44</v>
      </c>
      <c r="AH945">
        <v>80</v>
      </c>
      <c r="AI945">
        <v>6</v>
      </c>
      <c r="AJ945">
        <v>0</v>
      </c>
      <c r="AL945">
        <v>0</v>
      </c>
      <c r="AM945">
        <v>1</v>
      </c>
      <c r="AN945" t="s">
        <v>768</v>
      </c>
      <c r="AO945" t="s">
        <v>41</v>
      </c>
    </row>
    <row r="946" spans="1:41" x14ac:dyDescent="0.25">
      <c r="A946">
        <v>26</v>
      </c>
      <c r="B946" t="s">
        <v>32</v>
      </c>
      <c r="C946" t="s">
        <v>120</v>
      </c>
      <c r="D946">
        <v>25</v>
      </c>
      <c r="E946" t="s">
        <v>61</v>
      </c>
      <c r="F946">
        <v>3</v>
      </c>
      <c r="G946">
        <v>1</v>
      </c>
      <c r="H946" t="s">
        <v>120</v>
      </c>
      <c r="I946">
        <v>3</v>
      </c>
      <c r="J946" t="s">
        <v>51</v>
      </c>
      <c r="K946">
        <v>2942</v>
      </c>
      <c r="L946">
        <v>1</v>
      </c>
      <c r="M946" t="s">
        <v>41</v>
      </c>
      <c r="N946">
        <v>23</v>
      </c>
      <c r="O946">
        <v>4</v>
      </c>
      <c r="P946">
        <v>1</v>
      </c>
      <c r="Q946">
        <v>8</v>
      </c>
      <c r="R946">
        <v>3</v>
      </c>
      <c r="S946">
        <v>8</v>
      </c>
      <c r="T946">
        <v>5</v>
      </c>
      <c r="U946">
        <v>7</v>
      </c>
      <c r="V946" t="s">
        <v>72</v>
      </c>
      <c r="W946" s="1" t="s">
        <v>474</v>
      </c>
      <c r="Y946" t="s">
        <v>39</v>
      </c>
      <c r="Z946" t="s">
        <v>40</v>
      </c>
      <c r="AA946">
        <v>0</v>
      </c>
      <c r="AB946">
        <v>2</v>
      </c>
      <c r="AC946" t="s">
        <v>41</v>
      </c>
      <c r="AD946" t="s">
        <v>67</v>
      </c>
      <c r="AE946" t="s">
        <v>49</v>
      </c>
      <c r="AF946" s="3">
        <v>1315</v>
      </c>
      <c r="AG946" s="3">
        <v>55</v>
      </c>
      <c r="AH946">
        <v>80</v>
      </c>
      <c r="AI946">
        <v>8</v>
      </c>
      <c r="AJ946">
        <v>0</v>
      </c>
      <c r="AL946">
        <v>0</v>
      </c>
      <c r="AM946">
        <v>1</v>
      </c>
      <c r="AN946" t="s">
        <v>768</v>
      </c>
      <c r="AO946" t="s">
        <v>41</v>
      </c>
    </row>
    <row r="947" spans="1:41" x14ac:dyDescent="0.25">
      <c r="A947">
        <v>32</v>
      </c>
      <c r="B947" t="s">
        <v>66</v>
      </c>
      <c r="C947" t="s">
        <v>55</v>
      </c>
      <c r="D947">
        <v>9</v>
      </c>
      <c r="E947" t="s">
        <v>34</v>
      </c>
      <c r="F947">
        <v>1</v>
      </c>
      <c r="G947">
        <v>2</v>
      </c>
      <c r="H947" t="s">
        <v>70</v>
      </c>
      <c r="I947">
        <v>4</v>
      </c>
      <c r="J947" t="s">
        <v>57</v>
      </c>
      <c r="K947">
        <v>4668</v>
      </c>
      <c r="L947">
        <v>0</v>
      </c>
      <c r="M947" t="s">
        <v>41</v>
      </c>
      <c r="N947">
        <v>17</v>
      </c>
      <c r="O947">
        <v>3</v>
      </c>
      <c r="P947">
        <v>3</v>
      </c>
      <c r="Q947">
        <v>9</v>
      </c>
      <c r="R947">
        <v>2</v>
      </c>
      <c r="S947">
        <v>8</v>
      </c>
      <c r="T947">
        <v>0</v>
      </c>
      <c r="U947">
        <v>7</v>
      </c>
      <c r="V947" t="s">
        <v>72</v>
      </c>
      <c r="W947" s="1" t="s">
        <v>475</v>
      </c>
      <c r="Y947" t="s">
        <v>69</v>
      </c>
      <c r="Z947" t="s">
        <v>40</v>
      </c>
      <c r="AA947">
        <v>5</v>
      </c>
      <c r="AB947">
        <v>3</v>
      </c>
      <c r="AC947" t="s">
        <v>31</v>
      </c>
      <c r="AD947" t="s">
        <v>42</v>
      </c>
      <c r="AE947" t="s">
        <v>60</v>
      </c>
      <c r="AF947" s="3">
        <v>1317</v>
      </c>
      <c r="AG947" s="3">
        <v>43</v>
      </c>
      <c r="AH947">
        <v>80</v>
      </c>
      <c r="AI947">
        <v>2</v>
      </c>
      <c r="AJ947">
        <v>0</v>
      </c>
      <c r="AL947">
        <v>0</v>
      </c>
      <c r="AM947">
        <v>1</v>
      </c>
      <c r="AN947" t="s">
        <v>768</v>
      </c>
      <c r="AO947" t="s">
        <v>41</v>
      </c>
    </row>
    <row r="948" spans="1:41" x14ac:dyDescent="0.25">
      <c r="A948">
        <v>38</v>
      </c>
      <c r="B948" t="s">
        <v>32</v>
      </c>
      <c r="C948" t="s">
        <v>55</v>
      </c>
      <c r="D948">
        <v>1</v>
      </c>
      <c r="E948" t="s">
        <v>61</v>
      </c>
      <c r="F948">
        <v>2</v>
      </c>
      <c r="G948">
        <v>2</v>
      </c>
      <c r="H948" t="s">
        <v>70</v>
      </c>
      <c r="I948">
        <v>4</v>
      </c>
      <c r="J948" t="s">
        <v>36</v>
      </c>
      <c r="K948">
        <v>8686</v>
      </c>
      <c r="L948">
        <v>4</v>
      </c>
      <c r="M948" t="s">
        <v>41</v>
      </c>
      <c r="N948">
        <v>22</v>
      </c>
      <c r="O948">
        <v>4</v>
      </c>
      <c r="P948">
        <v>0</v>
      </c>
      <c r="Q948">
        <v>12</v>
      </c>
      <c r="R948">
        <v>2</v>
      </c>
      <c r="S948">
        <v>8</v>
      </c>
      <c r="T948">
        <v>0</v>
      </c>
      <c r="U948">
        <v>7</v>
      </c>
      <c r="V948" t="s">
        <v>72</v>
      </c>
      <c r="W948" s="1" t="s">
        <v>476</v>
      </c>
      <c r="Y948" t="s">
        <v>63</v>
      </c>
      <c r="Z948" t="s">
        <v>47</v>
      </c>
      <c r="AA948">
        <v>0</v>
      </c>
      <c r="AB948">
        <v>1</v>
      </c>
      <c r="AC948" t="s">
        <v>41</v>
      </c>
      <c r="AD948" t="s">
        <v>42</v>
      </c>
      <c r="AE948" t="s">
        <v>43</v>
      </c>
      <c r="AF948" s="3">
        <v>1318</v>
      </c>
      <c r="AG948" s="3">
        <v>57</v>
      </c>
      <c r="AH948">
        <v>80</v>
      </c>
      <c r="AI948">
        <v>4</v>
      </c>
      <c r="AJ948">
        <v>1</v>
      </c>
      <c r="AK948">
        <v>1</v>
      </c>
      <c r="AL948">
        <v>1</v>
      </c>
      <c r="AM948">
        <v>0</v>
      </c>
      <c r="AN948" t="s">
        <v>767</v>
      </c>
      <c r="AO948" t="s">
        <v>31</v>
      </c>
    </row>
    <row r="949" spans="1:41" x14ac:dyDescent="0.25">
      <c r="A949">
        <v>36</v>
      </c>
      <c r="B949" t="s">
        <v>66</v>
      </c>
      <c r="C949" t="s">
        <v>33</v>
      </c>
      <c r="D949">
        <v>3</v>
      </c>
      <c r="E949" t="s">
        <v>34</v>
      </c>
      <c r="F949">
        <v>3</v>
      </c>
      <c r="G949">
        <v>1</v>
      </c>
      <c r="H949" t="s">
        <v>35</v>
      </c>
      <c r="I949">
        <v>2</v>
      </c>
      <c r="J949" t="s">
        <v>36</v>
      </c>
      <c r="K949">
        <v>2088</v>
      </c>
      <c r="L949">
        <v>4</v>
      </c>
      <c r="M949" t="s">
        <v>41</v>
      </c>
      <c r="N949">
        <v>12</v>
      </c>
      <c r="O949">
        <v>3</v>
      </c>
      <c r="P949">
        <v>0</v>
      </c>
      <c r="Q949">
        <v>13</v>
      </c>
      <c r="R949">
        <v>3</v>
      </c>
      <c r="S949">
        <v>8</v>
      </c>
      <c r="T949">
        <v>7</v>
      </c>
      <c r="U949">
        <v>2</v>
      </c>
      <c r="V949" t="s">
        <v>37</v>
      </c>
      <c r="W949" s="1" t="s">
        <v>477</v>
      </c>
      <c r="Y949" t="s">
        <v>54</v>
      </c>
      <c r="Z949" t="s">
        <v>47</v>
      </c>
      <c r="AA949">
        <v>5</v>
      </c>
      <c r="AB949">
        <v>1</v>
      </c>
      <c r="AC949" t="s">
        <v>31</v>
      </c>
      <c r="AD949" t="s">
        <v>42</v>
      </c>
      <c r="AE949" t="s">
        <v>60</v>
      </c>
      <c r="AF949" s="3">
        <v>1319</v>
      </c>
      <c r="AG949" s="3">
        <v>64</v>
      </c>
      <c r="AH949">
        <v>80</v>
      </c>
      <c r="AI949">
        <v>7</v>
      </c>
      <c r="AJ949">
        <v>1</v>
      </c>
      <c r="AK949">
        <v>1</v>
      </c>
      <c r="AL949">
        <v>1</v>
      </c>
      <c r="AM949">
        <v>0</v>
      </c>
      <c r="AN949" t="s">
        <v>767</v>
      </c>
      <c r="AO949" t="s">
        <v>31</v>
      </c>
    </row>
    <row r="950" spans="1:41" x14ac:dyDescent="0.25">
      <c r="A950">
        <v>33</v>
      </c>
      <c r="B950" t="s">
        <v>32</v>
      </c>
      <c r="C950" t="s">
        <v>33</v>
      </c>
      <c r="D950">
        <v>14</v>
      </c>
      <c r="E950" t="s">
        <v>61</v>
      </c>
      <c r="F950">
        <v>3</v>
      </c>
      <c r="G950">
        <v>1</v>
      </c>
      <c r="H950" t="s">
        <v>44</v>
      </c>
      <c r="I950">
        <v>2</v>
      </c>
      <c r="J950" t="s">
        <v>51</v>
      </c>
      <c r="K950">
        <v>2756</v>
      </c>
      <c r="L950">
        <v>1</v>
      </c>
      <c r="M950" t="s">
        <v>41</v>
      </c>
      <c r="N950">
        <v>13</v>
      </c>
      <c r="O950">
        <v>3</v>
      </c>
      <c r="P950">
        <v>1</v>
      </c>
      <c r="Q950">
        <v>8</v>
      </c>
      <c r="R950">
        <v>5</v>
      </c>
      <c r="S950">
        <v>8</v>
      </c>
      <c r="T950">
        <v>1</v>
      </c>
      <c r="U950">
        <v>6</v>
      </c>
      <c r="V950" t="s">
        <v>58</v>
      </c>
      <c r="W950" s="1" t="s">
        <v>478</v>
      </c>
      <c r="Y950" t="s">
        <v>69</v>
      </c>
      <c r="Z950" t="s">
        <v>40</v>
      </c>
      <c r="AA950">
        <v>4</v>
      </c>
      <c r="AB950">
        <v>1</v>
      </c>
      <c r="AC950" t="s">
        <v>41</v>
      </c>
      <c r="AD950" t="s">
        <v>48</v>
      </c>
      <c r="AE950" t="s">
        <v>43</v>
      </c>
      <c r="AF950" s="3">
        <v>1321</v>
      </c>
      <c r="AG950" s="3">
        <v>95</v>
      </c>
      <c r="AH950">
        <v>80</v>
      </c>
      <c r="AI950">
        <v>1</v>
      </c>
      <c r="AJ950">
        <v>0</v>
      </c>
      <c r="AL950">
        <v>0</v>
      </c>
      <c r="AM950">
        <v>1</v>
      </c>
      <c r="AN950" t="s">
        <v>768</v>
      </c>
      <c r="AO950" t="s">
        <v>41</v>
      </c>
    </row>
    <row r="951" spans="1:41" x14ac:dyDescent="0.25">
      <c r="A951">
        <v>37</v>
      </c>
      <c r="B951" t="s">
        <v>32</v>
      </c>
      <c r="C951" t="s">
        <v>33</v>
      </c>
      <c r="D951">
        <v>21</v>
      </c>
      <c r="E951" t="s">
        <v>34</v>
      </c>
      <c r="F951">
        <v>4</v>
      </c>
      <c r="G951">
        <v>1</v>
      </c>
      <c r="H951" t="s">
        <v>44</v>
      </c>
      <c r="I951">
        <v>1</v>
      </c>
      <c r="J951" t="s">
        <v>51</v>
      </c>
      <c r="K951">
        <v>3564</v>
      </c>
      <c r="L951">
        <v>1</v>
      </c>
      <c r="M951" t="s">
        <v>31</v>
      </c>
      <c r="N951">
        <v>12</v>
      </c>
      <c r="O951">
        <v>3</v>
      </c>
      <c r="P951">
        <v>1</v>
      </c>
      <c r="Q951">
        <v>8</v>
      </c>
      <c r="R951">
        <v>3</v>
      </c>
      <c r="S951">
        <v>8</v>
      </c>
      <c r="T951">
        <v>1</v>
      </c>
      <c r="U951">
        <v>7</v>
      </c>
      <c r="V951" t="s">
        <v>58</v>
      </c>
      <c r="W951" s="2">
        <v>41583</v>
      </c>
      <c r="Y951" t="s">
        <v>54</v>
      </c>
      <c r="Z951" t="s">
        <v>40</v>
      </c>
      <c r="AA951">
        <v>3</v>
      </c>
      <c r="AB951">
        <v>0</v>
      </c>
      <c r="AC951" t="s">
        <v>31</v>
      </c>
      <c r="AD951" t="s">
        <v>67</v>
      </c>
      <c r="AE951" t="s">
        <v>60</v>
      </c>
      <c r="AF951" s="3">
        <v>1322</v>
      </c>
      <c r="AG951" s="3">
        <v>32</v>
      </c>
      <c r="AH951">
        <v>80</v>
      </c>
      <c r="AI951">
        <v>7</v>
      </c>
      <c r="AJ951">
        <v>0</v>
      </c>
      <c r="AL951">
        <v>0</v>
      </c>
      <c r="AM951">
        <v>1</v>
      </c>
      <c r="AN951" t="s">
        <v>768</v>
      </c>
      <c r="AO951" t="s">
        <v>41</v>
      </c>
    </row>
    <row r="952" spans="1:41" x14ac:dyDescent="0.25">
      <c r="A952">
        <v>36</v>
      </c>
      <c r="B952" t="s">
        <v>66</v>
      </c>
      <c r="C952" t="s">
        <v>33</v>
      </c>
      <c r="D952">
        <v>18</v>
      </c>
      <c r="E952" t="s">
        <v>61</v>
      </c>
      <c r="F952">
        <v>3</v>
      </c>
      <c r="G952">
        <v>1</v>
      </c>
      <c r="H952" t="s">
        <v>35</v>
      </c>
      <c r="I952">
        <v>4</v>
      </c>
      <c r="J952" t="s">
        <v>36</v>
      </c>
      <c r="K952">
        <v>2153</v>
      </c>
      <c r="L952">
        <v>1</v>
      </c>
      <c r="M952" t="s">
        <v>41</v>
      </c>
      <c r="N952">
        <v>13</v>
      </c>
      <c r="O952">
        <v>3</v>
      </c>
      <c r="P952">
        <v>0</v>
      </c>
      <c r="Q952">
        <v>8</v>
      </c>
      <c r="R952">
        <v>2</v>
      </c>
      <c r="S952">
        <v>8</v>
      </c>
      <c r="T952">
        <v>1</v>
      </c>
      <c r="U952">
        <v>7</v>
      </c>
      <c r="V952" t="s">
        <v>52</v>
      </c>
      <c r="W952" s="1" t="s">
        <v>479</v>
      </c>
      <c r="Y952" t="s">
        <v>69</v>
      </c>
      <c r="Z952" t="s">
        <v>40</v>
      </c>
      <c r="AA952">
        <v>4</v>
      </c>
      <c r="AB952">
        <v>3</v>
      </c>
      <c r="AC952" t="s">
        <v>31</v>
      </c>
      <c r="AD952" t="s">
        <v>48</v>
      </c>
      <c r="AE952" t="s">
        <v>49</v>
      </c>
      <c r="AF952" s="3">
        <v>1324</v>
      </c>
      <c r="AG952" s="3">
        <v>57</v>
      </c>
      <c r="AH952">
        <v>80</v>
      </c>
      <c r="AI952">
        <v>8</v>
      </c>
      <c r="AJ952">
        <v>0</v>
      </c>
      <c r="AL952">
        <v>0</v>
      </c>
      <c r="AM952">
        <v>1</v>
      </c>
      <c r="AN952" t="s">
        <v>768</v>
      </c>
      <c r="AO952" t="s">
        <v>41</v>
      </c>
    </row>
    <row r="953" spans="1:41" x14ac:dyDescent="0.25">
      <c r="A953">
        <v>38</v>
      </c>
      <c r="B953" t="s">
        <v>81</v>
      </c>
      <c r="C953" t="s">
        <v>55</v>
      </c>
      <c r="D953">
        <v>2</v>
      </c>
      <c r="E953" t="s">
        <v>34</v>
      </c>
      <c r="F953">
        <v>2</v>
      </c>
      <c r="G953">
        <v>2</v>
      </c>
      <c r="H953" t="s">
        <v>70</v>
      </c>
      <c r="I953">
        <v>4</v>
      </c>
      <c r="J953" t="s">
        <v>51</v>
      </c>
      <c r="K953">
        <v>5249</v>
      </c>
      <c r="L953">
        <v>3</v>
      </c>
      <c r="M953" t="s">
        <v>41</v>
      </c>
      <c r="N953">
        <v>18</v>
      </c>
      <c r="O953">
        <v>3</v>
      </c>
      <c r="P953">
        <v>1</v>
      </c>
      <c r="Q953">
        <v>13</v>
      </c>
      <c r="R953">
        <v>0</v>
      </c>
      <c r="S953">
        <v>8</v>
      </c>
      <c r="T953">
        <v>7</v>
      </c>
      <c r="U953">
        <v>5</v>
      </c>
      <c r="V953" t="s">
        <v>58</v>
      </c>
      <c r="W953" s="1" t="s">
        <v>480</v>
      </c>
      <c r="Y953" t="s">
        <v>39</v>
      </c>
      <c r="Z953" t="s">
        <v>47</v>
      </c>
      <c r="AA953">
        <v>1</v>
      </c>
      <c r="AB953">
        <v>0</v>
      </c>
      <c r="AC953" t="s">
        <v>31</v>
      </c>
      <c r="AD953" t="s">
        <v>67</v>
      </c>
      <c r="AE953" t="s">
        <v>49</v>
      </c>
      <c r="AF953" s="3">
        <v>1329</v>
      </c>
      <c r="AG953" s="3">
        <v>40</v>
      </c>
      <c r="AH953">
        <v>80</v>
      </c>
      <c r="AI953">
        <v>2</v>
      </c>
      <c r="AJ953">
        <v>0</v>
      </c>
      <c r="AL953">
        <v>0</v>
      </c>
      <c r="AM953">
        <v>1</v>
      </c>
      <c r="AN953" t="s">
        <v>768</v>
      </c>
      <c r="AO953" t="s">
        <v>41</v>
      </c>
    </row>
    <row r="954" spans="1:41" x14ac:dyDescent="0.25">
      <c r="A954">
        <v>38</v>
      </c>
      <c r="B954" t="s">
        <v>32</v>
      </c>
      <c r="C954" t="s">
        <v>55</v>
      </c>
      <c r="D954">
        <v>7</v>
      </c>
      <c r="E954" t="s">
        <v>61</v>
      </c>
      <c r="F954">
        <v>4</v>
      </c>
      <c r="G954">
        <v>2</v>
      </c>
      <c r="H954" t="s">
        <v>70</v>
      </c>
      <c r="I954">
        <v>1</v>
      </c>
      <c r="J954" t="s">
        <v>57</v>
      </c>
      <c r="K954">
        <v>5605</v>
      </c>
      <c r="L954">
        <v>1</v>
      </c>
      <c r="M954" t="s">
        <v>31</v>
      </c>
      <c r="N954">
        <v>24</v>
      </c>
      <c r="O954">
        <v>4</v>
      </c>
      <c r="P954">
        <v>1</v>
      </c>
      <c r="Q954">
        <v>8</v>
      </c>
      <c r="R954">
        <v>3</v>
      </c>
      <c r="S954">
        <v>8</v>
      </c>
      <c r="T954">
        <v>7</v>
      </c>
      <c r="U954">
        <v>7</v>
      </c>
      <c r="V954" t="s">
        <v>72</v>
      </c>
      <c r="W954" s="2">
        <v>41518</v>
      </c>
      <c r="Y954" t="s">
        <v>54</v>
      </c>
      <c r="Z954" t="s">
        <v>47</v>
      </c>
      <c r="AA954">
        <v>5</v>
      </c>
      <c r="AB954">
        <v>3</v>
      </c>
      <c r="AC954" t="s">
        <v>41</v>
      </c>
      <c r="AD954" t="s">
        <v>67</v>
      </c>
      <c r="AE954" t="s">
        <v>43</v>
      </c>
      <c r="AF954" s="3">
        <v>1331</v>
      </c>
      <c r="AG954" s="3">
        <v>54</v>
      </c>
      <c r="AH954">
        <v>80</v>
      </c>
      <c r="AI954">
        <v>2</v>
      </c>
      <c r="AJ954">
        <v>1</v>
      </c>
      <c r="AK954">
        <v>1</v>
      </c>
      <c r="AL954">
        <v>1</v>
      </c>
      <c r="AM954">
        <v>0</v>
      </c>
      <c r="AN954" t="s">
        <v>767</v>
      </c>
      <c r="AO954" t="s">
        <v>31</v>
      </c>
    </row>
    <row r="955" spans="1:41" x14ac:dyDescent="0.25">
      <c r="A955">
        <v>36</v>
      </c>
      <c r="B955" t="s">
        <v>32</v>
      </c>
      <c r="C955" t="s">
        <v>33</v>
      </c>
      <c r="D955">
        <v>3</v>
      </c>
      <c r="E955" t="s">
        <v>34</v>
      </c>
      <c r="F955">
        <v>3</v>
      </c>
      <c r="G955">
        <v>2</v>
      </c>
      <c r="H955" t="s">
        <v>44</v>
      </c>
      <c r="I955">
        <v>2</v>
      </c>
      <c r="J955" t="s">
        <v>36</v>
      </c>
      <c r="K955">
        <v>4485</v>
      </c>
      <c r="L955">
        <v>4</v>
      </c>
      <c r="M955" t="s">
        <v>41</v>
      </c>
      <c r="N955">
        <v>12</v>
      </c>
      <c r="O955">
        <v>3</v>
      </c>
      <c r="P955">
        <v>0</v>
      </c>
      <c r="Q955">
        <v>10</v>
      </c>
      <c r="R955">
        <v>2</v>
      </c>
      <c r="S955">
        <v>8</v>
      </c>
      <c r="T955">
        <v>7</v>
      </c>
      <c r="U955">
        <v>7</v>
      </c>
      <c r="V955" t="s">
        <v>72</v>
      </c>
      <c r="W955" s="1" t="s">
        <v>481</v>
      </c>
      <c r="Y955" t="s">
        <v>54</v>
      </c>
      <c r="Z955" t="s">
        <v>47</v>
      </c>
      <c r="AA955">
        <v>5</v>
      </c>
      <c r="AB955">
        <v>2</v>
      </c>
      <c r="AC955" t="s">
        <v>41</v>
      </c>
      <c r="AD955" t="s">
        <v>48</v>
      </c>
      <c r="AE955" t="s">
        <v>60</v>
      </c>
      <c r="AF955" s="3">
        <v>1333</v>
      </c>
      <c r="AG955" s="3">
        <v>89</v>
      </c>
      <c r="AH955">
        <v>80</v>
      </c>
      <c r="AI955">
        <v>2</v>
      </c>
      <c r="AJ955">
        <v>1</v>
      </c>
      <c r="AK955">
        <v>1</v>
      </c>
      <c r="AL955">
        <v>1</v>
      </c>
      <c r="AM955">
        <v>0</v>
      </c>
      <c r="AN955" t="s">
        <v>767</v>
      </c>
      <c r="AO955" t="s">
        <v>31</v>
      </c>
    </row>
    <row r="956" spans="1:41" x14ac:dyDescent="0.25">
      <c r="A956">
        <v>26</v>
      </c>
      <c r="B956" t="s">
        <v>32</v>
      </c>
      <c r="C956" t="s">
        <v>55</v>
      </c>
      <c r="D956">
        <v>4</v>
      </c>
      <c r="E956" t="s">
        <v>34</v>
      </c>
      <c r="F956">
        <v>2</v>
      </c>
      <c r="G956">
        <v>2</v>
      </c>
      <c r="H956" t="s">
        <v>70</v>
      </c>
      <c r="I956">
        <v>4</v>
      </c>
      <c r="J956" t="s">
        <v>36</v>
      </c>
      <c r="K956">
        <v>5828</v>
      </c>
      <c r="L956">
        <v>1</v>
      </c>
      <c r="M956" t="s">
        <v>31</v>
      </c>
      <c r="N956">
        <v>12</v>
      </c>
      <c r="O956">
        <v>3</v>
      </c>
      <c r="P956">
        <v>0</v>
      </c>
      <c r="Q956">
        <v>8</v>
      </c>
      <c r="R956">
        <v>0</v>
      </c>
      <c r="S956">
        <v>8</v>
      </c>
      <c r="T956">
        <v>7</v>
      </c>
      <c r="U956">
        <v>4</v>
      </c>
      <c r="V956" t="s">
        <v>72</v>
      </c>
      <c r="W956" s="1" t="s">
        <v>482</v>
      </c>
      <c r="Y956" t="s">
        <v>46</v>
      </c>
      <c r="Z956" t="s">
        <v>47</v>
      </c>
      <c r="AA956">
        <v>3</v>
      </c>
      <c r="AB956">
        <v>3</v>
      </c>
      <c r="AC956" t="s">
        <v>31</v>
      </c>
      <c r="AD956" t="s">
        <v>48</v>
      </c>
      <c r="AE956" t="s">
        <v>49</v>
      </c>
      <c r="AF956" s="3">
        <v>1334</v>
      </c>
      <c r="AG956" s="3">
        <v>37</v>
      </c>
      <c r="AH956">
        <v>80</v>
      </c>
      <c r="AI956">
        <v>8</v>
      </c>
      <c r="AJ956">
        <v>0</v>
      </c>
      <c r="AL956">
        <v>0</v>
      </c>
      <c r="AM956">
        <v>1</v>
      </c>
      <c r="AN956" t="s">
        <v>768</v>
      </c>
      <c r="AO956" t="s">
        <v>41</v>
      </c>
    </row>
    <row r="957" spans="1:41" x14ac:dyDescent="0.25">
      <c r="A957">
        <v>28</v>
      </c>
      <c r="B957" t="s">
        <v>32</v>
      </c>
      <c r="C957" t="s">
        <v>33</v>
      </c>
      <c r="D957">
        <v>16</v>
      </c>
      <c r="E957" t="s">
        <v>34</v>
      </c>
      <c r="F957">
        <v>4</v>
      </c>
      <c r="G957">
        <v>2</v>
      </c>
      <c r="H957" t="s">
        <v>89</v>
      </c>
      <c r="I957">
        <v>1</v>
      </c>
      <c r="J957" t="s">
        <v>36</v>
      </c>
      <c r="K957">
        <v>5661</v>
      </c>
      <c r="L957">
        <v>0</v>
      </c>
      <c r="M957" t="s">
        <v>41</v>
      </c>
      <c r="N957">
        <v>19</v>
      </c>
      <c r="O957">
        <v>3</v>
      </c>
      <c r="P957">
        <v>0</v>
      </c>
      <c r="Q957">
        <v>9</v>
      </c>
      <c r="R957">
        <v>2</v>
      </c>
      <c r="S957">
        <v>8</v>
      </c>
      <c r="T957">
        <v>0</v>
      </c>
      <c r="U957">
        <v>7</v>
      </c>
      <c r="V957" t="s">
        <v>72</v>
      </c>
      <c r="W957" s="1" t="s">
        <v>483</v>
      </c>
      <c r="Y957" t="s">
        <v>63</v>
      </c>
      <c r="Z957" t="s">
        <v>40</v>
      </c>
      <c r="AA957">
        <v>2</v>
      </c>
      <c r="AB957">
        <v>2</v>
      </c>
      <c r="AC957" t="s">
        <v>41</v>
      </c>
      <c r="AD957" t="s">
        <v>42</v>
      </c>
      <c r="AE957" t="s">
        <v>49</v>
      </c>
      <c r="AF957" s="3">
        <v>1336</v>
      </c>
      <c r="AG957" s="3">
        <v>58</v>
      </c>
      <c r="AH957">
        <v>80</v>
      </c>
      <c r="AI957">
        <v>9</v>
      </c>
      <c r="AJ957">
        <v>0</v>
      </c>
      <c r="AL957">
        <v>0</v>
      </c>
      <c r="AM957">
        <v>1</v>
      </c>
      <c r="AN957" t="s">
        <v>768</v>
      </c>
      <c r="AO957" t="s">
        <v>41</v>
      </c>
    </row>
    <row r="958" spans="1:41" x14ac:dyDescent="0.25">
      <c r="A958">
        <v>31</v>
      </c>
      <c r="B958" t="s">
        <v>32</v>
      </c>
      <c r="C958" t="s">
        <v>55</v>
      </c>
      <c r="D958">
        <v>7</v>
      </c>
      <c r="E958" t="s">
        <v>34</v>
      </c>
      <c r="F958">
        <v>4</v>
      </c>
      <c r="G958">
        <v>2</v>
      </c>
      <c r="H958" t="s">
        <v>70</v>
      </c>
      <c r="I958">
        <v>4</v>
      </c>
      <c r="J958" t="s">
        <v>51</v>
      </c>
      <c r="K958">
        <v>6929</v>
      </c>
      <c r="L958">
        <v>4</v>
      </c>
      <c r="M958" t="s">
        <v>41</v>
      </c>
      <c r="N958">
        <v>11</v>
      </c>
      <c r="O958">
        <v>3</v>
      </c>
      <c r="P958">
        <v>1</v>
      </c>
      <c r="Q958">
        <v>10</v>
      </c>
      <c r="R958">
        <v>3</v>
      </c>
      <c r="S958">
        <v>8</v>
      </c>
      <c r="T958">
        <v>7</v>
      </c>
      <c r="U958">
        <v>7</v>
      </c>
      <c r="V958" t="s">
        <v>52</v>
      </c>
      <c r="W958" s="2">
        <v>41490</v>
      </c>
      <c r="Y958" t="s">
        <v>46</v>
      </c>
      <c r="Z958" t="s">
        <v>47</v>
      </c>
      <c r="AA958">
        <v>2</v>
      </c>
      <c r="AB958">
        <v>2</v>
      </c>
      <c r="AC958" t="s">
        <v>31</v>
      </c>
      <c r="AD958" t="s">
        <v>67</v>
      </c>
      <c r="AE958" t="s">
        <v>60</v>
      </c>
      <c r="AF958" s="3">
        <v>1338</v>
      </c>
      <c r="AG958" s="3">
        <v>99</v>
      </c>
      <c r="AH958">
        <v>80</v>
      </c>
      <c r="AI958">
        <v>3</v>
      </c>
      <c r="AJ958">
        <v>0</v>
      </c>
      <c r="AL958">
        <v>0</v>
      </c>
      <c r="AM958">
        <v>1</v>
      </c>
      <c r="AN958" t="s">
        <v>768</v>
      </c>
      <c r="AO958" t="s">
        <v>41</v>
      </c>
    </row>
    <row r="959" spans="1:41" x14ac:dyDescent="0.25">
      <c r="A959">
        <v>43</v>
      </c>
      <c r="B959" t="s">
        <v>66</v>
      </c>
      <c r="C959" t="s">
        <v>33</v>
      </c>
      <c r="D959">
        <v>10</v>
      </c>
      <c r="E959" t="s">
        <v>61</v>
      </c>
      <c r="F959">
        <v>3</v>
      </c>
      <c r="G959">
        <v>1</v>
      </c>
      <c r="H959" t="s">
        <v>35</v>
      </c>
      <c r="I959">
        <v>4</v>
      </c>
      <c r="J959" t="s">
        <v>36</v>
      </c>
      <c r="K959">
        <v>2455</v>
      </c>
      <c r="L959">
        <v>0</v>
      </c>
      <c r="M959" t="s">
        <v>41</v>
      </c>
      <c r="N959">
        <v>19</v>
      </c>
      <c r="O959">
        <v>3</v>
      </c>
      <c r="P959">
        <v>0</v>
      </c>
      <c r="Q959">
        <v>9</v>
      </c>
      <c r="R959">
        <v>5</v>
      </c>
      <c r="S959">
        <v>8</v>
      </c>
      <c r="T959">
        <v>1</v>
      </c>
      <c r="U959">
        <v>7</v>
      </c>
      <c r="V959" t="s">
        <v>72</v>
      </c>
      <c r="W959" s="1" t="s">
        <v>484</v>
      </c>
      <c r="Y959" t="s">
        <v>63</v>
      </c>
      <c r="Z959" t="s">
        <v>47</v>
      </c>
      <c r="AA959">
        <v>0</v>
      </c>
      <c r="AB959">
        <v>1</v>
      </c>
      <c r="AC959" t="s">
        <v>41</v>
      </c>
      <c r="AD959" t="s">
        <v>42</v>
      </c>
      <c r="AE959" t="s">
        <v>49</v>
      </c>
      <c r="AF959" s="3">
        <v>1340</v>
      </c>
      <c r="AG959" s="3">
        <v>74</v>
      </c>
      <c r="AH959">
        <v>80</v>
      </c>
      <c r="AI959">
        <v>2</v>
      </c>
      <c r="AJ959">
        <v>0</v>
      </c>
      <c r="AL959">
        <v>0</v>
      </c>
      <c r="AM959">
        <v>1</v>
      </c>
      <c r="AN959" t="s">
        <v>768</v>
      </c>
      <c r="AO959" t="s">
        <v>41</v>
      </c>
    </row>
    <row r="960" spans="1:41" x14ac:dyDescent="0.25">
      <c r="A960">
        <v>52</v>
      </c>
      <c r="B960" t="s">
        <v>32</v>
      </c>
      <c r="C960" t="s">
        <v>33</v>
      </c>
      <c r="D960">
        <v>8</v>
      </c>
      <c r="E960" t="s">
        <v>34</v>
      </c>
      <c r="F960">
        <v>2</v>
      </c>
      <c r="G960">
        <v>2</v>
      </c>
      <c r="H960" t="s">
        <v>44</v>
      </c>
      <c r="I960">
        <v>2</v>
      </c>
      <c r="J960" t="s">
        <v>51</v>
      </c>
      <c r="K960">
        <v>4941</v>
      </c>
      <c r="L960">
        <v>2</v>
      </c>
      <c r="M960" t="s">
        <v>41</v>
      </c>
      <c r="N960">
        <v>15</v>
      </c>
      <c r="O960">
        <v>3</v>
      </c>
      <c r="P960">
        <v>0</v>
      </c>
      <c r="Q960">
        <v>11</v>
      </c>
      <c r="R960">
        <v>3</v>
      </c>
      <c r="S960">
        <v>8</v>
      </c>
      <c r="T960">
        <v>7</v>
      </c>
      <c r="U960">
        <v>7</v>
      </c>
      <c r="V960" t="s">
        <v>72</v>
      </c>
      <c r="W960" s="1" t="s">
        <v>485</v>
      </c>
      <c r="Y960" t="s">
        <v>54</v>
      </c>
      <c r="Z960" t="s">
        <v>40</v>
      </c>
      <c r="AA960">
        <v>5</v>
      </c>
      <c r="AB960">
        <v>2</v>
      </c>
      <c r="AC960" t="s">
        <v>41</v>
      </c>
      <c r="AD960" t="s">
        <v>42</v>
      </c>
      <c r="AE960" t="s">
        <v>43</v>
      </c>
      <c r="AF960" s="3">
        <v>1344</v>
      </c>
      <c r="AG960" s="3">
        <v>86</v>
      </c>
      <c r="AH960">
        <v>80</v>
      </c>
      <c r="AI960">
        <v>7</v>
      </c>
      <c r="AJ960">
        <v>0</v>
      </c>
      <c r="AL960">
        <v>0</v>
      </c>
      <c r="AM960">
        <v>1</v>
      </c>
      <c r="AN960" t="s">
        <v>768</v>
      </c>
      <c r="AO960" t="s">
        <v>41</v>
      </c>
    </row>
    <row r="961" spans="1:41" x14ac:dyDescent="0.25">
      <c r="A961">
        <v>27</v>
      </c>
      <c r="B961" t="s">
        <v>32</v>
      </c>
      <c r="C961" t="s">
        <v>55</v>
      </c>
      <c r="D961">
        <v>8</v>
      </c>
      <c r="E961" t="s">
        <v>61</v>
      </c>
      <c r="F961">
        <v>3</v>
      </c>
      <c r="G961">
        <v>2</v>
      </c>
      <c r="H961" t="s">
        <v>70</v>
      </c>
      <c r="I961">
        <v>2</v>
      </c>
      <c r="J961" t="s">
        <v>51</v>
      </c>
      <c r="K961">
        <v>6214</v>
      </c>
      <c r="L961">
        <v>1</v>
      </c>
      <c r="M961" t="s">
        <v>41</v>
      </c>
      <c r="N961">
        <v>18</v>
      </c>
      <c r="O961">
        <v>3</v>
      </c>
      <c r="P961">
        <v>1</v>
      </c>
      <c r="Q961">
        <v>8</v>
      </c>
      <c r="R961">
        <v>3</v>
      </c>
      <c r="S961">
        <v>8</v>
      </c>
      <c r="T961">
        <v>0</v>
      </c>
      <c r="U961">
        <v>7</v>
      </c>
      <c r="V961" t="s">
        <v>58</v>
      </c>
      <c r="W961" s="2">
        <v>41368</v>
      </c>
      <c r="Y961" t="s">
        <v>69</v>
      </c>
      <c r="Z961" t="s">
        <v>40</v>
      </c>
      <c r="AA961">
        <v>5</v>
      </c>
      <c r="AB961">
        <v>2</v>
      </c>
      <c r="AC961" t="s">
        <v>31</v>
      </c>
      <c r="AD961" t="s">
        <v>67</v>
      </c>
      <c r="AE961" t="s">
        <v>49</v>
      </c>
      <c r="AF961" s="3">
        <v>1346</v>
      </c>
      <c r="AG961" s="3">
        <v>98</v>
      </c>
      <c r="AH961">
        <v>80</v>
      </c>
      <c r="AI961">
        <v>8</v>
      </c>
      <c r="AJ961">
        <v>0</v>
      </c>
      <c r="AL961">
        <v>0</v>
      </c>
      <c r="AM961">
        <v>1</v>
      </c>
      <c r="AN961" t="s">
        <v>768</v>
      </c>
      <c r="AO961" t="s">
        <v>41</v>
      </c>
    </row>
    <row r="962" spans="1:41" x14ac:dyDescent="0.25">
      <c r="A962">
        <v>32</v>
      </c>
      <c r="B962" t="s">
        <v>32</v>
      </c>
      <c r="C962" t="s">
        <v>33</v>
      </c>
      <c r="D962">
        <v>2</v>
      </c>
      <c r="E962" t="s">
        <v>61</v>
      </c>
      <c r="F962">
        <v>3</v>
      </c>
      <c r="G962">
        <v>1</v>
      </c>
      <c r="H962" t="s">
        <v>35</v>
      </c>
      <c r="I962">
        <v>2</v>
      </c>
      <c r="J962" t="s">
        <v>51</v>
      </c>
      <c r="K962">
        <v>2370</v>
      </c>
      <c r="L962">
        <v>1</v>
      </c>
      <c r="M962" t="s">
        <v>41</v>
      </c>
      <c r="N962">
        <v>13</v>
      </c>
      <c r="O962">
        <v>3</v>
      </c>
      <c r="P962">
        <v>1</v>
      </c>
      <c r="Q962">
        <v>8</v>
      </c>
      <c r="R962">
        <v>4</v>
      </c>
      <c r="S962">
        <v>8</v>
      </c>
      <c r="T962">
        <v>0</v>
      </c>
      <c r="U962">
        <v>7</v>
      </c>
      <c r="V962" t="s">
        <v>58</v>
      </c>
      <c r="W962" s="1" t="s">
        <v>486</v>
      </c>
      <c r="Y962" t="s">
        <v>69</v>
      </c>
      <c r="Z962" t="s">
        <v>40</v>
      </c>
      <c r="AA962">
        <v>3</v>
      </c>
      <c r="AB962">
        <v>1</v>
      </c>
      <c r="AC962" t="s">
        <v>31</v>
      </c>
      <c r="AD962" t="s">
        <v>65</v>
      </c>
      <c r="AE962" t="s">
        <v>49</v>
      </c>
      <c r="AF962" s="3">
        <v>1349</v>
      </c>
      <c r="AG962" s="3">
        <v>66</v>
      </c>
      <c r="AH962">
        <v>80</v>
      </c>
      <c r="AI962">
        <v>3</v>
      </c>
      <c r="AJ962">
        <v>0</v>
      </c>
      <c r="AL962">
        <v>0</v>
      </c>
      <c r="AM962">
        <v>1</v>
      </c>
      <c r="AN962" t="s">
        <v>768</v>
      </c>
      <c r="AO962" t="s">
        <v>41</v>
      </c>
    </row>
    <row r="963" spans="1:41" x14ac:dyDescent="0.25">
      <c r="A963">
        <v>26</v>
      </c>
      <c r="B963" t="s">
        <v>32</v>
      </c>
      <c r="C963" t="s">
        <v>55</v>
      </c>
      <c r="D963">
        <v>1</v>
      </c>
      <c r="E963" t="s">
        <v>34</v>
      </c>
      <c r="F963">
        <v>3</v>
      </c>
      <c r="G963">
        <v>2</v>
      </c>
      <c r="H963" t="s">
        <v>70</v>
      </c>
      <c r="I963">
        <v>3</v>
      </c>
      <c r="J963" t="s">
        <v>51</v>
      </c>
      <c r="K963">
        <v>5296</v>
      </c>
      <c r="L963">
        <v>1</v>
      </c>
      <c r="M963" t="s">
        <v>41</v>
      </c>
      <c r="N963">
        <v>17</v>
      </c>
      <c r="O963">
        <v>3</v>
      </c>
      <c r="P963">
        <v>1</v>
      </c>
      <c r="Q963">
        <v>8</v>
      </c>
      <c r="R963">
        <v>3</v>
      </c>
      <c r="S963">
        <v>8</v>
      </c>
      <c r="T963">
        <v>7</v>
      </c>
      <c r="U963">
        <v>7</v>
      </c>
      <c r="V963" t="s">
        <v>58</v>
      </c>
      <c r="W963" s="1" t="s">
        <v>487</v>
      </c>
      <c r="Y963" t="s">
        <v>54</v>
      </c>
      <c r="Z963" t="s">
        <v>47</v>
      </c>
      <c r="AA963">
        <v>0</v>
      </c>
      <c r="AB963">
        <v>2</v>
      </c>
      <c r="AC963" t="s">
        <v>31</v>
      </c>
      <c r="AD963" t="s">
        <v>67</v>
      </c>
      <c r="AE963" t="s">
        <v>43</v>
      </c>
      <c r="AF963" s="3">
        <v>1350</v>
      </c>
      <c r="AG963" s="3">
        <v>87</v>
      </c>
      <c r="AH963">
        <v>80</v>
      </c>
      <c r="AI963">
        <v>6</v>
      </c>
      <c r="AJ963">
        <v>0</v>
      </c>
      <c r="AL963">
        <v>0</v>
      </c>
      <c r="AM963">
        <v>1</v>
      </c>
      <c r="AN963" t="s">
        <v>768</v>
      </c>
      <c r="AO963" t="s">
        <v>41</v>
      </c>
    </row>
    <row r="964" spans="1:41" x14ac:dyDescent="0.25">
      <c r="A964">
        <v>41</v>
      </c>
      <c r="B964" t="s">
        <v>66</v>
      </c>
      <c r="C964" t="s">
        <v>55</v>
      </c>
      <c r="D964">
        <v>4</v>
      </c>
      <c r="E964" t="s">
        <v>34</v>
      </c>
      <c r="F964">
        <v>3</v>
      </c>
      <c r="G964">
        <v>2</v>
      </c>
      <c r="H964" t="s">
        <v>70</v>
      </c>
      <c r="I964">
        <v>2</v>
      </c>
      <c r="J964" t="s">
        <v>36</v>
      </c>
      <c r="K964">
        <v>9355</v>
      </c>
      <c r="L964">
        <v>1</v>
      </c>
      <c r="M964" t="s">
        <v>41</v>
      </c>
      <c r="N964">
        <v>18</v>
      </c>
      <c r="O964">
        <v>3</v>
      </c>
      <c r="P964">
        <v>0</v>
      </c>
      <c r="Q964">
        <v>8</v>
      </c>
      <c r="R964">
        <v>5</v>
      </c>
      <c r="S964">
        <v>8</v>
      </c>
      <c r="T964">
        <v>7</v>
      </c>
      <c r="U964">
        <v>7</v>
      </c>
      <c r="V964" t="s">
        <v>58</v>
      </c>
      <c r="W964" s="1" t="s">
        <v>488</v>
      </c>
      <c r="Y964" t="s">
        <v>46</v>
      </c>
      <c r="Z964" t="s">
        <v>47</v>
      </c>
      <c r="AA964">
        <v>1</v>
      </c>
      <c r="AB964">
        <v>1</v>
      </c>
      <c r="AC964" t="s">
        <v>31</v>
      </c>
      <c r="AD964" t="s">
        <v>42</v>
      </c>
      <c r="AE964" t="s">
        <v>49</v>
      </c>
      <c r="AF964" s="3">
        <v>1352</v>
      </c>
      <c r="AG964" s="3">
        <v>84</v>
      </c>
      <c r="AH964">
        <v>80</v>
      </c>
      <c r="AI964">
        <v>9</v>
      </c>
      <c r="AJ964">
        <v>0</v>
      </c>
      <c r="AL964">
        <v>0</v>
      </c>
      <c r="AM964">
        <v>1</v>
      </c>
      <c r="AN964" t="s">
        <v>768</v>
      </c>
      <c r="AO964" t="s">
        <v>41</v>
      </c>
    </row>
    <row r="965" spans="1:41" x14ac:dyDescent="0.25">
      <c r="A965">
        <v>35</v>
      </c>
      <c r="B965" t="s">
        <v>32</v>
      </c>
      <c r="C965" t="s">
        <v>33</v>
      </c>
      <c r="D965">
        <v>16</v>
      </c>
      <c r="E965" t="s">
        <v>34</v>
      </c>
      <c r="F965">
        <v>3</v>
      </c>
      <c r="G965">
        <v>3</v>
      </c>
      <c r="H965" t="s">
        <v>89</v>
      </c>
      <c r="I965">
        <v>3</v>
      </c>
      <c r="J965" t="s">
        <v>51</v>
      </c>
      <c r="K965">
        <v>7632</v>
      </c>
      <c r="L965">
        <v>4</v>
      </c>
      <c r="M965" t="s">
        <v>31</v>
      </c>
      <c r="N965">
        <v>12</v>
      </c>
      <c r="O965">
        <v>3</v>
      </c>
      <c r="P965">
        <v>0</v>
      </c>
      <c r="Q965">
        <v>10</v>
      </c>
      <c r="R965">
        <v>2</v>
      </c>
      <c r="S965">
        <v>8</v>
      </c>
      <c r="T965">
        <v>0</v>
      </c>
      <c r="U965">
        <v>0</v>
      </c>
      <c r="V965" t="s">
        <v>37</v>
      </c>
      <c r="W965" s="1" t="s">
        <v>489</v>
      </c>
      <c r="Y965" t="s">
        <v>39</v>
      </c>
      <c r="Z965" t="s">
        <v>47</v>
      </c>
      <c r="AA965">
        <v>2</v>
      </c>
      <c r="AB965">
        <v>1</v>
      </c>
      <c r="AC965" t="s">
        <v>31</v>
      </c>
      <c r="AD965" t="s">
        <v>67</v>
      </c>
      <c r="AE965" t="s">
        <v>49</v>
      </c>
      <c r="AF965" s="3">
        <v>1355</v>
      </c>
      <c r="AG965" s="3">
        <v>31</v>
      </c>
      <c r="AH965">
        <v>80</v>
      </c>
      <c r="AI965">
        <v>7</v>
      </c>
      <c r="AJ965">
        <v>0</v>
      </c>
      <c r="AL965">
        <v>0</v>
      </c>
      <c r="AM965">
        <v>1</v>
      </c>
      <c r="AN965" t="s">
        <v>768</v>
      </c>
      <c r="AO965" t="s">
        <v>41</v>
      </c>
    </row>
    <row r="966" spans="1:41" x14ac:dyDescent="0.25">
      <c r="A966">
        <v>39</v>
      </c>
      <c r="B966" t="s">
        <v>66</v>
      </c>
      <c r="C966" t="s">
        <v>33</v>
      </c>
      <c r="D966">
        <v>8</v>
      </c>
      <c r="E966" t="s">
        <v>61</v>
      </c>
      <c r="F966">
        <v>3</v>
      </c>
      <c r="G966">
        <v>1</v>
      </c>
      <c r="H966" t="s">
        <v>35</v>
      </c>
      <c r="I966">
        <v>3</v>
      </c>
      <c r="J966" t="s">
        <v>51</v>
      </c>
      <c r="K966">
        <v>3755</v>
      </c>
      <c r="L966">
        <v>1</v>
      </c>
      <c r="M966" t="s">
        <v>41</v>
      </c>
      <c r="N966">
        <v>11</v>
      </c>
      <c r="O966">
        <v>3</v>
      </c>
      <c r="P966">
        <v>1</v>
      </c>
      <c r="Q966">
        <v>8</v>
      </c>
      <c r="R966">
        <v>3</v>
      </c>
      <c r="S966">
        <v>8</v>
      </c>
      <c r="T966">
        <v>0</v>
      </c>
      <c r="U966">
        <v>7</v>
      </c>
      <c r="V966" t="s">
        <v>52</v>
      </c>
      <c r="W966" s="1" t="s">
        <v>485</v>
      </c>
      <c r="Y966" t="s">
        <v>63</v>
      </c>
      <c r="Z966" t="s">
        <v>40</v>
      </c>
      <c r="AA966">
        <v>1</v>
      </c>
      <c r="AB966">
        <v>3</v>
      </c>
      <c r="AC966" t="s">
        <v>31</v>
      </c>
      <c r="AD966" t="s">
        <v>67</v>
      </c>
      <c r="AE966" t="s">
        <v>60</v>
      </c>
      <c r="AF966" s="3">
        <v>1356</v>
      </c>
      <c r="AG966" s="3">
        <v>66</v>
      </c>
      <c r="AH966">
        <v>80</v>
      </c>
      <c r="AI966">
        <v>8</v>
      </c>
      <c r="AJ966">
        <v>0</v>
      </c>
      <c r="AL966">
        <v>0</v>
      </c>
      <c r="AM966">
        <v>1</v>
      </c>
      <c r="AN966" t="s">
        <v>768</v>
      </c>
      <c r="AO966" t="s">
        <v>41</v>
      </c>
    </row>
    <row r="967" spans="1:41" x14ac:dyDescent="0.25">
      <c r="A967">
        <v>45</v>
      </c>
      <c r="B967" t="s">
        <v>32</v>
      </c>
      <c r="C967" t="s">
        <v>55</v>
      </c>
      <c r="D967">
        <v>2</v>
      </c>
      <c r="E967" t="s">
        <v>34</v>
      </c>
      <c r="F967">
        <v>3</v>
      </c>
      <c r="G967">
        <v>2</v>
      </c>
      <c r="H967" t="s">
        <v>70</v>
      </c>
      <c r="I967">
        <v>2</v>
      </c>
      <c r="J967" t="s">
        <v>51</v>
      </c>
      <c r="K967">
        <v>4805</v>
      </c>
      <c r="L967">
        <v>0</v>
      </c>
      <c r="M967" t="s">
        <v>41</v>
      </c>
      <c r="N967">
        <v>19</v>
      </c>
      <c r="O967">
        <v>3</v>
      </c>
      <c r="P967">
        <v>1</v>
      </c>
      <c r="Q967">
        <v>9</v>
      </c>
      <c r="R967">
        <v>3</v>
      </c>
      <c r="S967">
        <v>8</v>
      </c>
      <c r="T967">
        <v>3</v>
      </c>
      <c r="U967">
        <v>7</v>
      </c>
      <c r="V967" t="s">
        <v>52</v>
      </c>
      <c r="W967" s="1" t="s">
        <v>490</v>
      </c>
      <c r="Y967" t="s">
        <v>69</v>
      </c>
      <c r="Z967" t="s">
        <v>47</v>
      </c>
      <c r="AA967">
        <v>5</v>
      </c>
      <c r="AB967">
        <v>3</v>
      </c>
      <c r="AC967" t="s">
        <v>31</v>
      </c>
      <c r="AD967" t="s">
        <v>42</v>
      </c>
      <c r="AE967" t="s">
        <v>60</v>
      </c>
      <c r="AF967" s="3">
        <v>1358</v>
      </c>
      <c r="AG967" s="3">
        <v>67</v>
      </c>
      <c r="AH967">
        <v>80</v>
      </c>
      <c r="AI967">
        <v>2</v>
      </c>
      <c r="AJ967">
        <v>0</v>
      </c>
      <c r="AL967">
        <v>0</v>
      </c>
      <c r="AM967">
        <v>1</v>
      </c>
      <c r="AN967" t="s">
        <v>768</v>
      </c>
      <c r="AO967" t="s">
        <v>41</v>
      </c>
    </row>
    <row r="968" spans="1:41" x14ac:dyDescent="0.25">
      <c r="A968">
        <v>41</v>
      </c>
      <c r="B968" t="s">
        <v>81</v>
      </c>
      <c r="C968" t="s">
        <v>33</v>
      </c>
      <c r="D968">
        <v>2</v>
      </c>
      <c r="E968" t="s">
        <v>61</v>
      </c>
      <c r="F968">
        <v>2</v>
      </c>
      <c r="G968">
        <v>2</v>
      </c>
      <c r="H968" t="s">
        <v>89</v>
      </c>
      <c r="I968">
        <v>3</v>
      </c>
      <c r="J968" t="s">
        <v>36</v>
      </c>
      <c r="K968">
        <v>6811</v>
      </c>
      <c r="L968">
        <v>2</v>
      </c>
      <c r="M968" t="s">
        <v>31</v>
      </c>
      <c r="N968">
        <v>17</v>
      </c>
      <c r="O968">
        <v>3</v>
      </c>
      <c r="P968">
        <v>0</v>
      </c>
      <c r="Q968">
        <v>10</v>
      </c>
      <c r="R968">
        <v>3</v>
      </c>
      <c r="S968">
        <v>8</v>
      </c>
      <c r="T968">
        <v>0</v>
      </c>
      <c r="U968">
        <v>7</v>
      </c>
      <c r="V968" t="s">
        <v>37</v>
      </c>
      <c r="W968" s="1" t="s">
        <v>474</v>
      </c>
      <c r="Y968" t="s">
        <v>69</v>
      </c>
      <c r="Z968" t="s">
        <v>40</v>
      </c>
      <c r="AA968">
        <v>3</v>
      </c>
      <c r="AB968">
        <v>0</v>
      </c>
      <c r="AC968" t="s">
        <v>41</v>
      </c>
      <c r="AD968" t="s">
        <v>42</v>
      </c>
      <c r="AE968" t="s">
        <v>60</v>
      </c>
      <c r="AF968" s="3">
        <v>1360</v>
      </c>
      <c r="AG968" s="3">
        <v>53</v>
      </c>
      <c r="AH968">
        <v>80</v>
      </c>
      <c r="AI968">
        <v>9</v>
      </c>
      <c r="AJ968">
        <v>1</v>
      </c>
      <c r="AK968">
        <v>1</v>
      </c>
      <c r="AL968">
        <v>1</v>
      </c>
      <c r="AM968">
        <v>0</v>
      </c>
      <c r="AN968" t="s">
        <v>767</v>
      </c>
      <c r="AO968" t="s">
        <v>31</v>
      </c>
    </row>
    <row r="969" spans="1:41" x14ac:dyDescent="0.25">
      <c r="A969">
        <v>43</v>
      </c>
      <c r="B969" t="s">
        <v>66</v>
      </c>
      <c r="C969" t="s">
        <v>33</v>
      </c>
      <c r="D969">
        <v>9</v>
      </c>
      <c r="E969" t="s">
        <v>34</v>
      </c>
      <c r="F969">
        <v>3</v>
      </c>
      <c r="G969">
        <v>2</v>
      </c>
      <c r="H969" t="s">
        <v>35</v>
      </c>
      <c r="I969">
        <v>3</v>
      </c>
      <c r="J969" t="s">
        <v>57</v>
      </c>
      <c r="K969">
        <v>5679</v>
      </c>
      <c r="L969">
        <v>3</v>
      </c>
      <c r="M969" t="s">
        <v>31</v>
      </c>
      <c r="N969">
        <v>13</v>
      </c>
      <c r="O969">
        <v>3</v>
      </c>
      <c r="P969">
        <v>1</v>
      </c>
      <c r="Q969">
        <v>10</v>
      </c>
      <c r="R969">
        <v>3</v>
      </c>
      <c r="S969">
        <v>8</v>
      </c>
      <c r="T969">
        <v>4</v>
      </c>
      <c r="U969">
        <v>7</v>
      </c>
      <c r="V969" t="s">
        <v>58</v>
      </c>
      <c r="W969" s="1" t="s">
        <v>491</v>
      </c>
      <c r="Y969" t="s">
        <v>39</v>
      </c>
      <c r="Z969" t="s">
        <v>47</v>
      </c>
      <c r="AA969">
        <v>4</v>
      </c>
      <c r="AB969">
        <v>2</v>
      </c>
      <c r="AC969" t="s">
        <v>41</v>
      </c>
      <c r="AD969" t="s">
        <v>65</v>
      </c>
      <c r="AE969" t="s">
        <v>49</v>
      </c>
      <c r="AF969" s="3">
        <v>1361</v>
      </c>
      <c r="AG969" s="3">
        <v>88</v>
      </c>
      <c r="AH969">
        <v>80</v>
      </c>
      <c r="AI969">
        <v>2</v>
      </c>
      <c r="AJ969">
        <v>0</v>
      </c>
      <c r="AL969">
        <v>0</v>
      </c>
      <c r="AM969">
        <v>1</v>
      </c>
      <c r="AN969" t="s">
        <v>768</v>
      </c>
      <c r="AO969" t="s">
        <v>41</v>
      </c>
    </row>
    <row r="970" spans="1:41" x14ac:dyDescent="0.25">
      <c r="A970">
        <v>34</v>
      </c>
      <c r="B970" t="s">
        <v>32</v>
      </c>
      <c r="C970" t="s">
        <v>55</v>
      </c>
      <c r="D970">
        <v>14</v>
      </c>
      <c r="E970" t="s">
        <v>61</v>
      </c>
      <c r="F970">
        <v>3</v>
      </c>
      <c r="G970">
        <v>1</v>
      </c>
      <c r="H970" t="s">
        <v>56</v>
      </c>
      <c r="I970">
        <v>3</v>
      </c>
      <c r="J970" t="s">
        <v>57</v>
      </c>
      <c r="K970">
        <v>2579</v>
      </c>
      <c r="L970">
        <v>1</v>
      </c>
      <c r="M970" t="s">
        <v>31</v>
      </c>
      <c r="N970">
        <v>18</v>
      </c>
      <c r="O970">
        <v>3</v>
      </c>
      <c r="P970">
        <v>2</v>
      </c>
      <c r="Q970">
        <v>8</v>
      </c>
      <c r="R970">
        <v>3</v>
      </c>
      <c r="S970">
        <v>8</v>
      </c>
      <c r="T970">
        <v>0</v>
      </c>
      <c r="U970">
        <v>6</v>
      </c>
      <c r="V970" t="s">
        <v>58</v>
      </c>
      <c r="W970" s="1" t="s">
        <v>492</v>
      </c>
      <c r="Y970" t="s">
        <v>63</v>
      </c>
      <c r="Z970" t="s">
        <v>47</v>
      </c>
      <c r="AA970">
        <v>3</v>
      </c>
      <c r="AB970">
        <v>0</v>
      </c>
      <c r="AC970" t="s">
        <v>31</v>
      </c>
      <c r="AD970" t="s">
        <v>67</v>
      </c>
      <c r="AE970" t="s">
        <v>49</v>
      </c>
      <c r="AF970" s="3">
        <v>1362</v>
      </c>
      <c r="AG970" s="3">
        <v>83</v>
      </c>
      <c r="AH970">
        <v>80</v>
      </c>
      <c r="AI970">
        <v>7</v>
      </c>
      <c r="AJ970">
        <v>0</v>
      </c>
      <c r="AL970">
        <v>0</v>
      </c>
      <c r="AM970">
        <v>1</v>
      </c>
      <c r="AN970" t="s">
        <v>768</v>
      </c>
      <c r="AO970" t="s">
        <v>41</v>
      </c>
    </row>
    <row r="971" spans="1:41" x14ac:dyDescent="0.25">
      <c r="A971">
        <v>34</v>
      </c>
      <c r="B971" t="s">
        <v>32</v>
      </c>
      <c r="C971" t="s">
        <v>33</v>
      </c>
      <c r="D971">
        <v>9</v>
      </c>
      <c r="E971" t="s">
        <v>61</v>
      </c>
      <c r="F971">
        <v>2</v>
      </c>
      <c r="G971">
        <v>3</v>
      </c>
      <c r="H971" t="s">
        <v>89</v>
      </c>
      <c r="I971">
        <v>2</v>
      </c>
      <c r="J971" t="s">
        <v>36</v>
      </c>
      <c r="K971">
        <v>8621</v>
      </c>
      <c r="L971">
        <v>1</v>
      </c>
      <c r="M971" t="s">
        <v>41</v>
      </c>
      <c r="N971">
        <v>14</v>
      </c>
      <c r="O971">
        <v>3</v>
      </c>
      <c r="P971">
        <v>0</v>
      </c>
      <c r="Q971">
        <v>9</v>
      </c>
      <c r="R971">
        <v>3</v>
      </c>
      <c r="S971">
        <v>8</v>
      </c>
      <c r="T971">
        <v>7</v>
      </c>
      <c r="U971">
        <v>7</v>
      </c>
      <c r="V971" t="s">
        <v>37</v>
      </c>
      <c r="W971" s="2">
        <v>41310</v>
      </c>
      <c r="Y971" t="s">
        <v>69</v>
      </c>
      <c r="Z971" t="s">
        <v>47</v>
      </c>
      <c r="AA971">
        <v>0</v>
      </c>
      <c r="AB971">
        <v>2</v>
      </c>
      <c r="AC971" t="s">
        <v>31</v>
      </c>
      <c r="AD971" t="s">
        <v>48</v>
      </c>
      <c r="AE971" t="s">
        <v>43</v>
      </c>
      <c r="AF971" s="3">
        <v>1363</v>
      </c>
      <c r="AG971" s="3">
        <v>54</v>
      </c>
      <c r="AH971">
        <v>80</v>
      </c>
      <c r="AI971">
        <v>9</v>
      </c>
      <c r="AJ971">
        <v>0</v>
      </c>
      <c r="AL971">
        <v>0</v>
      </c>
      <c r="AM971">
        <v>1</v>
      </c>
      <c r="AN971" t="s">
        <v>768</v>
      </c>
      <c r="AO971" t="s">
        <v>41</v>
      </c>
    </row>
    <row r="972" spans="1:41" x14ac:dyDescent="0.25">
      <c r="A972">
        <v>36</v>
      </c>
      <c r="B972" t="s">
        <v>81</v>
      </c>
      <c r="C972" t="s">
        <v>33</v>
      </c>
      <c r="D972">
        <v>8</v>
      </c>
      <c r="E972" t="s">
        <v>61</v>
      </c>
      <c r="F972">
        <v>4</v>
      </c>
      <c r="G972">
        <v>3</v>
      </c>
      <c r="H972" t="s">
        <v>50</v>
      </c>
      <c r="I972">
        <v>1</v>
      </c>
      <c r="J972" t="s">
        <v>51</v>
      </c>
      <c r="K972">
        <v>11713</v>
      </c>
      <c r="L972">
        <v>9</v>
      </c>
      <c r="M972" t="s">
        <v>41</v>
      </c>
      <c r="N972">
        <v>14</v>
      </c>
      <c r="O972">
        <v>3</v>
      </c>
      <c r="P972">
        <v>1</v>
      </c>
      <c r="Q972">
        <v>10</v>
      </c>
      <c r="R972">
        <v>2</v>
      </c>
      <c r="S972">
        <v>8</v>
      </c>
      <c r="T972">
        <v>0</v>
      </c>
      <c r="U972">
        <v>5</v>
      </c>
      <c r="V972" t="s">
        <v>37</v>
      </c>
      <c r="W972" s="1" t="s">
        <v>493</v>
      </c>
      <c r="Y972" t="s">
        <v>54</v>
      </c>
      <c r="Z972" t="s">
        <v>40</v>
      </c>
      <c r="AA972">
        <v>1</v>
      </c>
      <c r="AB972">
        <v>0</v>
      </c>
      <c r="AC972" t="s">
        <v>31</v>
      </c>
      <c r="AD972" t="s">
        <v>48</v>
      </c>
      <c r="AE972" t="s">
        <v>43</v>
      </c>
      <c r="AF972" s="3">
        <v>1364</v>
      </c>
      <c r="AG972" s="3">
        <v>98</v>
      </c>
      <c r="AH972">
        <v>80</v>
      </c>
      <c r="AI972">
        <v>0</v>
      </c>
      <c r="AJ972">
        <v>0</v>
      </c>
      <c r="AL972">
        <v>0</v>
      </c>
      <c r="AM972">
        <v>1</v>
      </c>
      <c r="AN972" t="s">
        <v>768</v>
      </c>
      <c r="AO972" t="s">
        <v>41</v>
      </c>
    </row>
    <row r="973" spans="1:41" x14ac:dyDescent="0.25">
      <c r="A973">
        <v>30</v>
      </c>
      <c r="B973" t="s">
        <v>32</v>
      </c>
      <c r="C973" t="s">
        <v>55</v>
      </c>
      <c r="D973">
        <v>27</v>
      </c>
      <c r="E973" t="s">
        <v>34</v>
      </c>
      <c r="F973">
        <v>3</v>
      </c>
      <c r="G973">
        <v>2</v>
      </c>
      <c r="H973" t="s">
        <v>70</v>
      </c>
      <c r="I973">
        <v>4</v>
      </c>
      <c r="J973" t="s">
        <v>57</v>
      </c>
      <c r="K973">
        <v>5304</v>
      </c>
      <c r="L973">
        <v>7</v>
      </c>
      <c r="M973" t="s">
        <v>41</v>
      </c>
      <c r="N973">
        <v>23</v>
      </c>
      <c r="O973">
        <v>4</v>
      </c>
      <c r="P973">
        <v>1</v>
      </c>
      <c r="Q973">
        <v>10</v>
      </c>
      <c r="R973">
        <v>2</v>
      </c>
      <c r="S973">
        <v>8</v>
      </c>
      <c r="T973">
        <v>7</v>
      </c>
      <c r="U973">
        <v>7</v>
      </c>
      <c r="V973" t="s">
        <v>37</v>
      </c>
      <c r="W973" s="1" t="s">
        <v>494</v>
      </c>
      <c r="Y973" t="s">
        <v>54</v>
      </c>
      <c r="Z973" t="s">
        <v>40</v>
      </c>
      <c r="AA973">
        <v>2</v>
      </c>
      <c r="AB973">
        <v>2</v>
      </c>
      <c r="AC973" t="s">
        <v>41</v>
      </c>
      <c r="AD973" t="s">
        <v>65</v>
      </c>
      <c r="AE973" t="s">
        <v>43</v>
      </c>
      <c r="AF973" s="3">
        <v>1367</v>
      </c>
      <c r="AG973" s="3">
        <v>82</v>
      </c>
      <c r="AH973">
        <v>80</v>
      </c>
      <c r="AI973">
        <v>2</v>
      </c>
      <c r="AJ973">
        <v>0</v>
      </c>
      <c r="AL973">
        <v>0</v>
      </c>
      <c r="AM973">
        <v>1</v>
      </c>
      <c r="AN973" t="s">
        <v>768</v>
      </c>
      <c r="AO973" t="s">
        <v>41</v>
      </c>
    </row>
    <row r="974" spans="1:41" x14ac:dyDescent="0.25">
      <c r="A974">
        <v>39</v>
      </c>
      <c r="B974" t="s">
        <v>32</v>
      </c>
      <c r="C974" t="s">
        <v>120</v>
      </c>
      <c r="D974">
        <v>3</v>
      </c>
      <c r="E974" t="s">
        <v>61</v>
      </c>
      <c r="F974">
        <v>4</v>
      </c>
      <c r="G974">
        <v>2</v>
      </c>
      <c r="H974" t="s">
        <v>120</v>
      </c>
      <c r="I974">
        <v>2</v>
      </c>
      <c r="J974" t="s">
        <v>51</v>
      </c>
      <c r="K974">
        <v>6389</v>
      </c>
      <c r="L974">
        <v>9</v>
      </c>
      <c r="M974" t="s">
        <v>41</v>
      </c>
      <c r="N974">
        <v>15</v>
      </c>
      <c r="O974">
        <v>3</v>
      </c>
      <c r="P974">
        <v>1</v>
      </c>
      <c r="Q974">
        <v>12</v>
      </c>
      <c r="R974">
        <v>3</v>
      </c>
      <c r="S974">
        <v>8</v>
      </c>
      <c r="T974">
        <v>3</v>
      </c>
      <c r="U974">
        <v>6</v>
      </c>
      <c r="V974" t="s">
        <v>37</v>
      </c>
      <c r="W974" s="1" t="s">
        <v>495</v>
      </c>
      <c r="Y974" t="s">
        <v>39</v>
      </c>
      <c r="Z974" t="s">
        <v>47</v>
      </c>
      <c r="AA974">
        <v>3</v>
      </c>
      <c r="AB974">
        <v>3</v>
      </c>
      <c r="AC974" t="s">
        <v>41</v>
      </c>
      <c r="AD974" t="s">
        <v>48</v>
      </c>
      <c r="AE974" t="s">
        <v>43</v>
      </c>
      <c r="AF974" s="3">
        <v>1368</v>
      </c>
      <c r="AG974" s="3">
        <v>97</v>
      </c>
      <c r="AH974">
        <v>80</v>
      </c>
      <c r="AI974">
        <v>0</v>
      </c>
      <c r="AJ974">
        <v>0</v>
      </c>
      <c r="AL974">
        <v>0</v>
      </c>
      <c r="AM974">
        <v>1</v>
      </c>
      <c r="AN974" t="s">
        <v>768</v>
      </c>
      <c r="AO974" t="s">
        <v>41</v>
      </c>
    </row>
    <row r="975" spans="1:41" x14ac:dyDescent="0.25">
      <c r="A975">
        <v>45</v>
      </c>
      <c r="B975" t="s">
        <v>32</v>
      </c>
      <c r="C975" t="s">
        <v>55</v>
      </c>
      <c r="D975">
        <v>2</v>
      </c>
      <c r="E975" t="s">
        <v>34</v>
      </c>
      <c r="F975">
        <v>1</v>
      </c>
      <c r="G975">
        <v>2</v>
      </c>
      <c r="H975" t="s">
        <v>56</v>
      </c>
      <c r="I975">
        <v>3</v>
      </c>
      <c r="J975" t="s">
        <v>36</v>
      </c>
      <c r="K975">
        <v>6632</v>
      </c>
      <c r="L975">
        <v>0</v>
      </c>
      <c r="M975" t="s">
        <v>41</v>
      </c>
      <c r="N975">
        <v>13</v>
      </c>
      <c r="O975">
        <v>3</v>
      </c>
      <c r="P975">
        <v>0</v>
      </c>
      <c r="Q975">
        <v>9</v>
      </c>
      <c r="R975">
        <v>3</v>
      </c>
      <c r="S975">
        <v>8</v>
      </c>
      <c r="T975">
        <v>3</v>
      </c>
      <c r="U975">
        <v>1</v>
      </c>
      <c r="V975" t="s">
        <v>72</v>
      </c>
      <c r="W975" s="1" t="s">
        <v>496</v>
      </c>
      <c r="Y975" t="s">
        <v>39</v>
      </c>
      <c r="Z975" t="s">
        <v>47</v>
      </c>
      <c r="AA975">
        <v>4</v>
      </c>
      <c r="AB975">
        <v>0</v>
      </c>
      <c r="AC975" t="s">
        <v>41</v>
      </c>
      <c r="AD975" t="s">
        <v>67</v>
      </c>
      <c r="AE975" t="s">
        <v>60</v>
      </c>
      <c r="AF975" s="3">
        <v>1369</v>
      </c>
      <c r="AG975" s="3">
        <v>60</v>
      </c>
      <c r="AH975">
        <v>80</v>
      </c>
      <c r="AI975">
        <v>7</v>
      </c>
      <c r="AJ975">
        <v>0</v>
      </c>
      <c r="AL975">
        <v>0</v>
      </c>
      <c r="AM975">
        <v>1</v>
      </c>
      <c r="AN975" t="s">
        <v>768</v>
      </c>
      <c r="AO975" t="s">
        <v>41</v>
      </c>
    </row>
    <row r="976" spans="1:41" x14ac:dyDescent="0.25">
      <c r="A976">
        <v>29</v>
      </c>
      <c r="B976" t="s">
        <v>32</v>
      </c>
      <c r="C976" t="s">
        <v>33</v>
      </c>
      <c r="D976">
        <v>27</v>
      </c>
      <c r="E976" t="s">
        <v>61</v>
      </c>
      <c r="F976">
        <v>3</v>
      </c>
      <c r="G976">
        <v>2</v>
      </c>
      <c r="H976" t="s">
        <v>89</v>
      </c>
      <c r="I976">
        <v>3</v>
      </c>
      <c r="J976" t="s">
        <v>51</v>
      </c>
      <c r="K976">
        <v>4335</v>
      </c>
      <c r="L976">
        <v>4</v>
      </c>
      <c r="M976" t="s">
        <v>41</v>
      </c>
      <c r="N976">
        <v>12</v>
      </c>
      <c r="O976">
        <v>3</v>
      </c>
      <c r="P976">
        <v>1</v>
      </c>
      <c r="Q976">
        <v>11</v>
      </c>
      <c r="R976">
        <v>3</v>
      </c>
      <c r="S976">
        <v>8</v>
      </c>
      <c r="T976">
        <v>1</v>
      </c>
      <c r="U976">
        <v>1</v>
      </c>
      <c r="V976" t="s">
        <v>58</v>
      </c>
      <c r="W976" s="1" t="s">
        <v>494</v>
      </c>
      <c r="Y976" t="s">
        <v>39</v>
      </c>
      <c r="Z976" t="s">
        <v>47</v>
      </c>
      <c r="AA976">
        <v>5</v>
      </c>
      <c r="AB976">
        <v>1</v>
      </c>
      <c r="AC976" t="s">
        <v>41</v>
      </c>
      <c r="AD976" t="s">
        <v>42</v>
      </c>
      <c r="AE976" t="s">
        <v>49</v>
      </c>
      <c r="AF976" s="3">
        <v>1371</v>
      </c>
      <c r="AG976" s="3">
        <v>43</v>
      </c>
      <c r="AH976">
        <v>80</v>
      </c>
      <c r="AI976">
        <v>2</v>
      </c>
      <c r="AJ976">
        <v>0</v>
      </c>
      <c r="AL976">
        <v>0</v>
      </c>
      <c r="AM976">
        <v>1</v>
      </c>
      <c r="AN976" t="s">
        <v>768</v>
      </c>
      <c r="AO976" t="s">
        <v>41</v>
      </c>
    </row>
    <row r="977" spans="1:41" x14ac:dyDescent="0.25">
      <c r="A977">
        <v>40</v>
      </c>
      <c r="B977" t="s">
        <v>66</v>
      </c>
      <c r="C977" t="s">
        <v>33</v>
      </c>
      <c r="D977">
        <v>2</v>
      </c>
      <c r="E977" t="s">
        <v>61</v>
      </c>
      <c r="F977">
        <v>4</v>
      </c>
      <c r="G977">
        <v>2</v>
      </c>
      <c r="H977" t="s">
        <v>89</v>
      </c>
      <c r="I977">
        <v>2</v>
      </c>
      <c r="J977" t="s">
        <v>51</v>
      </c>
      <c r="K977">
        <v>4244</v>
      </c>
      <c r="L977">
        <v>1</v>
      </c>
      <c r="M977" t="s">
        <v>41</v>
      </c>
      <c r="N977">
        <v>24</v>
      </c>
      <c r="O977">
        <v>4</v>
      </c>
      <c r="P977">
        <v>1</v>
      </c>
      <c r="Q977">
        <v>8</v>
      </c>
      <c r="R977">
        <v>2</v>
      </c>
      <c r="S977">
        <v>8</v>
      </c>
      <c r="T977">
        <v>3</v>
      </c>
      <c r="U977">
        <v>7</v>
      </c>
      <c r="V977" t="s">
        <v>52</v>
      </c>
      <c r="W977" s="1" t="s">
        <v>497</v>
      </c>
      <c r="Y977" t="s">
        <v>39</v>
      </c>
      <c r="Z977" t="s">
        <v>47</v>
      </c>
      <c r="AA977">
        <v>5</v>
      </c>
      <c r="AB977">
        <v>1</v>
      </c>
      <c r="AC977" t="s">
        <v>31</v>
      </c>
      <c r="AD977" t="s">
        <v>42</v>
      </c>
      <c r="AE977" t="s">
        <v>49</v>
      </c>
      <c r="AF977" s="3">
        <v>1372</v>
      </c>
      <c r="AG977" s="3">
        <v>85</v>
      </c>
      <c r="AH977">
        <v>80</v>
      </c>
      <c r="AI977">
        <v>7</v>
      </c>
      <c r="AJ977">
        <v>1</v>
      </c>
      <c r="AK977">
        <v>1</v>
      </c>
      <c r="AL977">
        <v>1</v>
      </c>
      <c r="AM977">
        <v>0</v>
      </c>
      <c r="AN977" t="s">
        <v>767</v>
      </c>
      <c r="AO977" t="s">
        <v>31</v>
      </c>
    </row>
    <row r="978" spans="1:41" x14ac:dyDescent="0.25">
      <c r="A978">
        <v>35</v>
      </c>
      <c r="B978" t="s">
        <v>32</v>
      </c>
      <c r="C978" t="s">
        <v>33</v>
      </c>
      <c r="D978">
        <v>7</v>
      </c>
      <c r="E978" t="s">
        <v>34</v>
      </c>
      <c r="F978">
        <v>3</v>
      </c>
      <c r="G978">
        <v>3</v>
      </c>
      <c r="H978" t="s">
        <v>78</v>
      </c>
      <c r="I978">
        <v>3</v>
      </c>
      <c r="J978" t="s">
        <v>36</v>
      </c>
      <c r="K978">
        <v>10221</v>
      </c>
      <c r="L978">
        <v>3</v>
      </c>
      <c r="M978" t="s">
        <v>41</v>
      </c>
      <c r="N978">
        <v>21</v>
      </c>
      <c r="O978">
        <v>4</v>
      </c>
      <c r="P978">
        <v>0</v>
      </c>
      <c r="Q978">
        <v>17</v>
      </c>
      <c r="R978">
        <v>3</v>
      </c>
      <c r="S978">
        <v>8</v>
      </c>
      <c r="T978">
        <v>1</v>
      </c>
      <c r="U978">
        <v>6</v>
      </c>
      <c r="V978" t="s">
        <v>58</v>
      </c>
      <c r="W978" s="1" t="s">
        <v>498</v>
      </c>
      <c r="Y978" t="s">
        <v>39</v>
      </c>
      <c r="Z978" t="s">
        <v>47</v>
      </c>
      <c r="AA978">
        <v>1</v>
      </c>
      <c r="AB978">
        <v>1</v>
      </c>
      <c r="AC978" t="s">
        <v>41</v>
      </c>
      <c r="AD978" t="s">
        <v>42</v>
      </c>
      <c r="AE978" t="s">
        <v>49</v>
      </c>
      <c r="AF978" s="3">
        <v>1373</v>
      </c>
      <c r="AG978" s="3">
        <v>68</v>
      </c>
      <c r="AH978">
        <v>80</v>
      </c>
      <c r="AI978">
        <v>16</v>
      </c>
      <c r="AJ978">
        <v>0</v>
      </c>
      <c r="AL978">
        <v>0</v>
      </c>
      <c r="AM978">
        <v>1</v>
      </c>
      <c r="AN978" t="s">
        <v>768</v>
      </c>
      <c r="AO978" t="s">
        <v>41</v>
      </c>
    </row>
    <row r="979" spans="1:41" x14ac:dyDescent="0.25">
      <c r="A979">
        <v>28</v>
      </c>
      <c r="B979" t="s">
        <v>32</v>
      </c>
      <c r="C979" t="s">
        <v>55</v>
      </c>
      <c r="D979">
        <v>2</v>
      </c>
      <c r="E979" t="s">
        <v>61</v>
      </c>
      <c r="F979">
        <v>3</v>
      </c>
      <c r="G979">
        <v>2</v>
      </c>
      <c r="H979" t="s">
        <v>70</v>
      </c>
      <c r="I979">
        <v>2</v>
      </c>
      <c r="J979" t="s">
        <v>51</v>
      </c>
      <c r="K979">
        <v>4779</v>
      </c>
      <c r="L979">
        <v>1</v>
      </c>
      <c r="M979" t="s">
        <v>31</v>
      </c>
      <c r="N979">
        <v>20</v>
      </c>
      <c r="O979">
        <v>4</v>
      </c>
      <c r="P979">
        <v>0</v>
      </c>
      <c r="Q979">
        <v>8</v>
      </c>
      <c r="R979">
        <v>2</v>
      </c>
      <c r="S979">
        <v>8</v>
      </c>
      <c r="T979">
        <v>7</v>
      </c>
      <c r="U979">
        <v>5</v>
      </c>
      <c r="V979" t="s">
        <v>37</v>
      </c>
      <c r="W979" s="1" t="s">
        <v>474</v>
      </c>
      <c r="Y979" t="s">
        <v>39</v>
      </c>
      <c r="Z979" t="s">
        <v>40</v>
      </c>
      <c r="AA979">
        <v>0</v>
      </c>
      <c r="AB979">
        <v>1</v>
      </c>
      <c r="AC979" t="s">
        <v>41</v>
      </c>
      <c r="AD979" t="s">
        <v>65</v>
      </c>
      <c r="AE979" t="s">
        <v>43</v>
      </c>
      <c r="AF979" s="3">
        <v>1374</v>
      </c>
      <c r="AG979" s="3">
        <v>92</v>
      </c>
      <c r="AH979">
        <v>80</v>
      </c>
      <c r="AI979">
        <v>4</v>
      </c>
      <c r="AJ979">
        <v>0</v>
      </c>
      <c r="AL979">
        <v>0</v>
      </c>
      <c r="AM979">
        <v>1</v>
      </c>
      <c r="AN979" t="s">
        <v>768</v>
      </c>
      <c r="AO979" t="s">
        <v>41</v>
      </c>
    </row>
    <row r="980" spans="1:41" x14ac:dyDescent="0.25">
      <c r="A980">
        <v>26</v>
      </c>
      <c r="B980" t="s">
        <v>66</v>
      </c>
      <c r="C980" t="s">
        <v>33</v>
      </c>
      <c r="D980">
        <v>5</v>
      </c>
      <c r="E980" t="s">
        <v>61</v>
      </c>
      <c r="F980">
        <v>2</v>
      </c>
      <c r="G980">
        <v>1</v>
      </c>
      <c r="H980" t="s">
        <v>44</v>
      </c>
      <c r="I980">
        <v>3</v>
      </c>
      <c r="J980" t="s">
        <v>51</v>
      </c>
      <c r="K980">
        <v>2366</v>
      </c>
      <c r="L980">
        <v>1</v>
      </c>
      <c r="M980" t="s">
        <v>31</v>
      </c>
      <c r="N980">
        <v>14</v>
      </c>
      <c r="O980">
        <v>3</v>
      </c>
      <c r="P980">
        <v>1</v>
      </c>
      <c r="Q980">
        <v>8</v>
      </c>
      <c r="R980">
        <v>2</v>
      </c>
      <c r="S980">
        <v>8</v>
      </c>
      <c r="T980">
        <v>1</v>
      </c>
      <c r="U980">
        <v>7</v>
      </c>
      <c r="V980" t="s">
        <v>37</v>
      </c>
      <c r="W980" s="1" t="s">
        <v>499</v>
      </c>
      <c r="Y980" t="s">
        <v>63</v>
      </c>
      <c r="Z980" t="s">
        <v>40</v>
      </c>
      <c r="AA980">
        <v>5</v>
      </c>
      <c r="AB980">
        <v>0</v>
      </c>
      <c r="AC980" t="s">
        <v>31</v>
      </c>
      <c r="AD980" t="s">
        <v>48</v>
      </c>
      <c r="AE980" t="s">
        <v>49</v>
      </c>
      <c r="AF980" s="3">
        <v>1375</v>
      </c>
      <c r="AG980" s="3">
        <v>89</v>
      </c>
      <c r="AH980">
        <v>80</v>
      </c>
      <c r="AI980">
        <v>11</v>
      </c>
      <c r="AJ980">
        <v>0</v>
      </c>
      <c r="AL980">
        <v>0</v>
      </c>
      <c r="AM980">
        <v>1</v>
      </c>
      <c r="AN980" t="s">
        <v>768</v>
      </c>
      <c r="AO980" t="s">
        <v>41</v>
      </c>
    </row>
    <row r="981" spans="1:41" x14ac:dyDescent="0.25">
      <c r="A981">
        <v>44</v>
      </c>
      <c r="B981" t="s">
        <v>32</v>
      </c>
      <c r="C981" t="s">
        <v>33</v>
      </c>
      <c r="D981">
        <v>9</v>
      </c>
      <c r="E981" t="s">
        <v>34</v>
      </c>
      <c r="F981">
        <v>3</v>
      </c>
      <c r="G981">
        <v>1</v>
      </c>
      <c r="H981" t="s">
        <v>44</v>
      </c>
      <c r="I981">
        <v>1</v>
      </c>
      <c r="J981" t="s">
        <v>51</v>
      </c>
      <c r="K981">
        <v>2559</v>
      </c>
      <c r="L981">
        <v>1</v>
      </c>
      <c r="M981" t="s">
        <v>31</v>
      </c>
      <c r="N981">
        <v>13</v>
      </c>
      <c r="O981">
        <v>3</v>
      </c>
      <c r="P981">
        <v>0</v>
      </c>
      <c r="Q981">
        <v>8</v>
      </c>
      <c r="R981">
        <v>0</v>
      </c>
      <c r="S981">
        <v>8</v>
      </c>
      <c r="T981">
        <v>7</v>
      </c>
      <c r="U981">
        <v>1</v>
      </c>
      <c r="V981" t="s">
        <v>58</v>
      </c>
      <c r="W981" s="1" t="s">
        <v>472</v>
      </c>
      <c r="Y981" t="s">
        <v>69</v>
      </c>
      <c r="Z981" t="s">
        <v>47</v>
      </c>
      <c r="AA981">
        <v>3</v>
      </c>
      <c r="AB981">
        <v>1</v>
      </c>
      <c r="AC981" t="s">
        <v>31</v>
      </c>
      <c r="AD981" t="s">
        <v>48</v>
      </c>
      <c r="AE981" t="s">
        <v>49</v>
      </c>
      <c r="AF981" s="3">
        <v>1377</v>
      </c>
      <c r="AG981" s="3">
        <v>86</v>
      </c>
      <c r="AH981">
        <v>80</v>
      </c>
      <c r="AI981">
        <v>7</v>
      </c>
      <c r="AJ981">
        <v>0</v>
      </c>
      <c r="AL981">
        <v>0</v>
      </c>
      <c r="AM981">
        <v>1</v>
      </c>
      <c r="AN981" t="s">
        <v>768</v>
      </c>
      <c r="AO981" t="s">
        <v>41</v>
      </c>
    </row>
    <row r="982" spans="1:41" x14ac:dyDescent="0.25">
      <c r="A982">
        <v>32</v>
      </c>
      <c r="B982" t="s">
        <v>32</v>
      </c>
      <c r="C982" t="s">
        <v>33</v>
      </c>
      <c r="D982">
        <v>3</v>
      </c>
      <c r="E982" t="s">
        <v>61</v>
      </c>
      <c r="F982">
        <v>3</v>
      </c>
      <c r="G982">
        <v>2</v>
      </c>
      <c r="H982" t="s">
        <v>78</v>
      </c>
      <c r="I982">
        <v>1</v>
      </c>
      <c r="J982" t="s">
        <v>51</v>
      </c>
      <c r="K982">
        <v>6725</v>
      </c>
      <c r="L982">
        <v>1</v>
      </c>
      <c r="M982" t="s">
        <v>41</v>
      </c>
      <c r="N982">
        <v>12</v>
      </c>
      <c r="O982">
        <v>3</v>
      </c>
      <c r="P982">
        <v>1</v>
      </c>
      <c r="Q982">
        <v>8</v>
      </c>
      <c r="R982">
        <v>2</v>
      </c>
      <c r="S982">
        <v>8</v>
      </c>
      <c r="T982">
        <v>6</v>
      </c>
      <c r="U982">
        <v>3</v>
      </c>
      <c r="V982" t="s">
        <v>52</v>
      </c>
      <c r="W982" s="1" t="s">
        <v>500</v>
      </c>
      <c r="Y982" t="s">
        <v>63</v>
      </c>
      <c r="Z982" t="s">
        <v>47</v>
      </c>
      <c r="AA982">
        <v>3</v>
      </c>
      <c r="AB982">
        <v>0</v>
      </c>
      <c r="AC982" t="s">
        <v>31</v>
      </c>
      <c r="AD982" t="s">
        <v>42</v>
      </c>
      <c r="AE982" t="s">
        <v>60</v>
      </c>
      <c r="AF982" s="3">
        <v>1379</v>
      </c>
      <c r="AG982" s="3">
        <v>90</v>
      </c>
      <c r="AH982">
        <v>80</v>
      </c>
      <c r="AI982">
        <v>0</v>
      </c>
      <c r="AJ982">
        <v>1</v>
      </c>
      <c r="AK982">
        <v>1</v>
      </c>
      <c r="AL982">
        <v>1</v>
      </c>
      <c r="AM982">
        <v>0</v>
      </c>
      <c r="AN982" t="s">
        <v>767</v>
      </c>
      <c r="AO982" t="s">
        <v>31</v>
      </c>
    </row>
    <row r="983" spans="1:41" x14ac:dyDescent="0.25">
      <c r="A983">
        <v>30</v>
      </c>
      <c r="B983" t="s">
        <v>32</v>
      </c>
      <c r="C983" t="s">
        <v>55</v>
      </c>
      <c r="D983">
        <v>8</v>
      </c>
      <c r="E983" t="s">
        <v>34</v>
      </c>
      <c r="F983">
        <v>3</v>
      </c>
      <c r="G983">
        <v>3</v>
      </c>
      <c r="H983" t="s">
        <v>70</v>
      </c>
      <c r="I983">
        <v>3</v>
      </c>
      <c r="J983" t="s">
        <v>57</v>
      </c>
      <c r="K983">
        <v>7264</v>
      </c>
      <c r="L983">
        <v>5</v>
      </c>
      <c r="M983" t="s">
        <v>41</v>
      </c>
      <c r="N983">
        <v>11</v>
      </c>
      <c r="O983">
        <v>3</v>
      </c>
      <c r="P983">
        <v>1</v>
      </c>
      <c r="Q983">
        <v>10</v>
      </c>
      <c r="R983">
        <v>2</v>
      </c>
      <c r="S983">
        <v>8</v>
      </c>
      <c r="T983">
        <v>7</v>
      </c>
      <c r="U983">
        <v>7</v>
      </c>
      <c r="V983" t="s">
        <v>58</v>
      </c>
      <c r="W983" s="1" t="s">
        <v>501</v>
      </c>
      <c r="Y983" t="s">
        <v>39</v>
      </c>
      <c r="Z983" t="s">
        <v>47</v>
      </c>
      <c r="AA983">
        <v>5</v>
      </c>
      <c r="AB983">
        <v>2</v>
      </c>
      <c r="AC983" t="s">
        <v>31</v>
      </c>
      <c r="AD983" t="s">
        <v>48</v>
      </c>
      <c r="AE983" t="s">
        <v>49</v>
      </c>
      <c r="AF983" s="3">
        <v>1380</v>
      </c>
      <c r="AG983" s="3">
        <v>67</v>
      </c>
      <c r="AH983">
        <v>80</v>
      </c>
      <c r="AI983">
        <v>2</v>
      </c>
      <c r="AJ983">
        <v>1</v>
      </c>
      <c r="AK983">
        <v>1</v>
      </c>
      <c r="AL983">
        <v>1</v>
      </c>
      <c r="AM983">
        <v>0</v>
      </c>
      <c r="AN983" t="s">
        <v>767</v>
      </c>
      <c r="AO983" t="s">
        <v>31</v>
      </c>
    </row>
    <row r="984" spans="1:41" x14ac:dyDescent="0.25">
      <c r="A984">
        <v>39</v>
      </c>
      <c r="B984" t="s">
        <v>32</v>
      </c>
      <c r="C984" t="s">
        <v>55</v>
      </c>
      <c r="D984">
        <v>2</v>
      </c>
      <c r="E984" t="s">
        <v>34</v>
      </c>
      <c r="F984">
        <v>4</v>
      </c>
      <c r="G984">
        <v>3</v>
      </c>
      <c r="H984" t="s">
        <v>70</v>
      </c>
      <c r="I984">
        <v>3</v>
      </c>
      <c r="J984" t="s">
        <v>36</v>
      </c>
      <c r="K984">
        <v>7880</v>
      </c>
      <c r="L984">
        <v>0</v>
      </c>
      <c r="M984" t="s">
        <v>41</v>
      </c>
      <c r="N984">
        <v>18</v>
      </c>
      <c r="O984">
        <v>3</v>
      </c>
      <c r="P984">
        <v>0</v>
      </c>
      <c r="Q984">
        <v>9</v>
      </c>
      <c r="R984">
        <v>3</v>
      </c>
      <c r="S984">
        <v>8</v>
      </c>
      <c r="T984">
        <v>0</v>
      </c>
      <c r="U984">
        <v>7</v>
      </c>
      <c r="V984" t="s">
        <v>72</v>
      </c>
      <c r="W984" s="1" t="s">
        <v>481</v>
      </c>
      <c r="Y984" t="s">
        <v>54</v>
      </c>
      <c r="Z984" t="s">
        <v>40</v>
      </c>
      <c r="AA984">
        <v>1</v>
      </c>
      <c r="AB984">
        <v>1</v>
      </c>
      <c r="AC984" t="s">
        <v>31</v>
      </c>
      <c r="AD984" t="s">
        <v>67</v>
      </c>
      <c r="AE984" t="s">
        <v>60</v>
      </c>
      <c r="AF984" s="3">
        <v>1382</v>
      </c>
      <c r="AG984" s="3">
        <v>57</v>
      </c>
      <c r="AH984">
        <v>80</v>
      </c>
      <c r="AI984">
        <v>2</v>
      </c>
      <c r="AJ984">
        <v>0</v>
      </c>
      <c r="AL984">
        <v>0</v>
      </c>
      <c r="AM984">
        <v>1</v>
      </c>
      <c r="AN984" t="s">
        <v>768</v>
      </c>
      <c r="AO984" t="s">
        <v>41</v>
      </c>
    </row>
    <row r="985" spans="1:41" x14ac:dyDescent="0.25">
      <c r="A985">
        <v>46</v>
      </c>
      <c r="B985" t="s">
        <v>32</v>
      </c>
      <c r="C985" t="s">
        <v>33</v>
      </c>
      <c r="D985">
        <v>7</v>
      </c>
      <c r="E985" t="s">
        <v>34</v>
      </c>
      <c r="F985">
        <v>3</v>
      </c>
      <c r="G985">
        <v>3</v>
      </c>
      <c r="H985" t="s">
        <v>78</v>
      </c>
      <c r="I985">
        <v>3</v>
      </c>
      <c r="J985" t="s">
        <v>57</v>
      </c>
      <c r="K985">
        <v>10845</v>
      </c>
      <c r="L985">
        <v>6</v>
      </c>
      <c r="M985" t="s">
        <v>41</v>
      </c>
      <c r="N985">
        <v>13</v>
      </c>
      <c r="O985">
        <v>3</v>
      </c>
      <c r="P985">
        <v>1</v>
      </c>
      <c r="Q985">
        <v>13</v>
      </c>
      <c r="R985">
        <v>3</v>
      </c>
      <c r="S985">
        <v>8</v>
      </c>
      <c r="T985">
        <v>0</v>
      </c>
      <c r="U985">
        <v>7</v>
      </c>
      <c r="V985" t="s">
        <v>52</v>
      </c>
      <c r="W985" s="1" t="s">
        <v>472</v>
      </c>
      <c r="Y985" t="s">
        <v>46</v>
      </c>
      <c r="Z985" t="s">
        <v>47</v>
      </c>
      <c r="AA985">
        <v>2</v>
      </c>
      <c r="AB985">
        <v>0</v>
      </c>
      <c r="AC985" t="s">
        <v>41</v>
      </c>
      <c r="AD985" t="s">
        <v>42</v>
      </c>
      <c r="AE985" t="s">
        <v>43</v>
      </c>
      <c r="AF985" s="3">
        <v>1383</v>
      </c>
      <c r="AG985" s="3">
        <v>98</v>
      </c>
      <c r="AH985">
        <v>80</v>
      </c>
      <c r="AI985">
        <v>11</v>
      </c>
      <c r="AJ985">
        <v>0</v>
      </c>
      <c r="AL985">
        <v>0</v>
      </c>
      <c r="AM985">
        <v>1</v>
      </c>
      <c r="AN985" t="s">
        <v>768</v>
      </c>
      <c r="AO985" t="s">
        <v>41</v>
      </c>
    </row>
    <row r="986" spans="1:41" x14ac:dyDescent="0.25">
      <c r="A986">
        <v>30</v>
      </c>
      <c r="B986" t="s">
        <v>32</v>
      </c>
      <c r="C986" t="s">
        <v>33</v>
      </c>
      <c r="D986">
        <v>8</v>
      </c>
      <c r="E986" t="s">
        <v>61</v>
      </c>
      <c r="F986">
        <v>4</v>
      </c>
      <c r="G986">
        <v>3</v>
      </c>
      <c r="H986" t="s">
        <v>50</v>
      </c>
      <c r="I986">
        <v>1</v>
      </c>
      <c r="J986" t="s">
        <v>51</v>
      </c>
      <c r="K986">
        <v>11416</v>
      </c>
      <c r="L986">
        <v>0</v>
      </c>
      <c r="M986" t="s">
        <v>31</v>
      </c>
      <c r="N986">
        <v>12</v>
      </c>
      <c r="O986">
        <v>3</v>
      </c>
      <c r="P986">
        <v>3</v>
      </c>
      <c r="Q986">
        <v>9</v>
      </c>
      <c r="R986">
        <v>4</v>
      </c>
      <c r="S986">
        <v>8</v>
      </c>
      <c r="T986">
        <v>1</v>
      </c>
      <c r="U986">
        <v>7</v>
      </c>
      <c r="V986" t="s">
        <v>52</v>
      </c>
      <c r="W986" s="1" t="s">
        <v>502</v>
      </c>
      <c r="Y986" t="s">
        <v>54</v>
      </c>
      <c r="Z986" t="s">
        <v>47</v>
      </c>
      <c r="AA986">
        <v>2</v>
      </c>
      <c r="AB986">
        <v>2</v>
      </c>
      <c r="AC986" t="s">
        <v>41</v>
      </c>
      <c r="AD986" t="s">
        <v>67</v>
      </c>
      <c r="AE986" t="s">
        <v>49</v>
      </c>
      <c r="AF986" s="3">
        <v>1387</v>
      </c>
      <c r="AG986" s="3">
        <v>48</v>
      </c>
      <c r="AH986">
        <v>80</v>
      </c>
      <c r="AI986">
        <v>3</v>
      </c>
      <c r="AJ986">
        <v>0</v>
      </c>
      <c r="AL986">
        <v>0</v>
      </c>
      <c r="AM986">
        <v>1</v>
      </c>
      <c r="AN986" t="s">
        <v>768</v>
      </c>
      <c r="AO986" t="s">
        <v>41</v>
      </c>
    </row>
    <row r="987" spans="1:41" x14ac:dyDescent="0.25">
      <c r="A987">
        <v>26</v>
      </c>
      <c r="B987" t="s">
        <v>32</v>
      </c>
      <c r="C987" t="s">
        <v>33</v>
      </c>
      <c r="D987">
        <v>2</v>
      </c>
      <c r="E987" t="s">
        <v>34</v>
      </c>
      <c r="F987">
        <v>4</v>
      </c>
      <c r="G987">
        <v>2</v>
      </c>
      <c r="H987" t="s">
        <v>78</v>
      </c>
      <c r="I987">
        <v>4</v>
      </c>
      <c r="J987" t="s">
        <v>51</v>
      </c>
      <c r="K987">
        <v>5472</v>
      </c>
      <c r="L987">
        <v>1</v>
      </c>
      <c r="M987" t="s">
        <v>41</v>
      </c>
      <c r="N987">
        <v>12</v>
      </c>
      <c r="O987">
        <v>3</v>
      </c>
      <c r="P987">
        <v>0</v>
      </c>
      <c r="Q987">
        <v>8</v>
      </c>
      <c r="R987">
        <v>2</v>
      </c>
      <c r="S987">
        <v>8</v>
      </c>
      <c r="T987">
        <v>1</v>
      </c>
      <c r="U987">
        <v>3</v>
      </c>
      <c r="V987" t="s">
        <v>58</v>
      </c>
      <c r="W987" s="1" t="s">
        <v>503</v>
      </c>
      <c r="Y987" t="s">
        <v>63</v>
      </c>
      <c r="Z987" t="s">
        <v>47</v>
      </c>
      <c r="AA987">
        <v>5</v>
      </c>
      <c r="AB987">
        <v>0</v>
      </c>
      <c r="AC987" t="s">
        <v>41</v>
      </c>
      <c r="AD987" t="s">
        <v>48</v>
      </c>
      <c r="AE987" t="s">
        <v>60</v>
      </c>
      <c r="AF987" s="3">
        <v>1389</v>
      </c>
      <c r="AG987" s="3">
        <v>98</v>
      </c>
      <c r="AH987">
        <v>80</v>
      </c>
      <c r="AI987">
        <v>2</v>
      </c>
      <c r="AJ987">
        <v>1</v>
      </c>
      <c r="AK987">
        <v>1</v>
      </c>
      <c r="AL987">
        <v>1</v>
      </c>
      <c r="AM987">
        <v>0</v>
      </c>
      <c r="AN987" t="s">
        <v>767</v>
      </c>
      <c r="AO987" t="s">
        <v>31</v>
      </c>
    </row>
    <row r="988" spans="1:41" x14ac:dyDescent="0.25">
      <c r="A988">
        <v>55</v>
      </c>
      <c r="B988" t="s">
        <v>66</v>
      </c>
      <c r="C988" t="s">
        <v>33</v>
      </c>
      <c r="D988">
        <v>18</v>
      </c>
      <c r="E988" t="s">
        <v>34</v>
      </c>
      <c r="F988">
        <v>3</v>
      </c>
      <c r="G988">
        <v>2</v>
      </c>
      <c r="H988" t="s">
        <v>89</v>
      </c>
      <c r="I988">
        <v>2</v>
      </c>
      <c r="J988" t="s">
        <v>51</v>
      </c>
      <c r="K988">
        <v>6385</v>
      </c>
      <c r="L988">
        <v>3</v>
      </c>
      <c r="M988" t="s">
        <v>31</v>
      </c>
      <c r="N988">
        <v>14</v>
      </c>
      <c r="O988">
        <v>3</v>
      </c>
      <c r="P988">
        <v>2</v>
      </c>
      <c r="Q988">
        <v>17</v>
      </c>
      <c r="R988">
        <v>3</v>
      </c>
      <c r="S988">
        <v>8</v>
      </c>
      <c r="T988">
        <v>6</v>
      </c>
      <c r="U988">
        <v>7</v>
      </c>
      <c r="V988" t="s">
        <v>37</v>
      </c>
      <c r="W988" s="1" t="s">
        <v>504</v>
      </c>
      <c r="Y988" t="s">
        <v>63</v>
      </c>
      <c r="Z988" t="s">
        <v>47</v>
      </c>
      <c r="AA988">
        <v>1</v>
      </c>
      <c r="AB988">
        <v>2</v>
      </c>
      <c r="AC988" t="s">
        <v>41</v>
      </c>
      <c r="AD988" t="s">
        <v>42</v>
      </c>
      <c r="AE988" t="s">
        <v>60</v>
      </c>
      <c r="AF988" s="3">
        <v>1390</v>
      </c>
      <c r="AG988" s="3">
        <v>44</v>
      </c>
      <c r="AH988">
        <v>80</v>
      </c>
      <c r="AI988">
        <v>4</v>
      </c>
      <c r="AJ988">
        <v>0</v>
      </c>
      <c r="AL988">
        <v>0</v>
      </c>
      <c r="AM988">
        <v>1</v>
      </c>
      <c r="AN988" t="s">
        <v>768</v>
      </c>
      <c r="AO988" t="s">
        <v>41</v>
      </c>
    </row>
    <row r="989" spans="1:41" x14ac:dyDescent="0.25">
      <c r="A989">
        <v>32</v>
      </c>
      <c r="B989" t="s">
        <v>81</v>
      </c>
      <c r="C989" t="s">
        <v>33</v>
      </c>
      <c r="D989">
        <v>29</v>
      </c>
      <c r="E989" t="s">
        <v>61</v>
      </c>
      <c r="F989">
        <v>3</v>
      </c>
      <c r="G989">
        <v>1</v>
      </c>
      <c r="H989" t="s">
        <v>35</v>
      </c>
      <c r="I989">
        <v>3</v>
      </c>
      <c r="J989" t="s">
        <v>36</v>
      </c>
      <c r="K989">
        <v>4025</v>
      </c>
      <c r="L989">
        <v>9</v>
      </c>
      <c r="M989" t="s">
        <v>41</v>
      </c>
      <c r="N989">
        <v>12</v>
      </c>
      <c r="O989">
        <v>3</v>
      </c>
      <c r="P989">
        <v>0</v>
      </c>
      <c r="Q989">
        <v>10</v>
      </c>
      <c r="R989">
        <v>2</v>
      </c>
      <c r="S989">
        <v>8</v>
      </c>
      <c r="T989">
        <v>7</v>
      </c>
      <c r="U989">
        <v>7</v>
      </c>
      <c r="V989" t="s">
        <v>58</v>
      </c>
      <c r="W989" s="1" t="s">
        <v>505</v>
      </c>
      <c r="Y989" t="s">
        <v>54</v>
      </c>
      <c r="Z989" t="s">
        <v>47</v>
      </c>
      <c r="AA989">
        <v>2</v>
      </c>
      <c r="AB989">
        <v>3</v>
      </c>
      <c r="AC989" t="s">
        <v>41</v>
      </c>
      <c r="AD989" t="s">
        <v>42</v>
      </c>
      <c r="AE989" t="s">
        <v>60</v>
      </c>
      <c r="AF989" s="3">
        <v>1391</v>
      </c>
      <c r="AG989" s="3">
        <v>52</v>
      </c>
      <c r="AH989">
        <v>80</v>
      </c>
      <c r="AI989">
        <v>2</v>
      </c>
      <c r="AJ989">
        <v>0</v>
      </c>
      <c r="AL989">
        <v>0</v>
      </c>
      <c r="AM989">
        <v>1</v>
      </c>
      <c r="AN989" t="s">
        <v>768</v>
      </c>
      <c r="AO989" t="s">
        <v>41</v>
      </c>
    </row>
    <row r="990" spans="1:41" x14ac:dyDescent="0.25">
      <c r="A990">
        <v>50</v>
      </c>
      <c r="B990" t="s">
        <v>32</v>
      </c>
      <c r="C990" t="s">
        <v>33</v>
      </c>
      <c r="D990">
        <v>2</v>
      </c>
      <c r="E990" t="s">
        <v>34</v>
      </c>
      <c r="F990">
        <v>3</v>
      </c>
      <c r="G990">
        <v>5</v>
      </c>
      <c r="H990" t="s">
        <v>50</v>
      </c>
      <c r="I990">
        <v>3</v>
      </c>
      <c r="J990" t="s">
        <v>51</v>
      </c>
      <c r="K990">
        <v>19237</v>
      </c>
      <c r="L990">
        <v>2</v>
      </c>
      <c r="M990" t="s">
        <v>31</v>
      </c>
      <c r="N990">
        <v>11</v>
      </c>
      <c r="O990">
        <v>3</v>
      </c>
      <c r="P990">
        <v>1</v>
      </c>
      <c r="Q990">
        <v>29</v>
      </c>
      <c r="R990">
        <v>2</v>
      </c>
      <c r="S990">
        <v>8</v>
      </c>
      <c r="T990">
        <v>7</v>
      </c>
      <c r="U990">
        <v>7</v>
      </c>
      <c r="V990" t="s">
        <v>58</v>
      </c>
      <c r="W990" s="2">
        <v>41613</v>
      </c>
      <c r="Y990" t="s">
        <v>46</v>
      </c>
      <c r="Z990" t="s">
        <v>40</v>
      </c>
      <c r="AA990">
        <v>4</v>
      </c>
      <c r="AB990">
        <v>1</v>
      </c>
      <c r="AC990" t="s">
        <v>41</v>
      </c>
      <c r="AD990" t="s">
        <v>48</v>
      </c>
      <c r="AE990" t="s">
        <v>60</v>
      </c>
      <c r="AF990" s="3">
        <v>1392</v>
      </c>
      <c r="AG990" s="3">
        <v>75</v>
      </c>
      <c r="AH990">
        <v>80</v>
      </c>
      <c r="AI990">
        <v>2</v>
      </c>
      <c r="AJ990">
        <v>0</v>
      </c>
      <c r="AL990">
        <v>0</v>
      </c>
      <c r="AM990">
        <v>1</v>
      </c>
      <c r="AN990" t="s">
        <v>768</v>
      </c>
      <c r="AO990" t="s">
        <v>41</v>
      </c>
    </row>
    <row r="991" spans="1:41" x14ac:dyDescent="0.25">
      <c r="A991">
        <v>28</v>
      </c>
      <c r="B991" t="s">
        <v>32</v>
      </c>
      <c r="C991" t="s">
        <v>33</v>
      </c>
      <c r="D991">
        <v>10</v>
      </c>
      <c r="E991" t="s">
        <v>61</v>
      </c>
      <c r="F991">
        <v>3</v>
      </c>
      <c r="G991">
        <v>2</v>
      </c>
      <c r="H991" t="s">
        <v>44</v>
      </c>
      <c r="I991">
        <v>3</v>
      </c>
      <c r="J991" t="s">
        <v>36</v>
      </c>
      <c r="K991">
        <v>3660</v>
      </c>
      <c r="L991">
        <v>3</v>
      </c>
      <c r="M991" t="s">
        <v>41</v>
      </c>
      <c r="N991">
        <v>13</v>
      </c>
      <c r="O991">
        <v>3</v>
      </c>
      <c r="P991">
        <v>0</v>
      </c>
      <c r="Q991">
        <v>10</v>
      </c>
      <c r="R991">
        <v>4</v>
      </c>
      <c r="S991">
        <v>8</v>
      </c>
      <c r="T991">
        <v>1</v>
      </c>
      <c r="U991">
        <v>7</v>
      </c>
      <c r="V991" t="s">
        <v>52</v>
      </c>
      <c r="W991" s="2">
        <v>41397</v>
      </c>
      <c r="Y991" t="s">
        <v>63</v>
      </c>
      <c r="Z991" t="s">
        <v>47</v>
      </c>
      <c r="AA991">
        <v>0</v>
      </c>
      <c r="AB991">
        <v>2</v>
      </c>
      <c r="AC991" t="s">
        <v>31</v>
      </c>
      <c r="AD991" t="s">
        <v>48</v>
      </c>
      <c r="AE991" t="s">
        <v>49</v>
      </c>
      <c r="AF991" s="3">
        <v>1394</v>
      </c>
      <c r="AG991" s="3">
        <v>54</v>
      </c>
      <c r="AH991">
        <v>80</v>
      </c>
      <c r="AI991">
        <v>4</v>
      </c>
      <c r="AJ991">
        <v>0</v>
      </c>
      <c r="AL991">
        <v>0</v>
      </c>
      <c r="AM991">
        <v>1</v>
      </c>
      <c r="AN991" t="s">
        <v>768</v>
      </c>
      <c r="AO991" t="s">
        <v>41</v>
      </c>
    </row>
    <row r="992" spans="1:41" x14ac:dyDescent="0.25">
      <c r="A992">
        <v>35</v>
      </c>
      <c r="B992" t="s">
        <v>32</v>
      </c>
      <c r="C992" t="s">
        <v>55</v>
      </c>
      <c r="D992">
        <v>4</v>
      </c>
      <c r="E992" t="s">
        <v>34</v>
      </c>
      <c r="F992">
        <v>3</v>
      </c>
      <c r="G992">
        <v>3</v>
      </c>
      <c r="H992" t="s">
        <v>70</v>
      </c>
      <c r="I992">
        <v>1</v>
      </c>
      <c r="J992" t="s">
        <v>36</v>
      </c>
      <c r="K992">
        <v>9582</v>
      </c>
      <c r="L992">
        <v>0</v>
      </c>
      <c r="M992" t="s">
        <v>31</v>
      </c>
      <c r="N992">
        <v>22</v>
      </c>
      <c r="O992">
        <v>4</v>
      </c>
      <c r="P992">
        <v>0</v>
      </c>
      <c r="Q992">
        <v>9</v>
      </c>
      <c r="R992">
        <v>2</v>
      </c>
      <c r="S992">
        <v>8</v>
      </c>
      <c r="T992">
        <v>4</v>
      </c>
      <c r="U992">
        <v>7</v>
      </c>
      <c r="V992" t="s">
        <v>52</v>
      </c>
      <c r="W992" s="1" t="s">
        <v>506</v>
      </c>
      <c r="Y992" t="s">
        <v>54</v>
      </c>
      <c r="Z992" t="s">
        <v>47</v>
      </c>
      <c r="AA992">
        <v>5</v>
      </c>
      <c r="AB992">
        <v>0</v>
      </c>
      <c r="AC992" t="s">
        <v>31</v>
      </c>
      <c r="AD992" t="s">
        <v>42</v>
      </c>
      <c r="AE992" t="s">
        <v>43</v>
      </c>
      <c r="AF992" s="3">
        <v>1395</v>
      </c>
      <c r="AG992" s="3">
        <v>61</v>
      </c>
      <c r="AH992">
        <v>80</v>
      </c>
      <c r="AI992">
        <v>4</v>
      </c>
      <c r="AJ992">
        <v>0</v>
      </c>
      <c r="AL992">
        <v>0</v>
      </c>
      <c r="AM992">
        <v>1</v>
      </c>
      <c r="AN992" t="s">
        <v>768</v>
      </c>
      <c r="AO992" t="s">
        <v>41</v>
      </c>
    </row>
    <row r="993" spans="1:41" x14ac:dyDescent="0.25">
      <c r="A993">
        <v>52</v>
      </c>
      <c r="B993" t="s">
        <v>32</v>
      </c>
      <c r="C993" t="s">
        <v>33</v>
      </c>
      <c r="D993">
        <v>7</v>
      </c>
      <c r="E993" t="s">
        <v>34</v>
      </c>
      <c r="F993">
        <v>3</v>
      </c>
      <c r="G993">
        <v>3</v>
      </c>
      <c r="H993" t="s">
        <v>89</v>
      </c>
      <c r="I993">
        <v>2</v>
      </c>
      <c r="J993" t="s">
        <v>36</v>
      </c>
      <c r="K993">
        <v>10445</v>
      </c>
      <c r="L993">
        <v>7</v>
      </c>
      <c r="M993" t="s">
        <v>41</v>
      </c>
      <c r="N993">
        <v>19</v>
      </c>
      <c r="O993">
        <v>3</v>
      </c>
      <c r="P993">
        <v>0</v>
      </c>
      <c r="Q993">
        <v>18</v>
      </c>
      <c r="R993">
        <v>4</v>
      </c>
      <c r="S993">
        <v>8</v>
      </c>
      <c r="T993">
        <v>4</v>
      </c>
      <c r="U993">
        <v>0</v>
      </c>
      <c r="V993" t="s">
        <v>52</v>
      </c>
      <c r="W993" s="2">
        <v>41308</v>
      </c>
      <c r="Y993" t="s">
        <v>39</v>
      </c>
      <c r="Z993" t="s">
        <v>40</v>
      </c>
      <c r="AA993">
        <v>0</v>
      </c>
      <c r="AB993">
        <v>3</v>
      </c>
      <c r="AC993" t="s">
        <v>31</v>
      </c>
      <c r="AD993" t="s">
        <v>67</v>
      </c>
      <c r="AE993" t="s">
        <v>60</v>
      </c>
      <c r="AF993" s="3">
        <v>1396</v>
      </c>
      <c r="AG993" s="3">
        <v>36</v>
      </c>
      <c r="AH993">
        <v>80</v>
      </c>
      <c r="AI993">
        <v>2</v>
      </c>
      <c r="AJ993">
        <v>0</v>
      </c>
      <c r="AL993">
        <v>0</v>
      </c>
      <c r="AM993">
        <v>1</v>
      </c>
      <c r="AN993" t="s">
        <v>768</v>
      </c>
      <c r="AO993" t="s">
        <v>41</v>
      </c>
    </row>
    <row r="994" spans="1:41" x14ac:dyDescent="0.25">
      <c r="A994">
        <v>38</v>
      </c>
      <c r="B994" t="s">
        <v>32</v>
      </c>
      <c r="C994" t="s">
        <v>55</v>
      </c>
      <c r="D994">
        <v>10</v>
      </c>
      <c r="E994" t="s">
        <v>34</v>
      </c>
      <c r="F994">
        <v>2</v>
      </c>
      <c r="G994">
        <v>3</v>
      </c>
      <c r="H994" t="s">
        <v>70</v>
      </c>
      <c r="I994">
        <v>3</v>
      </c>
      <c r="J994" t="s">
        <v>57</v>
      </c>
      <c r="K994">
        <v>8740</v>
      </c>
      <c r="L994">
        <v>0</v>
      </c>
      <c r="M994" t="s">
        <v>31</v>
      </c>
      <c r="N994">
        <v>14</v>
      </c>
      <c r="O994">
        <v>3</v>
      </c>
      <c r="P994">
        <v>2</v>
      </c>
      <c r="Q994">
        <v>9</v>
      </c>
      <c r="R994">
        <v>2</v>
      </c>
      <c r="S994">
        <v>8</v>
      </c>
      <c r="T994">
        <v>2</v>
      </c>
      <c r="U994">
        <v>7</v>
      </c>
      <c r="V994" t="s">
        <v>52</v>
      </c>
      <c r="W994" s="2">
        <v>41276</v>
      </c>
      <c r="Y994" t="s">
        <v>69</v>
      </c>
      <c r="Z994" t="s">
        <v>47</v>
      </c>
      <c r="AA994">
        <v>4</v>
      </c>
      <c r="AB994">
        <v>2</v>
      </c>
      <c r="AC994" t="s">
        <v>41</v>
      </c>
      <c r="AD994" t="s">
        <v>42</v>
      </c>
      <c r="AE994" t="s">
        <v>49</v>
      </c>
      <c r="AF994" s="3">
        <v>1397</v>
      </c>
      <c r="AG994" s="3">
        <v>71</v>
      </c>
      <c r="AH994">
        <v>80</v>
      </c>
      <c r="AI994">
        <v>4</v>
      </c>
      <c r="AJ994">
        <v>0</v>
      </c>
      <c r="AL994">
        <v>0</v>
      </c>
      <c r="AM994">
        <v>1</v>
      </c>
      <c r="AN994" t="s">
        <v>768</v>
      </c>
      <c r="AO994" t="s">
        <v>41</v>
      </c>
    </row>
    <row r="995" spans="1:41" x14ac:dyDescent="0.25">
      <c r="A995">
        <v>43</v>
      </c>
      <c r="B995" t="s">
        <v>66</v>
      </c>
      <c r="C995" t="s">
        <v>33</v>
      </c>
      <c r="D995">
        <v>27</v>
      </c>
      <c r="E995" t="s">
        <v>61</v>
      </c>
      <c r="F995">
        <v>3</v>
      </c>
      <c r="G995">
        <v>3</v>
      </c>
      <c r="H995" t="s">
        <v>78</v>
      </c>
      <c r="I995">
        <v>1</v>
      </c>
      <c r="J995" t="s">
        <v>51</v>
      </c>
      <c r="K995">
        <v>10820</v>
      </c>
      <c r="L995">
        <v>8</v>
      </c>
      <c r="M995" t="s">
        <v>41</v>
      </c>
      <c r="N995">
        <v>11</v>
      </c>
      <c r="O995">
        <v>3</v>
      </c>
      <c r="P995">
        <v>1</v>
      </c>
      <c r="Q995">
        <v>18</v>
      </c>
      <c r="R995">
        <v>1</v>
      </c>
      <c r="S995">
        <v>8</v>
      </c>
      <c r="T995">
        <v>0</v>
      </c>
      <c r="U995">
        <v>1</v>
      </c>
      <c r="V995" t="s">
        <v>72</v>
      </c>
      <c r="W995" s="1" t="s">
        <v>507</v>
      </c>
      <c r="Y995" t="s">
        <v>39</v>
      </c>
      <c r="Z995" t="s">
        <v>40</v>
      </c>
      <c r="AA995">
        <v>1</v>
      </c>
      <c r="AB995">
        <v>1</v>
      </c>
      <c r="AC995" t="s">
        <v>31</v>
      </c>
      <c r="AD995" t="s">
        <v>67</v>
      </c>
      <c r="AE995" t="s">
        <v>60</v>
      </c>
      <c r="AF995" s="3">
        <v>1399</v>
      </c>
      <c r="AG995" s="3">
        <v>93</v>
      </c>
      <c r="AH995">
        <v>80</v>
      </c>
      <c r="AI995">
        <v>2</v>
      </c>
      <c r="AJ995">
        <v>0</v>
      </c>
      <c r="AL995">
        <v>0</v>
      </c>
      <c r="AM995">
        <v>1</v>
      </c>
      <c r="AN995" t="s">
        <v>768</v>
      </c>
      <c r="AO995" t="s">
        <v>41</v>
      </c>
    </row>
    <row r="996" spans="1:41" x14ac:dyDescent="0.25">
      <c r="A996">
        <v>35</v>
      </c>
      <c r="B996" t="s">
        <v>32</v>
      </c>
      <c r="C996" t="s">
        <v>33</v>
      </c>
      <c r="D996">
        <v>1</v>
      </c>
      <c r="E996" t="s">
        <v>34</v>
      </c>
      <c r="F996">
        <v>2</v>
      </c>
      <c r="G996">
        <v>1</v>
      </c>
      <c r="H996" t="s">
        <v>35</v>
      </c>
      <c r="I996">
        <v>3</v>
      </c>
      <c r="J996" t="s">
        <v>51</v>
      </c>
      <c r="K996">
        <v>2258</v>
      </c>
      <c r="L996">
        <v>6</v>
      </c>
      <c r="M996" t="s">
        <v>41</v>
      </c>
      <c r="N996">
        <v>12</v>
      </c>
      <c r="O996">
        <v>3</v>
      </c>
      <c r="P996">
        <v>1</v>
      </c>
      <c r="Q996">
        <v>10</v>
      </c>
      <c r="R996">
        <v>2</v>
      </c>
      <c r="S996">
        <v>8</v>
      </c>
      <c r="T996">
        <v>1</v>
      </c>
      <c r="U996">
        <v>7</v>
      </c>
      <c r="V996" t="s">
        <v>52</v>
      </c>
      <c r="W996" s="1" t="s">
        <v>508</v>
      </c>
      <c r="Y996" t="s">
        <v>46</v>
      </c>
      <c r="Z996" t="s">
        <v>47</v>
      </c>
      <c r="AA996">
        <v>0</v>
      </c>
      <c r="AB996">
        <v>3</v>
      </c>
      <c r="AC996" t="s">
        <v>31</v>
      </c>
      <c r="AD996" t="s">
        <v>67</v>
      </c>
      <c r="AE996" t="s">
        <v>43</v>
      </c>
      <c r="AF996" s="3">
        <v>1401</v>
      </c>
      <c r="AG996" s="3">
        <v>59</v>
      </c>
      <c r="AH996">
        <v>80</v>
      </c>
      <c r="AI996">
        <v>3</v>
      </c>
      <c r="AJ996">
        <v>0</v>
      </c>
      <c r="AL996">
        <v>0</v>
      </c>
      <c r="AM996">
        <v>1</v>
      </c>
      <c r="AN996" t="s">
        <v>768</v>
      </c>
      <c r="AO996" t="s">
        <v>41</v>
      </c>
    </row>
    <row r="997" spans="1:41" x14ac:dyDescent="0.25">
      <c r="A997">
        <v>26</v>
      </c>
      <c r="B997" t="s">
        <v>32</v>
      </c>
      <c r="C997" t="s">
        <v>33</v>
      </c>
      <c r="D997">
        <v>3</v>
      </c>
      <c r="E997" t="s">
        <v>34</v>
      </c>
      <c r="F997">
        <v>4</v>
      </c>
      <c r="G997">
        <v>1</v>
      </c>
      <c r="H997" t="s">
        <v>35</v>
      </c>
      <c r="I997">
        <v>4</v>
      </c>
      <c r="J997" t="s">
        <v>51</v>
      </c>
      <c r="K997">
        <v>4420</v>
      </c>
      <c r="L997">
        <v>1</v>
      </c>
      <c r="M997" t="s">
        <v>41</v>
      </c>
      <c r="N997">
        <v>22</v>
      </c>
      <c r="O997">
        <v>4</v>
      </c>
      <c r="P997">
        <v>1</v>
      </c>
      <c r="Q997">
        <v>8</v>
      </c>
      <c r="R997">
        <v>2</v>
      </c>
      <c r="S997">
        <v>8</v>
      </c>
      <c r="T997">
        <v>0</v>
      </c>
      <c r="U997">
        <v>7</v>
      </c>
      <c r="V997" t="s">
        <v>58</v>
      </c>
      <c r="W997" s="1" t="s">
        <v>503</v>
      </c>
      <c r="Y997" t="s">
        <v>69</v>
      </c>
      <c r="Z997" t="s">
        <v>40</v>
      </c>
      <c r="AA997">
        <v>0</v>
      </c>
      <c r="AB997">
        <v>0</v>
      </c>
      <c r="AC997" t="s">
        <v>31</v>
      </c>
      <c r="AD997" t="s">
        <v>48</v>
      </c>
      <c r="AE997" t="s">
        <v>43</v>
      </c>
      <c r="AF997" s="3">
        <v>1402</v>
      </c>
      <c r="AG997" s="3">
        <v>73</v>
      </c>
      <c r="AH997">
        <v>80</v>
      </c>
      <c r="AI997">
        <v>7</v>
      </c>
      <c r="AJ997">
        <v>0</v>
      </c>
      <c r="AL997">
        <v>0</v>
      </c>
      <c r="AM997">
        <v>1</v>
      </c>
      <c r="AN997" t="s">
        <v>768</v>
      </c>
      <c r="AO997" t="s">
        <v>41</v>
      </c>
    </row>
    <row r="998" spans="1:41" x14ac:dyDescent="0.25">
      <c r="A998">
        <v>32</v>
      </c>
      <c r="B998" t="s">
        <v>66</v>
      </c>
      <c r="C998" t="s">
        <v>33</v>
      </c>
      <c r="D998">
        <v>2</v>
      </c>
      <c r="E998" t="s">
        <v>61</v>
      </c>
      <c r="F998">
        <v>3</v>
      </c>
      <c r="G998">
        <v>2</v>
      </c>
      <c r="H998" t="s">
        <v>44</v>
      </c>
      <c r="I998">
        <v>3</v>
      </c>
      <c r="J998" t="s">
        <v>36</v>
      </c>
      <c r="K998">
        <v>4998</v>
      </c>
      <c r="L998">
        <v>4</v>
      </c>
      <c r="M998" t="s">
        <v>31</v>
      </c>
      <c r="N998">
        <v>14</v>
      </c>
      <c r="O998">
        <v>3</v>
      </c>
      <c r="P998">
        <v>0</v>
      </c>
      <c r="Q998">
        <v>10</v>
      </c>
      <c r="R998">
        <v>2</v>
      </c>
      <c r="S998">
        <v>8</v>
      </c>
      <c r="T998">
        <v>0</v>
      </c>
      <c r="U998">
        <v>7</v>
      </c>
      <c r="V998" t="s">
        <v>52</v>
      </c>
      <c r="W998" s="2">
        <v>41522</v>
      </c>
      <c r="Y998" t="s">
        <v>39</v>
      </c>
      <c r="Z998" t="s">
        <v>40</v>
      </c>
      <c r="AA998">
        <v>1</v>
      </c>
      <c r="AB998">
        <v>3</v>
      </c>
      <c r="AC998" t="s">
        <v>31</v>
      </c>
      <c r="AD998" t="s">
        <v>48</v>
      </c>
      <c r="AE998" t="s">
        <v>43</v>
      </c>
      <c r="AF998" s="3">
        <v>1403</v>
      </c>
      <c r="AG998" s="3">
        <v>98</v>
      </c>
      <c r="AH998">
        <v>80</v>
      </c>
      <c r="AI998">
        <v>2</v>
      </c>
      <c r="AJ998">
        <v>0</v>
      </c>
      <c r="AL998">
        <v>0</v>
      </c>
      <c r="AM998">
        <v>1</v>
      </c>
      <c r="AN998" t="s">
        <v>768</v>
      </c>
      <c r="AO998" t="s">
        <v>41</v>
      </c>
    </row>
    <row r="999" spans="1:41" x14ac:dyDescent="0.25">
      <c r="A999">
        <v>43</v>
      </c>
      <c r="B999" t="s">
        <v>32</v>
      </c>
      <c r="C999" t="s">
        <v>33</v>
      </c>
      <c r="D999">
        <v>3</v>
      </c>
      <c r="E999" t="s">
        <v>34</v>
      </c>
      <c r="F999">
        <v>1</v>
      </c>
      <c r="G999">
        <v>5</v>
      </c>
      <c r="H999" t="s">
        <v>50</v>
      </c>
      <c r="I999">
        <v>4</v>
      </c>
      <c r="J999" t="s">
        <v>51</v>
      </c>
      <c r="K999">
        <v>19740</v>
      </c>
      <c r="L999">
        <v>3</v>
      </c>
      <c r="M999" t="s">
        <v>41</v>
      </c>
      <c r="N999">
        <v>14</v>
      </c>
      <c r="O999">
        <v>3</v>
      </c>
      <c r="P999">
        <v>1</v>
      </c>
      <c r="Q999">
        <v>25</v>
      </c>
      <c r="R999">
        <v>2</v>
      </c>
      <c r="S999">
        <v>8</v>
      </c>
      <c r="T999">
        <v>0</v>
      </c>
      <c r="U999">
        <v>7</v>
      </c>
      <c r="V999" t="s">
        <v>52</v>
      </c>
      <c r="W999" s="2">
        <v>41550</v>
      </c>
      <c r="Y999" t="s">
        <v>63</v>
      </c>
      <c r="Z999" t="s">
        <v>40</v>
      </c>
      <c r="AA999">
        <v>2</v>
      </c>
      <c r="AB999">
        <v>0</v>
      </c>
      <c r="AC999" t="s">
        <v>31</v>
      </c>
      <c r="AD999" t="s">
        <v>48</v>
      </c>
      <c r="AE999" t="s">
        <v>49</v>
      </c>
      <c r="AF999" s="3">
        <v>1405</v>
      </c>
      <c r="AG999" s="3">
        <v>51</v>
      </c>
      <c r="AH999">
        <v>80</v>
      </c>
      <c r="AI999">
        <v>2</v>
      </c>
      <c r="AJ999">
        <v>1</v>
      </c>
      <c r="AK999">
        <v>1</v>
      </c>
      <c r="AL999">
        <v>1</v>
      </c>
      <c r="AM999">
        <v>0</v>
      </c>
      <c r="AN999" t="s">
        <v>767</v>
      </c>
      <c r="AO999" t="s">
        <v>31</v>
      </c>
    </row>
    <row r="1000" spans="1:41" x14ac:dyDescent="0.25">
      <c r="A1000">
        <v>26</v>
      </c>
      <c r="B1000" t="s">
        <v>32</v>
      </c>
      <c r="C1000" t="s">
        <v>33</v>
      </c>
      <c r="D1000">
        <v>4</v>
      </c>
      <c r="E1000" t="s">
        <v>34</v>
      </c>
      <c r="F1000">
        <v>3</v>
      </c>
      <c r="G1000">
        <v>1</v>
      </c>
      <c r="H1000" t="s">
        <v>44</v>
      </c>
      <c r="I1000">
        <v>4</v>
      </c>
      <c r="J1000" t="s">
        <v>36</v>
      </c>
      <c r="K1000">
        <v>2875</v>
      </c>
      <c r="L1000">
        <v>1</v>
      </c>
      <c r="M1000" t="s">
        <v>31</v>
      </c>
      <c r="N1000">
        <v>20</v>
      </c>
      <c r="O1000">
        <v>4</v>
      </c>
      <c r="P1000">
        <v>0</v>
      </c>
      <c r="Q1000">
        <v>8</v>
      </c>
      <c r="R1000">
        <v>2</v>
      </c>
      <c r="S1000">
        <v>8</v>
      </c>
      <c r="T1000">
        <v>2</v>
      </c>
      <c r="U1000">
        <v>2</v>
      </c>
      <c r="V1000" t="s">
        <v>37</v>
      </c>
      <c r="W1000" s="1" t="s">
        <v>509</v>
      </c>
      <c r="Y1000" t="s">
        <v>63</v>
      </c>
      <c r="Z1000" t="s">
        <v>47</v>
      </c>
      <c r="AA1000">
        <v>0</v>
      </c>
      <c r="AB1000">
        <v>3</v>
      </c>
      <c r="AC1000" t="s">
        <v>31</v>
      </c>
      <c r="AD1000" t="s">
        <v>48</v>
      </c>
      <c r="AE1000" t="s">
        <v>43</v>
      </c>
      <c r="AF1000" s="3">
        <v>1407</v>
      </c>
      <c r="AG1000" s="3">
        <v>36</v>
      </c>
      <c r="AH1000">
        <v>80</v>
      </c>
      <c r="AI1000">
        <v>3</v>
      </c>
      <c r="AJ1000">
        <v>0</v>
      </c>
      <c r="AL1000">
        <v>0</v>
      </c>
      <c r="AM1000">
        <v>1</v>
      </c>
      <c r="AN1000" t="s">
        <v>768</v>
      </c>
      <c r="AO1000" t="s">
        <v>41</v>
      </c>
    </row>
    <row r="1001" spans="1:41" x14ac:dyDescent="0.25">
      <c r="A1001">
        <v>30</v>
      </c>
      <c r="B1001" t="s">
        <v>81</v>
      </c>
      <c r="C1001" t="s">
        <v>33</v>
      </c>
      <c r="D1001">
        <v>9</v>
      </c>
      <c r="E1001" t="s">
        <v>61</v>
      </c>
      <c r="F1001">
        <v>3</v>
      </c>
      <c r="G1001">
        <v>2</v>
      </c>
      <c r="H1001" t="s">
        <v>78</v>
      </c>
      <c r="I1001">
        <v>3</v>
      </c>
      <c r="J1001" t="s">
        <v>36</v>
      </c>
      <c r="K1001">
        <v>4695</v>
      </c>
      <c r="L1001">
        <v>7</v>
      </c>
      <c r="M1001" t="s">
        <v>31</v>
      </c>
      <c r="N1001">
        <v>18</v>
      </c>
      <c r="O1001">
        <v>3</v>
      </c>
      <c r="P1001">
        <v>0</v>
      </c>
      <c r="Q1001">
        <v>10</v>
      </c>
      <c r="R1001">
        <v>3</v>
      </c>
      <c r="S1001">
        <v>8</v>
      </c>
      <c r="T1001">
        <v>1</v>
      </c>
      <c r="U1001">
        <v>7</v>
      </c>
      <c r="V1001" t="s">
        <v>58</v>
      </c>
      <c r="W1001" s="2">
        <v>41522</v>
      </c>
      <c r="Y1001" t="s">
        <v>46</v>
      </c>
      <c r="Z1001" t="s">
        <v>40</v>
      </c>
      <c r="AA1001">
        <v>4</v>
      </c>
      <c r="AB1001">
        <v>1</v>
      </c>
      <c r="AC1001" t="s">
        <v>41</v>
      </c>
      <c r="AD1001" t="s">
        <v>42</v>
      </c>
      <c r="AE1001" t="s">
        <v>60</v>
      </c>
      <c r="AF1001" s="3">
        <v>1408</v>
      </c>
      <c r="AG1001" s="3">
        <v>31</v>
      </c>
      <c r="AH1001">
        <v>80</v>
      </c>
      <c r="AI1001">
        <v>7</v>
      </c>
      <c r="AJ1001">
        <v>0</v>
      </c>
      <c r="AL1001">
        <v>0</v>
      </c>
      <c r="AM1001">
        <v>1</v>
      </c>
      <c r="AN1001" t="s">
        <v>768</v>
      </c>
      <c r="AO1001" t="s">
        <v>41</v>
      </c>
    </row>
    <row r="1002" spans="1:41" x14ac:dyDescent="0.25">
      <c r="A1002">
        <v>52</v>
      </c>
      <c r="B1002" t="s">
        <v>32</v>
      </c>
      <c r="C1002" t="s">
        <v>55</v>
      </c>
      <c r="D1002">
        <v>5</v>
      </c>
      <c r="E1002" t="s">
        <v>34</v>
      </c>
      <c r="F1002">
        <v>3</v>
      </c>
      <c r="G1002">
        <v>3</v>
      </c>
      <c r="H1002" t="s">
        <v>70</v>
      </c>
      <c r="I1002">
        <v>2</v>
      </c>
      <c r="J1002" t="s">
        <v>36</v>
      </c>
      <c r="K1002">
        <v>8446</v>
      </c>
      <c r="L1002">
        <v>9</v>
      </c>
      <c r="M1002" t="s">
        <v>31</v>
      </c>
      <c r="N1002">
        <v>19</v>
      </c>
      <c r="O1002">
        <v>3</v>
      </c>
      <c r="P1002">
        <v>0</v>
      </c>
      <c r="Q1002">
        <v>10</v>
      </c>
      <c r="R1002">
        <v>2</v>
      </c>
      <c r="S1002">
        <v>8</v>
      </c>
      <c r="T1002">
        <v>7</v>
      </c>
      <c r="U1002">
        <v>7</v>
      </c>
      <c r="V1002" t="s">
        <v>58</v>
      </c>
      <c r="W1002" s="1" t="s">
        <v>474</v>
      </c>
      <c r="Y1002" t="s">
        <v>39</v>
      </c>
      <c r="Z1002" t="s">
        <v>40</v>
      </c>
      <c r="AA1002">
        <v>4</v>
      </c>
      <c r="AB1002">
        <v>0</v>
      </c>
      <c r="AC1002" t="s">
        <v>31</v>
      </c>
      <c r="AD1002" t="s">
        <v>42</v>
      </c>
      <c r="AE1002" t="s">
        <v>60</v>
      </c>
      <c r="AF1002" s="3">
        <v>1955</v>
      </c>
      <c r="AG1002" s="3">
        <v>34</v>
      </c>
      <c r="AH1002">
        <v>80</v>
      </c>
      <c r="AI1002">
        <v>1</v>
      </c>
      <c r="AJ1002">
        <v>0</v>
      </c>
      <c r="AL1002">
        <v>0</v>
      </c>
      <c r="AM1002">
        <v>1</v>
      </c>
      <c r="AN1002" t="s">
        <v>768</v>
      </c>
      <c r="AO1002" t="s">
        <v>41</v>
      </c>
    </row>
    <row r="1003" spans="1:41" x14ac:dyDescent="0.25">
      <c r="A1003">
        <v>39</v>
      </c>
      <c r="B1003" t="s">
        <v>32</v>
      </c>
      <c r="C1003" t="s">
        <v>33</v>
      </c>
      <c r="D1003">
        <v>18</v>
      </c>
      <c r="E1003" t="s">
        <v>34</v>
      </c>
      <c r="F1003">
        <v>3</v>
      </c>
      <c r="G1003">
        <v>2</v>
      </c>
      <c r="H1003" t="s">
        <v>78</v>
      </c>
      <c r="I1003">
        <v>3</v>
      </c>
      <c r="J1003" t="s">
        <v>36</v>
      </c>
      <c r="K1003">
        <v>4534</v>
      </c>
      <c r="L1003">
        <v>0</v>
      </c>
      <c r="M1003" t="s">
        <v>41</v>
      </c>
      <c r="N1003">
        <v>11</v>
      </c>
      <c r="O1003">
        <v>3</v>
      </c>
      <c r="P1003">
        <v>0</v>
      </c>
      <c r="Q1003">
        <v>9</v>
      </c>
      <c r="R1003">
        <v>6</v>
      </c>
      <c r="S1003">
        <v>8</v>
      </c>
      <c r="T1003">
        <v>1</v>
      </c>
      <c r="U1003">
        <v>7</v>
      </c>
      <c r="V1003" t="s">
        <v>37</v>
      </c>
      <c r="W1003" s="2">
        <v>41334</v>
      </c>
      <c r="Y1003" t="s">
        <v>54</v>
      </c>
      <c r="Z1003" t="s">
        <v>40</v>
      </c>
      <c r="AA1003">
        <v>3</v>
      </c>
      <c r="AB1003">
        <v>0</v>
      </c>
      <c r="AC1003" t="s">
        <v>31</v>
      </c>
      <c r="AD1003" t="s">
        <v>42</v>
      </c>
      <c r="AE1003" t="s">
        <v>43</v>
      </c>
      <c r="AF1003" s="3">
        <v>1662</v>
      </c>
      <c r="AG1003" s="3">
        <v>33</v>
      </c>
      <c r="AH1003">
        <v>80</v>
      </c>
      <c r="AI1003">
        <v>2</v>
      </c>
      <c r="AJ1003">
        <v>0</v>
      </c>
      <c r="AL1003">
        <v>0</v>
      </c>
      <c r="AM1003">
        <v>1</v>
      </c>
      <c r="AN1003" t="s">
        <v>768</v>
      </c>
      <c r="AO1003" t="s">
        <v>41</v>
      </c>
    </row>
    <row r="1004" spans="1:41" x14ac:dyDescent="0.25">
      <c r="A1004">
        <v>34</v>
      </c>
      <c r="B1004" t="s">
        <v>32</v>
      </c>
      <c r="C1004" t="s">
        <v>33</v>
      </c>
      <c r="D1004">
        <v>29</v>
      </c>
      <c r="E1004" t="s">
        <v>34</v>
      </c>
      <c r="F1004">
        <v>3</v>
      </c>
      <c r="G1004">
        <v>2</v>
      </c>
      <c r="H1004" t="s">
        <v>35</v>
      </c>
      <c r="I1004">
        <v>3</v>
      </c>
      <c r="J1004" t="s">
        <v>51</v>
      </c>
      <c r="K1004">
        <v>5429</v>
      </c>
      <c r="L1004">
        <v>4</v>
      </c>
      <c r="M1004" t="s">
        <v>41</v>
      </c>
      <c r="N1004">
        <v>13</v>
      </c>
      <c r="O1004">
        <v>3</v>
      </c>
      <c r="P1004">
        <v>2</v>
      </c>
      <c r="Q1004">
        <v>10</v>
      </c>
      <c r="R1004">
        <v>1</v>
      </c>
      <c r="S1004">
        <v>8</v>
      </c>
      <c r="T1004">
        <v>7</v>
      </c>
      <c r="U1004">
        <v>7</v>
      </c>
      <c r="V1004" t="s">
        <v>37</v>
      </c>
      <c r="W1004" s="2">
        <v>41279</v>
      </c>
      <c r="Y1004" t="s">
        <v>63</v>
      </c>
      <c r="Z1004" t="s">
        <v>40</v>
      </c>
      <c r="AA1004">
        <v>3</v>
      </c>
      <c r="AB1004">
        <v>1</v>
      </c>
      <c r="AC1004" t="s">
        <v>41</v>
      </c>
      <c r="AD1004" t="s">
        <v>48</v>
      </c>
      <c r="AE1004" t="s">
        <v>60</v>
      </c>
      <c r="AF1004" s="3">
        <v>1630</v>
      </c>
      <c r="AG1004" s="3">
        <v>52</v>
      </c>
      <c r="AH1004">
        <v>80</v>
      </c>
      <c r="AI1004">
        <v>11</v>
      </c>
      <c r="AJ1004">
        <v>0</v>
      </c>
      <c r="AL1004">
        <v>0</v>
      </c>
      <c r="AM1004">
        <v>1</v>
      </c>
      <c r="AN1004" t="s">
        <v>768</v>
      </c>
      <c r="AO1004" t="s">
        <v>41</v>
      </c>
    </row>
    <row r="1005" spans="1:41" x14ac:dyDescent="0.25">
      <c r="A1005">
        <v>27</v>
      </c>
      <c r="B1005" t="s">
        <v>32</v>
      </c>
      <c r="C1005" t="s">
        <v>33</v>
      </c>
      <c r="D1005">
        <v>17</v>
      </c>
      <c r="E1005" t="s">
        <v>61</v>
      </c>
      <c r="F1005">
        <v>3</v>
      </c>
      <c r="G1005">
        <v>1</v>
      </c>
      <c r="H1005" t="s">
        <v>44</v>
      </c>
      <c r="I1005">
        <v>3</v>
      </c>
      <c r="J1005" t="s">
        <v>36</v>
      </c>
      <c r="K1005">
        <v>2394</v>
      </c>
      <c r="L1005">
        <v>1</v>
      </c>
      <c r="M1005" t="s">
        <v>31</v>
      </c>
      <c r="N1005">
        <v>13</v>
      </c>
      <c r="O1005">
        <v>3</v>
      </c>
      <c r="P1005">
        <v>0</v>
      </c>
      <c r="Q1005">
        <v>8</v>
      </c>
      <c r="R1005">
        <v>2</v>
      </c>
      <c r="S1005">
        <v>8</v>
      </c>
      <c r="T1005">
        <v>7</v>
      </c>
      <c r="U1005">
        <v>7</v>
      </c>
      <c r="V1005" t="s">
        <v>72</v>
      </c>
      <c r="W1005" s="2">
        <v>41366</v>
      </c>
      <c r="Y1005" t="s">
        <v>63</v>
      </c>
      <c r="Z1005" t="s">
        <v>47</v>
      </c>
      <c r="AA1005">
        <v>1</v>
      </c>
      <c r="AB1005">
        <v>0</v>
      </c>
      <c r="AC1005" t="s">
        <v>31</v>
      </c>
      <c r="AD1005" t="s">
        <v>67</v>
      </c>
      <c r="AE1005" t="s">
        <v>43</v>
      </c>
      <c r="AF1005" s="3">
        <v>2000</v>
      </c>
      <c r="AG1005" s="3">
        <v>98</v>
      </c>
      <c r="AH1005">
        <v>80</v>
      </c>
      <c r="AI1005">
        <v>8</v>
      </c>
      <c r="AJ1005">
        <v>0</v>
      </c>
      <c r="AL1005">
        <v>0</v>
      </c>
      <c r="AM1005">
        <v>1</v>
      </c>
      <c r="AN1005" t="s">
        <v>768</v>
      </c>
      <c r="AO1005" t="s">
        <v>41</v>
      </c>
    </row>
    <row r="1006" spans="1:41" x14ac:dyDescent="0.25">
      <c r="A1006">
        <v>29</v>
      </c>
      <c r="B1006" t="s">
        <v>66</v>
      </c>
      <c r="C1006" t="s">
        <v>33</v>
      </c>
      <c r="D1006">
        <v>14</v>
      </c>
      <c r="E1006" t="s">
        <v>61</v>
      </c>
      <c r="F1006">
        <v>3</v>
      </c>
      <c r="G1006">
        <v>3</v>
      </c>
      <c r="H1006" t="s">
        <v>89</v>
      </c>
      <c r="I1006">
        <v>4</v>
      </c>
      <c r="J1006" t="s">
        <v>36</v>
      </c>
      <c r="K1006">
        <v>7553</v>
      </c>
      <c r="L1006">
        <v>0</v>
      </c>
      <c r="M1006" t="s">
        <v>31</v>
      </c>
      <c r="N1006">
        <v>12</v>
      </c>
      <c r="O1006">
        <v>3</v>
      </c>
      <c r="P1006">
        <v>0</v>
      </c>
      <c r="Q1006">
        <v>9</v>
      </c>
      <c r="R1006">
        <v>1</v>
      </c>
      <c r="S1006">
        <v>8</v>
      </c>
      <c r="T1006">
        <v>7</v>
      </c>
      <c r="U1006">
        <v>7</v>
      </c>
      <c r="V1006" t="s">
        <v>52</v>
      </c>
      <c r="W1006" s="1" t="s">
        <v>492</v>
      </c>
      <c r="Y1006" t="s">
        <v>46</v>
      </c>
      <c r="Z1006" t="s">
        <v>47</v>
      </c>
      <c r="AA1006">
        <v>1</v>
      </c>
      <c r="AB1006">
        <v>2</v>
      </c>
      <c r="AC1006" t="s">
        <v>31</v>
      </c>
      <c r="AD1006" t="s">
        <v>67</v>
      </c>
      <c r="AE1006" t="s">
        <v>60</v>
      </c>
      <c r="AF1006" s="3">
        <v>1839</v>
      </c>
      <c r="AG1006" s="3">
        <v>33</v>
      </c>
      <c r="AH1006">
        <v>80</v>
      </c>
      <c r="AI1006">
        <v>0</v>
      </c>
      <c r="AJ1006">
        <v>0</v>
      </c>
      <c r="AL1006">
        <v>0</v>
      </c>
      <c r="AM1006">
        <v>1</v>
      </c>
      <c r="AN1006" t="s">
        <v>768</v>
      </c>
      <c r="AO1006" t="s">
        <v>41</v>
      </c>
    </row>
    <row r="1007" spans="1:41" x14ac:dyDescent="0.25">
      <c r="A1007">
        <v>40</v>
      </c>
      <c r="B1007" t="s">
        <v>81</v>
      </c>
      <c r="C1007" t="s">
        <v>33</v>
      </c>
      <c r="D1007">
        <v>9</v>
      </c>
      <c r="E1007" t="s">
        <v>34</v>
      </c>
      <c r="F1007">
        <v>3</v>
      </c>
      <c r="G1007">
        <v>2</v>
      </c>
      <c r="H1007" t="s">
        <v>35</v>
      </c>
      <c r="I1007">
        <v>3</v>
      </c>
      <c r="J1007" t="s">
        <v>57</v>
      </c>
      <c r="K1007">
        <v>3975</v>
      </c>
      <c r="L1007">
        <v>3</v>
      </c>
      <c r="M1007" t="s">
        <v>41</v>
      </c>
      <c r="N1007">
        <v>11</v>
      </c>
      <c r="O1007">
        <v>3</v>
      </c>
      <c r="P1007">
        <v>2</v>
      </c>
      <c r="Q1007">
        <v>11</v>
      </c>
      <c r="R1007">
        <v>2</v>
      </c>
      <c r="S1007">
        <v>8</v>
      </c>
      <c r="T1007">
        <v>0</v>
      </c>
      <c r="U1007">
        <v>7</v>
      </c>
      <c r="V1007" t="s">
        <v>58</v>
      </c>
      <c r="W1007" s="2">
        <v>41459</v>
      </c>
      <c r="Y1007" t="s">
        <v>46</v>
      </c>
      <c r="Z1007" t="s">
        <v>40</v>
      </c>
      <c r="AA1007">
        <v>4</v>
      </c>
      <c r="AB1007">
        <v>3</v>
      </c>
      <c r="AC1007" t="s">
        <v>31</v>
      </c>
      <c r="AD1007" t="s">
        <v>67</v>
      </c>
      <c r="AE1007" t="s">
        <v>60</v>
      </c>
      <c r="AF1007" s="3">
        <v>1929</v>
      </c>
      <c r="AG1007" s="3">
        <v>32</v>
      </c>
      <c r="AH1007">
        <v>80</v>
      </c>
      <c r="AI1007">
        <v>2</v>
      </c>
      <c r="AJ1007">
        <v>0</v>
      </c>
      <c r="AL1007">
        <v>0</v>
      </c>
      <c r="AM1007">
        <v>1</v>
      </c>
      <c r="AN1007" t="s">
        <v>768</v>
      </c>
      <c r="AO1007" t="s">
        <v>41</v>
      </c>
    </row>
    <row r="1008" spans="1:41" x14ac:dyDescent="0.25">
      <c r="A1008">
        <v>49</v>
      </c>
      <c r="B1008" t="s">
        <v>32</v>
      </c>
      <c r="C1008" t="s">
        <v>33</v>
      </c>
      <c r="D1008">
        <v>7</v>
      </c>
      <c r="E1008" t="s">
        <v>34</v>
      </c>
      <c r="F1008">
        <v>3</v>
      </c>
      <c r="G1008">
        <v>3</v>
      </c>
      <c r="H1008" t="s">
        <v>89</v>
      </c>
      <c r="I1008">
        <v>2</v>
      </c>
      <c r="J1008" t="s">
        <v>57</v>
      </c>
      <c r="K1008">
        <v>10466</v>
      </c>
      <c r="L1008">
        <v>3</v>
      </c>
      <c r="M1008" t="s">
        <v>41</v>
      </c>
      <c r="N1008">
        <v>14</v>
      </c>
      <c r="O1008">
        <v>3</v>
      </c>
      <c r="P1008">
        <v>2</v>
      </c>
      <c r="Q1008">
        <v>29</v>
      </c>
      <c r="R1008">
        <v>3</v>
      </c>
      <c r="S1008">
        <v>8</v>
      </c>
      <c r="T1008">
        <v>0</v>
      </c>
      <c r="U1008">
        <v>7</v>
      </c>
      <c r="V1008" t="s">
        <v>58</v>
      </c>
      <c r="W1008" s="2">
        <v>41611</v>
      </c>
      <c r="Y1008" t="s">
        <v>46</v>
      </c>
      <c r="Z1008" t="s">
        <v>40</v>
      </c>
      <c r="AA1008">
        <v>4</v>
      </c>
      <c r="AB1008">
        <v>0</v>
      </c>
      <c r="AC1008" t="s">
        <v>31</v>
      </c>
      <c r="AD1008" t="s">
        <v>48</v>
      </c>
      <c r="AE1008" t="s">
        <v>43</v>
      </c>
      <c r="AF1008" s="3">
        <v>1495</v>
      </c>
      <c r="AG1008" s="3">
        <v>78</v>
      </c>
      <c r="AH1008">
        <v>80</v>
      </c>
      <c r="AI1008">
        <v>0</v>
      </c>
      <c r="AJ1008">
        <v>0</v>
      </c>
      <c r="AL1008">
        <v>0</v>
      </c>
      <c r="AM1008">
        <v>1</v>
      </c>
      <c r="AN1008" t="s">
        <v>768</v>
      </c>
      <c r="AO1008" t="s">
        <v>41</v>
      </c>
    </row>
    <row r="1009" spans="1:41" x14ac:dyDescent="0.25">
      <c r="A1009">
        <v>28</v>
      </c>
      <c r="B1009" t="s">
        <v>32</v>
      </c>
      <c r="C1009" t="s">
        <v>33</v>
      </c>
      <c r="D1009">
        <v>29</v>
      </c>
      <c r="E1009" t="s">
        <v>34</v>
      </c>
      <c r="F1009">
        <v>1</v>
      </c>
      <c r="G1009">
        <v>2</v>
      </c>
      <c r="H1009" t="s">
        <v>78</v>
      </c>
      <c r="I1009">
        <v>2</v>
      </c>
      <c r="J1009" t="s">
        <v>51</v>
      </c>
      <c r="K1009">
        <v>6549</v>
      </c>
      <c r="L1009">
        <v>1</v>
      </c>
      <c r="M1009" t="s">
        <v>41</v>
      </c>
      <c r="N1009">
        <v>14</v>
      </c>
      <c r="O1009">
        <v>3</v>
      </c>
      <c r="P1009">
        <v>2</v>
      </c>
      <c r="Q1009">
        <v>8</v>
      </c>
      <c r="R1009">
        <v>2</v>
      </c>
      <c r="S1009">
        <v>8</v>
      </c>
      <c r="T1009">
        <v>1</v>
      </c>
      <c r="U1009">
        <v>7</v>
      </c>
      <c r="V1009" t="s">
        <v>58</v>
      </c>
      <c r="W1009" s="2">
        <v>41614</v>
      </c>
      <c r="Y1009" t="s">
        <v>39</v>
      </c>
      <c r="Z1009" t="s">
        <v>40</v>
      </c>
      <c r="AA1009">
        <v>3</v>
      </c>
      <c r="AB1009">
        <v>2</v>
      </c>
      <c r="AC1009" t="s">
        <v>31</v>
      </c>
      <c r="AD1009" t="s">
        <v>42</v>
      </c>
      <c r="AE1009" t="s">
        <v>60</v>
      </c>
      <c r="AF1009" s="3">
        <v>1756</v>
      </c>
      <c r="AG1009" s="3">
        <v>62</v>
      </c>
      <c r="AH1009">
        <v>80</v>
      </c>
      <c r="AI1009">
        <v>7</v>
      </c>
      <c r="AJ1009">
        <v>0</v>
      </c>
      <c r="AL1009">
        <v>0</v>
      </c>
      <c r="AM1009">
        <v>1</v>
      </c>
      <c r="AN1009" t="s">
        <v>768</v>
      </c>
      <c r="AO1009" t="s">
        <v>41</v>
      </c>
    </row>
    <row r="1010" spans="1:41" x14ac:dyDescent="0.25">
      <c r="A1010">
        <v>40</v>
      </c>
      <c r="B1010" t="s">
        <v>32</v>
      </c>
      <c r="C1010" t="s">
        <v>55</v>
      </c>
      <c r="D1010">
        <v>9</v>
      </c>
      <c r="E1010" t="s">
        <v>34</v>
      </c>
      <c r="F1010">
        <v>3</v>
      </c>
      <c r="G1010">
        <v>2</v>
      </c>
      <c r="H1010" t="s">
        <v>70</v>
      </c>
      <c r="I1010">
        <v>1</v>
      </c>
      <c r="J1010" t="s">
        <v>51</v>
      </c>
      <c r="K1010">
        <v>5473</v>
      </c>
      <c r="L1010">
        <v>0</v>
      </c>
      <c r="M1010" t="s">
        <v>41</v>
      </c>
      <c r="N1010">
        <v>12</v>
      </c>
      <c r="O1010">
        <v>3</v>
      </c>
      <c r="P1010">
        <v>0</v>
      </c>
      <c r="Q1010">
        <v>9</v>
      </c>
      <c r="R1010">
        <v>5</v>
      </c>
      <c r="S1010">
        <v>8</v>
      </c>
      <c r="T1010">
        <v>7</v>
      </c>
      <c r="U1010">
        <v>1</v>
      </c>
      <c r="V1010" t="s">
        <v>52</v>
      </c>
      <c r="W1010" s="1" t="s">
        <v>510</v>
      </c>
      <c r="Y1010" t="s">
        <v>54</v>
      </c>
      <c r="Z1010" t="s">
        <v>47</v>
      </c>
      <c r="AA1010">
        <v>4</v>
      </c>
      <c r="AB1010">
        <v>0</v>
      </c>
      <c r="AC1010" t="s">
        <v>31</v>
      </c>
      <c r="AD1010" t="s">
        <v>42</v>
      </c>
      <c r="AE1010" t="s">
        <v>49</v>
      </c>
      <c r="AF1010" s="3">
        <v>1900</v>
      </c>
      <c r="AG1010" s="3">
        <v>58</v>
      </c>
      <c r="AH1010">
        <v>80</v>
      </c>
      <c r="AI1010">
        <v>17</v>
      </c>
      <c r="AJ1010">
        <v>0</v>
      </c>
      <c r="AL1010">
        <v>0</v>
      </c>
      <c r="AM1010">
        <v>1</v>
      </c>
      <c r="AN1010" t="s">
        <v>768</v>
      </c>
      <c r="AO1010" t="s">
        <v>41</v>
      </c>
    </row>
    <row r="1011" spans="1:41" x14ac:dyDescent="0.25">
      <c r="A1011">
        <v>48</v>
      </c>
      <c r="B1011" t="s">
        <v>32</v>
      </c>
      <c r="C1011" t="s">
        <v>55</v>
      </c>
      <c r="D1011">
        <v>16</v>
      </c>
      <c r="E1011" t="s">
        <v>61</v>
      </c>
      <c r="F1011">
        <v>3</v>
      </c>
      <c r="G1011">
        <v>2</v>
      </c>
      <c r="H1011" t="s">
        <v>70</v>
      </c>
      <c r="I1011">
        <v>3</v>
      </c>
      <c r="J1011" t="s">
        <v>57</v>
      </c>
      <c r="K1011">
        <v>6439</v>
      </c>
      <c r="L1011">
        <v>8</v>
      </c>
      <c r="M1011" t="s">
        <v>41</v>
      </c>
      <c r="N1011">
        <v>14</v>
      </c>
      <c r="O1011">
        <v>3</v>
      </c>
      <c r="P1011">
        <v>1</v>
      </c>
      <c r="Q1011">
        <v>18</v>
      </c>
      <c r="R1011">
        <v>2</v>
      </c>
      <c r="S1011">
        <v>8</v>
      </c>
      <c r="T1011">
        <v>7</v>
      </c>
      <c r="U1011">
        <v>7</v>
      </c>
      <c r="V1011" t="s">
        <v>58</v>
      </c>
      <c r="W1011" s="1" t="s">
        <v>502</v>
      </c>
      <c r="Y1011" t="s">
        <v>69</v>
      </c>
      <c r="Z1011" t="s">
        <v>40</v>
      </c>
      <c r="AA1011">
        <v>5</v>
      </c>
      <c r="AB1011">
        <v>1</v>
      </c>
      <c r="AC1011" t="s">
        <v>41</v>
      </c>
      <c r="AD1011" t="s">
        <v>65</v>
      </c>
      <c r="AE1011" t="s">
        <v>49</v>
      </c>
      <c r="AF1011" s="3">
        <v>2025</v>
      </c>
      <c r="AG1011" s="3">
        <v>97</v>
      </c>
      <c r="AH1011">
        <v>80</v>
      </c>
      <c r="AI1011">
        <v>2</v>
      </c>
      <c r="AJ1011">
        <v>0</v>
      </c>
      <c r="AL1011">
        <v>0</v>
      </c>
      <c r="AM1011">
        <v>1</v>
      </c>
      <c r="AN1011" t="s">
        <v>768</v>
      </c>
      <c r="AO1011" t="s">
        <v>41</v>
      </c>
    </row>
    <row r="1012" spans="1:41" x14ac:dyDescent="0.25">
      <c r="A1012">
        <v>48</v>
      </c>
      <c r="B1012" t="s">
        <v>32</v>
      </c>
      <c r="C1012" t="s">
        <v>33</v>
      </c>
      <c r="D1012">
        <v>15</v>
      </c>
      <c r="E1012" t="s">
        <v>61</v>
      </c>
      <c r="F1012">
        <v>3</v>
      </c>
      <c r="G1012">
        <v>1</v>
      </c>
      <c r="H1012" t="s">
        <v>44</v>
      </c>
      <c r="I1012">
        <v>1</v>
      </c>
      <c r="J1012" t="s">
        <v>51</v>
      </c>
      <c r="K1012">
        <v>2367</v>
      </c>
      <c r="L1012">
        <v>8</v>
      </c>
      <c r="M1012" t="s">
        <v>41</v>
      </c>
      <c r="N1012">
        <v>12</v>
      </c>
      <c r="O1012">
        <v>3</v>
      </c>
      <c r="P1012">
        <v>1</v>
      </c>
      <c r="Q1012">
        <v>10</v>
      </c>
      <c r="R1012">
        <v>3</v>
      </c>
      <c r="S1012">
        <v>8</v>
      </c>
      <c r="T1012">
        <v>7</v>
      </c>
      <c r="U1012">
        <v>6</v>
      </c>
      <c r="V1012" t="s">
        <v>72</v>
      </c>
      <c r="W1012" s="1" t="s">
        <v>511</v>
      </c>
      <c r="Y1012" t="s">
        <v>39</v>
      </c>
      <c r="Z1012" t="s">
        <v>40</v>
      </c>
      <c r="AA1012">
        <v>0</v>
      </c>
      <c r="AB1012">
        <v>1</v>
      </c>
      <c r="AC1012" t="s">
        <v>31</v>
      </c>
      <c r="AD1012" t="s">
        <v>48</v>
      </c>
      <c r="AE1012" t="s">
        <v>49</v>
      </c>
      <c r="AF1012" s="3">
        <v>1760</v>
      </c>
      <c r="AG1012" s="3">
        <v>75</v>
      </c>
      <c r="AH1012">
        <v>80</v>
      </c>
      <c r="AI1012">
        <v>1</v>
      </c>
      <c r="AJ1012">
        <v>0</v>
      </c>
      <c r="AL1012">
        <v>0</v>
      </c>
      <c r="AM1012">
        <v>1</v>
      </c>
      <c r="AN1012" t="s">
        <v>768</v>
      </c>
      <c r="AO1012" t="s">
        <v>41</v>
      </c>
    </row>
    <row r="1013" spans="1:41" x14ac:dyDescent="0.25">
      <c r="A1013">
        <v>34</v>
      </c>
      <c r="B1013" t="s">
        <v>66</v>
      </c>
      <c r="C1013" t="s">
        <v>33</v>
      </c>
      <c r="D1013">
        <v>10</v>
      </c>
      <c r="E1013" t="s">
        <v>34</v>
      </c>
      <c r="F1013">
        <v>2</v>
      </c>
      <c r="G1013">
        <v>2</v>
      </c>
      <c r="H1013" t="s">
        <v>89</v>
      </c>
      <c r="I1013">
        <v>3</v>
      </c>
      <c r="J1013" t="s">
        <v>51</v>
      </c>
      <c r="K1013">
        <v>5063</v>
      </c>
      <c r="L1013">
        <v>1</v>
      </c>
      <c r="M1013" t="s">
        <v>41</v>
      </c>
      <c r="N1013">
        <v>14</v>
      </c>
      <c r="O1013">
        <v>3</v>
      </c>
      <c r="P1013">
        <v>1</v>
      </c>
      <c r="Q1013">
        <v>8</v>
      </c>
      <c r="R1013">
        <v>3</v>
      </c>
      <c r="S1013">
        <v>8</v>
      </c>
      <c r="T1013">
        <v>7</v>
      </c>
      <c r="U1013">
        <v>7</v>
      </c>
      <c r="V1013" t="s">
        <v>52</v>
      </c>
      <c r="W1013" s="2">
        <v>41335</v>
      </c>
      <c r="Y1013" t="s">
        <v>46</v>
      </c>
      <c r="Z1013" t="s">
        <v>40</v>
      </c>
      <c r="AA1013">
        <v>5</v>
      </c>
      <c r="AB1013">
        <v>0</v>
      </c>
      <c r="AC1013" t="s">
        <v>41</v>
      </c>
      <c r="AD1013" t="s">
        <v>48</v>
      </c>
      <c r="AE1013" t="s">
        <v>60</v>
      </c>
      <c r="AF1013" s="3">
        <v>1870</v>
      </c>
      <c r="AG1013" s="3">
        <v>77</v>
      </c>
      <c r="AH1013">
        <v>80</v>
      </c>
      <c r="AI1013">
        <v>6</v>
      </c>
      <c r="AJ1013">
        <v>0</v>
      </c>
      <c r="AL1013">
        <v>0</v>
      </c>
      <c r="AM1013">
        <v>1</v>
      </c>
      <c r="AN1013" t="s">
        <v>768</v>
      </c>
      <c r="AO1013" t="s">
        <v>41</v>
      </c>
    </row>
    <row r="1014" spans="1:41" x14ac:dyDescent="0.25">
      <c r="A1014">
        <v>37</v>
      </c>
      <c r="B1014" t="s">
        <v>32</v>
      </c>
      <c r="C1014" t="s">
        <v>33</v>
      </c>
      <c r="D1014">
        <v>10</v>
      </c>
      <c r="E1014" t="s">
        <v>61</v>
      </c>
      <c r="F1014">
        <v>3</v>
      </c>
      <c r="G1014">
        <v>1</v>
      </c>
      <c r="H1014" t="s">
        <v>44</v>
      </c>
      <c r="I1014">
        <v>2</v>
      </c>
      <c r="J1014" t="s">
        <v>51</v>
      </c>
      <c r="K1014">
        <v>3936</v>
      </c>
      <c r="L1014">
        <v>1</v>
      </c>
      <c r="M1014" t="s">
        <v>41</v>
      </c>
      <c r="N1014">
        <v>11</v>
      </c>
      <c r="O1014">
        <v>3</v>
      </c>
      <c r="P1014">
        <v>1</v>
      </c>
      <c r="Q1014">
        <v>8</v>
      </c>
      <c r="R1014">
        <v>2</v>
      </c>
      <c r="S1014">
        <v>8</v>
      </c>
      <c r="T1014">
        <v>7</v>
      </c>
      <c r="U1014">
        <v>7</v>
      </c>
      <c r="V1014" t="s">
        <v>52</v>
      </c>
      <c r="W1014" s="1" t="s">
        <v>473</v>
      </c>
      <c r="Y1014" t="s">
        <v>69</v>
      </c>
      <c r="Z1014" t="s">
        <v>47</v>
      </c>
      <c r="AA1014">
        <v>1</v>
      </c>
      <c r="AB1014">
        <v>1</v>
      </c>
      <c r="AC1014" t="s">
        <v>41</v>
      </c>
      <c r="AD1014" t="s">
        <v>67</v>
      </c>
      <c r="AE1014" t="s">
        <v>60</v>
      </c>
      <c r="AF1014" s="3">
        <v>1985</v>
      </c>
      <c r="AG1014" s="3">
        <v>73</v>
      </c>
      <c r="AH1014">
        <v>80</v>
      </c>
      <c r="AI1014">
        <v>9</v>
      </c>
      <c r="AJ1014">
        <v>0</v>
      </c>
      <c r="AL1014">
        <v>0</v>
      </c>
      <c r="AM1014">
        <v>1</v>
      </c>
      <c r="AN1014" t="s">
        <v>768</v>
      </c>
      <c r="AO1014" t="s">
        <v>41</v>
      </c>
    </row>
    <row r="1015" spans="1:41" x14ac:dyDescent="0.25">
      <c r="A1015">
        <v>49</v>
      </c>
      <c r="B1015" t="s">
        <v>32</v>
      </c>
      <c r="C1015" t="s">
        <v>33</v>
      </c>
      <c r="D1015">
        <v>1</v>
      </c>
      <c r="E1015" t="s">
        <v>34</v>
      </c>
      <c r="F1015">
        <v>3</v>
      </c>
      <c r="G1015">
        <v>4</v>
      </c>
      <c r="H1015" t="s">
        <v>75</v>
      </c>
      <c r="I1015">
        <v>3</v>
      </c>
      <c r="J1015" t="s">
        <v>36</v>
      </c>
      <c r="K1015">
        <v>15379</v>
      </c>
      <c r="L1015">
        <v>4</v>
      </c>
      <c r="M1015" t="s">
        <v>41</v>
      </c>
      <c r="N1015">
        <v>14</v>
      </c>
      <c r="O1015">
        <v>3</v>
      </c>
      <c r="P1015">
        <v>0</v>
      </c>
      <c r="Q1015">
        <v>23</v>
      </c>
      <c r="R1015">
        <v>2</v>
      </c>
      <c r="S1015">
        <v>8</v>
      </c>
      <c r="T1015">
        <v>0</v>
      </c>
      <c r="U1015">
        <v>0</v>
      </c>
      <c r="V1015" t="s">
        <v>58</v>
      </c>
      <c r="W1015" s="2">
        <v>41614</v>
      </c>
      <c r="Y1015" t="s">
        <v>54</v>
      </c>
      <c r="Z1015" t="s">
        <v>40</v>
      </c>
      <c r="AA1015">
        <v>3</v>
      </c>
      <c r="AB1015">
        <v>0</v>
      </c>
      <c r="AC1015" t="s">
        <v>31</v>
      </c>
      <c r="AD1015" t="s">
        <v>48</v>
      </c>
      <c r="AE1015" t="s">
        <v>43</v>
      </c>
      <c r="AF1015" s="3">
        <v>1513</v>
      </c>
      <c r="AG1015" s="3">
        <v>97</v>
      </c>
      <c r="AH1015">
        <v>80</v>
      </c>
      <c r="AI1015">
        <v>2</v>
      </c>
      <c r="AJ1015">
        <v>0</v>
      </c>
      <c r="AL1015">
        <v>0</v>
      </c>
      <c r="AM1015">
        <v>1</v>
      </c>
      <c r="AN1015" t="s">
        <v>768</v>
      </c>
      <c r="AO1015" t="s">
        <v>41</v>
      </c>
    </row>
    <row r="1016" spans="1:41" x14ac:dyDescent="0.25">
      <c r="A1016">
        <v>44</v>
      </c>
      <c r="B1016" t="s">
        <v>32</v>
      </c>
      <c r="C1016" t="s">
        <v>33</v>
      </c>
      <c r="D1016">
        <v>2</v>
      </c>
      <c r="E1016" t="s">
        <v>61</v>
      </c>
      <c r="F1016">
        <v>4</v>
      </c>
      <c r="G1016">
        <v>3</v>
      </c>
      <c r="H1016" t="s">
        <v>89</v>
      </c>
      <c r="I1016">
        <v>4</v>
      </c>
      <c r="J1016" t="s">
        <v>51</v>
      </c>
      <c r="K1016">
        <v>7879</v>
      </c>
      <c r="L1016">
        <v>1</v>
      </c>
      <c r="M1016" t="s">
        <v>31</v>
      </c>
      <c r="N1016">
        <v>19</v>
      </c>
      <c r="O1016">
        <v>3</v>
      </c>
      <c r="P1016">
        <v>1</v>
      </c>
      <c r="Q1016">
        <v>9</v>
      </c>
      <c r="R1016">
        <v>2</v>
      </c>
      <c r="S1016">
        <v>8</v>
      </c>
      <c r="T1016">
        <v>6</v>
      </c>
      <c r="U1016">
        <v>7</v>
      </c>
      <c r="V1016" t="s">
        <v>37</v>
      </c>
      <c r="W1016" s="1" t="s">
        <v>486</v>
      </c>
      <c r="Y1016" t="s">
        <v>63</v>
      </c>
      <c r="Z1016" t="s">
        <v>47</v>
      </c>
      <c r="AA1016">
        <v>3</v>
      </c>
      <c r="AB1016">
        <v>3</v>
      </c>
      <c r="AC1016" t="s">
        <v>41</v>
      </c>
      <c r="AD1016" t="s">
        <v>42</v>
      </c>
      <c r="AE1016" t="s">
        <v>49</v>
      </c>
      <c r="AF1016" s="3">
        <v>1633</v>
      </c>
      <c r="AG1016" s="3">
        <v>81</v>
      </c>
      <c r="AH1016">
        <v>80</v>
      </c>
      <c r="AI1016">
        <v>2</v>
      </c>
      <c r="AJ1016">
        <v>0</v>
      </c>
      <c r="AL1016">
        <v>0</v>
      </c>
      <c r="AM1016">
        <v>1</v>
      </c>
      <c r="AN1016" t="s">
        <v>768</v>
      </c>
      <c r="AO1016" t="s">
        <v>41</v>
      </c>
    </row>
    <row r="1017" spans="1:41" x14ac:dyDescent="0.25">
      <c r="A1017">
        <v>45</v>
      </c>
      <c r="B1017" t="s">
        <v>81</v>
      </c>
      <c r="C1017" t="s">
        <v>55</v>
      </c>
      <c r="D1017">
        <v>2</v>
      </c>
      <c r="E1017" t="s">
        <v>61</v>
      </c>
      <c r="F1017">
        <v>3</v>
      </c>
      <c r="G1017">
        <v>2</v>
      </c>
      <c r="H1017" t="s">
        <v>70</v>
      </c>
      <c r="I1017">
        <v>3</v>
      </c>
      <c r="J1017" t="s">
        <v>51</v>
      </c>
      <c r="K1017">
        <v>5154</v>
      </c>
      <c r="L1017">
        <v>4</v>
      </c>
      <c r="M1017" t="s">
        <v>41</v>
      </c>
      <c r="N1017">
        <v>22</v>
      </c>
      <c r="O1017">
        <v>4</v>
      </c>
      <c r="P1017">
        <v>2</v>
      </c>
      <c r="Q1017">
        <v>10</v>
      </c>
      <c r="R1017">
        <v>3</v>
      </c>
      <c r="S1017">
        <v>8</v>
      </c>
      <c r="T1017">
        <v>5</v>
      </c>
      <c r="U1017">
        <v>7</v>
      </c>
      <c r="V1017" t="s">
        <v>52</v>
      </c>
      <c r="W1017" s="1" t="s">
        <v>512</v>
      </c>
      <c r="Y1017" t="s">
        <v>39</v>
      </c>
      <c r="Z1017" t="s">
        <v>40</v>
      </c>
      <c r="AA1017">
        <v>4</v>
      </c>
      <c r="AB1017">
        <v>2</v>
      </c>
      <c r="AC1017" t="s">
        <v>31</v>
      </c>
      <c r="AD1017" t="s">
        <v>65</v>
      </c>
      <c r="AE1017" t="s">
        <v>49</v>
      </c>
      <c r="AF1017" s="3">
        <v>1480</v>
      </c>
      <c r="AG1017" s="3">
        <v>74</v>
      </c>
      <c r="AH1017">
        <v>80</v>
      </c>
      <c r="AI1017">
        <v>9</v>
      </c>
      <c r="AJ1017">
        <v>0</v>
      </c>
      <c r="AL1017">
        <v>0</v>
      </c>
      <c r="AM1017">
        <v>1</v>
      </c>
      <c r="AN1017" t="s">
        <v>768</v>
      </c>
      <c r="AO1017" t="s">
        <v>41</v>
      </c>
    </row>
    <row r="1018" spans="1:41" x14ac:dyDescent="0.25">
      <c r="A1018">
        <v>46</v>
      </c>
      <c r="B1018" t="s">
        <v>32</v>
      </c>
      <c r="C1018" t="s">
        <v>55</v>
      </c>
      <c r="D1018">
        <v>10</v>
      </c>
      <c r="E1018" t="s">
        <v>61</v>
      </c>
      <c r="F1018">
        <v>3</v>
      </c>
      <c r="G1018">
        <v>3</v>
      </c>
      <c r="H1018" t="s">
        <v>70</v>
      </c>
      <c r="I1018">
        <v>2</v>
      </c>
      <c r="J1018" t="s">
        <v>51</v>
      </c>
      <c r="K1018">
        <v>7314</v>
      </c>
      <c r="L1018">
        <v>5</v>
      </c>
      <c r="M1018" t="s">
        <v>41</v>
      </c>
      <c r="N1018">
        <v>21</v>
      </c>
      <c r="O1018">
        <v>4</v>
      </c>
      <c r="P1018">
        <v>3</v>
      </c>
      <c r="Q1018">
        <v>14</v>
      </c>
      <c r="R1018">
        <v>2</v>
      </c>
      <c r="S1018">
        <v>8</v>
      </c>
      <c r="T1018">
        <v>0</v>
      </c>
      <c r="U1018">
        <v>7</v>
      </c>
      <c r="V1018" t="s">
        <v>52</v>
      </c>
      <c r="W1018" s="1" t="s">
        <v>513</v>
      </c>
      <c r="Y1018" t="s">
        <v>39</v>
      </c>
      <c r="Z1018" t="s">
        <v>40</v>
      </c>
      <c r="AA1018">
        <v>5</v>
      </c>
      <c r="AB1018">
        <v>0</v>
      </c>
      <c r="AC1018" t="s">
        <v>31</v>
      </c>
      <c r="AD1018" t="s">
        <v>67</v>
      </c>
      <c r="AE1018" t="s">
        <v>49</v>
      </c>
      <c r="AF1018" s="3">
        <v>1745</v>
      </c>
      <c r="AG1018" s="3">
        <v>78</v>
      </c>
      <c r="AH1018">
        <v>80</v>
      </c>
      <c r="AI1018">
        <v>7</v>
      </c>
      <c r="AJ1018">
        <v>0</v>
      </c>
      <c r="AL1018">
        <v>0</v>
      </c>
      <c r="AM1018">
        <v>1</v>
      </c>
      <c r="AN1018" t="s">
        <v>768</v>
      </c>
      <c r="AO1018" t="s">
        <v>41</v>
      </c>
    </row>
    <row r="1019" spans="1:41" x14ac:dyDescent="0.25">
      <c r="A1019">
        <v>27</v>
      </c>
      <c r="B1019" t="s">
        <v>32</v>
      </c>
      <c r="C1019" t="s">
        <v>55</v>
      </c>
      <c r="D1019">
        <v>2</v>
      </c>
      <c r="E1019" t="s">
        <v>61</v>
      </c>
      <c r="F1019">
        <v>4</v>
      </c>
      <c r="G1019">
        <v>2</v>
      </c>
      <c r="H1019" t="s">
        <v>70</v>
      </c>
      <c r="I1019">
        <v>3</v>
      </c>
      <c r="J1019" t="s">
        <v>36</v>
      </c>
      <c r="K1019">
        <v>6500</v>
      </c>
      <c r="L1019">
        <v>0</v>
      </c>
      <c r="M1019" t="s">
        <v>41</v>
      </c>
      <c r="N1019">
        <v>14</v>
      </c>
      <c r="O1019">
        <v>3</v>
      </c>
      <c r="P1019">
        <v>0</v>
      </c>
      <c r="Q1019">
        <v>9</v>
      </c>
      <c r="R1019">
        <v>5</v>
      </c>
      <c r="S1019">
        <v>8</v>
      </c>
      <c r="T1019">
        <v>0</v>
      </c>
      <c r="U1019">
        <v>7</v>
      </c>
      <c r="V1019" t="s">
        <v>72</v>
      </c>
      <c r="W1019" s="1" t="s">
        <v>496</v>
      </c>
      <c r="Y1019" t="s">
        <v>54</v>
      </c>
      <c r="Z1019" t="s">
        <v>47</v>
      </c>
      <c r="AA1019">
        <v>1</v>
      </c>
      <c r="AB1019">
        <v>0</v>
      </c>
      <c r="AC1019" t="s">
        <v>31</v>
      </c>
      <c r="AD1019" t="s">
        <v>48</v>
      </c>
      <c r="AE1019" t="s">
        <v>43</v>
      </c>
      <c r="AF1019" s="3">
        <v>1481</v>
      </c>
      <c r="AG1019" s="3">
        <v>79</v>
      </c>
      <c r="AH1019">
        <v>80</v>
      </c>
      <c r="AI1019">
        <v>0</v>
      </c>
      <c r="AJ1019">
        <v>0</v>
      </c>
      <c r="AL1019">
        <v>0</v>
      </c>
      <c r="AM1019">
        <v>1</v>
      </c>
      <c r="AN1019" t="s">
        <v>768</v>
      </c>
      <c r="AO1019" t="s">
        <v>41</v>
      </c>
    </row>
    <row r="1020" spans="1:41" x14ac:dyDescent="0.25">
      <c r="A1020">
        <v>47</v>
      </c>
      <c r="B1020" t="s">
        <v>81</v>
      </c>
      <c r="C1020" t="s">
        <v>33</v>
      </c>
      <c r="D1020">
        <v>14</v>
      </c>
      <c r="E1020" t="s">
        <v>34</v>
      </c>
      <c r="F1020">
        <v>3</v>
      </c>
      <c r="G1020">
        <v>2</v>
      </c>
      <c r="H1020" t="s">
        <v>44</v>
      </c>
      <c r="I1020">
        <v>2</v>
      </c>
      <c r="J1020" t="s">
        <v>51</v>
      </c>
      <c r="K1020">
        <v>5467</v>
      </c>
      <c r="L1020">
        <v>8</v>
      </c>
      <c r="M1020" t="s">
        <v>41</v>
      </c>
      <c r="N1020">
        <v>18</v>
      </c>
      <c r="O1020">
        <v>3</v>
      </c>
      <c r="P1020">
        <v>1</v>
      </c>
      <c r="Q1020">
        <v>16</v>
      </c>
      <c r="R1020">
        <v>4</v>
      </c>
      <c r="S1020">
        <v>8</v>
      </c>
      <c r="T1020">
        <v>1</v>
      </c>
      <c r="U1020">
        <v>7</v>
      </c>
      <c r="V1020" t="s">
        <v>52</v>
      </c>
      <c r="W1020" s="1" t="s">
        <v>514</v>
      </c>
      <c r="Y1020" t="s">
        <v>69</v>
      </c>
      <c r="Z1020" t="s">
        <v>47</v>
      </c>
      <c r="AA1020">
        <v>0</v>
      </c>
      <c r="AB1020">
        <v>0</v>
      </c>
      <c r="AC1020" t="s">
        <v>41</v>
      </c>
      <c r="AD1020" t="s">
        <v>65</v>
      </c>
      <c r="AE1020" t="s">
        <v>49</v>
      </c>
      <c r="AF1020" s="3">
        <v>1833</v>
      </c>
      <c r="AG1020" s="3">
        <v>68</v>
      </c>
      <c r="AH1020">
        <v>80</v>
      </c>
      <c r="AI1020">
        <v>2</v>
      </c>
      <c r="AJ1020">
        <v>0</v>
      </c>
      <c r="AL1020">
        <v>0</v>
      </c>
      <c r="AM1020">
        <v>1</v>
      </c>
      <c r="AN1020" t="s">
        <v>768</v>
      </c>
      <c r="AO1020" t="s">
        <v>41</v>
      </c>
    </row>
    <row r="1021" spans="1:41" x14ac:dyDescent="0.25">
      <c r="A1021">
        <v>34</v>
      </c>
      <c r="B1021" t="s">
        <v>32</v>
      </c>
      <c r="C1021" t="s">
        <v>55</v>
      </c>
      <c r="D1021">
        <v>13</v>
      </c>
      <c r="E1021" t="s">
        <v>34</v>
      </c>
      <c r="F1021">
        <v>3</v>
      </c>
      <c r="G1021">
        <v>3</v>
      </c>
      <c r="H1021" t="s">
        <v>70</v>
      </c>
      <c r="I1021">
        <v>3</v>
      </c>
      <c r="J1021" t="s">
        <v>57</v>
      </c>
      <c r="K1021">
        <v>8628</v>
      </c>
      <c r="L1021">
        <v>1</v>
      </c>
      <c r="M1021" t="s">
        <v>41</v>
      </c>
      <c r="N1021">
        <v>18</v>
      </c>
      <c r="O1021">
        <v>3</v>
      </c>
      <c r="P1021">
        <v>1</v>
      </c>
      <c r="Q1021">
        <v>9</v>
      </c>
      <c r="R1021">
        <v>2</v>
      </c>
      <c r="S1021">
        <v>8</v>
      </c>
      <c r="T1021">
        <v>1</v>
      </c>
      <c r="U1021">
        <v>1</v>
      </c>
      <c r="V1021" t="s">
        <v>37</v>
      </c>
      <c r="W1021" s="2">
        <v>41311</v>
      </c>
      <c r="Y1021" t="s">
        <v>69</v>
      </c>
      <c r="Z1021" t="s">
        <v>40</v>
      </c>
      <c r="AA1021">
        <v>3</v>
      </c>
      <c r="AB1021">
        <v>1</v>
      </c>
      <c r="AC1021" t="s">
        <v>31</v>
      </c>
      <c r="AD1021" t="s">
        <v>48</v>
      </c>
      <c r="AE1021" t="s">
        <v>49</v>
      </c>
      <c r="AF1021" s="3">
        <v>1987</v>
      </c>
      <c r="AG1021" s="3">
        <v>82</v>
      </c>
      <c r="AH1021">
        <v>80</v>
      </c>
      <c r="AI1021">
        <v>0</v>
      </c>
      <c r="AJ1021">
        <v>0</v>
      </c>
      <c r="AL1021">
        <v>0</v>
      </c>
      <c r="AM1021">
        <v>1</v>
      </c>
      <c r="AN1021" t="s">
        <v>768</v>
      </c>
      <c r="AO1021" t="s">
        <v>41</v>
      </c>
    </row>
    <row r="1022" spans="1:41" x14ac:dyDescent="0.25">
      <c r="A1022">
        <v>38</v>
      </c>
      <c r="B1022" t="s">
        <v>66</v>
      </c>
      <c r="C1022" t="s">
        <v>33</v>
      </c>
      <c r="D1022">
        <v>6</v>
      </c>
      <c r="E1022" t="s">
        <v>34</v>
      </c>
      <c r="F1022">
        <v>2</v>
      </c>
      <c r="G1022">
        <v>2</v>
      </c>
      <c r="H1022" t="s">
        <v>78</v>
      </c>
      <c r="I1022">
        <v>3</v>
      </c>
      <c r="J1022" t="s">
        <v>51</v>
      </c>
      <c r="K1022">
        <v>5321</v>
      </c>
      <c r="L1022">
        <v>2</v>
      </c>
      <c r="M1022" t="s">
        <v>41</v>
      </c>
      <c r="N1022">
        <v>11</v>
      </c>
      <c r="O1022">
        <v>3</v>
      </c>
      <c r="P1022">
        <v>1</v>
      </c>
      <c r="Q1022">
        <v>10</v>
      </c>
      <c r="R1022">
        <v>1</v>
      </c>
      <c r="S1022">
        <v>8</v>
      </c>
      <c r="T1022">
        <v>7</v>
      </c>
      <c r="U1022">
        <v>7</v>
      </c>
      <c r="V1022" t="s">
        <v>52</v>
      </c>
      <c r="W1022" s="1" t="s">
        <v>503</v>
      </c>
      <c r="Y1022" t="s">
        <v>54</v>
      </c>
      <c r="Z1022" t="s">
        <v>40</v>
      </c>
      <c r="AA1022">
        <v>5</v>
      </c>
      <c r="AB1022">
        <v>0</v>
      </c>
      <c r="AC1022" t="s">
        <v>31</v>
      </c>
      <c r="AD1022" t="s">
        <v>67</v>
      </c>
      <c r="AE1022" t="s">
        <v>60</v>
      </c>
      <c r="AF1022" s="3">
        <v>1625</v>
      </c>
      <c r="AG1022" s="3">
        <v>98</v>
      </c>
      <c r="AH1022">
        <v>80</v>
      </c>
      <c r="AI1022">
        <v>2</v>
      </c>
      <c r="AJ1022">
        <v>0</v>
      </c>
      <c r="AL1022">
        <v>0</v>
      </c>
      <c r="AM1022">
        <v>1</v>
      </c>
      <c r="AN1022" t="s">
        <v>768</v>
      </c>
      <c r="AO1022" t="s">
        <v>41</v>
      </c>
    </row>
    <row r="1023" spans="1:41" x14ac:dyDescent="0.25">
      <c r="A1023">
        <v>34</v>
      </c>
      <c r="B1023" t="s">
        <v>32</v>
      </c>
      <c r="C1023" t="s">
        <v>55</v>
      </c>
      <c r="D1023">
        <v>28</v>
      </c>
      <c r="E1023" t="s">
        <v>61</v>
      </c>
      <c r="F1023">
        <v>2</v>
      </c>
      <c r="G1023">
        <v>2</v>
      </c>
      <c r="H1023" t="s">
        <v>70</v>
      </c>
      <c r="I1023">
        <v>3</v>
      </c>
      <c r="J1023" t="s">
        <v>51</v>
      </c>
      <c r="K1023">
        <v>6712</v>
      </c>
      <c r="L1023">
        <v>1</v>
      </c>
      <c r="M1023" t="s">
        <v>41</v>
      </c>
      <c r="N1023">
        <v>21</v>
      </c>
      <c r="O1023">
        <v>4</v>
      </c>
      <c r="P1023">
        <v>2</v>
      </c>
      <c r="Q1023">
        <v>8</v>
      </c>
      <c r="R1023">
        <v>2</v>
      </c>
      <c r="S1023">
        <v>8</v>
      </c>
      <c r="T1023">
        <v>1</v>
      </c>
      <c r="U1023">
        <v>7</v>
      </c>
      <c r="V1023" t="s">
        <v>52</v>
      </c>
      <c r="W1023" s="2">
        <v>41311</v>
      </c>
      <c r="Y1023" t="s">
        <v>63</v>
      </c>
      <c r="Z1023" t="s">
        <v>47</v>
      </c>
      <c r="AA1023">
        <v>0</v>
      </c>
      <c r="AB1023">
        <v>2</v>
      </c>
      <c r="AC1023" t="s">
        <v>31</v>
      </c>
      <c r="AD1023" t="s">
        <v>48</v>
      </c>
      <c r="AE1023" t="s">
        <v>43</v>
      </c>
      <c r="AF1023" s="3">
        <v>1461</v>
      </c>
      <c r="AG1023" s="3">
        <v>96</v>
      </c>
      <c r="AH1023">
        <v>80</v>
      </c>
      <c r="AI1023">
        <v>2</v>
      </c>
      <c r="AJ1023">
        <v>0</v>
      </c>
      <c r="AL1023">
        <v>0</v>
      </c>
      <c r="AM1023">
        <v>1</v>
      </c>
      <c r="AN1023" t="s">
        <v>768</v>
      </c>
      <c r="AO1023" t="s">
        <v>41</v>
      </c>
    </row>
    <row r="1024" spans="1:41" x14ac:dyDescent="0.25">
      <c r="A1024">
        <v>38</v>
      </c>
      <c r="B1024" t="s">
        <v>66</v>
      </c>
      <c r="C1024" t="s">
        <v>33</v>
      </c>
      <c r="D1024">
        <v>23</v>
      </c>
      <c r="E1024" t="s">
        <v>34</v>
      </c>
      <c r="F1024">
        <v>2</v>
      </c>
      <c r="G1024">
        <v>3</v>
      </c>
      <c r="H1024" t="s">
        <v>78</v>
      </c>
      <c r="I1024">
        <v>3</v>
      </c>
      <c r="J1024" t="s">
        <v>36</v>
      </c>
      <c r="K1024">
        <v>9526</v>
      </c>
      <c r="L1024">
        <v>0</v>
      </c>
      <c r="M1024" t="s">
        <v>41</v>
      </c>
      <c r="N1024">
        <v>21</v>
      </c>
      <c r="O1024">
        <v>4</v>
      </c>
      <c r="P1024">
        <v>0</v>
      </c>
      <c r="Q1024">
        <v>10</v>
      </c>
      <c r="R1024">
        <v>2</v>
      </c>
      <c r="S1024">
        <v>9</v>
      </c>
      <c r="T1024">
        <v>1</v>
      </c>
      <c r="U1024">
        <v>8</v>
      </c>
      <c r="V1024" t="s">
        <v>52</v>
      </c>
      <c r="W1024" s="1" t="s">
        <v>515</v>
      </c>
      <c r="Y1024" t="s">
        <v>46</v>
      </c>
      <c r="Z1024" t="s">
        <v>47</v>
      </c>
      <c r="AA1024">
        <v>2</v>
      </c>
      <c r="AB1024">
        <v>1</v>
      </c>
      <c r="AC1024" t="s">
        <v>41</v>
      </c>
      <c r="AD1024" t="s">
        <v>65</v>
      </c>
      <c r="AE1024" t="s">
        <v>43</v>
      </c>
      <c r="AF1024" s="3">
        <v>1916</v>
      </c>
      <c r="AG1024" s="3">
        <v>62</v>
      </c>
      <c r="AH1024">
        <v>80</v>
      </c>
      <c r="AI1024">
        <v>2</v>
      </c>
      <c r="AJ1024">
        <v>0</v>
      </c>
      <c r="AL1024">
        <v>0</v>
      </c>
      <c r="AM1024">
        <v>1</v>
      </c>
      <c r="AN1024" t="s">
        <v>768</v>
      </c>
      <c r="AO1024" t="s">
        <v>41</v>
      </c>
    </row>
    <row r="1025" spans="1:41" x14ac:dyDescent="0.25">
      <c r="A1025">
        <v>29</v>
      </c>
      <c r="B1025" t="s">
        <v>32</v>
      </c>
      <c r="C1025" t="s">
        <v>33</v>
      </c>
      <c r="D1025">
        <v>15</v>
      </c>
      <c r="E1025" t="s">
        <v>61</v>
      </c>
      <c r="F1025">
        <v>2</v>
      </c>
      <c r="G1025">
        <v>2</v>
      </c>
      <c r="H1025" t="s">
        <v>35</v>
      </c>
      <c r="I1025">
        <v>3</v>
      </c>
      <c r="J1025" t="s">
        <v>36</v>
      </c>
      <c r="K1025">
        <v>4193</v>
      </c>
      <c r="L1025">
        <v>0</v>
      </c>
      <c r="M1025" t="s">
        <v>31</v>
      </c>
      <c r="N1025">
        <v>12</v>
      </c>
      <c r="O1025">
        <v>3</v>
      </c>
      <c r="P1025">
        <v>0</v>
      </c>
      <c r="Q1025">
        <v>10</v>
      </c>
      <c r="R1025">
        <v>3</v>
      </c>
      <c r="S1025">
        <v>9</v>
      </c>
      <c r="T1025">
        <v>0</v>
      </c>
      <c r="U1025">
        <v>8</v>
      </c>
      <c r="V1025" t="s">
        <v>58</v>
      </c>
      <c r="W1025" s="1" t="s">
        <v>516</v>
      </c>
      <c r="Y1025" t="s">
        <v>46</v>
      </c>
      <c r="Z1025" t="s">
        <v>47</v>
      </c>
      <c r="AA1025">
        <v>5</v>
      </c>
      <c r="AB1025">
        <v>1</v>
      </c>
      <c r="AC1025" t="s">
        <v>31</v>
      </c>
      <c r="AD1025" t="s">
        <v>65</v>
      </c>
      <c r="AE1025" t="s">
        <v>60</v>
      </c>
      <c r="AF1025" s="3">
        <v>1829</v>
      </c>
      <c r="AG1025" s="3">
        <v>47</v>
      </c>
      <c r="AH1025">
        <v>80</v>
      </c>
      <c r="AI1025">
        <v>4</v>
      </c>
      <c r="AJ1025">
        <v>0</v>
      </c>
      <c r="AL1025">
        <v>0</v>
      </c>
      <c r="AM1025">
        <v>1</v>
      </c>
      <c r="AN1025" t="s">
        <v>768</v>
      </c>
      <c r="AO1025" t="s">
        <v>41</v>
      </c>
    </row>
    <row r="1026" spans="1:41" x14ac:dyDescent="0.25">
      <c r="A1026">
        <v>42</v>
      </c>
      <c r="B1026" t="s">
        <v>32</v>
      </c>
      <c r="C1026" t="s">
        <v>55</v>
      </c>
      <c r="D1026">
        <v>8</v>
      </c>
      <c r="E1026" t="s">
        <v>34</v>
      </c>
      <c r="F1026">
        <v>3</v>
      </c>
      <c r="G1026">
        <v>2</v>
      </c>
      <c r="H1026" t="s">
        <v>70</v>
      </c>
      <c r="I1026">
        <v>2</v>
      </c>
      <c r="J1026" t="s">
        <v>51</v>
      </c>
      <c r="K1026">
        <v>6825</v>
      </c>
      <c r="L1026">
        <v>0</v>
      </c>
      <c r="M1026" t="s">
        <v>41</v>
      </c>
      <c r="N1026">
        <v>11</v>
      </c>
      <c r="O1026">
        <v>3</v>
      </c>
      <c r="P1026">
        <v>1</v>
      </c>
      <c r="Q1026">
        <v>10</v>
      </c>
      <c r="R1026">
        <v>2</v>
      </c>
      <c r="S1026">
        <v>9</v>
      </c>
      <c r="T1026">
        <v>4</v>
      </c>
      <c r="U1026">
        <v>2</v>
      </c>
      <c r="V1026" t="s">
        <v>37</v>
      </c>
      <c r="W1026" s="1" t="s">
        <v>517</v>
      </c>
      <c r="Y1026" t="s">
        <v>69</v>
      </c>
      <c r="Z1026" t="s">
        <v>40</v>
      </c>
      <c r="AA1026">
        <v>0</v>
      </c>
      <c r="AB1026">
        <v>0</v>
      </c>
      <c r="AC1026" t="s">
        <v>41</v>
      </c>
      <c r="AD1026" t="s">
        <v>65</v>
      </c>
      <c r="AE1026" t="s">
        <v>60</v>
      </c>
      <c r="AF1026" s="3">
        <v>1822</v>
      </c>
      <c r="AG1026" s="3">
        <v>52</v>
      </c>
      <c r="AH1026">
        <v>80</v>
      </c>
      <c r="AI1026">
        <v>3</v>
      </c>
      <c r="AJ1026">
        <v>0</v>
      </c>
      <c r="AL1026">
        <v>0</v>
      </c>
      <c r="AM1026">
        <v>1</v>
      </c>
      <c r="AN1026" t="s">
        <v>768</v>
      </c>
      <c r="AO1026" t="s">
        <v>41</v>
      </c>
    </row>
    <row r="1027" spans="1:41" x14ac:dyDescent="0.25">
      <c r="A1027">
        <v>27</v>
      </c>
      <c r="B1027" t="s">
        <v>66</v>
      </c>
      <c r="C1027" t="s">
        <v>55</v>
      </c>
      <c r="D1027">
        <v>8</v>
      </c>
      <c r="E1027" t="s">
        <v>34</v>
      </c>
      <c r="F1027">
        <v>3</v>
      </c>
      <c r="G1027">
        <v>3</v>
      </c>
      <c r="H1027" t="s">
        <v>70</v>
      </c>
      <c r="I1027">
        <v>3</v>
      </c>
      <c r="J1027" t="s">
        <v>36</v>
      </c>
      <c r="K1027">
        <v>8726</v>
      </c>
      <c r="L1027">
        <v>1</v>
      </c>
      <c r="M1027" t="s">
        <v>41</v>
      </c>
      <c r="N1027">
        <v>15</v>
      </c>
      <c r="O1027">
        <v>3</v>
      </c>
      <c r="P1027">
        <v>0</v>
      </c>
      <c r="Q1027">
        <v>9</v>
      </c>
      <c r="R1027">
        <v>0</v>
      </c>
      <c r="S1027">
        <v>9</v>
      </c>
      <c r="T1027">
        <v>1</v>
      </c>
      <c r="U1027">
        <v>7</v>
      </c>
      <c r="V1027" t="s">
        <v>52</v>
      </c>
      <c r="W1027" s="2">
        <v>41185</v>
      </c>
      <c r="Y1027" t="s">
        <v>54</v>
      </c>
      <c r="Z1027" t="s">
        <v>47</v>
      </c>
      <c r="AA1027">
        <v>5</v>
      </c>
      <c r="AB1027">
        <v>1</v>
      </c>
      <c r="AC1027" t="s">
        <v>41</v>
      </c>
      <c r="AD1027" t="s">
        <v>48</v>
      </c>
      <c r="AE1027" t="s">
        <v>60</v>
      </c>
      <c r="AF1027" s="3">
        <v>1762</v>
      </c>
      <c r="AG1027" s="3">
        <v>91</v>
      </c>
      <c r="AH1027">
        <v>80</v>
      </c>
      <c r="AI1027">
        <v>0</v>
      </c>
      <c r="AJ1027">
        <v>0</v>
      </c>
      <c r="AL1027">
        <v>0</v>
      </c>
      <c r="AM1027">
        <v>1</v>
      </c>
      <c r="AN1027" t="s">
        <v>768</v>
      </c>
      <c r="AO1027" t="s">
        <v>41</v>
      </c>
    </row>
    <row r="1028" spans="1:41" x14ac:dyDescent="0.25">
      <c r="A1028">
        <v>34</v>
      </c>
      <c r="B1028" t="s">
        <v>81</v>
      </c>
      <c r="C1028" t="s">
        <v>55</v>
      </c>
      <c r="D1028">
        <v>23</v>
      </c>
      <c r="E1028" t="s">
        <v>34</v>
      </c>
      <c r="F1028">
        <v>3</v>
      </c>
      <c r="G1028">
        <v>2</v>
      </c>
      <c r="H1028" t="s">
        <v>70</v>
      </c>
      <c r="I1028">
        <v>3</v>
      </c>
      <c r="J1028" t="s">
        <v>36</v>
      </c>
      <c r="K1028">
        <v>4568</v>
      </c>
      <c r="L1028">
        <v>0</v>
      </c>
      <c r="M1028" t="s">
        <v>41</v>
      </c>
      <c r="N1028">
        <v>20</v>
      </c>
      <c r="O1028">
        <v>4</v>
      </c>
      <c r="P1028">
        <v>0</v>
      </c>
      <c r="Q1028">
        <v>10</v>
      </c>
      <c r="R1028">
        <v>2</v>
      </c>
      <c r="S1028">
        <v>9</v>
      </c>
      <c r="T1028">
        <v>8</v>
      </c>
      <c r="U1028">
        <v>7</v>
      </c>
      <c r="V1028" t="s">
        <v>72</v>
      </c>
      <c r="W1028" s="1" t="s">
        <v>518</v>
      </c>
      <c r="Y1028" t="s">
        <v>54</v>
      </c>
      <c r="Z1028" t="s">
        <v>47</v>
      </c>
      <c r="AA1028">
        <v>5</v>
      </c>
      <c r="AB1028">
        <v>3</v>
      </c>
      <c r="AC1028" t="s">
        <v>31</v>
      </c>
      <c r="AD1028" t="s">
        <v>67</v>
      </c>
      <c r="AE1028" t="s">
        <v>49</v>
      </c>
      <c r="AF1028" s="3">
        <v>1658</v>
      </c>
      <c r="AG1028" s="3">
        <v>66</v>
      </c>
      <c r="AH1028">
        <v>80</v>
      </c>
      <c r="AI1028">
        <v>8</v>
      </c>
      <c r="AJ1028">
        <v>0</v>
      </c>
      <c r="AL1028">
        <v>0</v>
      </c>
      <c r="AM1028">
        <v>1</v>
      </c>
      <c r="AN1028" t="s">
        <v>768</v>
      </c>
      <c r="AO1028" t="s">
        <v>41</v>
      </c>
    </row>
    <row r="1029" spans="1:41" x14ac:dyDescent="0.25">
      <c r="A1029">
        <v>46</v>
      </c>
      <c r="B1029" t="s">
        <v>66</v>
      </c>
      <c r="C1029" t="s">
        <v>55</v>
      </c>
      <c r="D1029">
        <v>5</v>
      </c>
      <c r="E1029" t="s">
        <v>34</v>
      </c>
      <c r="F1029">
        <v>3</v>
      </c>
      <c r="G1029">
        <v>2</v>
      </c>
      <c r="H1029" t="s">
        <v>70</v>
      </c>
      <c r="I1029">
        <v>4</v>
      </c>
      <c r="J1029" t="s">
        <v>36</v>
      </c>
      <c r="K1029">
        <v>5772</v>
      </c>
      <c r="L1029">
        <v>4</v>
      </c>
      <c r="M1029" t="s">
        <v>31</v>
      </c>
      <c r="N1029">
        <v>21</v>
      </c>
      <c r="O1029">
        <v>4</v>
      </c>
      <c r="P1029">
        <v>0</v>
      </c>
      <c r="Q1029">
        <v>14</v>
      </c>
      <c r="R1029">
        <v>4</v>
      </c>
      <c r="S1029">
        <v>9</v>
      </c>
      <c r="T1029">
        <v>0</v>
      </c>
      <c r="U1029">
        <v>8</v>
      </c>
      <c r="V1029" t="s">
        <v>72</v>
      </c>
      <c r="W1029" s="2">
        <v>40970</v>
      </c>
      <c r="Y1029" t="s">
        <v>54</v>
      </c>
      <c r="Z1029" t="s">
        <v>40</v>
      </c>
      <c r="AA1029">
        <v>4</v>
      </c>
      <c r="AB1029">
        <v>1</v>
      </c>
      <c r="AC1029" t="s">
        <v>31</v>
      </c>
      <c r="AD1029" t="s">
        <v>65</v>
      </c>
      <c r="AE1029" t="s">
        <v>43</v>
      </c>
      <c r="AF1029" s="3">
        <v>1635</v>
      </c>
      <c r="AG1029" s="3">
        <v>59</v>
      </c>
      <c r="AH1029">
        <v>80</v>
      </c>
      <c r="AI1029">
        <v>7</v>
      </c>
      <c r="AJ1029">
        <v>0</v>
      </c>
      <c r="AL1029">
        <v>0</v>
      </c>
      <c r="AM1029">
        <v>1</v>
      </c>
      <c r="AN1029" t="s">
        <v>768</v>
      </c>
      <c r="AO1029" t="s">
        <v>41</v>
      </c>
    </row>
    <row r="1030" spans="1:41" x14ac:dyDescent="0.25">
      <c r="A1030">
        <v>35</v>
      </c>
      <c r="B1030" t="s">
        <v>66</v>
      </c>
      <c r="C1030" t="s">
        <v>55</v>
      </c>
      <c r="D1030">
        <v>18</v>
      </c>
      <c r="E1030" t="s">
        <v>34</v>
      </c>
      <c r="F1030">
        <v>3</v>
      </c>
      <c r="G1030">
        <v>3</v>
      </c>
      <c r="H1030" t="s">
        <v>70</v>
      </c>
      <c r="I1030">
        <v>1</v>
      </c>
      <c r="J1030" t="s">
        <v>51</v>
      </c>
      <c r="K1030">
        <v>9069</v>
      </c>
      <c r="L1030">
        <v>1</v>
      </c>
      <c r="M1030" t="s">
        <v>41</v>
      </c>
      <c r="N1030">
        <v>22</v>
      </c>
      <c r="O1030">
        <v>4</v>
      </c>
      <c r="P1030">
        <v>1</v>
      </c>
      <c r="Q1030">
        <v>9</v>
      </c>
      <c r="R1030">
        <v>3</v>
      </c>
      <c r="S1030">
        <v>9</v>
      </c>
      <c r="T1030">
        <v>1</v>
      </c>
      <c r="U1030">
        <v>8</v>
      </c>
      <c r="V1030" t="s">
        <v>52</v>
      </c>
      <c r="W1030" s="2">
        <v>41218</v>
      </c>
      <c r="Y1030" t="s">
        <v>54</v>
      </c>
      <c r="Z1030" t="s">
        <v>40</v>
      </c>
      <c r="AA1030">
        <v>4</v>
      </c>
      <c r="AB1030">
        <v>0</v>
      </c>
      <c r="AC1030" t="s">
        <v>41</v>
      </c>
      <c r="AD1030" t="s">
        <v>42</v>
      </c>
      <c r="AE1030" t="s">
        <v>60</v>
      </c>
      <c r="AF1030" s="3">
        <v>1656</v>
      </c>
      <c r="AG1030" s="3">
        <v>50</v>
      </c>
      <c r="AH1030">
        <v>80</v>
      </c>
      <c r="AI1030">
        <v>11</v>
      </c>
      <c r="AJ1030">
        <v>0</v>
      </c>
      <c r="AL1030">
        <v>0</v>
      </c>
      <c r="AM1030">
        <v>1</v>
      </c>
      <c r="AN1030" t="s">
        <v>768</v>
      </c>
      <c r="AO1030" t="s">
        <v>41</v>
      </c>
    </row>
    <row r="1031" spans="1:41" x14ac:dyDescent="0.25">
      <c r="A1031">
        <v>32</v>
      </c>
      <c r="B1031" t="s">
        <v>32</v>
      </c>
      <c r="C1031" t="s">
        <v>33</v>
      </c>
      <c r="D1031">
        <v>1</v>
      </c>
      <c r="E1031" t="s">
        <v>34</v>
      </c>
      <c r="F1031">
        <v>3</v>
      </c>
      <c r="G1031">
        <v>2</v>
      </c>
      <c r="H1031" t="s">
        <v>78</v>
      </c>
      <c r="I1031">
        <v>4</v>
      </c>
      <c r="J1031" t="s">
        <v>51</v>
      </c>
      <c r="K1031">
        <v>6162</v>
      </c>
      <c r="L1031">
        <v>1</v>
      </c>
      <c r="M1031" t="s">
        <v>31</v>
      </c>
      <c r="N1031">
        <v>22</v>
      </c>
      <c r="O1031">
        <v>4</v>
      </c>
      <c r="P1031">
        <v>1</v>
      </c>
      <c r="Q1031">
        <v>9</v>
      </c>
      <c r="R1031">
        <v>3</v>
      </c>
      <c r="S1031">
        <v>9</v>
      </c>
      <c r="T1031">
        <v>7</v>
      </c>
      <c r="U1031">
        <v>8</v>
      </c>
      <c r="V1031" t="s">
        <v>37</v>
      </c>
      <c r="W1031" s="2">
        <v>41035</v>
      </c>
      <c r="Y1031" t="s">
        <v>69</v>
      </c>
      <c r="Z1031" t="s">
        <v>47</v>
      </c>
      <c r="AA1031">
        <v>0</v>
      </c>
      <c r="AB1031">
        <v>0</v>
      </c>
      <c r="AC1031" t="s">
        <v>31</v>
      </c>
      <c r="AD1031" t="s">
        <v>42</v>
      </c>
      <c r="AE1031" t="s">
        <v>60</v>
      </c>
      <c r="AF1031" s="3">
        <v>1502</v>
      </c>
      <c r="AG1031" s="3">
        <v>82</v>
      </c>
      <c r="AH1031">
        <v>80</v>
      </c>
      <c r="AI1031">
        <v>4</v>
      </c>
      <c r="AJ1031">
        <v>0</v>
      </c>
      <c r="AL1031">
        <v>0</v>
      </c>
      <c r="AM1031">
        <v>1</v>
      </c>
      <c r="AN1031" t="s">
        <v>768</v>
      </c>
      <c r="AO1031" t="s">
        <v>41</v>
      </c>
    </row>
    <row r="1032" spans="1:41" x14ac:dyDescent="0.25">
      <c r="A1032">
        <v>46</v>
      </c>
      <c r="B1032" t="s">
        <v>32</v>
      </c>
      <c r="C1032" t="s">
        <v>55</v>
      </c>
      <c r="D1032">
        <v>9</v>
      </c>
      <c r="E1032" t="s">
        <v>34</v>
      </c>
      <c r="F1032">
        <v>2</v>
      </c>
      <c r="G1032">
        <v>3</v>
      </c>
      <c r="H1032" t="s">
        <v>70</v>
      </c>
      <c r="I1032">
        <v>4</v>
      </c>
      <c r="J1032" t="s">
        <v>36</v>
      </c>
      <c r="K1032">
        <v>9619</v>
      </c>
      <c r="L1032">
        <v>1</v>
      </c>
      <c r="M1032" t="s">
        <v>41</v>
      </c>
      <c r="N1032">
        <v>16</v>
      </c>
      <c r="O1032">
        <v>3</v>
      </c>
      <c r="P1032">
        <v>0</v>
      </c>
      <c r="Q1032">
        <v>9</v>
      </c>
      <c r="R1032">
        <v>3</v>
      </c>
      <c r="S1032">
        <v>9</v>
      </c>
      <c r="T1032">
        <v>4</v>
      </c>
      <c r="U1032">
        <v>7</v>
      </c>
      <c r="V1032" t="s">
        <v>52</v>
      </c>
      <c r="W1032" s="1" t="s">
        <v>519</v>
      </c>
      <c r="Y1032" t="s">
        <v>63</v>
      </c>
      <c r="Z1032" t="s">
        <v>47</v>
      </c>
      <c r="AA1032">
        <v>2</v>
      </c>
      <c r="AB1032">
        <v>3</v>
      </c>
      <c r="AC1032" t="s">
        <v>41</v>
      </c>
      <c r="AD1032" t="s">
        <v>65</v>
      </c>
      <c r="AE1032" t="s">
        <v>60</v>
      </c>
      <c r="AF1032" s="3">
        <v>1866</v>
      </c>
      <c r="AG1032" s="3">
        <v>81</v>
      </c>
      <c r="AH1032">
        <v>80</v>
      </c>
      <c r="AI1032">
        <v>12</v>
      </c>
      <c r="AJ1032">
        <v>0</v>
      </c>
      <c r="AL1032">
        <v>0</v>
      </c>
      <c r="AM1032">
        <v>1</v>
      </c>
      <c r="AN1032" t="s">
        <v>768</v>
      </c>
      <c r="AO1032" t="s">
        <v>41</v>
      </c>
    </row>
    <row r="1033" spans="1:41" x14ac:dyDescent="0.25">
      <c r="A1033">
        <v>34</v>
      </c>
      <c r="B1033" t="s">
        <v>66</v>
      </c>
      <c r="C1033" t="s">
        <v>33</v>
      </c>
      <c r="D1033">
        <v>7</v>
      </c>
      <c r="E1033" t="s">
        <v>34</v>
      </c>
      <c r="F1033">
        <v>1</v>
      </c>
      <c r="G1033">
        <v>2</v>
      </c>
      <c r="H1033" t="s">
        <v>35</v>
      </c>
      <c r="I1033">
        <v>3</v>
      </c>
      <c r="J1033" t="s">
        <v>36</v>
      </c>
      <c r="K1033">
        <v>6074</v>
      </c>
      <c r="L1033">
        <v>1</v>
      </c>
      <c r="M1033" t="s">
        <v>31</v>
      </c>
      <c r="N1033">
        <v>24</v>
      </c>
      <c r="O1033">
        <v>4</v>
      </c>
      <c r="P1033">
        <v>0</v>
      </c>
      <c r="Q1033">
        <v>9</v>
      </c>
      <c r="R1033">
        <v>3</v>
      </c>
      <c r="S1033">
        <v>9</v>
      </c>
      <c r="T1033">
        <v>0</v>
      </c>
      <c r="U1033">
        <v>6</v>
      </c>
      <c r="V1033" t="s">
        <v>37</v>
      </c>
      <c r="W1033" s="2">
        <v>41035</v>
      </c>
      <c r="Y1033" t="s">
        <v>39</v>
      </c>
      <c r="Z1033" t="s">
        <v>40</v>
      </c>
      <c r="AA1033">
        <v>4</v>
      </c>
      <c r="AB1033">
        <v>1</v>
      </c>
      <c r="AC1033" t="s">
        <v>31</v>
      </c>
      <c r="AD1033" t="s">
        <v>65</v>
      </c>
      <c r="AE1033" t="s">
        <v>49</v>
      </c>
      <c r="AF1033" s="3">
        <v>1786</v>
      </c>
      <c r="AG1033" s="3">
        <v>53</v>
      </c>
      <c r="AH1033">
        <v>80</v>
      </c>
      <c r="AI1033">
        <v>2</v>
      </c>
      <c r="AJ1033">
        <v>0</v>
      </c>
      <c r="AL1033">
        <v>0</v>
      </c>
      <c r="AM1033">
        <v>1</v>
      </c>
      <c r="AN1033" t="s">
        <v>768</v>
      </c>
      <c r="AO1033" t="s">
        <v>41</v>
      </c>
    </row>
    <row r="1034" spans="1:41" x14ac:dyDescent="0.25">
      <c r="A1034">
        <v>36</v>
      </c>
      <c r="B1034" t="s">
        <v>66</v>
      </c>
      <c r="C1034" t="s">
        <v>55</v>
      </c>
      <c r="D1034">
        <v>11</v>
      </c>
      <c r="E1034" t="s">
        <v>61</v>
      </c>
      <c r="F1034">
        <v>3</v>
      </c>
      <c r="G1034">
        <v>3</v>
      </c>
      <c r="H1034" t="s">
        <v>70</v>
      </c>
      <c r="I1034">
        <v>4</v>
      </c>
      <c r="J1034" t="s">
        <v>51</v>
      </c>
      <c r="K1034">
        <v>9738</v>
      </c>
      <c r="L1034">
        <v>0</v>
      </c>
      <c r="M1034" t="s">
        <v>41</v>
      </c>
      <c r="N1034">
        <v>14</v>
      </c>
      <c r="O1034">
        <v>3</v>
      </c>
      <c r="P1034">
        <v>1</v>
      </c>
      <c r="Q1034">
        <v>10</v>
      </c>
      <c r="R1034">
        <v>6</v>
      </c>
      <c r="S1034">
        <v>9</v>
      </c>
      <c r="T1034">
        <v>2</v>
      </c>
      <c r="U1034">
        <v>8</v>
      </c>
      <c r="V1034" t="s">
        <v>52</v>
      </c>
      <c r="W1034" s="2">
        <v>40910</v>
      </c>
      <c r="Y1034" t="s">
        <v>69</v>
      </c>
      <c r="Z1034" t="s">
        <v>47</v>
      </c>
      <c r="AA1034">
        <v>2</v>
      </c>
      <c r="AB1034">
        <v>0</v>
      </c>
      <c r="AC1034" t="s">
        <v>41</v>
      </c>
      <c r="AD1034" t="s">
        <v>67</v>
      </c>
      <c r="AE1034" t="s">
        <v>43</v>
      </c>
      <c r="AF1034" s="3">
        <v>1701</v>
      </c>
      <c r="AG1034" s="3">
        <v>35</v>
      </c>
      <c r="AH1034">
        <v>80</v>
      </c>
      <c r="AI1034">
        <v>9</v>
      </c>
      <c r="AJ1034">
        <v>0</v>
      </c>
      <c r="AL1034">
        <v>0</v>
      </c>
      <c r="AM1034">
        <v>1</v>
      </c>
      <c r="AN1034" t="s">
        <v>768</v>
      </c>
      <c r="AO1034" t="s">
        <v>41</v>
      </c>
    </row>
    <row r="1035" spans="1:41" x14ac:dyDescent="0.25">
      <c r="A1035">
        <v>41</v>
      </c>
      <c r="B1035" t="s">
        <v>32</v>
      </c>
      <c r="C1035" t="s">
        <v>55</v>
      </c>
      <c r="D1035">
        <v>9</v>
      </c>
      <c r="E1035" t="s">
        <v>34</v>
      </c>
      <c r="F1035">
        <v>3</v>
      </c>
      <c r="G1035">
        <v>3</v>
      </c>
      <c r="H1035" t="s">
        <v>70</v>
      </c>
      <c r="I1035">
        <v>3</v>
      </c>
      <c r="J1035" t="s">
        <v>57</v>
      </c>
      <c r="K1035">
        <v>8189</v>
      </c>
      <c r="L1035">
        <v>3</v>
      </c>
      <c r="M1035" t="s">
        <v>31</v>
      </c>
      <c r="N1035">
        <v>13</v>
      </c>
      <c r="O1035">
        <v>3</v>
      </c>
      <c r="P1035">
        <v>1</v>
      </c>
      <c r="Q1035">
        <v>12</v>
      </c>
      <c r="R1035">
        <v>2</v>
      </c>
      <c r="S1035">
        <v>9</v>
      </c>
      <c r="T1035">
        <v>0</v>
      </c>
      <c r="U1035">
        <v>7</v>
      </c>
      <c r="V1035" t="s">
        <v>52</v>
      </c>
      <c r="W1035" s="2">
        <v>41155</v>
      </c>
      <c r="Y1035" t="s">
        <v>46</v>
      </c>
      <c r="Z1035" t="s">
        <v>40</v>
      </c>
      <c r="AA1035">
        <v>3</v>
      </c>
      <c r="AB1035">
        <v>1</v>
      </c>
      <c r="AC1035" t="s">
        <v>31</v>
      </c>
      <c r="AD1035" t="s">
        <v>67</v>
      </c>
      <c r="AE1035" t="s">
        <v>49</v>
      </c>
      <c r="AF1035" s="3">
        <v>1647</v>
      </c>
      <c r="AG1035" s="3">
        <v>86</v>
      </c>
      <c r="AH1035">
        <v>80</v>
      </c>
      <c r="AI1035">
        <v>2</v>
      </c>
      <c r="AJ1035">
        <v>0</v>
      </c>
      <c r="AL1035">
        <v>0</v>
      </c>
      <c r="AM1035">
        <v>1</v>
      </c>
      <c r="AN1035" t="s">
        <v>768</v>
      </c>
      <c r="AO1035" t="s">
        <v>41</v>
      </c>
    </row>
    <row r="1036" spans="1:41" x14ac:dyDescent="0.25">
      <c r="A1036">
        <v>32</v>
      </c>
      <c r="B1036" t="s">
        <v>66</v>
      </c>
      <c r="C1036" t="s">
        <v>55</v>
      </c>
      <c r="D1036">
        <v>8</v>
      </c>
      <c r="E1036" t="s">
        <v>61</v>
      </c>
      <c r="F1036">
        <v>3</v>
      </c>
      <c r="G1036">
        <v>3</v>
      </c>
      <c r="H1036" t="s">
        <v>70</v>
      </c>
      <c r="I1036">
        <v>4</v>
      </c>
      <c r="J1036" t="s">
        <v>36</v>
      </c>
      <c r="K1036">
        <v>8998</v>
      </c>
      <c r="L1036">
        <v>1</v>
      </c>
      <c r="M1036" t="s">
        <v>41</v>
      </c>
      <c r="N1036">
        <v>14</v>
      </c>
      <c r="O1036">
        <v>3</v>
      </c>
      <c r="P1036">
        <v>0</v>
      </c>
      <c r="Q1036">
        <v>9</v>
      </c>
      <c r="R1036">
        <v>2</v>
      </c>
      <c r="S1036">
        <v>9</v>
      </c>
      <c r="T1036">
        <v>3</v>
      </c>
      <c r="U1036">
        <v>7</v>
      </c>
      <c r="V1036" t="s">
        <v>37</v>
      </c>
      <c r="W1036" s="2">
        <v>40972</v>
      </c>
      <c r="Y1036" t="s">
        <v>39</v>
      </c>
      <c r="Z1036" t="s">
        <v>40</v>
      </c>
      <c r="AA1036">
        <v>5</v>
      </c>
      <c r="AB1036">
        <v>2</v>
      </c>
      <c r="AC1036" t="s">
        <v>31</v>
      </c>
      <c r="AD1036" t="s">
        <v>48</v>
      </c>
      <c r="AE1036" t="s">
        <v>60</v>
      </c>
      <c r="AF1036" s="3">
        <v>1409</v>
      </c>
      <c r="AG1036" s="3">
        <v>54</v>
      </c>
      <c r="AH1036">
        <v>80</v>
      </c>
      <c r="AI1036">
        <v>4</v>
      </c>
      <c r="AJ1036">
        <v>0</v>
      </c>
      <c r="AL1036">
        <v>0</v>
      </c>
      <c r="AM1036">
        <v>1</v>
      </c>
      <c r="AN1036" t="s">
        <v>768</v>
      </c>
      <c r="AO1036" t="s">
        <v>41</v>
      </c>
    </row>
    <row r="1037" spans="1:41" x14ac:dyDescent="0.25">
      <c r="A1037">
        <v>41</v>
      </c>
      <c r="B1037" t="s">
        <v>32</v>
      </c>
      <c r="C1037" t="s">
        <v>33</v>
      </c>
      <c r="D1037">
        <v>14</v>
      </c>
      <c r="E1037" t="s">
        <v>34</v>
      </c>
      <c r="F1037">
        <v>3</v>
      </c>
      <c r="G1037">
        <v>1</v>
      </c>
      <c r="H1037" t="s">
        <v>44</v>
      </c>
      <c r="I1037">
        <v>3</v>
      </c>
      <c r="J1037" t="s">
        <v>57</v>
      </c>
      <c r="K1037">
        <v>2451</v>
      </c>
      <c r="L1037">
        <v>4</v>
      </c>
      <c r="M1037" t="s">
        <v>41</v>
      </c>
      <c r="N1037">
        <v>12</v>
      </c>
      <c r="O1037">
        <v>3</v>
      </c>
      <c r="P1037">
        <v>1</v>
      </c>
      <c r="Q1037">
        <v>13</v>
      </c>
      <c r="R1037">
        <v>2</v>
      </c>
      <c r="S1037">
        <v>9</v>
      </c>
      <c r="T1037">
        <v>1</v>
      </c>
      <c r="U1037">
        <v>8</v>
      </c>
      <c r="V1037" t="s">
        <v>58</v>
      </c>
      <c r="W1037" s="1" t="s">
        <v>520</v>
      </c>
      <c r="Y1037" t="s">
        <v>54</v>
      </c>
      <c r="Z1037" t="s">
        <v>47</v>
      </c>
      <c r="AA1037">
        <v>4</v>
      </c>
      <c r="AB1037">
        <v>3</v>
      </c>
      <c r="AC1037" t="s">
        <v>31</v>
      </c>
      <c r="AD1037" t="s">
        <v>67</v>
      </c>
      <c r="AE1037" t="s">
        <v>43</v>
      </c>
      <c r="AF1037" s="3">
        <v>2015</v>
      </c>
      <c r="AG1037" s="3">
        <v>99</v>
      </c>
      <c r="AH1037">
        <v>80</v>
      </c>
      <c r="AI1037">
        <v>16</v>
      </c>
      <c r="AJ1037">
        <v>0</v>
      </c>
      <c r="AL1037">
        <v>0</v>
      </c>
      <c r="AM1037">
        <v>1</v>
      </c>
      <c r="AN1037" t="s">
        <v>768</v>
      </c>
      <c r="AO1037" t="s">
        <v>41</v>
      </c>
    </row>
    <row r="1038" spans="1:41" x14ac:dyDescent="0.25">
      <c r="A1038">
        <v>37</v>
      </c>
      <c r="B1038" t="s">
        <v>66</v>
      </c>
      <c r="C1038" t="s">
        <v>55</v>
      </c>
      <c r="D1038">
        <v>4</v>
      </c>
      <c r="E1038" t="s">
        <v>34</v>
      </c>
      <c r="F1038">
        <v>3</v>
      </c>
      <c r="G1038">
        <v>1</v>
      </c>
      <c r="H1038" t="s">
        <v>56</v>
      </c>
      <c r="I1038">
        <v>4</v>
      </c>
      <c r="J1038" t="s">
        <v>57</v>
      </c>
      <c r="K1038">
        <v>2793</v>
      </c>
      <c r="L1038">
        <v>4</v>
      </c>
      <c r="M1038" t="s">
        <v>41</v>
      </c>
      <c r="N1038">
        <v>17</v>
      </c>
      <c r="O1038">
        <v>3</v>
      </c>
      <c r="P1038">
        <v>1</v>
      </c>
      <c r="Q1038">
        <v>13</v>
      </c>
      <c r="R1038">
        <v>2</v>
      </c>
      <c r="S1038">
        <v>9</v>
      </c>
      <c r="T1038">
        <v>5</v>
      </c>
      <c r="U1038">
        <v>8</v>
      </c>
      <c r="V1038" t="s">
        <v>58</v>
      </c>
      <c r="W1038" s="1" t="s">
        <v>521</v>
      </c>
      <c r="Y1038" t="s">
        <v>63</v>
      </c>
      <c r="Z1038" t="s">
        <v>40</v>
      </c>
      <c r="AA1038">
        <v>2</v>
      </c>
      <c r="AB1038">
        <v>1</v>
      </c>
      <c r="AC1038" t="s">
        <v>31</v>
      </c>
      <c r="AD1038" t="s">
        <v>48</v>
      </c>
      <c r="AE1038" t="s">
        <v>43</v>
      </c>
      <c r="AF1038" s="3">
        <v>1640</v>
      </c>
      <c r="AG1038" s="3">
        <v>71</v>
      </c>
      <c r="AH1038">
        <v>80</v>
      </c>
      <c r="AI1038">
        <v>4</v>
      </c>
      <c r="AJ1038">
        <v>0</v>
      </c>
      <c r="AL1038">
        <v>0</v>
      </c>
      <c r="AM1038">
        <v>1</v>
      </c>
      <c r="AN1038" t="s">
        <v>768</v>
      </c>
      <c r="AO1038" t="s">
        <v>41</v>
      </c>
    </row>
    <row r="1039" spans="1:41" x14ac:dyDescent="0.25">
      <c r="A1039">
        <v>33</v>
      </c>
      <c r="B1039" t="s">
        <v>32</v>
      </c>
      <c r="C1039" t="s">
        <v>33</v>
      </c>
      <c r="D1039">
        <v>2</v>
      </c>
      <c r="E1039" t="s">
        <v>61</v>
      </c>
      <c r="F1039">
        <v>3</v>
      </c>
      <c r="G1039">
        <v>1</v>
      </c>
      <c r="H1039" t="s">
        <v>35</v>
      </c>
      <c r="I1039">
        <v>1</v>
      </c>
      <c r="J1039" t="s">
        <v>51</v>
      </c>
      <c r="K1039">
        <v>2707</v>
      </c>
      <c r="L1039">
        <v>7</v>
      </c>
      <c r="M1039" t="s">
        <v>41</v>
      </c>
      <c r="N1039">
        <v>20</v>
      </c>
      <c r="O1039">
        <v>4</v>
      </c>
      <c r="P1039">
        <v>0</v>
      </c>
      <c r="Q1039">
        <v>13</v>
      </c>
      <c r="R1039">
        <v>3</v>
      </c>
      <c r="S1039">
        <v>9</v>
      </c>
      <c r="T1039">
        <v>1</v>
      </c>
      <c r="U1039">
        <v>7</v>
      </c>
      <c r="V1039" t="s">
        <v>52</v>
      </c>
      <c r="W1039" s="1" t="s">
        <v>522</v>
      </c>
      <c r="Y1039" t="s">
        <v>46</v>
      </c>
      <c r="Z1039" t="s">
        <v>47</v>
      </c>
      <c r="AA1039">
        <v>0</v>
      </c>
      <c r="AB1039">
        <v>1</v>
      </c>
      <c r="AC1039" t="s">
        <v>31</v>
      </c>
      <c r="AD1039" t="s">
        <v>48</v>
      </c>
      <c r="AE1039" t="s">
        <v>60</v>
      </c>
      <c r="AF1039" s="3">
        <v>1544</v>
      </c>
      <c r="AG1039" s="3">
        <v>39</v>
      </c>
      <c r="AH1039">
        <v>80</v>
      </c>
      <c r="AI1039">
        <v>7</v>
      </c>
      <c r="AJ1039">
        <v>0</v>
      </c>
      <c r="AL1039">
        <v>0</v>
      </c>
      <c r="AM1039">
        <v>1</v>
      </c>
      <c r="AN1039" t="s">
        <v>768</v>
      </c>
      <c r="AO1039" t="s">
        <v>41</v>
      </c>
    </row>
    <row r="1040" spans="1:41" x14ac:dyDescent="0.25">
      <c r="A1040">
        <v>40</v>
      </c>
      <c r="B1040" t="s">
        <v>32</v>
      </c>
      <c r="C1040" t="s">
        <v>33</v>
      </c>
      <c r="D1040">
        <v>24</v>
      </c>
      <c r="E1040" t="s">
        <v>34</v>
      </c>
      <c r="F1040">
        <v>3</v>
      </c>
      <c r="G1040">
        <v>2</v>
      </c>
      <c r="H1040" t="s">
        <v>44</v>
      </c>
      <c r="I1040">
        <v>4</v>
      </c>
      <c r="J1040" t="s">
        <v>57</v>
      </c>
      <c r="K1040">
        <v>3319</v>
      </c>
      <c r="L1040">
        <v>1</v>
      </c>
      <c r="M1040" t="s">
        <v>41</v>
      </c>
      <c r="N1040">
        <v>17</v>
      </c>
      <c r="O1040">
        <v>3</v>
      </c>
      <c r="P1040">
        <v>2</v>
      </c>
      <c r="Q1040">
        <v>9</v>
      </c>
      <c r="R1040">
        <v>3</v>
      </c>
      <c r="S1040">
        <v>9</v>
      </c>
      <c r="T1040">
        <v>4</v>
      </c>
      <c r="U1040">
        <v>7</v>
      </c>
      <c r="V1040" t="s">
        <v>52</v>
      </c>
      <c r="W1040" s="2">
        <v>40913</v>
      </c>
      <c r="Y1040" t="s">
        <v>39</v>
      </c>
      <c r="Z1040" t="s">
        <v>47</v>
      </c>
      <c r="AA1040">
        <v>2</v>
      </c>
      <c r="AB1040">
        <v>1</v>
      </c>
      <c r="AC1040" t="s">
        <v>31</v>
      </c>
      <c r="AD1040" t="s">
        <v>65</v>
      </c>
      <c r="AE1040" t="s">
        <v>60</v>
      </c>
      <c r="AF1040" s="3">
        <v>2052</v>
      </c>
      <c r="AG1040" s="3">
        <v>62</v>
      </c>
      <c r="AH1040">
        <v>80</v>
      </c>
      <c r="AI1040">
        <v>3</v>
      </c>
      <c r="AJ1040">
        <v>0</v>
      </c>
      <c r="AL1040">
        <v>0</v>
      </c>
      <c r="AM1040">
        <v>1</v>
      </c>
      <c r="AN1040" t="s">
        <v>768</v>
      </c>
      <c r="AO1040" t="s">
        <v>41</v>
      </c>
    </row>
    <row r="1041" spans="1:41" x14ac:dyDescent="0.25">
      <c r="A1041">
        <v>42</v>
      </c>
      <c r="B1041" t="s">
        <v>32</v>
      </c>
      <c r="C1041" t="s">
        <v>33</v>
      </c>
      <c r="D1041">
        <v>2</v>
      </c>
      <c r="E1041" t="s">
        <v>61</v>
      </c>
      <c r="F1041">
        <v>2</v>
      </c>
      <c r="G1041">
        <v>1</v>
      </c>
      <c r="H1041" t="s">
        <v>35</v>
      </c>
      <c r="I1041">
        <v>1</v>
      </c>
      <c r="J1041" t="s">
        <v>57</v>
      </c>
      <c r="K1041">
        <v>2593</v>
      </c>
      <c r="L1041">
        <v>0</v>
      </c>
      <c r="M1041" t="s">
        <v>31</v>
      </c>
      <c r="N1041">
        <v>11</v>
      </c>
      <c r="O1041">
        <v>3</v>
      </c>
      <c r="P1041">
        <v>1</v>
      </c>
      <c r="Q1041">
        <v>10</v>
      </c>
      <c r="R1041">
        <v>4</v>
      </c>
      <c r="S1041">
        <v>9</v>
      </c>
      <c r="T1041">
        <v>7</v>
      </c>
      <c r="U1041">
        <v>8</v>
      </c>
      <c r="V1041" t="s">
        <v>72</v>
      </c>
      <c r="W1041" s="2">
        <v>41003</v>
      </c>
      <c r="Y1041" t="s">
        <v>69</v>
      </c>
      <c r="Z1041" t="s">
        <v>40</v>
      </c>
      <c r="AA1041">
        <v>4</v>
      </c>
      <c r="AB1041">
        <v>2</v>
      </c>
      <c r="AC1041" t="s">
        <v>41</v>
      </c>
      <c r="AD1041" t="s">
        <v>67</v>
      </c>
      <c r="AE1041" t="s">
        <v>43</v>
      </c>
      <c r="AF1041" s="3">
        <v>1802</v>
      </c>
      <c r="AG1041" s="3">
        <v>99</v>
      </c>
      <c r="AH1041">
        <v>80</v>
      </c>
      <c r="AI1041">
        <v>3</v>
      </c>
      <c r="AJ1041">
        <v>0</v>
      </c>
      <c r="AL1041">
        <v>0</v>
      </c>
      <c r="AM1041">
        <v>1</v>
      </c>
      <c r="AN1041" t="s">
        <v>768</v>
      </c>
      <c r="AO1041" t="s">
        <v>41</v>
      </c>
    </row>
    <row r="1042" spans="1:41" x14ac:dyDescent="0.25">
      <c r="A1042">
        <v>31</v>
      </c>
      <c r="B1042" t="s">
        <v>32</v>
      </c>
      <c r="C1042" t="s">
        <v>33</v>
      </c>
      <c r="D1042">
        <v>23</v>
      </c>
      <c r="E1042" t="s">
        <v>34</v>
      </c>
      <c r="F1042">
        <v>2</v>
      </c>
      <c r="G1042">
        <v>2</v>
      </c>
      <c r="H1042" t="s">
        <v>89</v>
      </c>
      <c r="I1042">
        <v>4</v>
      </c>
      <c r="J1042" t="s">
        <v>51</v>
      </c>
      <c r="K1042">
        <v>5582</v>
      </c>
      <c r="L1042">
        <v>0</v>
      </c>
      <c r="M1042" t="s">
        <v>41</v>
      </c>
      <c r="N1042">
        <v>21</v>
      </c>
      <c r="O1042">
        <v>4</v>
      </c>
      <c r="P1042">
        <v>1</v>
      </c>
      <c r="Q1042">
        <v>10</v>
      </c>
      <c r="R1042">
        <v>2</v>
      </c>
      <c r="S1042">
        <v>9</v>
      </c>
      <c r="T1042">
        <v>7</v>
      </c>
      <c r="U1042">
        <v>8</v>
      </c>
      <c r="V1042" t="s">
        <v>52</v>
      </c>
      <c r="W1042" s="1" t="s">
        <v>523</v>
      </c>
      <c r="Y1042" t="s">
        <v>46</v>
      </c>
      <c r="Z1042" t="s">
        <v>40</v>
      </c>
      <c r="AA1042">
        <v>4</v>
      </c>
      <c r="AB1042">
        <v>1</v>
      </c>
      <c r="AC1042" t="s">
        <v>41</v>
      </c>
      <c r="AD1042" t="s">
        <v>42</v>
      </c>
      <c r="AE1042" t="s">
        <v>60</v>
      </c>
      <c r="AF1042" s="3">
        <v>1617</v>
      </c>
      <c r="AG1042" s="3">
        <v>84</v>
      </c>
      <c r="AH1042">
        <v>80</v>
      </c>
      <c r="AI1042">
        <v>6</v>
      </c>
      <c r="AJ1042">
        <v>0</v>
      </c>
      <c r="AL1042">
        <v>0</v>
      </c>
      <c r="AM1042">
        <v>1</v>
      </c>
      <c r="AN1042" t="s">
        <v>768</v>
      </c>
      <c r="AO1042" t="s">
        <v>41</v>
      </c>
    </row>
    <row r="1043" spans="1:41" x14ac:dyDescent="0.25">
      <c r="A1043">
        <v>36</v>
      </c>
      <c r="B1043" t="s">
        <v>81</v>
      </c>
      <c r="C1043" t="s">
        <v>33</v>
      </c>
      <c r="D1043">
        <v>24</v>
      </c>
      <c r="E1043" t="s">
        <v>61</v>
      </c>
      <c r="F1043">
        <v>3</v>
      </c>
      <c r="G1043">
        <v>2</v>
      </c>
      <c r="H1043" t="s">
        <v>35</v>
      </c>
      <c r="I1043">
        <v>2</v>
      </c>
      <c r="J1043" t="s">
        <v>51</v>
      </c>
      <c r="K1043">
        <v>5674</v>
      </c>
      <c r="L1043">
        <v>7</v>
      </c>
      <c r="M1043" t="s">
        <v>41</v>
      </c>
      <c r="N1043">
        <v>15</v>
      </c>
      <c r="O1043">
        <v>3</v>
      </c>
      <c r="P1043">
        <v>1</v>
      </c>
      <c r="Q1043">
        <v>11</v>
      </c>
      <c r="R1043">
        <v>3</v>
      </c>
      <c r="S1043">
        <v>9</v>
      </c>
      <c r="T1043">
        <v>0</v>
      </c>
      <c r="U1043">
        <v>8</v>
      </c>
      <c r="V1043" t="s">
        <v>72</v>
      </c>
      <c r="W1043" s="1" t="s">
        <v>524</v>
      </c>
      <c r="Y1043" t="s">
        <v>46</v>
      </c>
      <c r="Z1043" t="s">
        <v>47</v>
      </c>
      <c r="AA1043">
        <v>5</v>
      </c>
      <c r="AB1043">
        <v>1</v>
      </c>
      <c r="AC1043" t="s">
        <v>31</v>
      </c>
      <c r="AD1043" t="s">
        <v>48</v>
      </c>
      <c r="AE1043" t="s">
        <v>43</v>
      </c>
      <c r="AF1043" s="3">
        <v>1576</v>
      </c>
      <c r="AG1043" s="3">
        <v>65</v>
      </c>
      <c r="AH1043">
        <v>80</v>
      </c>
      <c r="AI1043">
        <v>2</v>
      </c>
      <c r="AJ1043">
        <v>0</v>
      </c>
      <c r="AL1043">
        <v>0</v>
      </c>
      <c r="AM1043">
        <v>1</v>
      </c>
      <c r="AN1043" t="s">
        <v>768</v>
      </c>
      <c r="AO1043" t="s">
        <v>41</v>
      </c>
    </row>
    <row r="1044" spans="1:41" x14ac:dyDescent="0.25">
      <c r="A1044">
        <v>43</v>
      </c>
      <c r="B1044" t="s">
        <v>66</v>
      </c>
      <c r="C1044" t="s">
        <v>33</v>
      </c>
      <c r="D1044">
        <v>10</v>
      </c>
      <c r="E1044" t="s">
        <v>61</v>
      </c>
      <c r="F1044">
        <v>2</v>
      </c>
      <c r="G1044">
        <v>2</v>
      </c>
      <c r="H1044" t="s">
        <v>35</v>
      </c>
      <c r="I1044">
        <v>3</v>
      </c>
      <c r="J1044" t="s">
        <v>57</v>
      </c>
      <c r="K1044">
        <v>5257</v>
      </c>
      <c r="L1044">
        <v>1</v>
      </c>
      <c r="M1044" t="s">
        <v>41</v>
      </c>
      <c r="N1044">
        <v>11</v>
      </c>
      <c r="O1044">
        <v>3</v>
      </c>
      <c r="P1044">
        <v>1</v>
      </c>
      <c r="Q1044">
        <v>9</v>
      </c>
      <c r="R1044">
        <v>3</v>
      </c>
      <c r="S1044">
        <v>9</v>
      </c>
      <c r="T1044">
        <v>0</v>
      </c>
      <c r="U1044">
        <v>0</v>
      </c>
      <c r="V1044" t="s">
        <v>37</v>
      </c>
      <c r="W1044" s="1" t="s">
        <v>525</v>
      </c>
      <c r="Y1044" t="s">
        <v>63</v>
      </c>
      <c r="Z1044" t="s">
        <v>40</v>
      </c>
      <c r="AA1044">
        <v>3</v>
      </c>
      <c r="AB1044">
        <v>3</v>
      </c>
      <c r="AC1044" t="s">
        <v>41</v>
      </c>
      <c r="AD1044" t="s">
        <v>48</v>
      </c>
      <c r="AE1044" t="s">
        <v>60</v>
      </c>
      <c r="AF1044" s="3">
        <v>1447</v>
      </c>
      <c r="AG1044" s="3">
        <v>86</v>
      </c>
      <c r="AH1044">
        <v>80</v>
      </c>
      <c r="AI1044">
        <v>4</v>
      </c>
      <c r="AJ1044">
        <v>0</v>
      </c>
      <c r="AL1044">
        <v>0</v>
      </c>
      <c r="AM1044">
        <v>1</v>
      </c>
      <c r="AN1044" t="s">
        <v>768</v>
      </c>
      <c r="AO1044" t="s">
        <v>41</v>
      </c>
    </row>
    <row r="1045" spans="1:41" x14ac:dyDescent="0.25">
      <c r="A1045">
        <v>30</v>
      </c>
      <c r="B1045" t="s">
        <v>81</v>
      </c>
      <c r="C1045" t="s">
        <v>55</v>
      </c>
      <c r="D1045">
        <v>22</v>
      </c>
      <c r="E1045" t="s">
        <v>61</v>
      </c>
      <c r="F1045">
        <v>3</v>
      </c>
      <c r="G1045">
        <v>3</v>
      </c>
      <c r="H1045" t="s">
        <v>70</v>
      </c>
      <c r="I1045">
        <v>1</v>
      </c>
      <c r="J1045" t="s">
        <v>51</v>
      </c>
      <c r="K1045">
        <v>8412</v>
      </c>
      <c r="L1045">
        <v>0</v>
      </c>
      <c r="M1045" t="s">
        <v>41</v>
      </c>
      <c r="N1045">
        <v>11</v>
      </c>
      <c r="O1045">
        <v>3</v>
      </c>
      <c r="P1045">
        <v>0</v>
      </c>
      <c r="Q1045">
        <v>10</v>
      </c>
      <c r="R1045">
        <v>3</v>
      </c>
      <c r="S1045">
        <v>9</v>
      </c>
      <c r="T1045">
        <v>7</v>
      </c>
      <c r="U1045">
        <v>8</v>
      </c>
      <c r="V1045" t="s">
        <v>37</v>
      </c>
      <c r="W1045" s="1" t="s">
        <v>526</v>
      </c>
      <c r="Y1045" t="s">
        <v>69</v>
      </c>
      <c r="Z1045" t="s">
        <v>47</v>
      </c>
      <c r="AA1045">
        <v>4</v>
      </c>
      <c r="AB1045">
        <v>2</v>
      </c>
      <c r="AC1045" t="s">
        <v>31</v>
      </c>
      <c r="AD1045" t="s">
        <v>48</v>
      </c>
      <c r="AE1045" t="s">
        <v>49</v>
      </c>
      <c r="AF1045" s="3">
        <v>1555</v>
      </c>
      <c r="AG1045" s="3">
        <v>67</v>
      </c>
      <c r="AH1045">
        <v>80</v>
      </c>
      <c r="AI1045">
        <v>1</v>
      </c>
      <c r="AJ1045">
        <v>0</v>
      </c>
      <c r="AL1045">
        <v>0</v>
      </c>
      <c r="AM1045">
        <v>1</v>
      </c>
      <c r="AN1045" t="s">
        <v>768</v>
      </c>
      <c r="AO1045" t="s">
        <v>41</v>
      </c>
    </row>
    <row r="1046" spans="1:41" x14ac:dyDescent="0.25">
      <c r="A1046">
        <v>48</v>
      </c>
      <c r="B1046" t="s">
        <v>32</v>
      </c>
      <c r="C1046" t="s">
        <v>55</v>
      </c>
      <c r="D1046">
        <v>2</v>
      </c>
      <c r="E1046" t="s">
        <v>61</v>
      </c>
      <c r="F1046">
        <v>3</v>
      </c>
      <c r="G1046">
        <v>2</v>
      </c>
      <c r="H1046" t="s">
        <v>70</v>
      </c>
      <c r="I1046">
        <v>4</v>
      </c>
      <c r="J1046" t="s">
        <v>51</v>
      </c>
      <c r="K1046">
        <v>4051</v>
      </c>
      <c r="L1046">
        <v>2</v>
      </c>
      <c r="M1046" t="s">
        <v>41</v>
      </c>
      <c r="N1046">
        <v>14</v>
      </c>
      <c r="O1046">
        <v>3</v>
      </c>
      <c r="P1046">
        <v>1</v>
      </c>
      <c r="Q1046">
        <v>14</v>
      </c>
      <c r="R1046">
        <v>2</v>
      </c>
      <c r="S1046">
        <v>9</v>
      </c>
      <c r="T1046">
        <v>6</v>
      </c>
      <c r="U1046">
        <v>7</v>
      </c>
      <c r="V1046" t="s">
        <v>58</v>
      </c>
      <c r="W1046" s="1" t="s">
        <v>527</v>
      </c>
      <c r="Y1046" t="s">
        <v>46</v>
      </c>
      <c r="Z1046" t="s">
        <v>40</v>
      </c>
      <c r="AA1046">
        <v>2</v>
      </c>
      <c r="AB1046">
        <v>0</v>
      </c>
      <c r="AC1046" t="s">
        <v>31</v>
      </c>
      <c r="AD1046" t="s">
        <v>65</v>
      </c>
      <c r="AE1046" t="s">
        <v>49</v>
      </c>
      <c r="AF1046" s="3">
        <v>1782</v>
      </c>
      <c r="AG1046" s="3">
        <v>40</v>
      </c>
      <c r="AH1046">
        <v>80</v>
      </c>
      <c r="AI1046">
        <v>4</v>
      </c>
      <c r="AJ1046">
        <v>0</v>
      </c>
      <c r="AL1046">
        <v>0</v>
      </c>
      <c r="AM1046">
        <v>1</v>
      </c>
      <c r="AN1046" t="s">
        <v>768</v>
      </c>
      <c r="AO1046" t="s">
        <v>41</v>
      </c>
    </row>
    <row r="1047" spans="1:41" x14ac:dyDescent="0.25">
      <c r="A1047">
        <v>37</v>
      </c>
      <c r="B1047" t="s">
        <v>81</v>
      </c>
      <c r="C1047" t="s">
        <v>55</v>
      </c>
      <c r="D1047">
        <v>9</v>
      </c>
      <c r="E1047" t="s">
        <v>34</v>
      </c>
      <c r="F1047">
        <v>3</v>
      </c>
      <c r="G1047">
        <v>3</v>
      </c>
      <c r="H1047" t="s">
        <v>70</v>
      </c>
      <c r="I1047">
        <v>2</v>
      </c>
      <c r="J1047" t="s">
        <v>57</v>
      </c>
      <c r="K1047">
        <v>8834</v>
      </c>
      <c r="L1047">
        <v>1</v>
      </c>
      <c r="M1047" t="s">
        <v>41</v>
      </c>
      <c r="N1047">
        <v>13</v>
      </c>
      <c r="O1047">
        <v>3</v>
      </c>
      <c r="P1047">
        <v>1</v>
      </c>
      <c r="Q1047">
        <v>9</v>
      </c>
      <c r="R1047">
        <v>6</v>
      </c>
      <c r="S1047">
        <v>9</v>
      </c>
      <c r="T1047">
        <v>7</v>
      </c>
      <c r="U1047">
        <v>7</v>
      </c>
      <c r="V1047" t="s">
        <v>58</v>
      </c>
      <c r="W1047" s="1" t="s">
        <v>528</v>
      </c>
      <c r="Y1047" t="s">
        <v>39</v>
      </c>
      <c r="Z1047" t="s">
        <v>47</v>
      </c>
      <c r="AA1047">
        <v>3</v>
      </c>
      <c r="AB1047">
        <v>2</v>
      </c>
      <c r="AC1047" t="s">
        <v>41</v>
      </c>
      <c r="AD1047" t="s">
        <v>42</v>
      </c>
      <c r="AE1047" t="s">
        <v>60</v>
      </c>
      <c r="AF1047" s="3">
        <v>1687</v>
      </c>
      <c r="AG1047" s="3">
        <v>87</v>
      </c>
      <c r="AH1047">
        <v>80</v>
      </c>
      <c r="AI1047">
        <v>0</v>
      </c>
      <c r="AJ1047">
        <v>0</v>
      </c>
      <c r="AL1047">
        <v>0</v>
      </c>
      <c r="AM1047">
        <v>1</v>
      </c>
      <c r="AN1047" t="s">
        <v>768</v>
      </c>
      <c r="AO1047" t="s">
        <v>41</v>
      </c>
    </row>
    <row r="1048" spans="1:41" x14ac:dyDescent="0.25">
      <c r="A1048">
        <v>54</v>
      </c>
      <c r="B1048" t="s">
        <v>32</v>
      </c>
      <c r="C1048" t="s">
        <v>120</v>
      </c>
      <c r="D1048">
        <v>19</v>
      </c>
      <c r="E1048" t="s">
        <v>34</v>
      </c>
      <c r="F1048">
        <v>3</v>
      </c>
      <c r="G1048">
        <v>3</v>
      </c>
      <c r="H1048" t="s">
        <v>120</v>
      </c>
      <c r="I1048">
        <v>2</v>
      </c>
      <c r="J1048" t="s">
        <v>51</v>
      </c>
      <c r="K1048">
        <v>10725</v>
      </c>
      <c r="L1048">
        <v>2</v>
      </c>
      <c r="M1048" t="s">
        <v>41</v>
      </c>
      <c r="N1048">
        <v>15</v>
      </c>
      <c r="O1048">
        <v>3</v>
      </c>
      <c r="P1048">
        <v>1</v>
      </c>
      <c r="Q1048">
        <v>16</v>
      </c>
      <c r="R1048">
        <v>1</v>
      </c>
      <c r="S1048">
        <v>9</v>
      </c>
      <c r="T1048">
        <v>7</v>
      </c>
      <c r="U1048">
        <v>1</v>
      </c>
      <c r="V1048" t="s">
        <v>37</v>
      </c>
      <c r="W1048" s="2">
        <v>41091</v>
      </c>
      <c r="Y1048" t="s">
        <v>54</v>
      </c>
      <c r="Z1048" t="s">
        <v>40</v>
      </c>
      <c r="AA1048">
        <v>4</v>
      </c>
      <c r="AB1048">
        <v>0</v>
      </c>
      <c r="AC1048" t="s">
        <v>41</v>
      </c>
      <c r="AD1048" t="s">
        <v>65</v>
      </c>
      <c r="AE1048" t="s">
        <v>49</v>
      </c>
      <c r="AF1048" s="3">
        <v>1709</v>
      </c>
      <c r="AG1048" s="3">
        <v>43</v>
      </c>
      <c r="AH1048">
        <v>80</v>
      </c>
      <c r="AI1048">
        <v>3</v>
      </c>
      <c r="AJ1048">
        <v>0</v>
      </c>
      <c r="AL1048">
        <v>0</v>
      </c>
      <c r="AM1048">
        <v>1</v>
      </c>
      <c r="AN1048" t="s">
        <v>768</v>
      </c>
      <c r="AO1048" t="s">
        <v>41</v>
      </c>
    </row>
    <row r="1049" spans="1:41" x14ac:dyDescent="0.25">
      <c r="A1049">
        <v>38</v>
      </c>
      <c r="B1049" t="s">
        <v>32</v>
      </c>
      <c r="C1049" t="s">
        <v>33</v>
      </c>
      <c r="D1049">
        <v>1</v>
      </c>
      <c r="E1049" t="s">
        <v>61</v>
      </c>
      <c r="F1049">
        <v>4</v>
      </c>
      <c r="G1049">
        <v>2</v>
      </c>
      <c r="H1049" t="s">
        <v>89</v>
      </c>
      <c r="I1049">
        <v>4</v>
      </c>
      <c r="J1049" t="s">
        <v>36</v>
      </c>
      <c r="K1049">
        <v>7625</v>
      </c>
      <c r="L1049">
        <v>0</v>
      </c>
      <c r="M1049" t="s">
        <v>41</v>
      </c>
      <c r="N1049">
        <v>13</v>
      </c>
      <c r="O1049">
        <v>3</v>
      </c>
      <c r="P1049">
        <v>0</v>
      </c>
      <c r="Q1049">
        <v>10</v>
      </c>
      <c r="R1049">
        <v>4</v>
      </c>
      <c r="S1049">
        <v>9</v>
      </c>
      <c r="T1049">
        <v>1</v>
      </c>
      <c r="U1049">
        <v>8</v>
      </c>
      <c r="V1049" t="s">
        <v>72</v>
      </c>
      <c r="W1049" s="2">
        <v>40943</v>
      </c>
      <c r="Y1049" t="s">
        <v>63</v>
      </c>
      <c r="Z1049" t="s">
        <v>40</v>
      </c>
      <c r="AA1049">
        <v>3</v>
      </c>
      <c r="AB1049">
        <v>3</v>
      </c>
      <c r="AC1049" t="s">
        <v>41</v>
      </c>
      <c r="AD1049" t="s">
        <v>67</v>
      </c>
      <c r="AE1049" t="s">
        <v>43</v>
      </c>
      <c r="AF1049" s="3">
        <v>1830</v>
      </c>
      <c r="AG1049" s="3">
        <v>68</v>
      </c>
      <c r="AH1049">
        <v>80</v>
      </c>
      <c r="AI1049">
        <v>1</v>
      </c>
      <c r="AJ1049">
        <v>0</v>
      </c>
      <c r="AL1049">
        <v>0</v>
      </c>
      <c r="AM1049">
        <v>1</v>
      </c>
      <c r="AN1049" t="s">
        <v>768</v>
      </c>
      <c r="AO1049" t="s">
        <v>41</v>
      </c>
    </row>
    <row r="1050" spans="1:41" x14ac:dyDescent="0.25">
      <c r="A1050">
        <v>27</v>
      </c>
      <c r="B1050" t="s">
        <v>32</v>
      </c>
      <c r="C1050" t="s">
        <v>33</v>
      </c>
      <c r="D1050">
        <v>1</v>
      </c>
      <c r="E1050" t="s">
        <v>61</v>
      </c>
      <c r="F1050">
        <v>3</v>
      </c>
      <c r="G1050">
        <v>3</v>
      </c>
      <c r="H1050" t="s">
        <v>78</v>
      </c>
      <c r="I1050">
        <v>1</v>
      </c>
      <c r="J1050" t="s">
        <v>51</v>
      </c>
      <c r="K1050">
        <v>7412</v>
      </c>
      <c r="L1050">
        <v>1</v>
      </c>
      <c r="M1050" t="s">
        <v>41</v>
      </c>
      <c r="N1050">
        <v>11</v>
      </c>
      <c r="O1050">
        <v>3</v>
      </c>
      <c r="P1050">
        <v>0</v>
      </c>
      <c r="Q1050">
        <v>9</v>
      </c>
      <c r="R1050">
        <v>3</v>
      </c>
      <c r="S1050">
        <v>9</v>
      </c>
      <c r="T1050">
        <v>0</v>
      </c>
      <c r="U1050">
        <v>7</v>
      </c>
      <c r="V1050" t="s">
        <v>52</v>
      </c>
      <c r="W1050" s="1" t="s">
        <v>529</v>
      </c>
      <c r="Y1050" t="s">
        <v>63</v>
      </c>
      <c r="Z1050" t="s">
        <v>40</v>
      </c>
      <c r="AA1050">
        <v>2</v>
      </c>
      <c r="AB1050">
        <v>2</v>
      </c>
      <c r="AC1050" t="s">
        <v>31</v>
      </c>
      <c r="AD1050" t="s">
        <v>48</v>
      </c>
      <c r="AE1050" t="s">
        <v>43</v>
      </c>
      <c r="AF1050" s="3">
        <v>1628</v>
      </c>
      <c r="AG1050" s="3">
        <v>80</v>
      </c>
      <c r="AH1050">
        <v>80</v>
      </c>
      <c r="AI1050">
        <v>15</v>
      </c>
      <c r="AJ1050">
        <v>0</v>
      </c>
      <c r="AL1050">
        <v>0</v>
      </c>
      <c r="AM1050">
        <v>1</v>
      </c>
      <c r="AN1050" t="s">
        <v>768</v>
      </c>
      <c r="AO1050" t="s">
        <v>41</v>
      </c>
    </row>
    <row r="1051" spans="1:41" x14ac:dyDescent="0.25">
      <c r="A1051">
        <v>27</v>
      </c>
      <c r="B1051" t="s">
        <v>66</v>
      </c>
      <c r="C1051" t="s">
        <v>33</v>
      </c>
      <c r="D1051">
        <v>10</v>
      </c>
      <c r="E1051" t="s">
        <v>34</v>
      </c>
      <c r="F1051">
        <v>3</v>
      </c>
      <c r="G1051">
        <v>3</v>
      </c>
      <c r="H1051" t="s">
        <v>78</v>
      </c>
      <c r="I1051">
        <v>1</v>
      </c>
      <c r="J1051" t="s">
        <v>57</v>
      </c>
      <c r="K1051">
        <v>8793</v>
      </c>
      <c r="L1051">
        <v>1</v>
      </c>
      <c r="M1051" t="s">
        <v>41</v>
      </c>
      <c r="N1051">
        <v>21</v>
      </c>
      <c r="O1051">
        <v>4</v>
      </c>
      <c r="P1051">
        <v>2</v>
      </c>
      <c r="Q1051">
        <v>9</v>
      </c>
      <c r="R1051">
        <v>4</v>
      </c>
      <c r="S1051">
        <v>9</v>
      </c>
      <c r="T1051">
        <v>1</v>
      </c>
      <c r="U1051">
        <v>7</v>
      </c>
      <c r="V1051" t="s">
        <v>58</v>
      </c>
      <c r="W1051" s="2">
        <v>41214</v>
      </c>
      <c r="Y1051" t="s">
        <v>54</v>
      </c>
      <c r="Z1051" t="s">
        <v>40</v>
      </c>
      <c r="AA1051">
        <v>1</v>
      </c>
      <c r="AB1051">
        <v>3</v>
      </c>
      <c r="AC1051" t="s">
        <v>41</v>
      </c>
      <c r="AD1051" t="s">
        <v>48</v>
      </c>
      <c r="AE1051" t="s">
        <v>43</v>
      </c>
      <c r="AF1051" s="3">
        <v>1655</v>
      </c>
      <c r="AG1051" s="3">
        <v>72</v>
      </c>
      <c r="AH1051">
        <v>80</v>
      </c>
      <c r="AI1051">
        <v>2</v>
      </c>
      <c r="AJ1051">
        <v>0</v>
      </c>
      <c r="AL1051">
        <v>0</v>
      </c>
      <c r="AM1051">
        <v>1</v>
      </c>
      <c r="AN1051" t="s">
        <v>768</v>
      </c>
      <c r="AO1051" t="s">
        <v>41</v>
      </c>
    </row>
    <row r="1052" spans="1:41" x14ac:dyDescent="0.25">
      <c r="A1052">
        <v>36</v>
      </c>
      <c r="B1052" t="s">
        <v>32</v>
      </c>
      <c r="C1052" t="s">
        <v>33</v>
      </c>
      <c r="D1052">
        <v>1</v>
      </c>
      <c r="E1052" t="s">
        <v>61</v>
      </c>
      <c r="F1052">
        <v>3</v>
      </c>
      <c r="G1052">
        <v>2</v>
      </c>
      <c r="H1052" t="s">
        <v>78</v>
      </c>
      <c r="I1052">
        <v>2</v>
      </c>
      <c r="J1052" t="s">
        <v>51</v>
      </c>
      <c r="K1052">
        <v>5228</v>
      </c>
      <c r="L1052">
        <v>0</v>
      </c>
      <c r="M1052" t="s">
        <v>41</v>
      </c>
      <c r="N1052">
        <v>15</v>
      </c>
      <c r="O1052">
        <v>3</v>
      </c>
      <c r="P1052">
        <v>1</v>
      </c>
      <c r="Q1052">
        <v>10</v>
      </c>
      <c r="R1052">
        <v>2</v>
      </c>
      <c r="S1052">
        <v>9</v>
      </c>
      <c r="T1052">
        <v>0</v>
      </c>
      <c r="U1052">
        <v>5</v>
      </c>
      <c r="V1052" t="s">
        <v>52</v>
      </c>
      <c r="W1052" s="1" t="s">
        <v>530</v>
      </c>
      <c r="Y1052" t="s">
        <v>54</v>
      </c>
      <c r="Z1052" t="s">
        <v>47</v>
      </c>
      <c r="AA1052">
        <v>0</v>
      </c>
      <c r="AB1052">
        <v>0</v>
      </c>
      <c r="AC1052" t="s">
        <v>31</v>
      </c>
      <c r="AD1052" t="s">
        <v>65</v>
      </c>
      <c r="AE1052" t="s">
        <v>43</v>
      </c>
      <c r="AF1052" s="3">
        <v>1969</v>
      </c>
      <c r="AG1052" s="3">
        <v>67</v>
      </c>
      <c r="AH1052">
        <v>80</v>
      </c>
      <c r="AI1052">
        <v>3</v>
      </c>
      <c r="AJ1052">
        <v>0</v>
      </c>
      <c r="AL1052">
        <v>0</v>
      </c>
      <c r="AM1052">
        <v>1</v>
      </c>
      <c r="AN1052" t="s">
        <v>768</v>
      </c>
      <c r="AO1052" t="s">
        <v>41</v>
      </c>
    </row>
    <row r="1053" spans="1:41" x14ac:dyDescent="0.25">
      <c r="A1053">
        <v>42</v>
      </c>
      <c r="B1053" t="s">
        <v>32</v>
      </c>
      <c r="C1053" t="s">
        <v>33</v>
      </c>
      <c r="D1053">
        <v>29</v>
      </c>
      <c r="E1053" t="s">
        <v>34</v>
      </c>
      <c r="F1053">
        <v>3</v>
      </c>
      <c r="G1053">
        <v>2</v>
      </c>
      <c r="H1053" t="s">
        <v>78</v>
      </c>
      <c r="I1053">
        <v>2</v>
      </c>
      <c r="J1053" t="s">
        <v>51</v>
      </c>
      <c r="K1053">
        <v>4434</v>
      </c>
      <c r="L1053">
        <v>1</v>
      </c>
      <c r="M1053" t="s">
        <v>41</v>
      </c>
      <c r="N1053">
        <v>13</v>
      </c>
      <c r="O1053">
        <v>3</v>
      </c>
      <c r="P1053">
        <v>1</v>
      </c>
      <c r="Q1053">
        <v>10</v>
      </c>
      <c r="R1053">
        <v>3</v>
      </c>
      <c r="S1053">
        <v>9</v>
      </c>
      <c r="T1053">
        <v>7</v>
      </c>
      <c r="U1053">
        <v>8</v>
      </c>
      <c r="V1053" t="s">
        <v>37</v>
      </c>
      <c r="W1053" s="1" t="s">
        <v>531</v>
      </c>
      <c r="Y1053" t="s">
        <v>69</v>
      </c>
      <c r="Z1053" t="s">
        <v>47</v>
      </c>
      <c r="AA1053">
        <v>4</v>
      </c>
      <c r="AB1053">
        <v>3</v>
      </c>
      <c r="AC1053" t="s">
        <v>31</v>
      </c>
      <c r="AD1053" t="s">
        <v>48</v>
      </c>
      <c r="AE1053" t="s">
        <v>60</v>
      </c>
      <c r="AF1053" s="3">
        <v>1443</v>
      </c>
      <c r="AG1053" s="3">
        <v>82</v>
      </c>
      <c r="AH1053">
        <v>80</v>
      </c>
      <c r="AI1053">
        <v>17</v>
      </c>
      <c r="AJ1053">
        <v>0</v>
      </c>
      <c r="AL1053">
        <v>0</v>
      </c>
      <c r="AM1053">
        <v>1</v>
      </c>
      <c r="AN1053" t="s">
        <v>768</v>
      </c>
      <c r="AO1053" t="s">
        <v>41</v>
      </c>
    </row>
    <row r="1054" spans="1:41" x14ac:dyDescent="0.25">
      <c r="A1054">
        <v>49</v>
      </c>
      <c r="B1054" t="s">
        <v>32</v>
      </c>
      <c r="C1054" t="s">
        <v>55</v>
      </c>
      <c r="D1054">
        <v>11</v>
      </c>
      <c r="E1054" t="s">
        <v>61</v>
      </c>
      <c r="F1054">
        <v>3</v>
      </c>
      <c r="G1054">
        <v>3</v>
      </c>
      <c r="H1054" t="s">
        <v>70</v>
      </c>
      <c r="I1054">
        <v>4</v>
      </c>
      <c r="J1054" t="s">
        <v>51</v>
      </c>
      <c r="K1054">
        <v>7654</v>
      </c>
      <c r="L1054">
        <v>1</v>
      </c>
      <c r="M1054" t="s">
        <v>41</v>
      </c>
      <c r="N1054">
        <v>18</v>
      </c>
      <c r="O1054">
        <v>3</v>
      </c>
      <c r="P1054">
        <v>2</v>
      </c>
      <c r="Q1054">
        <v>9</v>
      </c>
      <c r="R1054">
        <v>3</v>
      </c>
      <c r="S1054">
        <v>9</v>
      </c>
      <c r="T1054">
        <v>7</v>
      </c>
      <c r="U1054">
        <v>7</v>
      </c>
      <c r="V1054" t="s">
        <v>72</v>
      </c>
      <c r="W1054" s="1" t="s">
        <v>528</v>
      </c>
      <c r="Y1054" t="s">
        <v>46</v>
      </c>
      <c r="Z1054" t="s">
        <v>40</v>
      </c>
      <c r="AA1054">
        <v>4</v>
      </c>
      <c r="AB1054">
        <v>0</v>
      </c>
      <c r="AC1054" t="s">
        <v>31</v>
      </c>
      <c r="AD1054" t="s">
        <v>42</v>
      </c>
      <c r="AE1054" t="s">
        <v>43</v>
      </c>
      <c r="AF1054" s="3">
        <v>1888</v>
      </c>
      <c r="AG1054" s="3">
        <v>93</v>
      </c>
      <c r="AH1054">
        <v>80</v>
      </c>
      <c r="AI1054">
        <v>8</v>
      </c>
      <c r="AJ1054">
        <v>0</v>
      </c>
      <c r="AL1054">
        <v>0</v>
      </c>
      <c r="AM1054">
        <v>1</v>
      </c>
      <c r="AN1054" t="s">
        <v>768</v>
      </c>
      <c r="AO1054" t="s">
        <v>41</v>
      </c>
    </row>
    <row r="1055" spans="1:41" x14ac:dyDescent="0.25">
      <c r="A1055">
        <v>55</v>
      </c>
      <c r="B1055" t="s">
        <v>32</v>
      </c>
      <c r="C1055" t="s">
        <v>55</v>
      </c>
      <c r="D1055">
        <v>2</v>
      </c>
      <c r="E1055" t="s">
        <v>34</v>
      </c>
      <c r="F1055">
        <v>3</v>
      </c>
      <c r="G1055">
        <v>2</v>
      </c>
      <c r="H1055" t="s">
        <v>70</v>
      </c>
      <c r="I1055">
        <v>4</v>
      </c>
      <c r="J1055" t="s">
        <v>36</v>
      </c>
      <c r="K1055">
        <v>5160</v>
      </c>
      <c r="L1055">
        <v>4</v>
      </c>
      <c r="M1055" t="s">
        <v>41</v>
      </c>
      <c r="N1055">
        <v>16</v>
      </c>
      <c r="O1055">
        <v>3</v>
      </c>
      <c r="P1055">
        <v>0</v>
      </c>
      <c r="Q1055">
        <v>12</v>
      </c>
      <c r="R1055">
        <v>3</v>
      </c>
      <c r="S1055">
        <v>9</v>
      </c>
      <c r="T1055">
        <v>7</v>
      </c>
      <c r="U1055">
        <v>3</v>
      </c>
      <c r="V1055" t="s">
        <v>52</v>
      </c>
      <c r="W1055" s="1" t="s">
        <v>532</v>
      </c>
      <c r="Y1055" t="s">
        <v>46</v>
      </c>
      <c r="Z1055" t="s">
        <v>47</v>
      </c>
      <c r="AA1055">
        <v>0</v>
      </c>
      <c r="AB1055">
        <v>2</v>
      </c>
      <c r="AC1055" t="s">
        <v>41</v>
      </c>
      <c r="AD1055" t="s">
        <v>42</v>
      </c>
      <c r="AE1055" t="s">
        <v>49</v>
      </c>
      <c r="AF1055" s="3">
        <v>1651</v>
      </c>
      <c r="AG1055" s="3">
        <v>42</v>
      </c>
      <c r="AH1055">
        <v>80</v>
      </c>
      <c r="AI1055">
        <v>2</v>
      </c>
      <c r="AJ1055">
        <v>0</v>
      </c>
      <c r="AL1055">
        <v>0</v>
      </c>
      <c r="AM1055">
        <v>1</v>
      </c>
      <c r="AN1055" t="s">
        <v>768</v>
      </c>
      <c r="AO1055" t="s">
        <v>41</v>
      </c>
    </row>
    <row r="1056" spans="1:41" x14ac:dyDescent="0.25">
      <c r="A1056">
        <v>27</v>
      </c>
      <c r="B1056" t="s">
        <v>32</v>
      </c>
      <c r="C1056" t="s">
        <v>33</v>
      </c>
      <c r="D1056">
        <v>5</v>
      </c>
      <c r="E1056" t="s">
        <v>34</v>
      </c>
      <c r="F1056">
        <v>2</v>
      </c>
      <c r="G1056">
        <v>3</v>
      </c>
      <c r="H1056" t="s">
        <v>50</v>
      </c>
      <c r="I1056">
        <v>4</v>
      </c>
      <c r="J1056" t="s">
        <v>57</v>
      </c>
      <c r="K1056">
        <v>12808</v>
      </c>
      <c r="L1056">
        <v>1</v>
      </c>
      <c r="M1056" t="s">
        <v>31</v>
      </c>
      <c r="N1056">
        <v>16</v>
      </c>
      <c r="O1056">
        <v>3</v>
      </c>
      <c r="P1056">
        <v>1</v>
      </c>
      <c r="Q1056">
        <v>9</v>
      </c>
      <c r="R1056">
        <v>3</v>
      </c>
      <c r="S1056">
        <v>9</v>
      </c>
      <c r="T1056">
        <v>0</v>
      </c>
      <c r="U1056">
        <v>8</v>
      </c>
      <c r="V1056" t="s">
        <v>72</v>
      </c>
      <c r="W1056" s="1" t="s">
        <v>533</v>
      </c>
      <c r="Y1056" t="s">
        <v>46</v>
      </c>
      <c r="Z1056" t="s">
        <v>47</v>
      </c>
      <c r="AA1056">
        <v>4</v>
      </c>
      <c r="AB1056">
        <v>0</v>
      </c>
      <c r="AC1056" t="s">
        <v>31</v>
      </c>
      <c r="AD1056" t="s">
        <v>67</v>
      </c>
      <c r="AE1056" t="s">
        <v>60</v>
      </c>
      <c r="AF1056" s="3">
        <v>1607</v>
      </c>
      <c r="AG1056" s="3">
        <v>35</v>
      </c>
      <c r="AH1056">
        <v>80</v>
      </c>
      <c r="AI1056">
        <v>2</v>
      </c>
      <c r="AJ1056">
        <v>0</v>
      </c>
      <c r="AL1056">
        <v>0</v>
      </c>
      <c r="AM1056">
        <v>1</v>
      </c>
      <c r="AN1056" t="s">
        <v>768</v>
      </c>
      <c r="AO1056" t="s">
        <v>41</v>
      </c>
    </row>
    <row r="1057" spans="1:41" x14ac:dyDescent="0.25">
      <c r="A1057">
        <v>33</v>
      </c>
      <c r="B1057" t="s">
        <v>32</v>
      </c>
      <c r="C1057" t="s">
        <v>55</v>
      </c>
      <c r="D1057">
        <v>1</v>
      </c>
      <c r="E1057" t="s">
        <v>34</v>
      </c>
      <c r="F1057">
        <v>4</v>
      </c>
      <c r="G1057">
        <v>2</v>
      </c>
      <c r="H1057" t="s">
        <v>70</v>
      </c>
      <c r="I1057">
        <v>1</v>
      </c>
      <c r="J1057" t="s">
        <v>57</v>
      </c>
      <c r="K1057">
        <v>4037</v>
      </c>
      <c r="L1057">
        <v>1</v>
      </c>
      <c r="M1057" t="s">
        <v>41</v>
      </c>
      <c r="N1057">
        <v>22</v>
      </c>
      <c r="O1057">
        <v>4</v>
      </c>
      <c r="P1057">
        <v>1</v>
      </c>
      <c r="Q1057">
        <v>9</v>
      </c>
      <c r="R1057">
        <v>5</v>
      </c>
      <c r="S1057">
        <v>9</v>
      </c>
      <c r="T1057">
        <v>0</v>
      </c>
      <c r="U1057">
        <v>8</v>
      </c>
      <c r="V1057" t="s">
        <v>58</v>
      </c>
      <c r="W1057" s="2">
        <v>40969</v>
      </c>
      <c r="Y1057" t="s">
        <v>63</v>
      </c>
      <c r="Z1057" t="s">
        <v>40</v>
      </c>
      <c r="AA1057">
        <v>2</v>
      </c>
      <c r="AB1057">
        <v>3</v>
      </c>
      <c r="AC1057" t="s">
        <v>31</v>
      </c>
      <c r="AD1057" t="s">
        <v>67</v>
      </c>
      <c r="AE1057" t="s">
        <v>60</v>
      </c>
      <c r="AF1057" s="3">
        <v>2051</v>
      </c>
      <c r="AG1057" s="3">
        <v>98</v>
      </c>
      <c r="AH1057">
        <v>80</v>
      </c>
      <c r="AI1057">
        <v>3</v>
      </c>
      <c r="AJ1057">
        <v>0</v>
      </c>
      <c r="AL1057">
        <v>0</v>
      </c>
      <c r="AM1057">
        <v>1</v>
      </c>
      <c r="AN1057" t="s">
        <v>768</v>
      </c>
      <c r="AO1057" t="s">
        <v>41</v>
      </c>
    </row>
    <row r="1058" spans="1:41" x14ac:dyDescent="0.25">
      <c r="A1058">
        <v>52</v>
      </c>
      <c r="B1058" t="s">
        <v>66</v>
      </c>
      <c r="C1058" t="s">
        <v>33</v>
      </c>
      <c r="D1058">
        <v>25</v>
      </c>
      <c r="E1058" t="s">
        <v>61</v>
      </c>
      <c r="F1058">
        <v>2</v>
      </c>
      <c r="G1058">
        <v>4</v>
      </c>
      <c r="H1058" t="s">
        <v>78</v>
      </c>
      <c r="I1058">
        <v>4</v>
      </c>
      <c r="J1058" t="s">
        <v>51</v>
      </c>
      <c r="K1058">
        <v>13826</v>
      </c>
      <c r="L1058">
        <v>3</v>
      </c>
      <c r="M1058" t="s">
        <v>41</v>
      </c>
      <c r="N1058">
        <v>22</v>
      </c>
      <c r="O1058">
        <v>4</v>
      </c>
      <c r="P1058">
        <v>0</v>
      </c>
      <c r="Q1058">
        <v>31</v>
      </c>
      <c r="R1058">
        <v>3</v>
      </c>
      <c r="S1058">
        <v>9</v>
      </c>
      <c r="T1058">
        <v>0</v>
      </c>
      <c r="U1058">
        <v>0</v>
      </c>
      <c r="V1058" t="s">
        <v>58</v>
      </c>
      <c r="W1058" s="1" t="s">
        <v>534</v>
      </c>
      <c r="Y1058" t="s">
        <v>63</v>
      </c>
      <c r="Z1058" t="s">
        <v>40</v>
      </c>
      <c r="AA1058">
        <v>2</v>
      </c>
      <c r="AB1058">
        <v>3</v>
      </c>
      <c r="AC1058" t="s">
        <v>41</v>
      </c>
      <c r="AD1058" t="s">
        <v>42</v>
      </c>
      <c r="AE1058" t="s">
        <v>60</v>
      </c>
      <c r="AF1058" s="3">
        <v>1430</v>
      </c>
      <c r="AG1058" s="3">
        <v>93</v>
      </c>
      <c r="AH1058">
        <v>80</v>
      </c>
      <c r="AI1058">
        <v>2</v>
      </c>
      <c r="AJ1058">
        <v>0</v>
      </c>
      <c r="AL1058">
        <v>0</v>
      </c>
      <c r="AM1058">
        <v>1</v>
      </c>
      <c r="AN1058" t="s">
        <v>768</v>
      </c>
      <c r="AO1058" t="s">
        <v>41</v>
      </c>
    </row>
    <row r="1059" spans="1:41" x14ac:dyDescent="0.25">
      <c r="A1059">
        <v>31</v>
      </c>
      <c r="B1059" t="s">
        <v>81</v>
      </c>
      <c r="C1059" t="s">
        <v>55</v>
      </c>
      <c r="D1059">
        <v>20</v>
      </c>
      <c r="E1059" t="s">
        <v>61</v>
      </c>
      <c r="F1059">
        <v>3</v>
      </c>
      <c r="G1059">
        <v>2</v>
      </c>
      <c r="H1059" t="s">
        <v>70</v>
      </c>
      <c r="I1059">
        <v>3</v>
      </c>
      <c r="J1059" t="s">
        <v>51</v>
      </c>
      <c r="K1059">
        <v>6932</v>
      </c>
      <c r="L1059">
        <v>1</v>
      </c>
      <c r="M1059" t="s">
        <v>41</v>
      </c>
      <c r="N1059">
        <v>13</v>
      </c>
      <c r="O1059">
        <v>3</v>
      </c>
      <c r="P1059">
        <v>1</v>
      </c>
      <c r="Q1059">
        <v>9</v>
      </c>
      <c r="R1059">
        <v>2</v>
      </c>
      <c r="S1059">
        <v>9</v>
      </c>
      <c r="T1059">
        <v>0</v>
      </c>
      <c r="U1059">
        <v>0</v>
      </c>
      <c r="V1059" t="s">
        <v>58</v>
      </c>
      <c r="W1059" s="2">
        <v>41062</v>
      </c>
      <c r="Y1059" t="s">
        <v>54</v>
      </c>
      <c r="Z1059" t="s">
        <v>47</v>
      </c>
      <c r="AA1059">
        <v>3</v>
      </c>
      <c r="AB1059">
        <v>1</v>
      </c>
      <c r="AC1059" t="s">
        <v>31</v>
      </c>
      <c r="AD1059" t="s">
        <v>65</v>
      </c>
      <c r="AE1059" t="s">
        <v>43</v>
      </c>
      <c r="AF1059" s="3">
        <v>1411</v>
      </c>
      <c r="AG1059" s="3">
        <v>94</v>
      </c>
      <c r="AH1059">
        <v>80</v>
      </c>
      <c r="AI1059">
        <v>2</v>
      </c>
      <c r="AJ1059">
        <v>0</v>
      </c>
      <c r="AL1059">
        <v>0</v>
      </c>
      <c r="AM1059">
        <v>1</v>
      </c>
      <c r="AN1059" t="s">
        <v>768</v>
      </c>
      <c r="AO1059" t="s">
        <v>41</v>
      </c>
    </row>
    <row r="1060" spans="1:41" x14ac:dyDescent="0.25">
      <c r="A1060">
        <v>31</v>
      </c>
      <c r="B1060" t="s">
        <v>32</v>
      </c>
      <c r="C1060" t="s">
        <v>33</v>
      </c>
      <c r="D1060">
        <v>12</v>
      </c>
      <c r="E1060" t="s">
        <v>61</v>
      </c>
      <c r="F1060">
        <v>3</v>
      </c>
      <c r="G1060">
        <v>2</v>
      </c>
      <c r="H1060" t="s">
        <v>89</v>
      </c>
      <c r="I1060">
        <v>4</v>
      </c>
      <c r="J1060" t="s">
        <v>51</v>
      </c>
      <c r="K1060">
        <v>5855</v>
      </c>
      <c r="L1060">
        <v>0</v>
      </c>
      <c r="M1060" t="s">
        <v>31</v>
      </c>
      <c r="N1060">
        <v>11</v>
      </c>
      <c r="O1060">
        <v>3</v>
      </c>
      <c r="P1060">
        <v>2</v>
      </c>
      <c r="Q1060">
        <v>10</v>
      </c>
      <c r="R1060">
        <v>2</v>
      </c>
      <c r="S1060">
        <v>9</v>
      </c>
      <c r="T1060">
        <v>8</v>
      </c>
      <c r="U1060">
        <v>5</v>
      </c>
      <c r="V1060" t="s">
        <v>37</v>
      </c>
      <c r="W1060" s="2">
        <v>41247</v>
      </c>
      <c r="Y1060" t="s">
        <v>54</v>
      </c>
      <c r="Z1060" t="s">
        <v>47</v>
      </c>
      <c r="AA1060">
        <v>3</v>
      </c>
      <c r="AB1060">
        <v>1</v>
      </c>
      <c r="AC1060" t="s">
        <v>31</v>
      </c>
      <c r="AD1060" t="s">
        <v>42</v>
      </c>
      <c r="AE1060" t="s">
        <v>49</v>
      </c>
      <c r="AF1060" s="3">
        <v>1816</v>
      </c>
      <c r="AG1060" s="3">
        <v>64</v>
      </c>
      <c r="AH1060">
        <v>80</v>
      </c>
      <c r="AI1060">
        <v>7</v>
      </c>
      <c r="AJ1060">
        <v>0</v>
      </c>
      <c r="AL1060">
        <v>0</v>
      </c>
      <c r="AM1060">
        <v>1</v>
      </c>
      <c r="AN1060" t="s">
        <v>768</v>
      </c>
      <c r="AO1060" t="s">
        <v>41</v>
      </c>
    </row>
    <row r="1061" spans="1:41" x14ac:dyDescent="0.25">
      <c r="A1061">
        <v>45</v>
      </c>
      <c r="B1061" t="s">
        <v>81</v>
      </c>
      <c r="C1061" t="s">
        <v>33</v>
      </c>
      <c r="D1061">
        <v>4</v>
      </c>
      <c r="E1061" t="s">
        <v>34</v>
      </c>
      <c r="F1061">
        <v>3</v>
      </c>
      <c r="G1061">
        <v>2</v>
      </c>
      <c r="H1061" t="s">
        <v>35</v>
      </c>
      <c r="I1061">
        <v>2</v>
      </c>
      <c r="J1061" t="s">
        <v>51</v>
      </c>
      <c r="K1061">
        <v>4447</v>
      </c>
      <c r="L1061">
        <v>1</v>
      </c>
      <c r="M1061" t="s">
        <v>41</v>
      </c>
      <c r="N1061">
        <v>12</v>
      </c>
      <c r="O1061">
        <v>3</v>
      </c>
      <c r="P1061">
        <v>0</v>
      </c>
      <c r="Q1061">
        <v>9</v>
      </c>
      <c r="R1061">
        <v>5</v>
      </c>
      <c r="S1061">
        <v>9</v>
      </c>
      <c r="T1061">
        <v>0</v>
      </c>
      <c r="U1061">
        <v>8</v>
      </c>
      <c r="V1061" t="s">
        <v>37</v>
      </c>
      <c r="W1061" s="1" t="s">
        <v>519</v>
      </c>
      <c r="Y1061" t="s">
        <v>39</v>
      </c>
      <c r="Z1061" t="s">
        <v>40</v>
      </c>
      <c r="AA1061">
        <v>2</v>
      </c>
      <c r="AB1061">
        <v>2</v>
      </c>
      <c r="AC1061" t="s">
        <v>31</v>
      </c>
      <c r="AD1061" t="s">
        <v>65</v>
      </c>
      <c r="AE1061" t="s">
        <v>60</v>
      </c>
      <c r="AF1061" s="3">
        <v>1525</v>
      </c>
      <c r="AG1061" s="3">
        <v>32</v>
      </c>
      <c r="AH1061">
        <v>80</v>
      </c>
      <c r="AI1061">
        <v>0</v>
      </c>
      <c r="AJ1061">
        <v>0</v>
      </c>
      <c r="AL1061">
        <v>0</v>
      </c>
      <c r="AM1061">
        <v>1</v>
      </c>
      <c r="AN1061" t="s">
        <v>768</v>
      </c>
      <c r="AO1061" t="s">
        <v>41</v>
      </c>
    </row>
    <row r="1062" spans="1:41" x14ac:dyDescent="0.25">
      <c r="A1062">
        <v>52</v>
      </c>
      <c r="B1062" t="s">
        <v>32</v>
      </c>
      <c r="C1062" t="s">
        <v>33</v>
      </c>
      <c r="D1062">
        <v>1</v>
      </c>
      <c r="E1062" t="s">
        <v>34</v>
      </c>
      <c r="F1062">
        <v>3</v>
      </c>
      <c r="G1062">
        <v>4</v>
      </c>
      <c r="H1062" t="s">
        <v>75</v>
      </c>
      <c r="I1062">
        <v>4</v>
      </c>
      <c r="J1062" t="s">
        <v>51</v>
      </c>
      <c r="K1062">
        <v>17099</v>
      </c>
      <c r="L1062">
        <v>2</v>
      </c>
      <c r="M1062" t="s">
        <v>41</v>
      </c>
      <c r="N1062">
        <v>15</v>
      </c>
      <c r="O1062">
        <v>3</v>
      </c>
      <c r="P1062">
        <v>1</v>
      </c>
      <c r="Q1062">
        <v>26</v>
      </c>
      <c r="R1062">
        <v>2</v>
      </c>
      <c r="S1062">
        <v>9</v>
      </c>
      <c r="T1062">
        <v>7</v>
      </c>
      <c r="U1062">
        <v>8</v>
      </c>
      <c r="V1062" t="s">
        <v>58</v>
      </c>
      <c r="W1062" s="2">
        <v>40945</v>
      </c>
      <c r="Y1062" t="s">
        <v>39</v>
      </c>
      <c r="Z1062" t="s">
        <v>40</v>
      </c>
      <c r="AA1062">
        <v>0</v>
      </c>
      <c r="AB1062">
        <v>1</v>
      </c>
      <c r="AC1062" t="s">
        <v>41</v>
      </c>
      <c r="AD1062" t="s">
        <v>67</v>
      </c>
      <c r="AE1062" t="s">
        <v>49</v>
      </c>
      <c r="AF1062" s="3">
        <v>1856</v>
      </c>
      <c r="AG1062" s="3">
        <v>64</v>
      </c>
      <c r="AH1062">
        <v>80</v>
      </c>
      <c r="AI1062">
        <v>2</v>
      </c>
      <c r="AJ1062">
        <v>0</v>
      </c>
      <c r="AL1062">
        <v>0</v>
      </c>
      <c r="AM1062">
        <v>1</v>
      </c>
      <c r="AN1062" t="s">
        <v>768</v>
      </c>
      <c r="AO1062" t="s">
        <v>41</v>
      </c>
    </row>
    <row r="1063" spans="1:41" x14ac:dyDescent="0.25">
      <c r="A1063">
        <v>45</v>
      </c>
      <c r="B1063" t="s">
        <v>81</v>
      </c>
      <c r="C1063" t="s">
        <v>33</v>
      </c>
      <c r="D1063">
        <v>23</v>
      </c>
      <c r="E1063" t="s">
        <v>34</v>
      </c>
      <c r="F1063">
        <v>3</v>
      </c>
      <c r="G1063">
        <v>2</v>
      </c>
      <c r="H1063" t="s">
        <v>35</v>
      </c>
      <c r="I1063">
        <v>1</v>
      </c>
      <c r="J1063" t="s">
        <v>51</v>
      </c>
      <c r="K1063">
        <v>3633</v>
      </c>
      <c r="L1063">
        <v>1</v>
      </c>
      <c r="M1063" t="s">
        <v>31</v>
      </c>
      <c r="N1063">
        <v>15</v>
      </c>
      <c r="O1063">
        <v>3</v>
      </c>
      <c r="P1063">
        <v>1</v>
      </c>
      <c r="Q1063">
        <v>9</v>
      </c>
      <c r="R1063">
        <v>2</v>
      </c>
      <c r="S1063">
        <v>9</v>
      </c>
      <c r="T1063">
        <v>0</v>
      </c>
      <c r="U1063">
        <v>8</v>
      </c>
      <c r="V1063" t="s">
        <v>37</v>
      </c>
      <c r="W1063" s="1" t="s">
        <v>535</v>
      </c>
      <c r="Y1063" t="s">
        <v>54</v>
      </c>
      <c r="Z1063" t="s">
        <v>40</v>
      </c>
      <c r="AA1063">
        <v>1</v>
      </c>
      <c r="AB1063">
        <v>3</v>
      </c>
      <c r="AC1063" t="s">
        <v>31</v>
      </c>
      <c r="AD1063" t="s">
        <v>67</v>
      </c>
      <c r="AE1063" t="s">
        <v>60</v>
      </c>
      <c r="AF1063" s="3">
        <v>2010</v>
      </c>
      <c r="AG1063" s="3">
        <v>49</v>
      </c>
      <c r="AH1063">
        <v>80</v>
      </c>
      <c r="AI1063">
        <v>2</v>
      </c>
      <c r="AJ1063">
        <v>0</v>
      </c>
      <c r="AL1063">
        <v>0</v>
      </c>
      <c r="AM1063">
        <v>1</v>
      </c>
      <c r="AN1063" t="s">
        <v>768</v>
      </c>
      <c r="AO1063" t="s">
        <v>41</v>
      </c>
    </row>
    <row r="1064" spans="1:41" x14ac:dyDescent="0.25">
      <c r="A1064">
        <v>47</v>
      </c>
      <c r="B1064" t="s">
        <v>32</v>
      </c>
      <c r="C1064" t="s">
        <v>55</v>
      </c>
      <c r="D1064">
        <v>4</v>
      </c>
      <c r="E1064" t="s">
        <v>61</v>
      </c>
      <c r="F1064">
        <v>3</v>
      </c>
      <c r="G1064">
        <v>2</v>
      </c>
      <c r="H1064" t="s">
        <v>70</v>
      </c>
      <c r="I1064">
        <v>4</v>
      </c>
      <c r="J1064" t="s">
        <v>36</v>
      </c>
      <c r="K1064">
        <v>4163</v>
      </c>
      <c r="L1064">
        <v>1</v>
      </c>
      <c r="M1064" t="s">
        <v>31</v>
      </c>
      <c r="N1064">
        <v>17</v>
      </c>
      <c r="O1064">
        <v>3</v>
      </c>
      <c r="P1064">
        <v>0</v>
      </c>
      <c r="Q1064">
        <v>9</v>
      </c>
      <c r="R1064">
        <v>0</v>
      </c>
      <c r="S1064">
        <v>9</v>
      </c>
      <c r="T1064">
        <v>0</v>
      </c>
      <c r="U1064">
        <v>7</v>
      </c>
      <c r="V1064" t="s">
        <v>52</v>
      </c>
      <c r="W1064" s="1" t="s">
        <v>525</v>
      </c>
      <c r="Y1064" t="s">
        <v>39</v>
      </c>
      <c r="Z1064" t="s">
        <v>47</v>
      </c>
      <c r="AA1064">
        <v>0</v>
      </c>
      <c r="AB1064">
        <v>0</v>
      </c>
      <c r="AC1064" t="s">
        <v>31</v>
      </c>
      <c r="AD1064" t="s">
        <v>67</v>
      </c>
      <c r="AE1064" t="s">
        <v>49</v>
      </c>
      <c r="AF1064" s="3">
        <v>1735</v>
      </c>
      <c r="AG1064" s="3">
        <v>51</v>
      </c>
      <c r="AH1064">
        <v>80</v>
      </c>
      <c r="AI1064">
        <v>2</v>
      </c>
      <c r="AJ1064">
        <v>0</v>
      </c>
      <c r="AL1064">
        <v>0</v>
      </c>
      <c r="AM1064">
        <v>1</v>
      </c>
      <c r="AN1064" t="s">
        <v>768</v>
      </c>
      <c r="AO1064" t="s">
        <v>41</v>
      </c>
    </row>
    <row r="1065" spans="1:41" x14ac:dyDescent="0.25">
      <c r="A1065">
        <v>45</v>
      </c>
      <c r="B1065" t="s">
        <v>32</v>
      </c>
      <c r="C1065" t="s">
        <v>55</v>
      </c>
      <c r="D1065">
        <v>11</v>
      </c>
      <c r="E1065" t="s">
        <v>61</v>
      </c>
      <c r="F1065">
        <v>3</v>
      </c>
      <c r="G1065">
        <v>4</v>
      </c>
      <c r="H1065" t="s">
        <v>75</v>
      </c>
      <c r="I1065">
        <v>4</v>
      </c>
      <c r="J1065" t="s">
        <v>51</v>
      </c>
      <c r="K1065">
        <v>17650</v>
      </c>
      <c r="L1065">
        <v>3</v>
      </c>
      <c r="M1065" t="s">
        <v>41</v>
      </c>
      <c r="N1065">
        <v>13</v>
      </c>
      <c r="O1065">
        <v>3</v>
      </c>
      <c r="P1065">
        <v>1</v>
      </c>
      <c r="Q1065">
        <v>26</v>
      </c>
      <c r="R1065">
        <v>4</v>
      </c>
      <c r="S1065">
        <v>9</v>
      </c>
      <c r="T1065">
        <v>1</v>
      </c>
      <c r="U1065">
        <v>1</v>
      </c>
      <c r="V1065" t="s">
        <v>58</v>
      </c>
      <c r="W1065" s="2">
        <v>40913</v>
      </c>
      <c r="Y1065" t="s">
        <v>54</v>
      </c>
      <c r="Z1065" t="s">
        <v>47</v>
      </c>
      <c r="AA1065">
        <v>5</v>
      </c>
      <c r="AB1065">
        <v>2</v>
      </c>
      <c r="AC1065" t="s">
        <v>41</v>
      </c>
      <c r="AD1065" t="s">
        <v>48</v>
      </c>
      <c r="AE1065" t="s">
        <v>43</v>
      </c>
      <c r="AF1065" s="3">
        <v>1751</v>
      </c>
      <c r="AG1065" s="3">
        <v>67</v>
      </c>
      <c r="AH1065">
        <v>80</v>
      </c>
      <c r="AI1065">
        <v>2</v>
      </c>
      <c r="AJ1065">
        <v>0</v>
      </c>
      <c r="AL1065">
        <v>0</v>
      </c>
      <c r="AM1065">
        <v>1</v>
      </c>
      <c r="AN1065" t="s">
        <v>768</v>
      </c>
      <c r="AO1065" t="s">
        <v>41</v>
      </c>
    </row>
    <row r="1066" spans="1:41" x14ac:dyDescent="0.25">
      <c r="A1066">
        <v>54</v>
      </c>
      <c r="B1066" t="s">
        <v>32</v>
      </c>
      <c r="C1066" t="s">
        <v>55</v>
      </c>
      <c r="D1066">
        <v>2</v>
      </c>
      <c r="E1066" t="s">
        <v>61</v>
      </c>
      <c r="F1066">
        <v>2</v>
      </c>
      <c r="G1066">
        <v>3</v>
      </c>
      <c r="H1066" t="s">
        <v>70</v>
      </c>
      <c r="I1066">
        <v>3</v>
      </c>
      <c r="J1066" t="s">
        <v>51</v>
      </c>
      <c r="K1066">
        <v>10686</v>
      </c>
      <c r="L1066">
        <v>6</v>
      </c>
      <c r="M1066" t="s">
        <v>41</v>
      </c>
      <c r="N1066">
        <v>11</v>
      </c>
      <c r="O1066">
        <v>3</v>
      </c>
      <c r="P1066">
        <v>1</v>
      </c>
      <c r="Q1066">
        <v>13</v>
      </c>
      <c r="R1066">
        <v>4</v>
      </c>
      <c r="S1066">
        <v>9</v>
      </c>
      <c r="T1066">
        <v>7</v>
      </c>
      <c r="U1066">
        <v>0</v>
      </c>
      <c r="V1066" t="s">
        <v>58</v>
      </c>
      <c r="W1066" s="1" t="s">
        <v>536</v>
      </c>
      <c r="Y1066" t="s">
        <v>54</v>
      </c>
      <c r="Z1066" t="s">
        <v>40</v>
      </c>
      <c r="AA1066">
        <v>3</v>
      </c>
      <c r="AB1066">
        <v>3</v>
      </c>
      <c r="AC1066" t="s">
        <v>41</v>
      </c>
      <c r="AD1066" t="s">
        <v>48</v>
      </c>
      <c r="AE1066" t="s">
        <v>60</v>
      </c>
      <c r="AF1066" s="3">
        <v>2054</v>
      </c>
      <c r="AG1066" s="3">
        <v>73</v>
      </c>
      <c r="AH1066">
        <v>80</v>
      </c>
      <c r="AI1066">
        <v>4</v>
      </c>
      <c r="AJ1066">
        <v>0</v>
      </c>
      <c r="AL1066">
        <v>0</v>
      </c>
      <c r="AM1066">
        <v>1</v>
      </c>
      <c r="AN1066" t="s">
        <v>768</v>
      </c>
      <c r="AO1066" t="s">
        <v>41</v>
      </c>
    </row>
    <row r="1067" spans="1:41" x14ac:dyDescent="0.25">
      <c r="A1067">
        <v>55</v>
      </c>
      <c r="B1067" t="s">
        <v>81</v>
      </c>
      <c r="C1067" t="s">
        <v>33</v>
      </c>
      <c r="D1067">
        <v>2</v>
      </c>
      <c r="E1067" t="s">
        <v>34</v>
      </c>
      <c r="F1067">
        <v>2</v>
      </c>
      <c r="G1067">
        <v>4</v>
      </c>
      <c r="H1067" t="s">
        <v>75</v>
      </c>
      <c r="I1067">
        <v>1</v>
      </c>
      <c r="J1067" t="s">
        <v>36</v>
      </c>
      <c r="K1067">
        <v>16756</v>
      </c>
      <c r="L1067">
        <v>7</v>
      </c>
      <c r="M1067" t="s">
        <v>41</v>
      </c>
      <c r="N1067">
        <v>15</v>
      </c>
      <c r="O1067">
        <v>3</v>
      </c>
      <c r="P1067">
        <v>0</v>
      </c>
      <c r="Q1067">
        <v>31</v>
      </c>
      <c r="R1067">
        <v>3</v>
      </c>
      <c r="S1067">
        <v>9</v>
      </c>
      <c r="T1067">
        <v>6</v>
      </c>
      <c r="U1067">
        <v>2</v>
      </c>
      <c r="V1067" t="s">
        <v>52</v>
      </c>
      <c r="W1067" s="1" t="s">
        <v>537</v>
      </c>
      <c r="Y1067" t="s">
        <v>54</v>
      </c>
      <c r="Z1067" t="s">
        <v>40</v>
      </c>
      <c r="AA1067">
        <v>4</v>
      </c>
      <c r="AB1067">
        <v>3</v>
      </c>
      <c r="AC1067" t="s">
        <v>31</v>
      </c>
      <c r="AD1067" t="s">
        <v>48</v>
      </c>
      <c r="AE1067" t="s">
        <v>43</v>
      </c>
      <c r="AF1067" s="3">
        <v>1529</v>
      </c>
      <c r="AG1067" s="3">
        <v>91</v>
      </c>
      <c r="AH1067">
        <v>80</v>
      </c>
      <c r="AI1067">
        <v>8</v>
      </c>
      <c r="AJ1067">
        <v>0</v>
      </c>
      <c r="AL1067">
        <v>0</v>
      </c>
      <c r="AM1067">
        <v>1</v>
      </c>
      <c r="AN1067" t="s">
        <v>768</v>
      </c>
      <c r="AO1067" t="s">
        <v>41</v>
      </c>
    </row>
    <row r="1068" spans="1:41" x14ac:dyDescent="0.25">
      <c r="A1068">
        <v>28</v>
      </c>
      <c r="B1068" t="s">
        <v>32</v>
      </c>
      <c r="C1068" t="s">
        <v>33</v>
      </c>
      <c r="D1068">
        <v>3</v>
      </c>
      <c r="E1068" t="s">
        <v>61</v>
      </c>
      <c r="F1068">
        <v>3</v>
      </c>
      <c r="G1068">
        <v>3</v>
      </c>
      <c r="H1068" t="s">
        <v>78</v>
      </c>
      <c r="I1068">
        <v>2</v>
      </c>
      <c r="J1068" t="s">
        <v>57</v>
      </c>
      <c r="K1068">
        <v>7655</v>
      </c>
      <c r="L1068">
        <v>0</v>
      </c>
      <c r="M1068" t="s">
        <v>41</v>
      </c>
      <c r="N1068">
        <v>17</v>
      </c>
      <c r="O1068">
        <v>3</v>
      </c>
      <c r="P1068">
        <v>3</v>
      </c>
      <c r="Q1068">
        <v>10</v>
      </c>
      <c r="R1068">
        <v>3</v>
      </c>
      <c r="S1068">
        <v>9</v>
      </c>
      <c r="T1068">
        <v>1</v>
      </c>
      <c r="U1068">
        <v>7</v>
      </c>
      <c r="V1068" t="s">
        <v>52</v>
      </c>
      <c r="W1068" s="2">
        <v>41183</v>
      </c>
      <c r="Y1068" t="s">
        <v>63</v>
      </c>
      <c r="Z1068" t="s">
        <v>40</v>
      </c>
      <c r="AA1068">
        <v>3</v>
      </c>
      <c r="AB1068">
        <v>2</v>
      </c>
      <c r="AC1068" t="s">
        <v>41</v>
      </c>
      <c r="AD1068" t="s">
        <v>67</v>
      </c>
      <c r="AE1068" t="s">
        <v>60</v>
      </c>
      <c r="AF1068" s="3">
        <v>1719</v>
      </c>
      <c r="AG1068" s="3">
        <v>48</v>
      </c>
      <c r="AH1068">
        <v>80</v>
      </c>
      <c r="AI1068">
        <v>6</v>
      </c>
      <c r="AJ1068">
        <v>0</v>
      </c>
      <c r="AL1068">
        <v>0</v>
      </c>
      <c r="AM1068">
        <v>1</v>
      </c>
      <c r="AN1068" t="s">
        <v>768</v>
      </c>
      <c r="AO1068" t="s">
        <v>41</v>
      </c>
    </row>
    <row r="1069" spans="1:41" x14ac:dyDescent="0.25">
      <c r="A1069">
        <v>49</v>
      </c>
      <c r="B1069" t="s">
        <v>32</v>
      </c>
      <c r="C1069" t="s">
        <v>55</v>
      </c>
      <c r="D1069">
        <v>8</v>
      </c>
      <c r="E1069" t="s">
        <v>34</v>
      </c>
      <c r="F1069">
        <v>2</v>
      </c>
      <c r="G1069">
        <v>4</v>
      </c>
      <c r="H1069" t="s">
        <v>70</v>
      </c>
      <c r="I1069">
        <v>2</v>
      </c>
      <c r="J1069" t="s">
        <v>51</v>
      </c>
      <c r="K1069">
        <v>13120</v>
      </c>
      <c r="L1069">
        <v>6</v>
      </c>
      <c r="M1069" t="s">
        <v>41</v>
      </c>
      <c r="N1069">
        <v>17</v>
      </c>
      <c r="O1069">
        <v>3</v>
      </c>
      <c r="P1069">
        <v>1</v>
      </c>
      <c r="Q1069">
        <v>22</v>
      </c>
      <c r="R1069">
        <v>3</v>
      </c>
      <c r="S1069">
        <v>9</v>
      </c>
      <c r="T1069">
        <v>2</v>
      </c>
      <c r="U1069">
        <v>3</v>
      </c>
      <c r="V1069" t="s">
        <v>72</v>
      </c>
      <c r="W1069" s="1" t="s">
        <v>538</v>
      </c>
      <c r="Y1069" t="s">
        <v>46</v>
      </c>
      <c r="Z1069" t="s">
        <v>47</v>
      </c>
      <c r="AA1069">
        <v>5</v>
      </c>
      <c r="AB1069">
        <v>1</v>
      </c>
      <c r="AC1069" t="s">
        <v>41</v>
      </c>
      <c r="AD1069" t="s">
        <v>48</v>
      </c>
      <c r="AE1069" t="s">
        <v>49</v>
      </c>
      <c r="AF1069" s="3">
        <v>1422</v>
      </c>
      <c r="AG1069" s="3">
        <v>54</v>
      </c>
      <c r="AH1069">
        <v>80</v>
      </c>
      <c r="AI1069">
        <v>7</v>
      </c>
      <c r="AJ1069">
        <v>0</v>
      </c>
      <c r="AL1069">
        <v>0</v>
      </c>
      <c r="AM1069">
        <v>1</v>
      </c>
      <c r="AN1069" t="s">
        <v>768</v>
      </c>
      <c r="AO1069" t="s">
        <v>41</v>
      </c>
    </row>
    <row r="1070" spans="1:41" x14ac:dyDescent="0.25">
      <c r="A1070">
        <v>27</v>
      </c>
      <c r="B1070" t="s">
        <v>32</v>
      </c>
      <c r="C1070" t="s">
        <v>33</v>
      </c>
      <c r="D1070">
        <v>14</v>
      </c>
      <c r="E1070" t="s">
        <v>34</v>
      </c>
      <c r="F1070">
        <v>3</v>
      </c>
      <c r="G1070">
        <v>1</v>
      </c>
      <c r="H1070" t="s">
        <v>44</v>
      </c>
      <c r="I1070">
        <v>1</v>
      </c>
      <c r="J1070" t="s">
        <v>51</v>
      </c>
      <c r="K1070">
        <v>2235</v>
      </c>
      <c r="L1070">
        <v>1</v>
      </c>
      <c r="M1070" t="s">
        <v>31</v>
      </c>
      <c r="N1070">
        <v>14</v>
      </c>
      <c r="O1070">
        <v>3</v>
      </c>
      <c r="P1070">
        <v>2</v>
      </c>
      <c r="Q1070">
        <v>9</v>
      </c>
      <c r="R1070">
        <v>3</v>
      </c>
      <c r="S1070">
        <v>9</v>
      </c>
      <c r="T1070">
        <v>6</v>
      </c>
      <c r="U1070">
        <v>8</v>
      </c>
      <c r="V1070" t="s">
        <v>52</v>
      </c>
      <c r="W1070" s="1" t="s">
        <v>537</v>
      </c>
      <c r="Y1070" t="s">
        <v>46</v>
      </c>
      <c r="Z1070" t="s">
        <v>47</v>
      </c>
      <c r="AA1070">
        <v>4</v>
      </c>
      <c r="AB1070">
        <v>1</v>
      </c>
      <c r="AC1070" t="s">
        <v>41</v>
      </c>
      <c r="AD1070" t="s">
        <v>65</v>
      </c>
      <c r="AE1070" t="s">
        <v>49</v>
      </c>
      <c r="AF1070" s="3">
        <v>1863</v>
      </c>
      <c r="AG1070" s="3">
        <v>45</v>
      </c>
      <c r="AH1070">
        <v>80</v>
      </c>
      <c r="AI1070">
        <v>17</v>
      </c>
      <c r="AJ1070">
        <v>0</v>
      </c>
      <c r="AL1070">
        <v>0</v>
      </c>
      <c r="AM1070">
        <v>1</v>
      </c>
      <c r="AN1070" t="s">
        <v>768</v>
      </c>
      <c r="AO1070" t="s">
        <v>41</v>
      </c>
    </row>
    <row r="1071" spans="1:41" x14ac:dyDescent="0.25">
      <c r="A1071">
        <v>33</v>
      </c>
      <c r="B1071" t="s">
        <v>32</v>
      </c>
      <c r="C1071" t="s">
        <v>55</v>
      </c>
      <c r="D1071">
        <v>10</v>
      </c>
      <c r="E1071" t="s">
        <v>34</v>
      </c>
      <c r="F1071">
        <v>4</v>
      </c>
      <c r="G1071">
        <v>3</v>
      </c>
      <c r="H1071" t="s">
        <v>70</v>
      </c>
      <c r="I1071">
        <v>3</v>
      </c>
      <c r="J1071" t="s">
        <v>57</v>
      </c>
      <c r="K1071">
        <v>8380</v>
      </c>
      <c r="L1071">
        <v>0</v>
      </c>
      <c r="M1071" t="s">
        <v>31</v>
      </c>
      <c r="N1071">
        <v>14</v>
      </c>
      <c r="O1071">
        <v>3</v>
      </c>
      <c r="P1071">
        <v>2</v>
      </c>
      <c r="Q1071">
        <v>10</v>
      </c>
      <c r="R1071">
        <v>3</v>
      </c>
      <c r="S1071">
        <v>9</v>
      </c>
      <c r="T1071">
        <v>0</v>
      </c>
      <c r="U1071">
        <v>8</v>
      </c>
      <c r="V1071" t="s">
        <v>52</v>
      </c>
      <c r="W1071" s="2">
        <v>41216</v>
      </c>
      <c r="Y1071" t="s">
        <v>63</v>
      </c>
      <c r="Z1071" t="s">
        <v>40</v>
      </c>
      <c r="AA1071">
        <v>2</v>
      </c>
      <c r="AB1071">
        <v>1</v>
      </c>
      <c r="AC1071" t="s">
        <v>41</v>
      </c>
      <c r="AD1071" t="s">
        <v>48</v>
      </c>
      <c r="AE1071" t="s">
        <v>60</v>
      </c>
      <c r="AF1071" s="3">
        <v>1557</v>
      </c>
      <c r="AG1071" s="3">
        <v>96</v>
      </c>
      <c r="AH1071">
        <v>80</v>
      </c>
      <c r="AI1071">
        <v>7</v>
      </c>
      <c r="AJ1071">
        <v>0</v>
      </c>
      <c r="AL1071">
        <v>0</v>
      </c>
      <c r="AM1071">
        <v>1</v>
      </c>
      <c r="AN1071" t="s">
        <v>768</v>
      </c>
      <c r="AO1071" t="s">
        <v>41</v>
      </c>
    </row>
    <row r="1072" spans="1:41" x14ac:dyDescent="0.25">
      <c r="A1072">
        <v>59</v>
      </c>
      <c r="B1072" t="s">
        <v>32</v>
      </c>
      <c r="C1072" t="s">
        <v>33</v>
      </c>
      <c r="D1072">
        <v>18</v>
      </c>
      <c r="E1072" t="s">
        <v>34</v>
      </c>
      <c r="F1072">
        <v>3</v>
      </c>
      <c r="G1072">
        <v>3</v>
      </c>
      <c r="H1072" t="s">
        <v>78</v>
      </c>
      <c r="I1072">
        <v>4</v>
      </c>
      <c r="J1072" t="s">
        <v>36</v>
      </c>
      <c r="K1072">
        <v>10512</v>
      </c>
      <c r="L1072">
        <v>6</v>
      </c>
      <c r="M1072" t="s">
        <v>41</v>
      </c>
      <c r="N1072">
        <v>12</v>
      </c>
      <c r="O1072">
        <v>3</v>
      </c>
      <c r="P1072">
        <v>0</v>
      </c>
      <c r="Q1072">
        <v>25</v>
      </c>
      <c r="R1072">
        <v>6</v>
      </c>
      <c r="S1072">
        <v>9</v>
      </c>
      <c r="T1072">
        <v>5</v>
      </c>
      <c r="U1072">
        <v>4</v>
      </c>
      <c r="V1072" t="s">
        <v>37</v>
      </c>
      <c r="W1072" s="1" t="s">
        <v>537</v>
      </c>
      <c r="Y1072" t="s">
        <v>54</v>
      </c>
      <c r="Z1072" t="s">
        <v>40</v>
      </c>
      <c r="AA1072">
        <v>4</v>
      </c>
      <c r="AB1072">
        <v>1</v>
      </c>
      <c r="AC1072" t="s">
        <v>41</v>
      </c>
      <c r="AD1072" t="s">
        <v>48</v>
      </c>
      <c r="AE1072" t="s">
        <v>60</v>
      </c>
      <c r="AF1072" s="3">
        <v>1428</v>
      </c>
      <c r="AG1072" s="3">
        <v>73</v>
      </c>
      <c r="AH1072">
        <v>80</v>
      </c>
      <c r="AI1072">
        <v>2</v>
      </c>
      <c r="AJ1072">
        <v>0</v>
      </c>
      <c r="AL1072">
        <v>0</v>
      </c>
      <c r="AM1072">
        <v>1</v>
      </c>
      <c r="AN1072" t="s">
        <v>768</v>
      </c>
      <c r="AO1072" t="s">
        <v>41</v>
      </c>
    </row>
    <row r="1073" spans="1:41" x14ac:dyDescent="0.25">
      <c r="A1073">
        <v>30</v>
      </c>
      <c r="B1073" t="s">
        <v>32</v>
      </c>
      <c r="C1073" t="s">
        <v>33</v>
      </c>
      <c r="D1073">
        <v>6</v>
      </c>
      <c r="E1073" t="s">
        <v>61</v>
      </c>
      <c r="F1073">
        <v>2</v>
      </c>
      <c r="G1073">
        <v>2</v>
      </c>
      <c r="H1073" t="s">
        <v>35</v>
      </c>
      <c r="I1073">
        <v>4</v>
      </c>
      <c r="J1073" t="s">
        <v>51</v>
      </c>
      <c r="K1073">
        <v>4627</v>
      </c>
      <c r="L1073">
        <v>0</v>
      </c>
      <c r="M1073" t="s">
        <v>41</v>
      </c>
      <c r="N1073">
        <v>12</v>
      </c>
      <c r="O1073">
        <v>3</v>
      </c>
      <c r="P1073">
        <v>1</v>
      </c>
      <c r="Q1073">
        <v>10</v>
      </c>
      <c r="R1073">
        <v>6</v>
      </c>
      <c r="S1073">
        <v>9</v>
      </c>
      <c r="T1073">
        <v>6</v>
      </c>
      <c r="U1073">
        <v>7</v>
      </c>
      <c r="V1073" t="s">
        <v>52</v>
      </c>
      <c r="W1073" s="1" t="s">
        <v>539</v>
      </c>
      <c r="Y1073" t="s">
        <v>46</v>
      </c>
      <c r="Z1073" t="s">
        <v>47</v>
      </c>
      <c r="AA1073">
        <v>3</v>
      </c>
      <c r="AB1073">
        <v>0</v>
      </c>
      <c r="AC1073" t="s">
        <v>41</v>
      </c>
      <c r="AD1073" t="s">
        <v>42</v>
      </c>
      <c r="AE1073" t="s">
        <v>43</v>
      </c>
      <c r="AF1073" s="3">
        <v>1676</v>
      </c>
      <c r="AG1073" s="3">
        <v>47</v>
      </c>
      <c r="AH1073">
        <v>80</v>
      </c>
      <c r="AI1073">
        <v>2</v>
      </c>
      <c r="AJ1073">
        <v>0</v>
      </c>
      <c r="AL1073">
        <v>0</v>
      </c>
      <c r="AM1073">
        <v>1</v>
      </c>
      <c r="AN1073" t="s">
        <v>768</v>
      </c>
      <c r="AO1073" t="s">
        <v>41</v>
      </c>
    </row>
    <row r="1074" spans="1:41" x14ac:dyDescent="0.25">
      <c r="A1074">
        <v>28</v>
      </c>
      <c r="B1074" t="s">
        <v>81</v>
      </c>
      <c r="C1074" t="s">
        <v>33</v>
      </c>
      <c r="D1074">
        <v>1</v>
      </c>
      <c r="E1074" t="s">
        <v>61</v>
      </c>
      <c r="F1074">
        <v>1</v>
      </c>
      <c r="G1074">
        <v>2</v>
      </c>
      <c r="H1074" t="s">
        <v>35</v>
      </c>
      <c r="I1074">
        <v>4</v>
      </c>
      <c r="J1074" t="s">
        <v>51</v>
      </c>
      <c r="K1074">
        <v>6674</v>
      </c>
      <c r="L1074">
        <v>0</v>
      </c>
      <c r="M1074" t="s">
        <v>41</v>
      </c>
      <c r="N1074">
        <v>11</v>
      </c>
      <c r="O1074">
        <v>3</v>
      </c>
      <c r="P1074">
        <v>3</v>
      </c>
      <c r="Q1074">
        <v>10</v>
      </c>
      <c r="R1074">
        <v>6</v>
      </c>
      <c r="S1074">
        <v>9</v>
      </c>
      <c r="T1074">
        <v>7</v>
      </c>
      <c r="U1074">
        <v>5</v>
      </c>
      <c r="V1074" t="s">
        <v>37</v>
      </c>
      <c r="W1074" s="1" t="s">
        <v>540</v>
      </c>
      <c r="Y1074" t="s">
        <v>69</v>
      </c>
      <c r="Z1074" t="s">
        <v>40</v>
      </c>
      <c r="AA1074">
        <v>2</v>
      </c>
      <c r="AB1074">
        <v>2</v>
      </c>
      <c r="AC1074" t="s">
        <v>41</v>
      </c>
      <c r="AD1074" t="s">
        <v>65</v>
      </c>
      <c r="AE1074" t="s">
        <v>49</v>
      </c>
      <c r="AF1074" s="3">
        <v>2041</v>
      </c>
      <c r="AG1074" s="3">
        <v>100</v>
      </c>
      <c r="AH1074">
        <v>80</v>
      </c>
      <c r="AI1074">
        <v>7</v>
      </c>
      <c r="AJ1074">
        <v>0</v>
      </c>
      <c r="AL1074">
        <v>0</v>
      </c>
      <c r="AM1074">
        <v>1</v>
      </c>
      <c r="AN1074" t="s">
        <v>768</v>
      </c>
      <c r="AO1074" t="s">
        <v>41</v>
      </c>
    </row>
    <row r="1075" spans="1:41" x14ac:dyDescent="0.25">
      <c r="A1075">
        <v>30</v>
      </c>
      <c r="B1075" t="s">
        <v>32</v>
      </c>
      <c r="C1075" t="s">
        <v>33</v>
      </c>
      <c r="D1075">
        <v>17</v>
      </c>
      <c r="E1075" t="s">
        <v>61</v>
      </c>
      <c r="F1075">
        <v>3</v>
      </c>
      <c r="G1075">
        <v>3</v>
      </c>
      <c r="H1075" t="s">
        <v>75</v>
      </c>
      <c r="I1075">
        <v>1</v>
      </c>
      <c r="J1075" t="s">
        <v>51</v>
      </c>
      <c r="K1075">
        <v>11916</v>
      </c>
      <c r="L1075">
        <v>1</v>
      </c>
      <c r="M1075" t="s">
        <v>31</v>
      </c>
      <c r="N1075">
        <v>23</v>
      </c>
      <c r="O1075">
        <v>4</v>
      </c>
      <c r="P1075">
        <v>2</v>
      </c>
      <c r="Q1075">
        <v>9</v>
      </c>
      <c r="R1075">
        <v>2</v>
      </c>
      <c r="S1075">
        <v>9</v>
      </c>
      <c r="T1075">
        <v>0</v>
      </c>
      <c r="U1075">
        <v>8</v>
      </c>
      <c r="V1075" t="s">
        <v>37</v>
      </c>
      <c r="W1075" s="1" t="s">
        <v>525</v>
      </c>
      <c r="Y1075" t="s">
        <v>63</v>
      </c>
      <c r="Z1075" t="s">
        <v>40</v>
      </c>
      <c r="AA1075">
        <v>1</v>
      </c>
      <c r="AB1075">
        <v>3</v>
      </c>
      <c r="AC1075" t="s">
        <v>41</v>
      </c>
      <c r="AD1075" t="s">
        <v>42</v>
      </c>
      <c r="AE1075" t="s">
        <v>49</v>
      </c>
      <c r="AF1075" s="3">
        <v>2045</v>
      </c>
      <c r="AG1075" s="3">
        <v>100</v>
      </c>
      <c r="AH1075">
        <v>80</v>
      </c>
      <c r="AI1075">
        <v>3</v>
      </c>
      <c r="AJ1075">
        <v>0</v>
      </c>
      <c r="AL1075">
        <v>0</v>
      </c>
      <c r="AM1075">
        <v>1</v>
      </c>
      <c r="AN1075" t="s">
        <v>768</v>
      </c>
      <c r="AO1075" t="s">
        <v>41</v>
      </c>
    </row>
    <row r="1076" spans="1:41" x14ac:dyDescent="0.25">
      <c r="A1076">
        <v>34</v>
      </c>
      <c r="B1076" t="s">
        <v>32</v>
      </c>
      <c r="C1076" t="s">
        <v>33</v>
      </c>
      <c r="D1076">
        <v>9</v>
      </c>
      <c r="E1076" t="s">
        <v>34</v>
      </c>
      <c r="F1076">
        <v>3</v>
      </c>
      <c r="G1076">
        <v>3</v>
      </c>
      <c r="H1076" t="s">
        <v>89</v>
      </c>
      <c r="I1076">
        <v>4</v>
      </c>
      <c r="J1076" t="s">
        <v>57</v>
      </c>
      <c r="K1076">
        <v>8500</v>
      </c>
      <c r="L1076">
        <v>0</v>
      </c>
      <c r="M1076" t="s">
        <v>41</v>
      </c>
      <c r="N1076">
        <v>11</v>
      </c>
      <c r="O1076">
        <v>3</v>
      </c>
      <c r="P1076">
        <v>1</v>
      </c>
      <c r="Q1076">
        <v>10</v>
      </c>
      <c r="R1076">
        <v>0</v>
      </c>
      <c r="S1076">
        <v>9</v>
      </c>
      <c r="T1076">
        <v>1</v>
      </c>
      <c r="U1076">
        <v>6</v>
      </c>
      <c r="V1076" t="s">
        <v>58</v>
      </c>
      <c r="W1076" s="2">
        <v>40971</v>
      </c>
      <c r="Y1076" t="s">
        <v>69</v>
      </c>
      <c r="Z1076" t="s">
        <v>40</v>
      </c>
      <c r="AA1076">
        <v>0</v>
      </c>
      <c r="AB1076">
        <v>1</v>
      </c>
      <c r="AC1076" t="s">
        <v>41</v>
      </c>
      <c r="AD1076" t="s">
        <v>67</v>
      </c>
      <c r="AE1076" t="s">
        <v>60</v>
      </c>
      <c r="AF1076" s="3">
        <v>2056</v>
      </c>
      <c r="AG1076" s="3">
        <v>60</v>
      </c>
      <c r="AH1076">
        <v>80</v>
      </c>
      <c r="AI1076">
        <v>9</v>
      </c>
      <c r="AJ1076">
        <v>0</v>
      </c>
      <c r="AL1076">
        <v>0</v>
      </c>
      <c r="AM1076">
        <v>1</v>
      </c>
      <c r="AN1076" t="s">
        <v>768</v>
      </c>
      <c r="AO1076" t="s">
        <v>41</v>
      </c>
    </row>
    <row r="1077" spans="1:41" x14ac:dyDescent="0.25">
      <c r="A1077">
        <v>40</v>
      </c>
      <c r="B1077" t="s">
        <v>32</v>
      </c>
      <c r="C1077" t="s">
        <v>33</v>
      </c>
      <c r="D1077">
        <v>2</v>
      </c>
      <c r="E1077" t="s">
        <v>34</v>
      </c>
      <c r="F1077">
        <v>3</v>
      </c>
      <c r="G1077">
        <v>2</v>
      </c>
      <c r="H1077" t="s">
        <v>44</v>
      </c>
      <c r="I1077">
        <v>4</v>
      </c>
      <c r="J1077" t="s">
        <v>36</v>
      </c>
      <c r="K1077">
        <v>4661</v>
      </c>
      <c r="L1077">
        <v>1</v>
      </c>
      <c r="M1077" t="s">
        <v>41</v>
      </c>
      <c r="N1077">
        <v>13</v>
      </c>
      <c r="O1077">
        <v>3</v>
      </c>
      <c r="P1077">
        <v>0</v>
      </c>
      <c r="Q1077">
        <v>9</v>
      </c>
      <c r="R1077">
        <v>4</v>
      </c>
      <c r="S1077">
        <v>9</v>
      </c>
      <c r="T1077">
        <v>8</v>
      </c>
      <c r="U1077">
        <v>8</v>
      </c>
      <c r="V1077" t="s">
        <v>52</v>
      </c>
      <c r="W1077" s="1" t="s">
        <v>541</v>
      </c>
      <c r="Y1077" t="s">
        <v>39</v>
      </c>
      <c r="Z1077" t="s">
        <v>47</v>
      </c>
      <c r="AA1077">
        <v>0</v>
      </c>
      <c r="AB1077">
        <v>2</v>
      </c>
      <c r="AC1077" t="s">
        <v>31</v>
      </c>
      <c r="AD1077" t="s">
        <v>67</v>
      </c>
      <c r="AE1077" t="s">
        <v>49</v>
      </c>
      <c r="AF1077" s="3">
        <v>1986</v>
      </c>
      <c r="AG1077" s="3">
        <v>92</v>
      </c>
      <c r="AH1077">
        <v>80</v>
      </c>
      <c r="AI1077">
        <v>8</v>
      </c>
      <c r="AJ1077">
        <v>0</v>
      </c>
      <c r="AL1077">
        <v>0</v>
      </c>
      <c r="AM1077">
        <v>1</v>
      </c>
      <c r="AN1077" t="s">
        <v>768</v>
      </c>
      <c r="AO1077" t="s">
        <v>41</v>
      </c>
    </row>
    <row r="1078" spans="1:41" x14ac:dyDescent="0.25">
      <c r="A1078">
        <v>41</v>
      </c>
      <c r="B1078" t="s">
        <v>66</v>
      </c>
      <c r="C1078" t="s">
        <v>55</v>
      </c>
      <c r="D1078">
        <v>1</v>
      </c>
      <c r="E1078" t="s">
        <v>61</v>
      </c>
      <c r="F1078">
        <v>3</v>
      </c>
      <c r="G1078">
        <v>2</v>
      </c>
      <c r="H1078" t="s">
        <v>70</v>
      </c>
      <c r="I1078">
        <v>1</v>
      </c>
      <c r="J1078" t="s">
        <v>57</v>
      </c>
      <c r="K1078">
        <v>4103</v>
      </c>
      <c r="L1078">
        <v>0</v>
      </c>
      <c r="M1078" t="s">
        <v>41</v>
      </c>
      <c r="N1078">
        <v>17</v>
      </c>
      <c r="O1078">
        <v>3</v>
      </c>
      <c r="P1078">
        <v>1</v>
      </c>
      <c r="Q1078">
        <v>10</v>
      </c>
      <c r="R1078">
        <v>2</v>
      </c>
      <c r="S1078">
        <v>9</v>
      </c>
      <c r="T1078">
        <v>1</v>
      </c>
      <c r="U1078">
        <v>7</v>
      </c>
      <c r="V1078" t="s">
        <v>72</v>
      </c>
      <c r="W1078" s="1" t="s">
        <v>542</v>
      </c>
      <c r="Y1078" t="s">
        <v>69</v>
      </c>
      <c r="Z1078" t="s">
        <v>40</v>
      </c>
      <c r="AA1078">
        <v>0</v>
      </c>
      <c r="AB1078">
        <v>3</v>
      </c>
      <c r="AC1078" t="s">
        <v>41</v>
      </c>
      <c r="AD1078" t="s">
        <v>48</v>
      </c>
      <c r="AE1078" t="s">
        <v>60</v>
      </c>
      <c r="AF1078" s="3">
        <v>1875</v>
      </c>
      <c r="AG1078" s="3">
        <v>78</v>
      </c>
      <c r="AH1078">
        <v>80</v>
      </c>
      <c r="AI1078">
        <v>0</v>
      </c>
      <c r="AJ1078">
        <v>0</v>
      </c>
      <c r="AL1078">
        <v>0</v>
      </c>
      <c r="AM1078">
        <v>1</v>
      </c>
      <c r="AN1078" t="s">
        <v>768</v>
      </c>
      <c r="AO1078" t="s">
        <v>41</v>
      </c>
    </row>
    <row r="1079" spans="1:41" x14ac:dyDescent="0.25">
      <c r="A1079">
        <v>35</v>
      </c>
      <c r="B1079" t="s">
        <v>66</v>
      </c>
      <c r="C1079" t="s">
        <v>33</v>
      </c>
      <c r="D1079">
        <v>4</v>
      </c>
      <c r="E1079" t="s">
        <v>34</v>
      </c>
      <c r="F1079">
        <v>3</v>
      </c>
      <c r="G1079">
        <v>2</v>
      </c>
      <c r="H1079" t="s">
        <v>44</v>
      </c>
      <c r="I1079">
        <v>3</v>
      </c>
      <c r="J1079" t="s">
        <v>36</v>
      </c>
      <c r="K1079">
        <v>4249</v>
      </c>
      <c r="L1079">
        <v>1</v>
      </c>
      <c r="M1079" t="s">
        <v>31</v>
      </c>
      <c r="N1079">
        <v>11</v>
      </c>
      <c r="O1079">
        <v>3</v>
      </c>
      <c r="P1079">
        <v>0</v>
      </c>
      <c r="Q1079">
        <v>9</v>
      </c>
      <c r="R1079">
        <v>3</v>
      </c>
      <c r="S1079">
        <v>9</v>
      </c>
      <c r="T1079">
        <v>1</v>
      </c>
      <c r="U1079">
        <v>1</v>
      </c>
      <c r="V1079" t="s">
        <v>37</v>
      </c>
      <c r="W1079" s="2">
        <v>41126</v>
      </c>
      <c r="Y1079" t="s">
        <v>69</v>
      </c>
      <c r="Z1079" t="s">
        <v>47</v>
      </c>
      <c r="AA1079">
        <v>1</v>
      </c>
      <c r="AB1079">
        <v>3</v>
      </c>
      <c r="AC1079" t="s">
        <v>41</v>
      </c>
      <c r="AD1079" t="s">
        <v>65</v>
      </c>
      <c r="AE1079" t="s">
        <v>60</v>
      </c>
      <c r="AF1079" s="3">
        <v>1527</v>
      </c>
      <c r="AG1079" s="3">
        <v>51</v>
      </c>
      <c r="AH1079">
        <v>80</v>
      </c>
      <c r="AI1079">
        <v>12</v>
      </c>
      <c r="AJ1079">
        <v>0</v>
      </c>
      <c r="AL1079">
        <v>0</v>
      </c>
      <c r="AM1079">
        <v>1</v>
      </c>
      <c r="AN1079" t="s">
        <v>768</v>
      </c>
      <c r="AO1079" t="s">
        <v>41</v>
      </c>
    </row>
    <row r="1080" spans="1:41" x14ac:dyDescent="0.25">
      <c r="A1080">
        <v>35</v>
      </c>
      <c r="B1080" t="s">
        <v>32</v>
      </c>
      <c r="C1080" t="s">
        <v>33</v>
      </c>
      <c r="D1080">
        <v>1</v>
      </c>
      <c r="E1080" t="s">
        <v>61</v>
      </c>
      <c r="F1080">
        <v>2</v>
      </c>
      <c r="G1080">
        <v>2</v>
      </c>
      <c r="H1080" t="s">
        <v>35</v>
      </c>
      <c r="I1080">
        <v>4</v>
      </c>
      <c r="J1080" t="s">
        <v>51</v>
      </c>
      <c r="K1080">
        <v>5363</v>
      </c>
      <c r="L1080">
        <v>0</v>
      </c>
      <c r="M1080" t="s">
        <v>41</v>
      </c>
      <c r="N1080">
        <v>12</v>
      </c>
      <c r="O1080">
        <v>3</v>
      </c>
      <c r="P1080">
        <v>1</v>
      </c>
      <c r="Q1080">
        <v>10</v>
      </c>
      <c r="R1080">
        <v>0</v>
      </c>
      <c r="S1080">
        <v>9</v>
      </c>
      <c r="T1080">
        <v>0</v>
      </c>
      <c r="U1080">
        <v>0</v>
      </c>
      <c r="V1080" t="s">
        <v>72</v>
      </c>
      <c r="W1080" s="2">
        <v>41154</v>
      </c>
      <c r="Y1080" t="s">
        <v>63</v>
      </c>
      <c r="Z1080" t="s">
        <v>40</v>
      </c>
      <c r="AA1080">
        <v>3</v>
      </c>
      <c r="AB1080">
        <v>3</v>
      </c>
      <c r="AC1080" t="s">
        <v>41</v>
      </c>
      <c r="AD1080" t="s">
        <v>48</v>
      </c>
      <c r="AE1080" t="s">
        <v>60</v>
      </c>
      <c r="AF1080" s="3">
        <v>1935</v>
      </c>
      <c r="AG1080" s="3">
        <v>89</v>
      </c>
      <c r="AH1080">
        <v>80</v>
      </c>
      <c r="AI1080">
        <v>0</v>
      </c>
      <c r="AJ1080">
        <v>0</v>
      </c>
      <c r="AL1080">
        <v>0</v>
      </c>
      <c r="AM1080">
        <v>1</v>
      </c>
      <c r="AN1080" t="s">
        <v>768</v>
      </c>
      <c r="AO1080" t="s">
        <v>41</v>
      </c>
    </row>
    <row r="1081" spans="1:41" x14ac:dyDescent="0.25">
      <c r="A1081">
        <v>58</v>
      </c>
      <c r="B1081" t="s">
        <v>32</v>
      </c>
      <c r="C1081" t="s">
        <v>33</v>
      </c>
      <c r="D1081">
        <v>1</v>
      </c>
      <c r="E1081" t="s">
        <v>61</v>
      </c>
      <c r="F1081">
        <v>3</v>
      </c>
      <c r="G1081">
        <v>5</v>
      </c>
      <c r="H1081" t="s">
        <v>50</v>
      </c>
      <c r="I1081">
        <v>1</v>
      </c>
      <c r="J1081" t="s">
        <v>51</v>
      </c>
      <c r="K1081">
        <v>19701</v>
      </c>
      <c r="L1081">
        <v>3</v>
      </c>
      <c r="M1081" t="s">
        <v>31</v>
      </c>
      <c r="N1081">
        <v>21</v>
      </c>
      <c r="O1081">
        <v>4</v>
      </c>
      <c r="P1081">
        <v>1</v>
      </c>
      <c r="Q1081">
        <v>32</v>
      </c>
      <c r="R1081">
        <v>3</v>
      </c>
      <c r="S1081">
        <v>9</v>
      </c>
      <c r="T1081">
        <v>1</v>
      </c>
      <c r="U1081">
        <v>5</v>
      </c>
      <c r="V1081" t="s">
        <v>58</v>
      </c>
      <c r="W1081" s="2">
        <v>41244</v>
      </c>
      <c r="Y1081" t="s">
        <v>54</v>
      </c>
      <c r="Z1081" t="s">
        <v>40</v>
      </c>
      <c r="AA1081">
        <v>4</v>
      </c>
      <c r="AB1081">
        <v>0</v>
      </c>
      <c r="AC1081" t="s">
        <v>31</v>
      </c>
      <c r="AD1081" t="s">
        <v>65</v>
      </c>
      <c r="AE1081" t="s">
        <v>49</v>
      </c>
      <c r="AF1081" s="3">
        <v>1598</v>
      </c>
      <c r="AG1081" s="3">
        <v>84</v>
      </c>
      <c r="AH1081">
        <v>80</v>
      </c>
      <c r="AI1081">
        <v>4</v>
      </c>
      <c r="AJ1081">
        <v>0</v>
      </c>
      <c r="AL1081">
        <v>0</v>
      </c>
      <c r="AM1081">
        <v>1</v>
      </c>
      <c r="AN1081" t="s">
        <v>768</v>
      </c>
      <c r="AO1081" t="s">
        <v>41</v>
      </c>
    </row>
    <row r="1082" spans="1:41" x14ac:dyDescent="0.25">
      <c r="A1082">
        <v>40</v>
      </c>
      <c r="B1082" t="s">
        <v>81</v>
      </c>
      <c r="C1082" t="s">
        <v>33</v>
      </c>
      <c r="D1082">
        <v>8</v>
      </c>
      <c r="E1082" t="s">
        <v>34</v>
      </c>
      <c r="F1082">
        <v>2</v>
      </c>
      <c r="G1082">
        <v>3</v>
      </c>
      <c r="H1082" t="s">
        <v>50</v>
      </c>
      <c r="I1082">
        <v>2</v>
      </c>
      <c r="J1082" t="s">
        <v>57</v>
      </c>
      <c r="K1082">
        <v>13757</v>
      </c>
      <c r="L1082">
        <v>2</v>
      </c>
      <c r="M1082" t="s">
        <v>41</v>
      </c>
      <c r="N1082">
        <v>11</v>
      </c>
      <c r="O1082">
        <v>3</v>
      </c>
      <c r="P1082">
        <v>1</v>
      </c>
      <c r="Q1082">
        <v>16</v>
      </c>
      <c r="R1082">
        <v>5</v>
      </c>
      <c r="S1082">
        <v>9</v>
      </c>
      <c r="T1082">
        <v>4</v>
      </c>
      <c r="U1082">
        <v>8</v>
      </c>
      <c r="V1082" t="s">
        <v>72</v>
      </c>
      <c r="W1082" s="1" t="s">
        <v>524</v>
      </c>
      <c r="Y1082" t="s">
        <v>54</v>
      </c>
      <c r="Z1082" t="s">
        <v>40</v>
      </c>
      <c r="AA1082">
        <v>0</v>
      </c>
      <c r="AB1082">
        <v>2</v>
      </c>
      <c r="AC1082" t="s">
        <v>31</v>
      </c>
      <c r="AD1082" t="s">
        <v>67</v>
      </c>
      <c r="AE1082" t="s">
        <v>43</v>
      </c>
      <c r="AF1082" s="3">
        <v>1784</v>
      </c>
      <c r="AG1082" s="3">
        <v>91</v>
      </c>
      <c r="AH1082">
        <v>80</v>
      </c>
      <c r="AI1082">
        <v>7</v>
      </c>
      <c r="AJ1082">
        <v>0</v>
      </c>
      <c r="AL1082">
        <v>0</v>
      </c>
      <c r="AM1082">
        <v>1</v>
      </c>
      <c r="AN1082" t="s">
        <v>768</v>
      </c>
      <c r="AO1082" t="s">
        <v>41</v>
      </c>
    </row>
    <row r="1083" spans="1:41" x14ac:dyDescent="0.25">
      <c r="A1083">
        <v>53</v>
      </c>
      <c r="B1083" t="s">
        <v>32</v>
      </c>
      <c r="C1083" t="s">
        <v>33</v>
      </c>
      <c r="D1083">
        <v>2</v>
      </c>
      <c r="E1083" t="s">
        <v>34</v>
      </c>
      <c r="F1083">
        <v>4</v>
      </c>
      <c r="G1083">
        <v>4</v>
      </c>
      <c r="H1083" t="s">
        <v>50</v>
      </c>
      <c r="I1083">
        <v>2</v>
      </c>
      <c r="J1083" t="s">
        <v>36</v>
      </c>
      <c r="K1083">
        <v>16598</v>
      </c>
      <c r="L1083">
        <v>4</v>
      </c>
      <c r="M1083" t="s">
        <v>41</v>
      </c>
      <c r="N1083">
        <v>12</v>
      </c>
      <c r="O1083">
        <v>3</v>
      </c>
      <c r="P1083">
        <v>0</v>
      </c>
      <c r="Q1083">
        <v>35</v>
      </c>
      <c r="R1083">
        <v>2</v>
      </c>
      <c r="S1083">
        <v>9</v>
      </c>
      <c r="T1083">
        <v>8</v>
      </c>
      <c r="U1083">
        <v>8</v>
      </c>
      <c r="V1083" t="s">
        <v>52</v>
      </c>
      <c r="W1083" s="1" t="s">
        <v>543</v>
      </c>
      <c r="Y1083" t="s">
        <v>69</v>
      </c>
      <c r="Z1083" t="s">
        <v>40</v>
      </c>
      <c r="AA1083">
        <v>0</v>
      </c>
      <c r="AB1083">
        <v>1</v>
      </c>
      <c r="AC1083" t="s">
        <v>41</v>
      </c>
      <c r="AD1083" t="s">
        <v>48</v>
      </c>
      <c r="AE1083" t="s">
        <v>60</v>
      </c>
      <c r="AF1083" s="3">
        <v>2024</v>
      </c>
      <c r="AG1083" s="3">
        <v>94</v>
      </c>
      <c r="AH1083">
        <v>80</v>
      </c>
      <c r="AI1083">
        <v>7</v>
      </c>
      <c r="AJ1083">
        <v>0</v>
      </c>
      <c r="AL1083">
        <v>0</v>
      </c>
      <c r="AM1083">
        <v>1</v>
      </c>
      <c r="AN1083" t="s">
        <v>768</v>
      </c>
      <c r="AO1083" t="s">
        <v>41</v>
      </c>
    </row>
    <row r="1084" spans="1:41" x14ac:dyDescent="0.25">
      <c r="A1084">
        <v>29</v>
      </c>
      <c r="B1084" t="s">
        <v>32</v>
      </c>
      <c r="C1084" t="s">
        <v>33</v>
      </c>
      <c r="D1084">
        <v>1</v>
      </c>
      <c r="E1084" t="s">
        <v>34</v>
      </c>
      <c r="F1084">
        <v>2</v>
      </c>
      <c r="G1084">
        <v>1</v>
      </c>
      <c r="H1084" t="s">
        <v>44</v>
      </c>
      <c r="I1084">
        <v>1</v>
      </c>
      <c r="J1084" t="s">
        <v>36</v>
      </c>
      <c r="K1084">
        <v>2362</v>
      </c>
      <c r="L1084">
        <v>6</v>
      </c>
      <c r="M1084" t="s">
        <v>41</v>
      </c>
      <c r="N1084">
        <v>13</v>
      </c>
      <c r="O1084">
        <v>3</v>
      </c>
      <c r="P1084">
        <v>0</v>
      </c>
      <c r="Q1084">
        <v>11</v>
      </c>
      <c r="R1084">
        <v>2</v>
      </c>
      <c r="S1084">
        <v>9</v>
      </c>
      <c r="T1084">
        <v>0</v>
      </c>
      <c r="U1084">
        <v>7</v>
      </c>
      <c r="V1084" t="s">
        <v>58</v>
      </c>
      <c r="W1084" s="2">
        <v>40970</v>
      </c>
      <c r="Y1084" t="s">
        <v>39</v>
      </c>
      <c r="Z1084" t="s">
        <v>40</v>
      </c>
      <c r="AA1084">
        <v>4</v>
      </c>
      <c r="AB1084">
        <v>3</v>
      </c>
      <c r="AC1084" t="s">
        <v>41</v>
      </c>
      <c r="AD1084" t="s">
        <v>48</v>
      </c>
      <c r="AE1084" t="s">
        <v>60</v>
      </c>
      <c r="AF1084" s="3">
        <v>1673</v>
      </c>
      <c r="AG1084" s="3">
        <v>67</v>
      </c>
      <c r="AH1084">
        <v>80</v>
      </c>
      <c r="AI1084">
        <v>0</v>
      </c>
      <c r="AJ1084">
        <v>0</v>
      </c>
      <c r="AL1084">
        <v>0</v>
      </c>
      <c r="AM1084">
        <v>1</v>
      </c>
      <c r="AN1084" t="s">
        <v>768</v>
      </c>
      <c r="AO1084" t="s">
        <v>41</v>
      </c>
    </row>
    <row r="1085" spans="1:41" x14ac:dyDescent="0.25">
      <c r="A1085">
        <v>38</v>
      </c>
      <c r="B1085" t="s">
        <v>32</v>
      </c>
      <c r="C1085" t="s">
        <v>55</v>
      </c>
      <c r="D1085">
        <v>14</v>
      </c>
      <c r="E1085" t="s">
        <v>34</v>
      </c>
      <c r="F1085">
        <v>3</v>
      </c>
      <c r="G1085">
        <v>2</v>
      </c>
      <c r="H1085" t="s">
        <v>70</v>
      </c>
      <c r="I1085">
        <v>2</v>
      </c>
      <c r="J1085" t="s">
        <v>51</v>
      </c>
      <c r="K1085">
        <v>9924</v>
      </c>
      <c r="L1085">
        <v>0</v>
      </c>
      <c r="M1085" t="s">
        <v>41</v>
      </c>
      <c r="N1085">
        <v>11</v>
      </c>
      <c r="O1085">
        <v>3</v>
      </c>
      <c r="P1085">
        <v>1</v>
      </c>
      <c r="Q1085">
        <v>10</v>
      </c>
      <c r="R1085">
        <v>3</v>
      </c>
      <c r="S1085">
        <v>9</v>
      </c>
      <c r="T1085">
        <v>7</v>
      </c>
      <c r="U1085">
        <v>7</v>
      </c>
      <c r="V1085" t="s">
        <v>52</v>
      </c>
      <c r="W1085" s="2">
        <v>41031</v>
      </c>
      <c r="Y1085" t="s">
        <v>63</v>
      </c>
      <c r="Z1085" t="s">
        <v>40</v>
      </c>
      <c r="AA1085">
        <v>4</v>
      </c>
      <c r="AB1085">
        <v>3</v>
      </c>
      <c r="AC1085" t="s">
        <v>41</v>
      </c>
      <c r="AD1085" t="s">
        <v>65</v>
      </c>
      <c r="AE1085" t="s">
        <v>43</v>
      </c>
      <c r="AF1085" s="3">
        <v>1436</v>
      </c>
      <c r="AG1085" s="3">
        <v>98</v>
      </c>
      <c r="AH1085">
        <v>80</v>
      </c>
      <c r="AI1085">
        <v>2</v>
      </c>
      <c r="AJ1085">
        <v>0</v>
      </c>
      <c r="AL1085">
        <v>0</v>
      </c>
      <c r="AM1085">
        <v>1</v>
      </c>
      <c r="AN1085" t="s">
        <v>768</v>
      </c>
      <c r="AO1085" t="s">
        <v>41</v>
      </c>
    </row>
    <row r="1086" spans="1:41" x14ac:dyDescent="0.25">
      <c r="A1086">
        <v>34</v>
      </c>
      <c r="B1086" t="s">
        <v>66</v>
      </c>
      <c r="C1086" t="s">
        <v>33</v>
      </c>
      <c r="D1086">
        <v>10</v>
      </c>
      <c r="E1086" t="s">
        <v>34</v>
      </c>
      <c r="F1086">
        <v>4</v>
      </c>
      <c r="G1086">
        <v>2</v>
      </c>
      <c r="H1086" t="s">
        <v>78</v>
      </c>
      <c r="I1086">
        <v>4</v>
      </c>
      <c r="J1086" t="s">
        <v>57</v>
      </c>
      <c r="K1086">
        <v>4724</v>
      </c>
      <c r="L1086">
        <v>1</v>
      </c>
      <c r="M1086" t="s">
        <v>41</v>
      </c>
      <c r="N1086">
        <v>13</v>
      </c>
      <c r="O1086">
        <v>3</v>
      </c>
      <c r="P1086">
        <v>1</v>
      </c>
      <c r="Q1086">
        <v>9</v>
      </c>
      <c r="R1086">
        <v>3</v>
      </c>
      <c r="S1086">
        <v>9</v>
      </c>
      <c r="T1086">
        <v>7</v>
      </c>
      <c r="U1086">
        <v>2</v>
      </c>
      <c r="V1086" t="s">
        <v>58</v>
      </c>
      <c r="W1086" s="1" t="s">
        <v>544</v>
      </c>
      <c r="Y1086" t="s">
        <v>54</v>
      </c>
      <c r="Z1086" t="s">
        <v>47</v>
      </c>
      <c r="AA1086">
        <v>1</v>
      </c>
      <c r="AB1086">
        <v>1</v>
      </c>
      <c r="AC1086" t="s">
        <v>41</v>
      </c>
      <c r="AD1086" t="s">
        <v>42</v>
      </c>
      <c r="AE1086" t="s">
        <v>43</v>
      </c>
      <c r="AF1086" s="3">
        <v>2016</v>
      </c>
      <c r="AG1086" s="3">
        <v>48</v>
      </c>
      <c r="AH1086">
        <v>80</v>
      </c>
      <c r="AI1086">
        <v>10</v>
      </c>
      <c r="AJ1086">
        <v>0</v>
      </c>
      <c r="AL1086">
        <v>0</v>
      </c>
      <c r="AM1086">
        <v>1</v>
      </c>
      <c r="AN1086" t="s">
        <v>768</v>
      </c>
      <c r="AO1086" t="s">
        <v>41</v>
      </c>
    </row>
    <row r="1087" spans="1:41" x14ac:dyDescent="0.25">
      <c r="A1087">
        <v>49</v>
      </c>
      <c r="B1087" t="s">
        <v>32</v>
      </c>
      <c r="C1087" t="s">
        <v>33</v>
      </c>
      <c r="D1087">
        <v>25</v>
      </c>
      <c r="E1087" t="s">
        <v>61</v>
      </c>
      <c r="F1087">
        <v>3</v>
      </c>
      <c r="G1087">
        <v>1</v>
      </c>
      <c r="H1087" t="s">
        <v>35</v>
      </c>
      <c r="I1087">
        <v>1</v>
      </c>
      <c r="J1087" t="s">
        <v>51</v>
      </c>
      <c r="K1087">
        <v>3211</v>
      </c>
      <c r="L1087">
        <v>1</v>
      </c>
      <c r="M1087" t="s">
        <v>41</v>
      </c>
      <c r="N1087">
        <v>14</v>
      </c>
      <c r="O1087">
        <v>3</v>
      </c>
      <c r="P1087">
        <v>1</v>
      </c>
      <c r="Q1087">
        <v>10</v>
      </c>
      <c r="R1087">
        <v>3</v>
      </c>
      <c r="S1087">
        <v>9</v>
      </c>
      <c r="T1087">
        <v>1</v>
      </c>
      <c r="U1087">
        <v>4</v>
      </c>
      <c r="V1087" t="s">
        <v>52</v>
      </c>
      <c r="W1087" s="1" t="s">
        <v>545</v>
      </c>
      <c r="Y1087" t="s">
        <v>69</v>
      </c>
      <c r="Z1087" t="s">
        <v>40</v>
      </c>
      <c r="AA1087">
        <v>5</v>
      </c>
      <c r="AB1087">
        <v>3</v>
      </c>
      <c r="AC1087" t="s">
        <v>31</v>
      </c>
      <c r="AD1087" t="s">
        <v>42</v>
      </c>
      <c r="AE1087" t="s">
        <v>49</v>
      </c>
      <c r="AF1087" s="3">
        <v>1898</v>
      </c>
      <c r="AG1087" s="3">
        <v>89</v>
      </c>
      <c r="AH1087">
        <v>80</v>
      </c>
      <c r="AI1087">
        <v>7</v>
      </c>
      <c r="AJ1087">
        <v>0</v>
      </c>
      <c r="AL1087">
        <v>0</v>
      </c>
      <c r="AM1087">
        <v>1</v>
      </c>
      <c r="AN1087" t="s">
        <v>768</v>
      </c>
      <c r="AO1087" t="s">
        <v>41</v>
      </c>
    </row>
    <row r="1088" spans="1:41" x14ac:dyDescent="0.25">
      <c r="A1088">
        <v>39</v>
      </c>
      <c r="B1088" t="s">
        <v>66</v>
      </c>
      <c r="C1088" t="s">
        <v>33</v>
      </c>
      <c r="D1088">
        <v>4</v>
      </c>
      <c r="E1088" t="s">
        <v>61</v>
      </c>
      <c r="F1088">
        <v>3</v>
      </c>
      <c r="G1088">
        <v>2</v>
      </c>
      <c r="H1088" t="s">
        <v>78</v>
      </c>
      <c r="I1088">
        <v>3</v>
      </c>
      <c r="J1088" t="s">
        <v>36</v>
      </c>
      <c r="K1088">
        <v>5042</v>
      </c>
      <c r="L1088">
        <v>0</v>
      </c>
      <c r="M1088" t="s">
        <v>41</v>
      </c>
      <c r="N1088">
        <v>13</v>
      </c>
      <c r="O1088">
        <v>3</v>
      </c>
      <c r="P1088">
        <v>0</v>
      </c>
      <c r="Q1088">
        <v>10</v>
      </c>
      <c r="R1088">
        <v>2</v>
      </c>
      <c r="S1088">
        <v>9</v>
      </c>
      <c r="T1088">
        <v>3</v>
      </c>
      <c r="U1088">
        <v>8</v>
      </c>
      <c r="V1088" t="s">
        <v>37</v>
      </c>
      <c r="W1088" s="1" t="s">
        <v>546</v>
      </c>
      <c r="Y1088" t="s">
        <v>46</v>
      </c>
      <c r="Z1088" t="s">
        <v>47</v>
      </c>
      <c r="AA1088">
        <v>5</v>
      </c>
      <c r="AB1088">
        <v>2</v>
      </c>
      <c r="AC1088" t="s">
        <v>41</v>
      </c>
      <c r="AD1088" t="s">
        <v>65</v>
      </c>
      <c r="AE1088" t="s">
        <v>49</v>
      </c>
      <c r="AF1088" s="3">
        <v>1583</v>
      </c>
      <c r="AG1088" s="3">
        <v>90</v>
      </c>
      <c r="AH1088">
        <v>80</v>
      </c>
      <c r="AI1088">
        <v>2</v>
      </c>
      <c r="AJ1088">
        <v>0</v>
      </c>
      <c r="AL1088">
        <v>0</v>
      </c>
      <c r="AM1088">
        <v>1</v>
      </c>
      <c r="AN1088" t="s">
        <v>768</v>
      </c>
      <c r="AO1088" t="s">
        <v>41</v>
      </c>
    </row>
    <row r="1089" spans="1:41" x14ac:dyDescent="0.25">
      <c r="A1089">
        <v>32</v>
      </c>
      <c r="B1089" t="s">
        <v>32</v>
      </c>
      <c r="C1089" t="s">
        <v>33</v>
      </c>
      <c r="D1089">
        <v>2</v>
      </c>
      <c r="E1089" t="s">
        <v>34</v>
      </c>
      <c r="F1089">
        <v>3</v>
      </c>
      <c r="G1089">
        <v>2</v>
      </c>
      <c r="H1089" t="s">
        <v>44</v>
      </c>
      <c r="I1089">
        <v>2</v>
      </c>
      <c r="J1089" t="s">
        <v>57</v>
      </c>
      <c r="K1089">
        <v>5470</v>
      </c>
      <c r="L1089">
        <v>0</v>
      </c>
      <c r="M1089" t="s">
        <v>41</v>
      </c>
      <c r="N1089">
        <v>13</v>
      </c>
      <c r="O1089">
        <v>3</v>
      </c>
      <c r="P1089">
        <v>2</v>
      </c>
      <c r="Q1089">
        <v>10</v>
      </c>
      <c r="R1089">
        <v>4</v>
      </c>
      <c r="S1089">
        <v>9</v>
      </c>
      <c r="T1089">
        <v>1</v>
      </c>
      <c r="U1089">
        <v>6</v>
      </c>
      <c r="V1089" t="s">
        <v>37</v>
      </c>
      <c r="W1089" s="1" t="s">
        <v>547</v>
      </c>
      <c r="Y1089" t="s">
        <v>39</v>
      </c>
      <c r="Z1089" t="s">
        <v>40</v>
      </c>
      <c r="AA1089">
        <v>5</v>
      </c>
      <c r="AB1089">
        <v>1</v>
      </c>
      <c r="AC1089" t="s">
        <v>41</v>
      </c>
      <c r="AD1089" t="s">
        <v>65</v>
      </c>
      <c r="AE1089" t="s">
        <v>43</v>
      </c>
      <c r="AF1089" s="3">
        <v>1585</v>
      </c>
      <c r="AG1089" s="3">
        <v>73</v>
      </c>
      <c r="AH1089">
        <v>80</v>
      </c>
      <c r="AI1089">
        <v>0</v>
      </c>
      <c r="AJ1089">
        <v>0</v>
      </c>
      <c r="AL1089">
        <v>0</v>
      </c>
      <c r="AM1089">
        <v>1</v>
      </c>
      <c r="AN1089" t="s">
        <v>768</v>
      </c>
      <c r="AO1089" t="s">
        <v>41</v>
      </c>
    </row>
    <row r="1090" spans="1:41" x14ac:dyDescent="0.25">
      <c r="A1090">
        <v>48</v>
      </c>
      <c r="B1090" t="s">
        <v>66</v>
      </c>
      <c r="C1090" t="s">
        <v>55</v>
      </c>
      <c r="D1090">
        <v>7</v>
      </c>
      <c r="E1090" t="s">
        <v>61</v>
      </c>
      <c r="F1090">
        <v>3</v>
      </c>
      <c r="G1090">
        <v>1</v>
      </c>
      <c r="H1090" t="s">
        <v>56</v>
      </c>
      <c r="I1090">
        <v>3</v>
      </c>
      <c r="J1090" t="s">
        <v>51</v>
      </c>
      <c r="K1090">
        <v>2655</v>
      </c>
      <c r="L1090">
        <v>2</v>
      </c>
      <c r="M1090" t="s">
        <v>31</v>
      </c>
      <c r="N1090">
        <v>11</v>
      </c>
      <c r="O1090">
        <v>3</v>
      </c>
      <c r="P1090">
        <v>2</v>
      </c>
      <c r="Q1090">
        <v>19</v>
      </c>
      <c r="R1090">
        <v>3</v>
      </c>
      <c r="S1090">
        <v>9</v>
      </c>
      <c r="T1090">
        <v>7</v>
      </c>
      <c r="U1090">
        <v>7</v>
      </c>
      <c r="V1090" t="s">
        <v>72</v>
      </c>
      <c r="W1090" s="1" t="s">
        <v>548</v>
      </c>
      <c r="Y1090" t="s">
        <v>63</v>
      </c>
      <c r="Z1090" t="s">
        <v>47</v>
      </c>
      <c r="AA1090">
        <v>3</v>
      </c>
      <c r="AB1090">
        <v>0</v>
      </c>
      <c r="AC1090" t="s">
        <v>41</v>
      </c>
      <c r="AD1090" t="s">
        <v>42</v>
      </c>
      <c r="AE1090" t="s">
        <v>43</v>
      </c>
      <c r="AF1090" s="3">
        <v>1657</v>
      </c>
      <c r="AG1090" s="3">
        <v>31</v>
      </c>
      <c r="AH1090">
        <v>80</v>
      </c>
      <c r="AI1090">
        <v>2</v>
      </c>
      <c r="AJ1090">
        <v>0</v>
      </c>
      <c r="AL1090">
        <v>0</v>
      </c>
      <c r="AM1090">
        <v>1</v>
      </c>
      <c r="AN1090" t="s">
        <v>768</v>
      </c>
      <c r="AO1090" t="s">
        <v>41</v>
      </c>
    </row>
    <row r="1091" spans="1:41" x14ac:dyDescent="0.25">
      <c r="A1091">
        <v>39</v>
      </c>
      <c r="B1091" t="s">
        <v>81</v>
      </c>
      <c r="C1091" t="s">
        <v>33</v>
      </c>
      <c r="D1091">
        <v>1</v>
      </c>
      <c r="E1091" t="s">
        <v>34</v>
      </c>
      <c r="F1091">
        <v>3</v>
      </c>
      <c r="G1091">
        <v>2</v>
      </c>
      <c r="H1091" t="s">
        <v>35</v>
      </c>
      <c r="I1091">
        <v>4</v>
      </c>
      <c r="J1091" t="s">
        <v>51</v>
      </c>
      <c r="K1091">
        <v>6472</v>
      </c>
      <c r="L1091">
        <v>1</v>
      </c>
      <c r="M1091" t="s">
        <v>31</v>
      </c>
      <c r="N1091">
        <v>15</v>
      </c>
      <c r="O1091">
        <v>3</v>
      </c>
      <c r="P1091">
        <v>1</v>
      </c>
      <c r="Q1091">
        <v>9</v>
      </c>
      <c r="R1091">
        <v>2</v>
      </c>
      <c r="S1091">
        <v>9</v>
      </c>
      <c r="T1091">
        <v>5</v>
      </c>
      <c r="U1091">
        <v>8</v>
      </c>
      <c r="V1091" t="s">
        <v>37</v>
      </c>
      <c r="W1091" s="1" t="s">
        <v>549</v>
      </c>
      <c r="Y1091" t="s">
        <v>54</v>
      </c>
      <c r="Z1091" t="s">
        <v>40</v>
      </c>
      <c r="AA1091">
        <v>4</v>
      </c>
      <c r="AB1091">
        <v>2</v>
      </c>
      <c r="AC1091" t="s">
        <v>31</v>
      </c>
      <c r="AD1091" t="s">
        <v>42</v>
      </c>
      <c r="AE1091" t="s">
        <v>43</v>
      </c>
      <c r="AF1091" s="3">
        <v>1710</v>
      </c>
      <c r="AG1091" s="3">
        <v>51</v>
      </c>
      <c r="AH1091">
        <v>80</v>
      </c>
      <c r="AI1091">
        <v>7</v>
      </c>
      <c r="AJ1091">
        <v>0</v>
      </c>
      <c r="AL1091">
        <v>0</v>
      </c>
      <c r="AM1091">
        <v>1</v>
      </c>
      <c r="AN1091" t="s">
        <v>768</v>
      </c>
      <c r="AO1091" t="s">
        <v>41</v>
      </c>
    </row>
    <row r="1092" spans="1:41" x14ac:dyDescent="0.25">
      <c r="A1092">
        <v>30</v>
      </c>
      <c r="B1092" t="s">
        <v>66</v>
      </c>
      <c r="C1092" t="s">
        <v>33</v>
      </c>
      <c r="D1092">
        <v>2</v>
      </c>
      <c r="E1092" t="s">
        <v>61</v>
      </c>
      <c r="F1092">
        <v>2</v>
      </c>
      <c r="G1092">
        <v>1</v>
      </c>
      <c r="H1092" t="s">
        <v>44</v>
      </c>
      <c r="I1092">
        <v>1</v>
      </c>
      <c r="J1092" t="s">
        <v>36</v>
      </c>
      <c r="K1092">
        <v>4968</v>
      </c>
      <c r="L1092">
        <v>0</v>
      </c>
      <c r="M1092" t="s">
        <v>41</v>
      </c>
      <c r="N1092">
        <v>16</v>
      </c>
      <c r="O1092">
        <v>3</v>
      </c>
      <c r="P1092">
        <v>0</v>
      </c>
      <c r="Q1092">
        <v>10</v>
      </c>
      <c r="R1092">
        <v>2</v>
      </c>
      <c r="S1092">
        <v>9</v>
      </c>
      <c r="T1092">
        <v>0</v>
      </c>
      <c r="U1092">
        <v>7</v>
      </c>
      <c r="V1092" t="s">
        <v>52</v>
      </c>
      <c r="W1092" s="2">
        <v>40940</v>
      </c>
      <c r="Y1092" t="s">
        <v>46</v>
      </c>
      <c r="Z1092" t="s">
        <v>47</v>
      </c>
      <c r="AA1092">
        <v>0</v>
      </c>
      <c r="AB1092">
        <v>2</v>
      </c>
      <c r="AC1092" t="s">
        <v>41</v>
      </c>
      <c r="AD1092" t="s">
        <v>65</v>
      </c>
      <c r="AE1092" t="s">
        <v>49</v>
      </c>
      <c r="AF1092" s="3">
        <v>1779</v>
      </c>
      <c r="AG1092" s="3">
        <v>32</v>
      </c>
      <c r="AH1092">
        <v>80</v>
      </c>
      <c r="AI1092">
        <v>2</v>
      </c>
      <c r="AJ1092">
        <v>0</v>
      </c>
      <c r="AL1092">
        <v>0</v>
      </c>
      <c r="AM1092">
        <v>1</v>
      </c>
      <c r="AN1092" t="s">
        <v>768</v>
      </c>
      <c r="AO1092" t="s">
        <v>41</v>
      </c>
    </row>
    <row r="1093" spans="1:41" x14ac:dyDescent="0.25">
      <c r="A1093">
        <v>33</v>
      </c>
      <c r="B1093" t="s">
        <v>81</v>
      </c>
      <c r="C1093" t="s">
        <v>33</v>
      </c>
      <c r="D1093">
        <v>4</v>
      </c>
      <c r="E1093" t="s">
        <v>34</v>
      </c>
      <c r="F1093">
        <v>3</v>
      </c>
      <c r="G1093">
        <v>2</v>
      </c>
      <c r="H1093" t="s">
        <v>44</v>
      </c>
      <c r="I1093">
        <v>2</v>
      </c>
      <c r="J1093" t="s">
        <v>57</v>
      </c>
      <c r="K1093">
        <v>3055</v>
      </c>
      <c r="L1093">
        <v>5</v>
      </c>
      <c r="M1093" t="s">
        <v>41</v>
      </c>
      <c r="N1093">
        <v>15</v>
      </c>
      <c r="O1093">
        <v>3</v>
      </c>
      <c r="P1093">
        <v>2</v>
      </c>
      <c r="Q1093">
        <v>11</v>
      </c>
      <c r="R1093">
        <v>2</v>
      </c>
      <c r="S1093">
        <v>9</v>
      </c>
      <c r="T1093">
        <v>1</v>
      </c>
      <c r="U1093">
        <v>7</v>
      </c>
      <c r="V1093" t="s">
        <v>58</v>
      </c>
      <c r="W1093" s="2">
        <v>41122</v>
      </c>
      <c r="Y1093" t="s">
        <v>54</v>
      </c>
      <c r="Z1093" t="s">
        <v>47</v>
      </c>
      <c r="AA1093">
        <v>4</v>
      </c>
      <c r="AB1093">
        <v>2</v>
      </c>
      <c r="AC1093" t="s">
        <v>31</v>
      </c>
      <c r="AD1093" t="s">
        <v>42</v>
      </c>
      <c r="AE1093" t="s">
        <v>43</v>
      </c>
      <c r="AF1093" s="3">
        <v>2060</v>
      </c>
      <c r="AG1093" s="3">
        <v>30</v>
      </c>
      <c r="AH1093">
        <v>80</v>
      </c>
      <c r="AI1093">
        <v>2</v>
      </c>
      <c r="AJ1093">
        <v>0</v>
      </c>
      <c r="AL1093">
        <v>0</v>
      </c>
      <c r="AM1093">
        <v>1</v>
      </c>
      <c r="AN1093" t="s">
        <v>768</v>
      </c>
      <c r="AO1093" t="s">
        <v>41</v>
      </c>
    </row>
    <row r="1094" spans="1:41" x14ac:dyDescent="0.25">
      <c r="A1094">
        <v>43</v>
      </c>
      <c r="B1094" t="s">
        <v>32</v>
      </c>
      <c r="C1094" t="s">
        <v>120</v>
      </c>
      <c r="D1094">
        <v>2</v>
      </c>
      <c r="E1094" t="s">
        <v>34</v>
      </c>
      <c r="F1094">
        <v>3</v>
      </c>
      <c r="G1094">
        <v>1</v>
      </c>
      <c r="H1094" t="s">
        <v>120</v>
      </c>
      <c r="I1094">
        <v>4</v>
      </c>
      <c r="J1094" t="s">
        <v>36</v>
      </c>
      <c r="K1094">
        <v>3539</v>
      </c>
      <c r="L1094">
        <v>0</v>
      </c>
      <c r="M1094" t="s">
        <v>41</v>
      </c>
      <c r="N1094">
        <v>13</v>
      </c>
      <c r="O1094">
        <v>3</v>
      </c>
      <c r="P1094">
        <v>0</v>
      </c>
      <c r="Q1094">
        <v>10</v>
      </c>
      <c r="R1094">
        <v>5</v>
      </c>
      <c r="S1094">
        <v>9</v>
      </c>
      <c r="T1094">
        <v>1</v>
      </c>
      <c r="U1094">
        <v>8</v>
      </c>
      <c r="V1094" t="s">
        <v>58</v>
      </c>
      <c r="W1094" s="2">
        <v>40973</v>
      </c>
      <c r="Y1094" t="s">
        <v>69</v>
      </c>
      <c r="Z1094" t="s">
        <v>40</v>
      </c>
      <c r="AA1094">
        <v>3</v>
      </c>
      <c r="AB1094">
        <v>1</v>
      </c>
      <c r="AC1094" t="s">
        <v>41</v>
      </c>
      <c r="AD1094" t="s">
        <v>48</v>
      </c>
      <c r="AE1094" t="s">
        <v>43</v>
      </c>
      <c r="AF1094" s="3">
        <v>2046</v>
      </c>
      <c r="AG1094" s="3">
        <v>50</v>
      </c>
      <c r="AH1094">
        <v>80</v>
      </c>
      <c r="AI1094">
        <v>3</v>
      </c>
      <c r="AJ1094">
        <v>0</v>
      </c>
      <c r="AL1094">
        <v>0</v>
      </c>
      <c r="AM1094">
        <v>1</v>
      </c>
      <c r="AN1094" t="s">
        <v>768</v>
      </c>
      <c r="AO1094" t="s">
        <v>41</v>
      </c>
    </row>
    <row r="1095" spans="1:41" x14ac:dyDescent="0.25">
      <c r="A1095">
        <v>46</v>
      </c>
      <c r="B1095" t="s">
        <v>32</v>
      </c>
      <c r="C1095" t="s">
        <v>33</v>
      </c>
      <c r="D1095">
        <v>21</v>
      </c>
      <c r="E1095" t="s">
        <v>61</v>
      </c>
      <c r="F1095">
        <v>3</v>
      </c>
      <c r="G1095">
        <v>2</v>
      </c>
      <c r="H1095" t="s">
        <v>89</v>
      </c>
      <c r="I1095">
        <v>2</v>
      </c>
      <c r="J1095" t="s">
        <v>51</v>
      </c>
      <c r="K1095">
        <v>8926</v>
      </c>
      <c r="L1095">
        <v>4</v>
      </c>
      <c r="M1095" t="s">
        <v>41</v>
      </c>
      <c r="N1095">
        <v>22</v>
      </c>
      <c r="O1095">
        <v>4</v>
      </c>
      <c r="P1095">
        <v>1</v>
      </c>
      <c r="Q1095">
        <v>13</v>
      </c>
      <c r="R1095">
        <v>2</v>
      </c>
      <c r="S1095">
        <v>9</v>
      </c>
      <c r="T1095">
        <v>3</v>
      </c>
      <c r="U1095">
        <v>7</v>
      </c>
      <c r="V1095" t="s">
        <v>37</v>
      </c>
      <c r="W1095" s="1" t="s">
        <v>550</v>
      </c>
      <c r="Y1095" t="s">
        <v>63</v>
      </c>
      <c r="Z1095" t="s">
        <v>40</v>
      </c>
      <c r="AA1095">
        <v>0</v>
      </c>
      <c r="AB1095">
        <v>3</v>
      </c>
      <c r="AC1095" t="s">
        <v>41</v>
      </c>
      <c r="AD1095" t="s">
        <v>67</v>
      </c>
      <c r="AE1095" t="s">
        <v>49</v>
      </c>
      <c r="AF1095" s="3">
        <v>1757</v>
      </c>
      <c r="AG1095" s="3">
        <v>80</v>
      </c>
      <c r="AH1095">
        <v>80</v>
      </c>
      <c r="AI1095">
        <v>1</v>
      </c>
      <c r="AJ1095">
        <v>0</v>
      </c>
      <c r="AL1095">
        <v>0</v>
      </c>
      <c r="AM1095">
        <v>1</v>
      </c>
      <c r="AN1095" t="s">
        <v>768</v>
      </c>
      <c r="AO1095" t="s">
        <v>41</v>
      </c>
    </row>
    <row r="1096" spans="1:41" x14ac:dyDescent="0.25">
      <c r="A1096">
        <v>46</v>
      </c>
      <c r="B1096" t="s">
        <v>32</v>
      </c>
      <c r="C1096" t="s">
        <v>33</v>
      </c>
      <c r="D1096">
        <v>2</v>
      </c>
      <c r="E1096" t="s">
        <v>34</v>
      </c>
      <c r="F1096">
        <v>3</v>
      </c>
      <c r="G1096">
        <v>3</v>
      </c>
      <c r="H1096" t="s">
        <v>78</v>
      </c>
      <c r="I1096">
        <v>4</v>
      </c>
      <c r="J1096" t="s">
        <v>57</v>
      </c>
      <c r="K1096">
        <v>8578</v>
      </c>
      <c r="L1096">
        <v>3</v>
      </c>
      <c r="M1096" t="s">
        <v>41</v>
      </c>
      <c r="N1096">
        <v>14</v>
      </c>
      <c r="O1096">
        <v>3</v>
      </c>
      <c r="P1096">
        <v>1</v>
      </c>
      <c r="Q1096">
        <v>12</v>
      </c>
      <c r="R1096">
        <v>4</v>
      </c>
      <c r="S1096">
        <v>9</v>
      </c>
      <c r="T1096">
        <v>4</v>
      </c>
      <c r="U1096">
        <v>7</v>
      </c>
      <c r="V1096" t="s">
        <v>72</v>
      </c>
      <c r="W1096" s="1" t="s">
        <v>544</v>
      </c>
      <c r="Y1096" t="s">
        <v>63</v>
      </c>
      <c r="Z1096" t="s">
        <v>40</v>
      </c>
      <c r="AA1096">
        <v>2</v>
      </c>
      <c r="AB1096">
        <v>3</v>
      </c>
      <c r="AC1096" t="s">
        <v>31</v>
      </c>
      <c r="AD1096" t="s">
        <v>42</v>
      </c>
      <c r="AE1096" t="s">
        <v>43</v>
      </c>
      <c r="AF1096" s="3">
        <v>1858</v>
      </c>
      <c r="AG1096" s="3">
        <v>43</v>
      </c>
      <c r="AH1096">
        <v>80</v>
      </c>
      <c r="AI1096">
        <v>2</v>
      </c>
      <c r="AJ1096">
        <v>0</v>
      </c>
      <c r="AL1096">
        <v>0</v>
      </c>
      <c r="AM1096">
        <v>1</v>
      </c>
      <c r="AN1096" t="s">
        <v>768</v>
      </c>
      <c r="AO1096" t="s">
        <v>41</v>
      </c>
    </row>
    <row r="1097" spans="1:41" x14ac:dyDescent="0.25">
      <c r="A1097">
        <v>27</v>
      </c>
      <c r="B1097" t="s">
        <v>32</v>
      </c>
      <c r="C1097" t="s">
        <v>55</v>
      </c>
      <c r="D1097">
        <v>23</v>
      </c>
      <c r="E1097" t="s">
        <v>61</v>
      </c>
      <c r="F1097">
        <v>2</v>
      </c>
      <c r="G1097">
        <v>2</v>
      </c>
      <c r="H1097" t="s">
        <v>56</v>
      </c>
      <c r="I1097">
        <v>3</v>
      </c>
      <c r="J1097" t="s">
        <v>51</v>
      </c>
      <c r="K1097">
        <v>3540</v>
      </c>
      <c r="L1097">
        <v>1</v>
      </c>
      <c r="M1097" t="s">
        <v>41</v>
      </c>
      <c r="N1097">
        <v>21</v>
      </c>
      <c r="O1097">
        <v>4</v>
      </c>
      <c r="P1097">
        <v>1</v>
      </c>
      <c r="Q1097">
        <v>9</v>
      </c>
      <c r="R1097">
        <v>5</v>
      </c>
      <c r="S1097">
        <v>9</v>
      </c>
      <c r="T1097">
        <v>5</v>
      </c>
      <c r="U1097">
        <v>8</v>
      </c>
      <c r="V1097" t="s">
        <v>52</v>
      </c>
      <c r="W1097" s="2">
        <v>41157</v>
      </c>
      <c r="Y1097" t="s">
        <v>46</v>
      </c>
      <c r="Z1097" t="s">
        <v>47</v>
      </c>
      <c r="AA1097">
        <v>3</v>
      </c>
      <c r="AB1097">
        <v>2</v>
      </c>
      <c r="AC1097" t="s">
        <v>41</v>
      </c>
      <c r="AD1097" t="s">
        <v>65</v>
      </c>
      <c r="AE1097" t="s">
        <v>43</v>
      </c>
      <c r="AF1097" s="3">
        <v>1805</v>
      </c>
      <c r="AG1097" s="3">
        <v>100</v>
      </c>
      <c r="AH1097">
        <v>80</v>
      </c>
      <c r="AI1097">
        <v>10</v>
      </c>
      <c r="AJ1097">
        <v>0</v>
      </c>
      <c r="AL1097">
        <v>0</v>
      </c>
      <c r="AM1097">
        <v>1</v>
      </c>
      <c r="AN1097" t="s">
        <v>768</v>
      </c>
      <c r="AO1097" t="s">
        <v>41</v>
      </c>
    </row>
    <row r="1098" spans="1:41" x14ac:dyDescent="0.25">
      <c r="A1098">
        <v>45</v>
      </c>
      <c r="B1098" t="s">
        <v>32</v>
      </c>
      <c r="C1098" t="s">
        <v>33</v>
      </c>
      <c r="D1098">
        <v>25</v>
      </c>
      <c r="E1098" t="s">
        <v>61</v>
      </c>
      <c r="F1098">
        <v>2</v>
      </c>
      <c r="G1098">
        <v>2</v>
      </c>
      <c r="H1098" t="s">
        <v>78</v>
      </c>
      <c r="I1098">
        <v>4</v>
      </c>
      <c r="J1098" t="s">
        <v>51</v>
      </c>
      <c r="K1098">
        <v>5906</v>
      </c>
      <c r="L1098">
        <v>0</v>
      </c>
      <c r="M1098" t="s">
        <v>41</v>
      </c>
      <c r="N1098">
        <v>13</v>
      </c>
      <c r="O1098">
        <v>3</v>
      </c>
      <c r="P1098">
        <v>2</v>
      </c>
      <c r="Q1098">
        <v>10</v>
      </c>
      <c r="R1098">
        <v>2</v>
      </c>
      <c r="S1098">
        <v>9</v>
      </c>
      <c r="T1098">
        <v>3</v>
      </c>
      <c r="U1098">
        <v>8</v>
      </c>
      <c r="V1098" t="s">
        <v>52</v>
      </c>
      <c r="W1098" s="1" t="s">
        <v>551</v>
      </c>
      <c r="Y1098" t="s">
        <v>63</v>
      </c>
      <c r="Z1098" t="s">
        <v>47</v>
      </c>
      <c r="AA1098">
        <v>3</v>
      </c>
      <c r="AB1098">
        <v>1</v>
      </c>
      <c r="AC1098" t="s">
        <v>31</v>
      </c>
      <c r="AD1098" t="s">
        <v>65</v>
      </c>
      <c r="AE1098" t="s">
        <v>43</v>
      </c>
      <c r="AF1098" s="3">
        <v>1722</v>
      </c>
      <c r="AG1098" s="3">
        <v>60</v>
      </c>
      <c r="AH1098">
        <v>80</v>
      </c>
      <c r="AI1098">
        <v>2</v>
      </c>
      <c r="AJ1098">
        <v>0</v>
      </c>
      <c r="AL1098">
        <v>0</v>
      </c>
      <c r="AM1098">
        <v>1</v>
      </c>
      <c r="AN1098" t="s">
        <v>768</v>
      </c>
      <c r="AO1098" t="s">
        <v>41</v>
      </c>
    </row>
    <row r="1099" spans="1:41" x14ac:dyDescent="0.25">
      <c r="A1099">
        <v>33</v>
      </c>
      <c r="B1099" t="s">
        <v>66</v>
      </c>
      <c r="C1099" t="s">
        <v>33</v>
      </c>
      <c r="D1099">
        <v>7</v>
      </c>
      <c r="E1099" t="s">
        <v>34</v>
      </c>
      <c r="F1099">
        <v>3</v>
      </c>
      <c r="G1099">
        <v>2</v>
      </c>
      <c r="H1099" t="s">
        <v>89</v>
      </c>
      <c r="I1099">
        <v>3</v>
      </c>
      <c r="J1099" t="s">
        <v>57</v>
      </c>
      <c r="K1099">
        <v>5968</v>
      </c>
      <c r="L1099">
        <v>1</v>
      </c>
      <c r="M1099" t="s">
        <v>41</v>
      </c>
      <c r="N1099">
        <v>20</v>
      </c>
      <c r="O1099">
        <v>4</v>
      </c>
      <c r="P1099">
        <v>3</v>
      </c>
      <c r="Q1099">
        <v>9</v>
      </c>
      <c r="R1099">
        <v>2</v>
      </c>
      <c r="S1099">
        <v>9</v>
      </c>
      <c r="T1099">
        <v>2</v>
      </c>
      <c r="U1099">
        <v>8</v>
      </c>
      <c r="V1099" t="s">
        <v>72</v>
      </c>
      <c r="W1099" s="1" t="s">
        <v>521</v>
      </c>
      <c r="Y1099" t="s">
        <v>69</v>
      </c>
      <c r="Z1099" t="s">
        <v>47</v>
      </c>
      <c r="AA1099">
        <v>1</v>
      </c>
      <c r="AB1099">
        <v>0</v>
      </c>
      <c r="AC1099" t="s">
        <v>41</v>
      </c>
      <c r="AD1099" t="s">
        <v>42</v>
      </c>
      <c r="AE1099" t="s">
        <v>43</v>
      </c>
      <c r="AF1099" s="3">
        <v>1804</v>
      </c>
      <c r="AG1099" s="3">
        <v>90</v>
      </c>
      <c r="AH1099">
        <v>80</v>
      </c>
      <c r="AI1099">
        <v>7</v>
      </c>
      <c r="AJ1099">
        <v>0</v>
      </c>
      <c r="AL1099">
        <v>0</v>
      </c>
      <c r="AM1099">
        <v>1</v>
      </c>
      <c r="AN1099" t="s">
        <v>768</v>
      </c>
      <c r="AO1099" t="s">
        <v>41</v>
      </c>
    </row>
    <row r="1100" spans="1:41" x14ac:dyDescent="0.25">
      <c r="A1100">
        <v>33</v>
      </c>
      <c r="B1100" t="s">
        <v>32</v>
      </c>
      <c r="C1100" t="s">
        <v>33</v>
      </c>
      <c r="D1100">
        <v>15</v>
      </c>
      <c r="E1100" t="s">
        <v>61</v>
      </c>
      <c r="F1100">
        <v>3</v>
      </c>
      <c r="G1100">
        <v>2</v>
      </c>
      <c r="H1100" t="s">
        <v>89</v>
      </c>
      <c r="I1100">
        <v>4</v>
      </c>
      <c r="J1100" t="s">
        <v>51</v>
      </c>
      <c r="K1100">
        <v>4878</v>
      </c>
      <c r="L1100">
        <v>0</v>
      </c>
      <c r="M1100" t="s">
        <v>31</v>
      </c>
      <c r="N1100">
        <v>13</v>
      </c>
      <c r="O1100">
        <v>3</v>
      </c>
      <c r="P1100">
        <v>1</v>
      </c>
      <c r="Q1100">
        <v>10</v>
      </c>
      <c r="R1100">
        <v>6</v>
      </c>
      <c r="S1100">
        <v>9</v>
      </c>
      <c r="T1100">
        <v>8</v>
      </c>
      <c r="U1100">
        <v>1</v>
      </c>
      <c r="V1100" t="s">
        <v>52</v>
      </c>
      <c r="W1100" s="2">
        <v>41032</v>
      </c>
      <c r="Y1100" t="s">
        <v>69</v>
      </c>
      <c r="Z1100" t="s">
        <v>40</v>
      </c>
      <c r="AA1100">
        <v>0</v>
      </c>
      <c r="AB1100">
        <v>3</v>
      </c>
      <c r="AC1100" t="s">
        <v>41</v>
      </c>
      <c r="AD1100" t="s">
        <v>65</v>
      </c>
      <c r="AE1100" t="s">
        <v>49</v>
      </c>
      <c r="AF1100" s="3">
        <v>1468</v>
      </c>
      <c r="AG1100" s="3">
        <v>55</v>
      </c>
      <c r="AH1100">
        <v>80</v>
      </c>
      <c r="AI1100">
        <v>8</v>
      </c>
      <c r="AJ1100">
        <v>0</v>
      </c>
      <c r="AL1100">
        <v>0</v>
      </c>
      <c r="AM1100">
        <v>1</v>
      </c>
      <c r="AN1100" t="s">
        <v>768</v>
      </c>
      <c r="AO1100" t="s">
        <v>41</v>
      </c>
    </row>
    <row r="1101" spans="1:41" x14ac:dyDescent="0.25">
      <c r="A1101">
        <v>52</v>
      </c>
      <c r="B1101" t="s">
        <v>81</v>
      </c>
      <c r="C1101" t="s">
        <v>55</v>
      </c>
      <c r="D1101">
        <v>29</v>
      </c>
      <c r="E1101" t="s">
        <v>34</v>
      </c>
      <c r="F1101">
        <v>3</v>
      </c>
      <c r="G1101">
        <v>1</v>
      </c>
      <c r="H1101" t="s">
        <v>56</v>
      </c>
      <c r="I1101">
        <v>4</v>
      </c>
      <c r="J1101" t="s">
        <v>57</v>
      </c>
      <c r="K1101">
        <v>3482</v>
      </c>
      <c r="L1101">
        <v>2</v>
      </c>
      <c r="M1101" t="s">
        <v>41</v>
      </c>
      <c r="N1101">
        <v>15</v>
      </c>
      <c r="O1101">
        <v>3</v>
      </c>
      <c r="P1101">
        <v>2</v>
      </c>
      <c r="Q1101">
        <v>16</v>
      </c>
      <c r="R1101">
        <v>3</v>
      </c>
      <c r="S1101">
        <v>9</v>
      </c>
      <c r="T1101">
        <v>0</v>
      </c>
      <c r="U1101">
        <v>0</v>
      </c>
      <c r="V1101" t="s">
        <v>58</v>
      </c>
      <c r="W1101" s="2">
        <v>41185</v>
      </c>
      <c r="Y1101" t="s">
        <v>39</v>
      </c>
      <c r="Z1101" t="s">
        <v>47</v>
      </c>
      <c r="AA1101">
        <v>1</v>
      </c>
      <c r="AB1101">
        <v>1</v>
      </c>
      <c r="AC1101" t="s">
        <v>41</v>
      </c>
      <c r="AD1101" t="s">
        <v>42</v>
      </c>
      <c r="AE1101" t="s">
        <v>49</v>
      </c>
      <c r="AF1101" s="3">
        <v>1482</v>
      </c>
      <c r="AG1101" s="3">
        <v>64</v>
      </c>
      <c r="AH1101">
        <v>80</v>
      </c>
      <c r="AI1101">
        <v>0</v>
      </c>
      <c r="AJ1101">
        <v>0</v>
      </c>
      <c r="AL1101">
        <v>0</v>
      </c>
      <c r="AM1101">
        <v>1</v>
      </c>
      <c r="AN1101" t="s">
        <v>768</v>
      </c>
      <c r="AO1101" t="s">
        <v>41</v>
      </c>
    </row>
    <row r="1102" spans="1:41" x14ac:dyDescent="0.25">
      <c r="A1102">
        <v>36</v>
      </c>
      <c r="B1102" t="s">
        <v>32</v>
      </c>
      <c r="C1102" t="s">
        <v>55</v>
      </c>
      <c r="D1102">
        <v>3</v>
      </c>
      <c r="E1102" t="s">
        <v>61</v>
      </c>
      <c r="F1102">
        <v>2</v>
      </c>
      <c r="G1102">
        <v>3</v>
      </c>
      <c r="H1102" t="s">
        <v>70</v>
      </c>
      <c r="I1102">
        <v>4</v>
      </c>
      <c r="J1102" t="s">
        <v>51</v>
      </c>
      <c r="K1102">
        <v>7644</v>
      </c>
      <c r="L1102">
        <v>0</v>
      </c>
      <c r="M1102" t="s">
        <v>41</v>
      </c>
      <c r="N1102">
        <v>19</v>
      </c>
      <c r="O1102">
        <v>3</v>
      </c>
      <c r="P1102">
        <v>2</v>
      </c>
      <c r="Q1102">
        <v>10</v>
      </c>
      <c r="R1102">
        <v>2</v>
      </c>
      <c r="S1102">
        <v>9</v>
      </c>
      <c r="T1102">
        <v>3</v>
      </c>
      <c r="U1102">
        <v>4</v>
      </c>
      <c r="V1102" t="s">
        <v>37</v>
      </c>
      <c r="W1102" s="2">
        <v>41095</v>
      </c>
      <c r="Y1102" t="s">
        <v>39</v>
      </c>
      <c r="Z1102" t="s">
        <v>40</v>
      </c>
      <c r="AA1102">
        <v>5</v>
      </c>
      <c r="AB1102">
        <v>0</v>
      </c>
      <c r="AC1102" t="s">
        <v>31</v>
      </c>
      <c r="AD1102" t="s">
        <v>48</v>
      </c>
      <c r="AE1102" t="s">
        <v>49</v>
      </c>
      <c r="AF1102" s="3">
        <v>1449</v>
      </c>
      <c r="AG1102" s="3">
        <v>81</v>
      </c>
      <c r="AH1102">
        <v>80</v>
      </c>
      <c r="AI1102">
        <v>7</v>
      </c>
      <c r="AJ1102">
        <v>0</v>
      </c>
      <c r="AL1102">
        <v>0</v>
      </c>
      <c r="AM1102">
        <v>1</v>
      </c>
      <c r="AN1102" t="s">
        <v>768</v>
      </c>
      <c r="AO1102" t="s">
        <v>41</v>
      </c>
    </row>
    <row r="1103" spans="1:41" x14ac:dyDescent="0.25">
      <c r="A1103">
        <v>35</v>
      </c>
      <c r="B1103" t="s">
        <v>32</v>
      </c>
      <c r="C1103" t="s">
        <v>120</v>
      </c>
      <c r="D1103">
        <v>26</v>
      </c>
      <c r="E1103" t="s">
        <v>61</v>
      </c>
      <c r="F1103">
        <v>3</v>
      </c>
      <c r="G1103">
        <v>3</v>
      </c>
      <c r="H1103" t="s">
        <v>120</v>
      </c>
      <c r="I1103">
        <v>4</v>
      </c>
      <c r="J1103" t="s">
        <v>36</v>
      </c>
      <c r="K1103">
        <v>8837</v>
      </c>
      <c r="L1103">
        <v>1</v>
      </c>
      <c r="M1103" t="s">
        <v>31</v>
      </c>
      <c r="N1103">
        <v>16</v>
      </c>
      <c r="O1103">
        <v>3</v>
      </c>
      <c r="P1103">
        <v>0</v>
      </c>
      <c r="Q1103">
        <v>9</v>
      </c>
      <c r="R1103">
        <v>2</v>
      </c>
      <c r="S1103">
        <v>9</v>
      </c>
      <c r="T1103">
        <v>1</v>
      </c>
      <c r="U1103">
        <v>7</v>
      </c>
      <c r="V1103" t="s">
        <v>37</v>
      </c>
      <c r="W1103" s="1" t="s">
        <v>537</v>
      </c>
      <c r="Y1103" t="s">
        <v>46</v>
      </c>
      <c r="Z1103" t="s">
        <v>47</v>
      </c>
      <c r="AA1103">
        <v>4</v>
      </c>
      <c r="AB1103">
        <v>1</v>
      </c>
      <c r="AC1103" t="s">
        <v>31</v>
      </c>
      <c r="AD1103" t="s">
        <v>42</v>
      </c>
      <c r="AE1103" t="s">
        <v>49</v>
      </c>
      <c r="AF1103" s="3">
        <v>1771</v>
      </c>
      <c r="AG1103" s="3">
        <v>90</v>
      </c>
      <c r="AH1103">
        <v>80</v>
      </c>
      <c r="AI1103">
        <v>8</v>
      </c>
      <c r="AJ1103">
        <v>0</v>
      </c>
      <c r="AL1103">
        <v>0</v>
      </c>
      <c r="AM1103">
        <v>1</v>
      </c>
      <c r="AN1103" t="s">
        <v>768</v>
      </c>
      <c r="AO1103" t="s">
        <v>41</v>
      </c>
    </row>
    <row r="1104" spans="1:41" x14ac:dyDescent="0.25">
      <c r="A1104">
        <v>31</v>
      </c>
      <c r="B1104" t="s">
        <v>81</v>
      </c>
      <c r="C1104" t="s">
        <v>33</v>
      </c>
      <c r="D1104">
        <v>5</v>
      </c>
      <c r="E1104" t="s">
        <v>34</v>
      </c>
      <c r="F1104">
        <v>3</v>
      </c>
      <c r="G1104">
        <v>2</v>
      </c>
      <c r="H1104" t="s">
        <v>78</v>
      </c>
      <c r="I1104">
        <v>1</v>
      </c>
      <c r="J1104" t="s">
        <v>36</v>
      </c>
      <c r="K1104">
        <v>9936</v>
      </c>
      <c r="L1104">
        <v>0</v>
      </c>
      <c r="M1104" t="s">
        <v>41</v>
      </c>
      <c r="N1104">
        <v>19</v>
      </c>
      <c r="O1104">
        <v>3</v>
      </c>
      <c r="P1104">
        <v>0</v>
      </c>
      <c r="Q1104">
        <v>10</v>
      </c>
      <c r="R1104">
        <v>2</v>
      </c>
      <c r="S1104">
        <v>9</v>
      </c>
      <c r="T1104">
        <v>1</v>
      </c>
      <c r="U1104">
        <v>7</v>
      </c>
      <c r="V1104" t="s">
        <v>58</v>
      </c>
      <c r="W1104" s="1" t="s">
        <v>552</v>
      </c>
      <c r="Y1104" t="s">
        <v>63</v>
      </c>
      <c r="Z1104" t="s">
        <v>47</v>
      </c>
      <c r="AA1104">
        <v>2</v>
      </c>
      <c r="AB1104">
        <v>2</v>
      </c>
      <c r="AC1104" t="s">
        <v>41</v>
      </c>
      <c r="AD1104" t="s">
        <v>65</v>
      </c>
      <c r="AE1104" t="s">
        <v>43</v>
      </c>
      <c r="AF1104" s="3">
        <v>1994</v>
      </c>
      <c r="AG1104" s="3">
        <v>59</v>
      </c>
      <c r="AH1104">
        <v>80</v>
      </c>
      <c r="AI1104">
        <v>1</v>
      </c>
      <c r="AJ1104">
        <v>0</v>
      </c>
      <c r="AL1104">
        <v>0</v>
      </c>
      <c r="AM1104">
        <v>1</v>
      </c>
      <c r="AN1104" t="s">
        <v>768</v>
      </c>
      <c r="AO1104" t="s">
        <v>41</v>
      </c>
    </row>
    <row r="1105" spans="1:41" x14ac:dyDescent="0.25">
      <c r="A1105">
        <v>49</v>
      </c>
      <c r="B1105" t="s">
        <v>66</v>
      </c>
      <c r="C1105" t="s">
        <v>55</v>
      </c>
      <c r="D1105">
        <v>2</v>
      </c>
      <c r="E1105" t="s">
        <v>34</v>
      </c>
      <c r="F1105">
        <v>2</v>
      </c>
      <c r="G1105">
        <v>2</v>
      </c>
      <c r="H1105" t="s">
        <v>70</v>
      </c>
      <c r="I1105">
        <v>2</v>
      </c>
      <c r="J1105" t="s">
        <v>51</v>
      </c>
      <c r="K1105">
        <v>5390</v>
      </c>
      <c r="L1105">
        <v>2</v>
      </c>
      <c r="M1105" t="s">
        <v>41</v>
      </c>
      <c r="N1105">
        <v>14</v>
      </c>
      <c r="O1105">
        <v>3</v>
      </c>
      <c r="P1105">
        <v>0</v>
      </c>
      <c r="Q1105">
        <v>17</v>
      </c>
      <c r="R1105">
        <v>3</v>
      </c>
      <c r="S1105">
        <v>9</v>
      </c>
      <c r="T1105">
        <v>0</v>
      </c>
      <c r="U1105">
        <v>8</v>
      </c>
      <c r="V1105" t="s">
        <v>58</v>
      </c>
      <c r="W1105" s="1" t="s">
        <v>553</v>
      </c>
      <c r="Y1105" t="s">
        <v>39</v>
      </c>
      <c r="Z1105" t="s">
        <v>47</v>
      </c>
      <c r="AA1105">
        <v>3</v>
      </c>
      <c r="AB1105">
        <v>0</v>
      </c>
      <c r="AC1105" t="s">
        <v>41</v>
      </c>
      <c r="AD1105" t="s">
        <v>65</v>
      </c>
      <c r="AE1105" t="s">
        <v>43</v>
      </c>
      <c r="AF1105" s="3">
        <v>1934</v>
      </c>
      <c r="AG1105" s="3">
        <v>64</v>
      </c>
      <c r="AH1105">
        <v>80</v>
      </c>
      <c r="AI1105">
        <v>7</v>
      </c>
      <c r="AJ1105">
        <v>0</v>
      </c>
      <c r="AL1105">
        <v>0</v>
      </c>
      <c r="AM1105">
        <v>1</v>
      </c>
      <c r="AN1105" t="s">
        <v>768</v>
      </c>
      <c r="AO1105" t="s">
        <v>41</v>
      </c>
    </row>
    <row r="1106" spans="1:41" x14ac:dyDescent="0.25">
      <c r="A1106">
        <v>49</v>
      </c>
      <c r="B1106" t="s">
        <v>66</v>
      </c>
      <c r="C1106" t="s">
        <v>33</v>
      </c>
      <c r="D1106">
        <v>8</v>
      </c>
      <c r="E1106" t="s">
        <v>34</v>
      </c>
      <c r="F1106">
        <v>2</v>
      </c>
      <c r="G1106">
        <v>2</v>
      </c>
      <c r="H1106" t="s">
        <v>44</v>
      </c>
      <c r="I1106">
        <v>2</v>
      </c>
      <c r="J1106" t="s">
        <v>51</v>
      </c>
      <c r="K1106">
        <v>5130</v>
      </c>
      <c r="L1106">
        <v>1</v>
      </c>
      <c r="M1106" t="s">
        <v>41</v>
      </c>
      <c r="N1106">
        <v>23</v>
      </c>
      <c r="O1106">
        <v>4</v>
      </c>
      <c r="P1106">
        <v>1</v>
      </c>
      <c r="Q1106">
        <v>10</v>
      </c>
      <c r="R1106">
        <v>3</v>
      </c>
      <c r="S1106">
        <v>10</v>
      </c>
      <c r="T1106">
        <v>1</v>
      </c>
      <c r="U1106">
        <v>7</v>
      </c>
      <c r="V1106" t="s">
        <v>37</v>
      </c>
      <c r="W1106" s="2">
        <v>40697</v>
      </c>
      <c r="Y1106" t="s">
        <v>39</v>
      </c>
      <c r="Z1106" t="s">
        <v>40</v>
      </c>
      <c r="AA1106">
        <v>2</v>
      </c>
      <c r="AB1106">
        <v>0</v>
      </c>
      <c r="AC1106" t="s">
        <v>41</v>
      </c>
      <c r="AD1106" t="s">
        <v>48</v>
      </c>
      <c r="AE1106" t="s">
        <v>60</v>
      </c>
      <c r="AF1106" s="3">
        <v>1574</v>
      </c>
      <c r="AG1106" s="3">
        <v>62</v>
      </c>
      <c r="AH1106">
        <v>80</v>
      </c>
      <c r="AI1106">
        <v>5</v>
      </c>
      <c r="AJ1106">
        <v>0</v>
      </c>
      <c r="AL1106">
        <v>0</v>
      </c>
      <c r="AM1106">
        <v>1</v>
      </c>
      <c r="AN1106" t="s">
        <v>768</v>
      </c>
      <c r="AO1106" t="s">
        <v>41</v>
      </c>
    </row>
    <row r="1107" spans="1:41" x14ac:dyDescent="0.25">
      <c r="A1107">
        <v>29</v>
      </c>
      <c r="B1107" t="s">
        <v>32</v>
      </c>
      <c r="C1107" t="s">
        <v>33</v>
      </c>
      <c r="D1107">
        <v>21</v>
      </c>
      <c r="E1107" t="s">
        <v>61</v>
      </c>
      <c r="F1107">
        <v>4</v>
      </c>
      <c r="G1107">
        <v>3</v>
      </c>
      <c r="H1107" t="s">
        <v>78</v>
      </c>
      <c r="I1107">
        <v>1</v>
      </c>
      <c r="J1107" t="s">
        <v>57</v>
      </c>
      <c r="K1107">
        <v>9980</v>
      </c>
      <c r="L1107">
        <v>1</v>
      </c>
      <c r="M1107" t="s">
        <v>41</v>
      </c>
      <c r="N1107">
        <v>11</v>
      </c>
      <c r="O1107">
        <v>3</v>
      </c>
      <c r="P1107">
        <v>1</v>
      </c>
      <c r="Q1107">
        <v>10</v>
      </c>
      <c r="R1107">
        <v>1</v>
      </c>
      <c r="S1107">
        <v>10</v>
      </c>
      <c r="T1107">
        <v>8</v>
      </c>
      <c r="U1107">
        <v>8</v>
      </c>
      <c r="V1107" t="s">
        <v>37</v>
      </c>
      <c r="W1107" s="1" t="s">
        <v>554</v>
      </c>
      <c r="Y1107" t="s">
        <v>69</v>
      </c>
      <c r="Z1107" t="s">
        <v>40</v>
      </c>
      <c r="AA1107">
        <v>3</v>
      </c>
      <c r="AB1107">
        <v>3</v>
      </c>
      <c r="AC1107" t="s">
        <v>41</v>
      </c>
      <c r="AD1107" t="s">
        <v>48</v>
      </c>
      <c r="AE1107" t="s">
        <v>49</v>
      </c>
      <c r="AF1107" s="3">
        <v>1813</v>
      </c>
      <c r="AG1107" s="3">
        <v>52</v>
      </c>
      <c r="AH1107">
        <v>80</v>
      </c>
      <c r="AI1107">
        <v>2</v>
      </c>
      <c r="AJ1107">
        <v>0</v>
      </c>
      <c r="AL1107">
        <v>0</v>
      </c>
      <c r="AM1107">
        <v>1</v>
      </c>
      <c r="AN1107" t="s">
        <v>768</v>
      </c>
      <c r="AO1107" t="s">
        <v>41</v>
      </c>
    </row>
    <row r="1108" spans="1:41" x14ac:dyDescent="0.25">
      <c r="A1108">
        <v>32</v>
      </c>
      <c r="B1108" t="s">
        <v>66</v>
      </c>
      <c r="C1108" t="s">
        <v>33</v>
      </c>
      <c r="D1108">
        <v>16</v>
      </c>
      <c r="E1108" t="s">
        <v>61</v>
      </c>
      <c r="F1108">
        <v>1</v>
      </c>
      <c r="G1108">
        <v>1</v>
      </c>
      <c r="H1108" t="s">
        <v>44</v>
      </c>
      <c r="I1108">
        <v>1</v>
      </c>
      <c r="J1108" t="s">
        <v>36</v>
      </c>
      <c r="K1108">
        <v>3919</v>
      </c>
      <c r="L1108">
        <v>1</v>
      </c>
      <c r="M1108" t="s">
        <v>31</v>
      </c>
      <c r="N1108">
        <v>22</v>
      </c>
      <c r="O1108">
        <v>4</v>
      </c>
      <c r="P1108">
        <v>0</v>
      </c>
      <c r="Q1108">
        <v>10</v>
      </c>
      <c r="R1108">
        <v>5</v>
      </c>
      <c r="S1108">
        <v>10</v>
      </c>
      <c r="T1108">
        <v>6</v>
      </c>
      <c r="U1108">
        <v>7</v>
      </c>
      <c r="V1108" t="s">
        <v>72</v>
      </c>
      <c r="W1108" s="1" t="s">
        <v>555</v>
      </c>
      <c r="Y1108" t="s">
        <v>69</v>
      </c>
      <c r="Z1108" t="s">
        <v>40</v>
      </c>
      <c r="AA1108">
        <v>1</v>
      </c>
      <c r="AB1108">
        <v>2</v>
      </c>
      <c r="AC1108" t="s">
        <v>41</v>
      </c>
      <c r="AD1108" t="s">
        <v>42</v>
      </c>
      <c r="AE1108" t="s">
        <v>60</v>
      </c>
      <c r="AF1108" s="3">
        <v>2057</v>
      </c>
      <c r="AG1108" s="3">
        <v>74</v>
      </c>
      <c r="AH1108">
        <v>80</v>
      </c>
      <c r="AI1108">
        <v>4</v>
      </c>
      <c r="AJ1108">
        <v>0</v>
      </c>
      <c r="AL1108">
        <v>0</v>
      </c>
      <c r="AM1108">
        <v>1</v>
      </c>
      <c r="AN1108" t="s">
        <v>768</v>
      </c>
      <c r="AO1108" t="s">
        <v>41</v>
      </c>
    </row>
    <row r="1109" spans="1:41" x14ac:dyDescent="0.25">
      <c r="A1109">
        <v>30</v>
      </c>
      <c r="B1109" t="s">
        <v>32</v>
      </c>
      <c r="C1109" t="s">
        <v>33</v>
      </c>
      <c r="D1109">
        <v>9</v>
      </c>
      <c r="E1109" t="s">
        <v>34</v>
      </c>
      <c r="F1109">
        <v>2</v>
      </c>
      <c r="G1109">
        <v>1</v>
      </c>
      <c r="H1109" t="s">
        <v>35</v>
      </c>
      <c r="I1109">
        <v>3</v>
      </c>
      <c r="J1109" t="s">
        <v>36</v>
      </c>
      <c r="K1109">
        <v>2206</v>
      </c>
      <c r="L1109">
        <v>1</v>
      </c>
      <c r="M1109" t="s">
        <v>41</v>
      </c>
      <c r="N1109">
        <v>13</v>
      </c>
      <c r="O1109">
        <v>3</v>
      </c>
      <c r="P1109">
        <v>0</v>
      </c>
      <c r="Q1109">
        <v>10</v>
      </c>
      <c r="R1109">
        <v>5</v>
      </c>
      <c r="S1109">
        <v>10</v>
      </c>
      <c r="T1109">
        <v>1</v>
      </c>
      <c r="U1109">
        <v>8</v>
      </c>
      <c r="V1109" t="s">
        <v>52</v>
      </c>
      <c r="W1109" s="2">
        <v>40695</v>
      </c>
      <c r="Y1109" t="s">
        <v>69</v>
      </c>
      <c r="Z1109" t="s">
        <v>47</v>
      </c>
      <c r="AA1109">
        <v>1</v>
      </c>
      <c r="AB1109">
        <v>1</v>
      </c>
      <c r="AC1109" t="s">
        <v>41</v>
      </c>
      <c r="AD1109" t="s">
        <v>48</v>
      </c>
      <c r="AE1109" t="s">
        <v>43</v>
      </c>
      <c r="AF1109" s="3">
        <v>1764</v>
      </c>
      <c r="AG1109" s="3">
        <v>65</v>
      </c>
      <c r="AH1109">
        <v>80</v>
      </c>
      <c r="AI1109">
        <v>7</v>
      </c>
      <c r="AJ1109">
        <v>0</v>
      </c>
      <c r="AL1109">
        <v>0</v>
      </c>
      <c r="AM1109">
        <v>1</v>
      </c>
      <c r="AN1109" t="s">
        <v>768</v>
      </c>
      <c r="AO1109" t="s">
        <v>41</v>
      </c>
    </row>
    <row r="1110" spans="1:41" x14ac:dyDescent="0.25">
      <c r="A1110">
        <v>38</v>
      </c>
      <c r="B1110" t="s">
        <v>66</v>
      </c>
      <c r="C1110" t="s">
        <v>33</v>
      </c>
      <c r="D1110">
        <v>29</v>
      </c>
      <c r="E1110" t="s">
        <v>61</v>
      </c>
      <c r="F1110">
        <v>3</v>
      </c>
      <c r="G1110">
        <v>2</v>
      </c>
      <c r="H1110" t="s">
        <v>35</v>
      </c>
      <c r="I1110">
        <v>4</v>
      </c>
      <c r="J1110" t="s">
        <v>36</v>
      </c>
      <c r="K1110">
        <v>2406</v>
      </c>
      <c r="L1110">
        <v>1</v>
      </c>
      <c r="M1110" t="s">
        <v>41</v>
      </c>
      <c r="N1110">
        <v>11</v>
      </c>
      <c r="O1110">
        <v>3</v>
      </c>
      <c r="P1110">
        <v>0</v>
      </c>
      <c r="Q1110">
        <v>10</v>
      </c>
      <c r="R1110">
        <v>2</v>
      </c>
      <c r="S1110">
        <v>10</v>
      </c>
      <c r="T1110">
        <v>9</v>
      </c>
      <c r="U1110">
        <v>9</v>
      </c>
      <c r="V1110" t="s">
        <v>72</v>
      </c>
      <c r="W1110" s="1" t="s">
        <v>556</v>
      </c>
      <c r="Y1110" t="s">
        <v>39</v>
      </c>
      <c r="Z1110" t="s">
        <v>40</v>
      </c>
      <c r="AA1110">
        <v>1</v>
      </c>
      <c r="AB1110">
        <v>0</v>
      </c>
      <c r="AC1110" t="s">
        <v>41</v>
      </c>
      <c r="AD1110" t="s">
        <v>65</v>
      </c>
      <c r="AE1110" t="s">
        <v>49</v>
      </c>
      <c r="AF1110" s="3">
        <v>1471</v>
      </c>
      <c r="AG1110" s="3">
        <v>90</v>
      </c>
      <c r="AH1110">
        <v>80</v>
      </c>
      <c r="AI1110">
        <v>2</v>
      </c>
      <c r="AJ1110">
        <v>0</v>
      </c>
      <c r="AL1110">
        <v>0</v>
      </c>
      <c r="AM1110">
        <v>1</v>
      </c>
      <c r="AN1110" t="s">
        <v>768</v>
      </c>
      <c r="AO1110" t="s">
        <v>41</v>
      </c>
    </row>
    <row r="1111" spans="1:41" x14ac:dyDescent="0.25">
      <c r="A1111">
        <v>32</v>
      </c>
      <c r="B1111" t="s">
        <v>32</v>
      </c>
      <c r="C1111" t="s">
        <v>33</v>
      </c>
      <c r="D1111">
        <v>1</v>
      </c>
      <c r="E1111" t="s">
        <v>34</v>
      </c>
      <c r="F1111">
        <v>3</v>
      </c>
      <c r="G1111">
        <v>2</v>
      </c>
      <c r="H1111" t="s">
        <v>44</v>
      </c>
      <c r="I1111">
        <v>2</v>
      </c>
      <c r="J1111" t="s">
        <v>51</v>
      </c>
      <c r="K1111">
        <v>6220</v>
      </c>
      <c r="L1111">
        <v>1</v>
      </c>
      <c r="M1111" t="s">
        <v>41</v>
      </c>
      <c r="N1111">
        <v>17</v>
      </c>
      <c r="O1111">
        <v>3</v>
      </c>
      <c r="P1111">
        <v>2</v>
      </c>
      <c r="Q1111">
        <v>10</v>
      </c>
      <c r="R1111">
        <v>3</v>
      </c>
      <c r="S1111">
        <v>10</v>
      </c>
      <c r="T1111">
        <v>0</v>
      </c>
      <c r="U1111">
        <v>9</v>
      </c>
      <c r="V1111" t="s">
        <v>52</v>
      </c>
      <c r="W1111" s="1" t="s">
        <v>557</v>
      </c>
      <c r="Y1111" t="s">
        <v>63</v>
      </c>
      <c r="Z1111" t="s">
        <v>47</v>
      </c>
      <c r="AA1111">
        <v>4</v>
      </c>
      <c r="AB1111">
        <v>3</v>
      </c>
      <c r="AC1111" t="s">
        <v>41</v>
      </c>
      <c r="AD1111" t="s">
        <v>48</v>
      </c>
      <c r="AE1111" t="s">
        <v>60</v>
      </c>
      <c r="AF1111" s="3">
        <v>1947</v>
      </c>
      <c r="AG1111" s="3">
        <v>49</v>
      </c>
      <c r="AH1111">
        <v>80</v>
      </c>
      <c r="AI1111">
        <v>3</v>
      </c>
      <c r="AJ1111">
        <v>0</v>
      </c>
      <c r="AL1111">
        <v>0</v>
      </c>
      <c r="AM1111">
        <v>1</v>
      </c>
      <c r="AN1111" t="s">
        <v>768</v>
      </c>
      <c r="AO1111" t="s">
        <v>41</v>
      </c>
    </row>
    <row r="1112" spans="1:41" x14ac:dyDescent="0.25">
      <c r="A1112">
        <v>30</v>
      </c>
      <c r="B1112" t="s">
        <v>32</v>
      </c>
      <c r="C1112" t="s">
        <v>33</v>
      </c>
      <c r="D1112">
        <v>1</v>
      </c>
      <c r="E1112" t="s">
        <v>34</v>
      </c>
      <c r="F1112">
        <v>2</v>
      </c>
      <c r="G1112">
        <v>2</v>
      </c>
      <c r="H1112" t="s">
        <v>35</v>
      </c>
      <c r="I1112">
        <v>4</v>
      </c>
      <c r="J1112" t="s">
        <v>51</v>
      </c>
      <c r="K1112">
        <v>5126</v>
      </c>
      <c r="L1112">
        <v>1</v>
      </c>
      <c r="M1112" t="s">
        <v>31</v>
      </c>
      <c r="N1112">
        <v>12</v>
      </c>
      <c r="O1112">
        <v>3</v>
      </c>
      <c r="P1112">
        <v>2</v>
      </c>
      <c r="Q1112">
        <v>10</v>
      </c>
      <c r="R1112">
        <v>1</v>
      </c>
      <c r="S1112">
        <v>10</v>
      </c>
      <c r="T1112">
        <v>3</v>
      </c>
      <c r="U1112">
        <v>0</v>
      </c>
      <c r="V1112" t="s">
        <v>37</v>
      </c>
      <c r="W1112" s="1" t="s">
        <v>558</v>
      </c>
      <c r="Y1112" t="s">
        <v>54</v>
      </c>
      <c r="Z1112" t="s">
        <v>47</v>
      </c>
      <c r="AA1112">
        <v>2</v>
      </c>
      <c r="AB1112">
        <v>2</v>
      </c>
      <c r="AC1112" t="s">
        <v>31</v>
      </c>
      <c r="AD1112" t="s">
        <v>65</v>
      </c>
      <c r="AE1112" t="s">
        <v>49</v>
      </c>
      <c r="AF1112" s="3">
        <v>1440</v>
      </c>
      <c r="AG1112" s="3">
        <v>84</v>
      </c>
      <c r="AH1112">
        <v>80</v>
      </c>
      <c r="AI1112">
        <v>5</v>
      </c>
      <c r="AJ1112">
        <v>0</v>
      </c>
      <c r="AL1112">
        <v>0</v>
      </c>
      <c r="AM1112">
        <v>1</v>
      </c>
      <c r="AN1112" t="s">
        <v>768</v>
      </c>
      <c r="AO1112" t="s">
        <v>41</v>
      </c>
    </row>
    <row r="1113" spans="1:41" x14ac:dyDescent="0.25">
      <c r="A1113">
        <v>51</v>
      </c>
      <c r="B1113" t="s">
        <v>32</v>
      </c>
      <c r="C1113" t="s">
        <v>55</v>
      </c>
      <c r="D1113">
        <v>21</v>
      </c>
      <c r="E1113" t="s">
        <v>34</v>
      </c>
      <c r="F1113">
        <v>3</v>
      </c>
      <c r="G1113">
        <v>2</v>
      </c>
      <c r="H1113" t="s">
        <v>70</v>
      </c>
      <c r="I1113">
        <v>4</v>
      </c>
      <c r="J1113" t="s">
        <v>36</v>
      </c>
      <c r="K1113">
        <v>5441</v>
      </c>
      <c r="L1113">
        <v>0</v>
      </c>
      <c r="M1113" t="s">
        <v>31</v>
      </c>
      <c r="N1113">
        <v>22</v>
      </c>
      <c r="O1113">
        <v>4</v>
      </c>
      <c r="P1113">
        <v>0</v>
      </c>
      <c r="Q1113">
        <v>11</v>
      </c>
      <c r="R1113">
        <v>2</v>
      </c>
      <c r="S1113">
        <v>10</v>
      </c>
      <c r="T1113">
        <v>1</v>
      </c>
      <c r="U1113">
        <v>0</v>
      </c>
      <c r="V1113" t="s">
        <v>52</v>
      </c>
      <c r="W1113" s="1" t="s">
        <v>559</v>
      </c>
      <c r="Y1113" t="s">
        <v>54</v>
      </c>
      <c r="Z1113" t="s">
        <v>40</v>
      </c>
      <c r="AA1113">
        <v>5</v>
      </c>
      <c r="AB1113">
        <v>3</v>
      </c>
      <c r="AC1113" t="s">
        <v>31</v>
      </c>
      <c r="AD1113" t="s">
        <v>65</v>
      </c>
      <c r="AE1113" t="s">
        <v>49</v>
      </c>
      <c r="AF1113" s="3">
        <v>1976</v>
      </c>
      <c r="AG1113" s="3">
        <v>37</v>
      </c>
      <c r="AH1113">
        <v>80</v>
      </c>
      <c r="AI1113">
        <v>9</v>
      </c>
      <c r="AJ1113">
        <v>0</v>
      </c>
      <c r="AL1113">
        <v>0</v>
      </c>
      <c r="AM1113">
        <v>1</v>
      </c>
      <c r="AN1113" t="s">
        <v>768</v>
      </c>
      <c r="AO1113" t="s">
        <v>41</v>
      </c>
    </row>
    <row r="1114" spans="1:41" x14ac:dyDescent="0.25">
      <c r="A1114">
        <v>46</v>
      </c>
      <c r="B1114" t="s">
        <v>66</v>
      </c>
      <c r="C1114" t="s">
        <v>33</v>
      </c>
      <c r="D1114">
        <v>1</v>
      </c>
      <c r="E1114" t="s">
        <v>34</v>
      </c>
      <c r="F1114">
        <v>2</v>
      </c>
      <c r="G1114">
        <v>3</v>
      </c>
      <c r="H1114" t="s">
        <v>89</v>
      </c>
      <c r="I1114">
        <v>1</v>
      </c>
      <c r="J1114" t="s">
        <v>51</v>
      </c>
      <c r="K1114">
        <v>10673</v>
      </c>
      <c r="L1114">
        <v>2</v>
      </c>
      <c r="M1114" t="s">
        <v>31</v>
      </c>
      <c r="N1114">
        <v>13</v>
      </c>
      <c r="O1114">
        <v>3</v>
      </c>
      <c r="P1114">
        <v>1</v>
      </c>
      <c r="Q1114">
        <v>21</v>
      </c>
      <c r="R1114">
        <v>5</v>
      </c>
      <c r="S1114">
        <v>10</v>
      </c>
      <c r="T1114">
        <v>9</v>
      </c>
      <c r="U1114">
        <v>5</v>
      </c>
      <c r="V1114" t="s">
        <v>58</v>
      </c>
      <c r="W1114" s="1" t="s">
        <v>560</v>
      </c>
      <c r="Y1114" t="s">
        <v>39</v>
      </c>
      <c r="Z1114" t="s">
        <v>47</v>
      </c>
      <c r="AA1114">
        <v>4</v>
      </c>
      <c r="AB1114">
        <v>3</v>
      </c>
      <c r="AC1114" t="s">
        <v>41</v>
      </c>
      <c r="AD1114" t="s">
        <v>67</v>
      </c>
      <c r="AE1114" t="s">
        <v>43</v>
      </c>
      <c r="AF1114" s="3">
        <v>2022</v>
      </c>
      <c r="AG1114" s="3">
        <v>87</v>
      </c>
      <c r="AH1114">
        <v>80</v>
      </c>
      <c r="AI1114">
        <v>0</v>
      </c>
      <c r="AJ1114">
        <v>0</v>
      </c>
      <c r="AL1114">
        <v>0</v>
      </c>
      <c r="AM1114">
        <v>1</v>
      </c>
      <c r="AN1114" t="s">
        <v>768</v>
      </c>
      <c r="AO1114" t="s">
        <v>41</v>
      </c>
    </row>
    <row r="1115" spans="1:41" x14ac:dyDescent="0.25">
      <c r="A1115">
        <v>30</v>
      </c>
      <c r="B1115" t="s">
        <v>66</v>
      </c>
      <c r="C1115" t="s">
        <v>33</v>
      </c>
      <c r="D1115">
        <v>23</v>
      </c>
      <c r="E1115" t="s">
        <v>34</v>
      </c>
      <c r="F1115">
        <v>1</v>
      </c>
      <c r="G1115">
        <v>1</v>
      </c>
      <c r="H1115" t="s">
        <v>44</v>
      </c>
      <c r="I1115">
        <v>3</v>
      </c>
      <c r="J1115" t="s">
        <v>57</v>
      </c>
      <c r="K1115">
        <v>2613</v>
      </c>
      <c r="L1115">
        <v>1</v>
      </c>
      <c r="M1115" t="s">
        <v>41</v>
      </c>
      <c r="N1115">
        <v>25</v>
      </c>
      <c r="O1115">
        <v>4</v>
      </c>
      <c r="P1115">
        <v>3</v>
      </c>
      <c r="Q1115">
        <v>10</v>
      </c>
      <c r="R1115">
        <v>2</v>
      </c>
      <c r="S1115">
        <v>10</v>
      </c>
      <c r="T1115">
        <v>0</v>
      </c>
      <c r="U1115">
        <v>9</v>
      </c>
      <c r="V1115" t="s">
        <v>37</v>
      </c>
      <c r="W1115" s="1" t="s">
        <v>561</v>
      </c>
      <c r="Y1115" t="s">
        <v>69</v>
      </c>
      <c r="Z1115" t="s">
        <v>40</v>
      </c>
      <c r="AA1115">
        <v>5</v>
      </c>
      <c r="AB1115">
        <v>0</v>
      </c>
      <c r="AC1115" t="s">
        <v>31</v>
      </c>
      <c r="AD1115" t="s">
        <v>67</v>
      </c>
      <c r="AE1115" t="s">
        <v>60</v>
      </c>
      <c r="AF1115" s="3">
        <v>2019</v>
      </c>
      <c r="AG1115" s="3">
        <v>40</v>
      </c>
      <c r="AH1115">
        <v>80</v>
      </c>
      <c r="AI1115">
        <v>8</v>
      </c>
      <c r="AJ1115">
        <v>0</v>
      </c>
      <c r="AL1115">
        <v>0</v>
      </c>
      <c r="AM1115">
        <v>1</v>
      </c>
      <c r="AN1115" t="s">
        <v>768</v>
      </c>
      <c r="AO1115" t="s">
        <v>41</v>
      </c>
    </row>
    <row r="1116" spans="1:41" x14ac:dyDescent="0.25">
      <c r="A1116">
        <v>35</v>
      </c>
      <c r="B1116" t="s">
        <v>32</v>
      </c>
      <c r="C1116" t="s">
        <v>55</v>
      </c>
      <c r="D1116">
        <v>1</v>
      </c>
      <c r="E1116" t="s">
        <v>34</v>
      </c>
      <c r="F1116">
        <v>3</v>
      </c>
      <c r="G1116">
        <v>3</v>
      </c>
      <c r="H1116" t="s">
        <v>70</v>
      </c>
      <c r="I1116">
        <v>2</v>
      </c>
      <c r="J1116" t="s">
        <v>51</v>
      </c>
      <c r="K1116">
        <v>7295</v>
      </c>
      <c r="L1116">
        <v>1</v>
      </c>
      <c r="M1116" t="s">
        <v>41</v>
      </c>
      <c r="N1116">
        <v>13</v>
      </c>
      <c r="O1116">
        <v>3</v>
      </c>
      <c r="P1116">
        <v>2</v>
      </c>
      <c r="Q1116">
        <v>10</v>
      </c>
      <c r="R1116">
        <v>3</v>
      </c>
      <c r="S1116">
        <v>10</v>
      </c>
      <c r="T1116">
        <v>0</v>
      </c>
      <c r="U1116">
        <v>6</v>
      </c>
      <c r="V1116" t="s">
        <v>58</v>
      </c>
      <c r="W1116" s="1" t="s">
        <v>562</v>
      </c>
      <c r="Y1116" t="s">
        <v>46</v>
      </c>
      <c r="Z1116" t="s">
        <v>40</v>
      </c>
      <c r="AA1116">
        <v>0</v>
      </c>
      <c r="AB1116">
        <v>0</v>
      </c>
      <c r="AC1116" t="s">
        <v>31</v>
      </c>
      <c r="AD1116" t="s">
        <v>67</v>
      </c>
      <c r="AE1116" t="s">
        <v>43</v>
      </c>
      <c r="AF1116" s="3">
        <v>1612</v>
      </c>
      <c r="AG1116" s="3">
        <v>52</v>
      </c>
      <c r="AH1116">
        <v>80</v>
      </c>
      <c r="AI1116">
        <v>7</v>
      </c>
      <c r="AJ1116">
        <v>0</v>
      </c>
      <c r="AL1116">
        <v>0</v>
      </c>
      <c r="AM1116">
        <v>1</v>
      </c>
      <c r="AN1116" t="s">
        <v>768</v>
      </c>
      <c r="AO1116" t="s">
        <v>41</v>
      </c>
    </row>
    <row r="1117" spans="1:41" x14ac:dyDescent="0.25">
      <c r="A1117">
        <v>29</v>
      </c>
      <c r="B1117" t="s">
        <v>81</v>
      </c>
      <c r="C1117" t="s">
        <v>33</v>
      </c>
      <c r="D1117">
        <v>1</v>
      </c>
      <c r="E1117" t="s">
        <v>34</v>
      </c>
      <c r="F1117">
        <v>3</v>
      </c>
      <c r="G1117">
        <v>2</v>
      </c>
      <c r="H1117" t="s">
        <v>78</v>
      </c>
      <c r="I1117">
        <v>3</v>
      </c>
      <c r="J1117" t="s">
        <v>51</v>
      </c>
      <c r="K1117">
        <v>4319</v>
      </c>
      <c r="L1117">
        <v>1</v>
      </c>
      <c r="M1117" t="s">
        <v>41</v>
      </c>
      <c r="N1117">
        <v>13</v>
      </c>
      <c r="O1117">
        <v>3</v>
      </c>
      <c r="P1117">
        <v>1</v>
      </c>
      <c r="Q1117">
        <v>10</v>
      </c>
      <c r="R1117">
        <v>1</v>
      </c>
      <c r="S1117">
        <v>10</v>
      </c>
      <c r="T1117">
        <v>0</v>
      </c>
      <c r="U1117">
        <v>9</v>
      </c>
      <c r="V1117" t="s">
        <v>58</v>
      </c>
      <c r="W1117" s="1" t="s">
        <v>563</v>
      </c>
      <c r="Y1117" t="s">
        <v>46</v>
      </c>
      <c r="Z1117" t="s">
        <v>40</v>
      </c>
      <c r="AA1117">
        <v>4</v>
      </c>
      <c r="AB1117">
        <v>1</v>
      </c>
      <c r="AC1117" t="s">
        <v>41</v>
      </c>
      <c r="AD1117" t="s">
        <v>67</v>
      </c>
      <c r="AE1117" t="s">
        <v>49</v>
      </c>
      <c r="AF1117" s="3">
        <v>1731</v>
      </c>
      <c r="AG1117" s="3">
        <v>87</v>
      </c>
      <c r="AH1117">
        <v>80</v>
      </c>
      <c r="AI1117">
        <v>0</v>
      </c>
      <c r="AJ1117">
        <v>0</v>
      </c>
      <c r="AL1117">
        <v>0</v>
      </c>
      <c r="AM1117">
        <v>1</v>
      </c>
      <c r="AN1117" t="s">
        <v>768</v>
      </c>
      <c r="AO1117" t="s">
        <v>41</v>
      </c>
    </row>
    <row r="1118" spans="1:41" x14ac:dyDescent="0.25">
      <c r="A1118">
        <v>30</v>
      </c>
      <c r="B1118" t="s">
        <v>32</v>
      </c>
      <c r="C1118" t="s">
        <v>55</v>
      </c>
      <c r="D1118">
        <v>5</v>
      </c>
      <c r="E1118" t="s">
        <v>61</v>
      </c>
      <c r="F1118">
        <v>3</v>
      </c>
      <c r="G1118">
        <v>3</v>
      </c>
      <c r="H1118" t="s">
        <v>70</v>
      </c>
      <c r="I1118">
        <v>4</v>
      </c>
      <c r="J1118" t="s">
        <v>51</v>
      </c>
      <c r="K1118">
        <v>9419</v>
      </c>
      <c r="L1118">
        <v>2</v>
      </c>
      <c r="M1118" t="s">
        <v>41</v>
      </c>
      <c r="N1118">
        <v>12</v>
      </c>
      <c r="O1118">
        <v>3</v>
      </c>
      <c r="P1118">
        <v>1</v>
      </c>
      <c r="Q1118">
        <v>12</v>
      </c>
      <c r="R1118">
        <v>2</v>
      </c>
      <c r="S1118">
        <v>10</v>
      </c>
      <c r="T1118">
        <v>7</v>
      </c>
      <c r="U1118">
        <v>4</v>
      </c>
      <c r="V1118" t="s">
        <v>58</v>
      </c>
      <c r="W1118" s="2">
        <v>40792</v>
      </c>
      <c r="Y1118" t="s">
        <v>63</v>
      </c>
      <c r="Z1118" t="s">
        <v>47</v>
      </c>
      <c r="AA1118">
        <v>1</v>
      </c>
      <c r="AB1118">
        <v>2</v>
      </c>
      <c r="AC1118" t="s">
        <v>31</v>
      </c>
      <c r="AD1118" t="s">
        <v>48</v>
      </c>
      <c r="AE1118" t="s">
        <v>60</v>
      </c>
      <c r="AF1118" s="3">
        <v>1801</v>
      </c>
      <c r="AG1118" s="3">
        <v>98</v>
      </c>
      <c r="AH1118">
        <v>80</v>
      </c>
      <c r="AI1118">
        <v>2</v>
      </c>
      <c r="AJ1118">
        <v>0</v>
      </c>
      <c r="AL1118">
        <v>0</v>
      </c>
      <c r="AM1118">
        <v>1</v>
      </c>
      <c r="AN1118" t="s">
        <v>768</v>
      </c>
      <c r="AO1118" t="s">
        <v>41</v>
      </c>
    </row>
    <row r="1119" spans="1:41" x14ac:dyDescent="0.25">
      <c r="A1119">
        <v>34</v>
      </c>
      <c r="B1119" t="s">
        <v>66</v>
      </c>
      <c r="C1119" t="s">
        <v>33</v>
      </c>
      <c r="D1119">
        <v>2</v>
      </c>
      <c r="E1119" t="s">
        <v>34</v>
      </c>
      <c r="F1119">
        <v>2</v>
      </c>
      <c r="G1119">
        <v>2</v>
      </c>
      <c r="H1119" t="s">
        <v>78</v>
      </c>
      <c r="I1119">
        <v>3</v>
      </c>
      <c r="J1119" t="s">
        <v>51</v>
      </c>
      <c r="K1119">
        <v>9547</v>
      </c>
      <c r="L1119">
        <v>1</v>
      </c>
      <c r="M1119" t="s">
        <v>41</v>
      </c>
      <c r="N1119">
        <v>17</v>
      </c>
      <c r="O1119">
        <v>3</v>
      </c>
      <c r="P1119">
        <v>0</v>
      </c>
      <c r="Q1119">
        <v>10</v>
      </c>
      <c r="R1119">
        <v>2</v>
      </c>
      <c r="S1119">
        <v>10</v>
      </c>
      <c r="T1119">
        <v>1</v>
      </c>
      <c r="U1119">
        <v>9</v>
      </c>
      <c r="V1119" t="s">
        <v>37</v>
      </c>
      <c r="W1119" s="1" t="s">
        <v>564</v>
      </c>
      <c r="Y1119" t="s">
        <v>46</v>
      </c>
      <c r="Z1119" t="s">
        <v>47</v>
      </c>
      <c r="AA1119">
        <v>2</v>
      </c>
      <c r="AB1119">
        <v>1</v>
      </c>
      <c r="AC1119" t="s">
        <v>41</v>
      </c>
      <c r="AD1119" t="s">
        <v>48</v>
      </c>
      <c r="AE1119" t="s">
        <v>49</v>
      </c>
      <c r="AF1119" s="3">
        <v>1563</v>
      </c>
      <c r="AG1119" s="3">
        <v>71</v>
      </c>
      <c r="AH1119">
        <v>80</v>
      </c>
      <c r="AI1119">
        <v>3</v>
      </c>
      <c r="AJ1119">
        <v>0</v>
      </c>
      <c r="AL1119">
        <v>0</v>
      </c>
      <c r="AM1119">
        <v>1</v>
      </c>
      <c r="AN1119" t="s">
        <v>768</v>
      </c>
      <c r="AO1119" t="s">
        <v>41</v>
      </c>
    </row>
    <row r="1120" spans="1:41" x14ac:dyDescent="0.25">
      <c r="A1120">
        <v>29</v>
      </c>
      <c r="B1120" t="s">
        <v>32</v>
      </c>
      <c r="C1120" t="s">
        <v>55</v>
      </c>
      <c r="D1120">
        <v>27</v>
      </c>
      <c r="E1120" t="s">
        <v>61</v>
      </c>
      <c r="F1120">
        <v>3</v>
      </c>
      <c r="G1120">
        <v>3</v>
      </c>
      <c r="H1120" t="s">
        <v>70</v>
      </c>
      <c r="I1120">
        <v>4</v>
      </c>
      <c r="J1120" t="s">
        <v>51</v>
      </c>
      <c r="K1120">
        <v>7639</v>
      </c>
      <c r="L1120">
        <v>1</v>
      </c>
      <c r="M1120" t="s">
        <v>41</v>
      </c>
      <c r="N1120">
        <v>22</v>
      </c>
      <c r="O1120">
        <v>4</v>
      </c>
      <c r="P1120">
        <v>3</v>
      </c>
      <c r="Q1120">
        <v>10</v>
      </c>
      <c r="R1120">
        <v>3</v>
      </c>
      <c r="S1120">
        <v>10</v>
      </c>
      <c r="T1120">
        <v>1</v>
      </c>
      <c r="U1120">
        <v>9</v>
      </c>
      <c r="V1120" t="s">
        <v>52</v>
      </c>
      <c r="W1120" s="1" t="s">
        <v>565</v>
      </c>
      <c r="Y1120" t="s">
        <v>54</v>
      </c>
      <c r="Z1120" t="s">
        <v>40</v>
      </c>
      <c r="AA1120">
        <v>0</v>
      </c>
      <c r="AB1120">
        <v>0</v>
      </c>
      <c r="AC1120" t="s">
        <v>31</v>
      </c>
      <c r="AD1120" t="s">
        <v>42</v>
      </c>
      <c r="AE1120" t="s">
        <v>43</v>
      </c>
      <c r="AF1120" s="3">
        <v>1746</v>
      </c>
      <c r="AG1120" s="3">
        <v>59</v>
      </c>
      <c r="AH1120">
        <v>80</v>
      </c>
      <c r="AI1120">
        <v>2</v>
      </c>
      <c r="AJ1120">
        <v>0</v>
      </c>
      <c r="AL1120">
        <v>0</v>
      </c>
      <c r="AM1120">
        <v>1</v>
      </c>
      <c r="AN1120" t="s">
        <v>768</v>
      </c>
      <c r="AO1120" t="s">
        <v>41</v>
      </c>
    </row>
    <row r="1121" spans="1:41" x14ac:dyDescent="0.25">
      <c r="A1121">
        <v>51</v>
      </c>
      <c r="B1121" t="s">
        <v>32</v>
      </c>
      <c r="C1121" t="s">
        <v>33</v>
      </c>
      <c r="D1121">
        <v>8</v>
      </c>
      <c r="E1121" t="s">
        <v>34</v>
      </c>
      <c r="F1121">
        <v>2</v>
      </c>
      <c r="G1121">
        <v>3</v>
      </c>
      <c r="H1121" t="s">
        <v>50</v>
      </c>
      <c r="I1121">
        <v>2</v>
      </c>
      <c r="J1121" t="s">
        <v>51</v>
      </c>
      <c r="K1121">
        <v>12490</v>
      </c>
      <c r="L1121">
        <v>5</v>
      </c>
      <c r="M1121" t="s">
        <v>41</v>
      </c>
      <c r="N1121">
        <v>16</v>
      </c>
      <c r="O1121">
        <v>3</v>
      </c>
      <c r="P1121">
        <v>2</v>
      </c>
      <c r="Q1121">
        <v>16</v>
      </c>
      <c r="R1121">
        <v>5</v>
      </c>
      <c r="S1121">
        <v>10</v>
      </c>
      <c r="T1121">
        <v>4</v>
      </c>
      <c r="U1121">
        <v>7</v>
      </c>
      <c r="V1121" t="s">
        <v>52</v>
      </c>
      <c r="W1121" s="1" t="s">
        <v>566</v>
      </c>
      <c r="Y1121" t="s">
        <v>63</v>
      </c>
      <c r="Z1121" t="s">
        <v>47</v>
      </c>
      <c r="AA1121">
        <v>3</v>
      </c>
      <c r="AB1121">
        <v>3</v>
      </c>
      <c r="AC1121" t="s">
        <v>31</v>
      </c>
      <c r="AD1121" t="s">
        <v>42</v>
      </c>
      <c r="AE1121" t="s">
        <v>43</v>
      </c>
      <c r="AF1121" s="3">
        <v>1590</v>
      </c>
      <c r="AG1121" s="3">
        <v>87</v>
      </c>
      <c r="AH1121">
        <v>80</v>
      </c>
      <c r="AI1121">
        <v>4</v>
      </c>
      <c r="AJ1121">
        <v>0</v>
      </c>
      <c r="AL1121">
        <v>0</v>
      </c>
      <c r="AM1121">
        <v>1</v>
      </c>
      <c r="AN1121" t="s">
        <v>768</v>
      </c>
      <c r="AO1121" t="s">
        <v>41</v>
      </c>
    </row>
    <row r="1122" spans="1:41" x14ac:dyDescent="0.25">
      <c r="A1122">
        <v>37</v>
      </c>
      <c r="B1122" t="s">
        <v>66</v>
      </c>
      <c r="C1122" t="s">
        <v>33</v>
      </c>
      <c r="D1122">
        <v>11</v>
      </c>
      <c r="E1122" t="s">
        <v>34</v>
      </c>
      <c r="F1122">
        <v>3</v>
      </c>
      <c r="G1122">
        <v>3</v>
      </c>
      <c r="H1122" t="s">
        <v>50</v>
      </c>
      <c r="I1122">
        <v>4</v>
      </c>
      <c r="J1122" t="s">
        <v>57</v>
      </c>
      <c r="K1122">
        <v>12185</v>
      </c>
      <c r="L1122">
        <v>1</v>
      </c>
      <c r="M1122" t="s">
        <v>31</v>
      </c>
      <c r="N1122">
        <v>14</v>
      </c>
      <c r="O1122">
        <v>3</v>
      </c>
      <c r="P1122">
        <v>3</v>
      </c>
      <c r="Q1122">
        <v>10</v>
      </c>
      <c r="R1122">
        <v>1</v>
      </c>
      <c r="S1122">
        <v>10</v>
      </c>
      <c r="T1122">
        <v>0</v>
      </c>
      <c r="U1122">
        <v>7</v>
      </c>
      <c r="V1122" t="s">
        <v>72</v>
      </c>
      <c r="W1122" s="2">
        <v>40668</v>
      </c>
      <c r="Y1122" t="s">
        <v>46</v>
      </c>
      <c r="Z1122" t="s">
        <v>40</v>
      </c>
      <c r="AA1122">
        <v>5</v>
      </c>
      <c r="AB1122">
        <v>0</v>
      </c>
      <c r="AC1122" t="s">
        <v>41</v>
      </c>
      <c r="AD1122" t="s">
        <v>48</v>
      </c>
      <c r="AE1122" t="s">
        <v>60</v>
      </c>
      <c r="AF1122" s="3">
        <v>1615</v>
      </c>
      <c r="AG1122" s="3">
        <v>42</v>
      </c>
      <c r="AH1122">
        <v>80</v>
      </c>
      <c r="AI1122">
        <v>7</v>
      </c>
      <c r="AJ1122">
        <v>0</v>
      </c>
      <c r="AL1122">
        <v>0</v>
      </c>
      <c r="AM1122">
        <v>1</v>
      </c>
      <c r="AN1122" t="s">
        <v>768</v>
      </c>
      <c r="AO1122" t="s">
        <v>41</v>
      </c>
    </row>
    <row r="1123" spans="1:41" x14ac:dyDescent="0.25">
      <c r="A1123">
        <v>35</v>
      </c>
      <c r="B1123" t="s">
        <v>66</v>
      </c>
      <c r="C1123" t="s">
        <v>55</v>
      </c>
      <c r="D1123">
        <v>1</v>
      </c>
      <c r="E1123" t="s">
        <v>61</v>
      </c>
      <c r="F1123">
        <v>3</v>
      </c>
      <c r="G1123">
        <v>3</v>
      </c>
      <c r="H1123" t="s">
        <v>70</v>
      </c>
      <c r="I1123">
        <v>3</v>
      </c>
      <c r="J1123" t="s">
        <v>36</v>
      </c>
      <c r="K1123">
        <v>8789</v>
      </c>
      <c r="L1123">
        <v>1</v>
      </c>
      <c r="M1123" t="s">
        <v>41</v>
      </c>
      <c r="N1123">
        <v>14</v>
      </c>
      <c r="O1123">
        <v>3</v>
      </c>
      <c r="P1123">
        <v>0</v>
      </c>
      <c r="Q1123">
        <v>10</v>
      </c>
      <c r="R1123">
        <v>3</v>
      </c>
      <c r="S1123">
        <v>10</v>
      </c>
      <c r="T1123">
        <v>0</v>
      </c>
      <c r="U1123">
        <v>8</v>
      </c>
      <c r="V1123" t="s">
        <v>52</v>
      </c>
      <c r="W1123" s="2">
        <v>40605</v>
      </c>
      <c r="Y1123" t="s">
        <v>46</v>
      </c>
      <c r="Z1123" t="s">
        <v>47</v>
      </c>
      <c r="AA1123">
        <v>5</v>
      </c>
      <c r="AB1123">
        <v>1</v>
      </c>
      <c r="AC1123" t="s">
        <v>41</v>
      </c>
      <c r="AD1123" t="s">
        <v>65</v>
      </c>
      <c r="AE1123" t="s">
        <v>49</v>
      </c>
      <c r="AF1123" s="3">
        <v>1485</v>
      </c>
      <c r="AG1123" s="3">
        <v>71</v>
      </c>
      <c r="AH1123">
        <v>80</v>
      </c>
      <c r="AI1123">
        <v>8</v>
      </c>
      <c r="AJ1123">
        <v>0</v>
      </c>
      <c r="AL1123">
        <v>0</v>
      </c>
      <c r="AM1123">
        <v>1</v>
      </c>
      <c r="AN1123" t="s">
        <v>768</v>
      </c>
      <c r="AO1123" t="s">
        <v>41</v>
      </c>
    </row>
    <row r="1124" spans="1:41" x14ac:dyDescent="0.25">
      <c r="A1124">
        <v>47</v>
      </c>
      <c r="B1124" t="s">
        <v>81</v>
      </c>
      <c r="C1124" t="s">
        <v>33</v>
      </c>
      <c r="D1124">
        <v>29</v>
      </c>
      <c r="E1124" t="s">
        <v>34</v>
      </c>
      <c r="F1124">
        <v>3</v>
      </c>
      <c r="G1124">
        <v>3</v>
      </c>
      <c r="H1124" t="s">
        <v>75</v>
      </c>
      <c r="I1124">
        <v>2</v>
      </c>
      <c r="J1124" t="s">
        <v>51</v>
      </c>
      <c r="K1124">
        <v>11849</v>
      </c>
      <c r="L1124">
        <v>1</v>
      </c>
      <c r="M1124" t="s">
        <v>31</v>
      </c>
      <c r="N1124">
        <v>12</v>
      </c>
      <c r="O1124">
        <v>3</v>
      </c>
      <c r="P1124">
        <v>1</v>
      </c>
      <c r="Q1124">
        <v>10</v>
      </c>
      <c r="R1124">
        <v>2</v>
      </c>
      <c r="S1124">
        <v>10</v>
      </c>
      <c r="T1124">
        <v>9</v>
      </c>
      <c r="U1124">
        <v>9</v>
      </c>
      <c r="V1124" t="s">
        <v>52</v>
      </c>
      <c r="W1124" s="2">
        <v>40698</v>
      </c>
      <c r="Y1124" t="s">
        <v>46</v>
      </c>
      <c r="Z1124" t="s">
        <v>47</v>
      </c>
      <c r="AA1124">
        <v>3</v>
      </c>
      <c r="AB1124">
        <v>1</v>
      </c>
      <c r="AC1124" t="s">
        <v>41</v>
      </c>
      <c r="AD1124" t="s">
        <v>67</v>
      </c>
      <c r="AE1124" t="s">
        <v>43</v>
      </c>
      <c r="AF1124" s="3">
        <v>1431</v>
      </c>
      <c r="AG1124" s="3">
        <v>91</v>
      </c>
      <c r="AH1124">
        <v>80</v>
      </c>
      <c r="AI1124">
        <v>3</v>
      </c>
      <c r="AJ1124">
        <v>0</v>
      </c>
      <c r="AL1124">
        <v>0</v>
      </c>
      <c r="AM1124">
        <v>1</v>
      </c>
      <c r="AN1124" t="s">
        <v>768</v>
      </c>
      <c r="AO1124" t="s">
        <v>41</v>
      </c>
    </row>
    <row r="1125" spans="1:41" x14ac:dyDescent="0.25">
      <c r="A1125">
        <v>50</v>
      </c>
      <c r="B1125" t="s">
        <v>32</v>
      </c>
      <c r="C1125" t="s">
        <v>33</v>
      </c>
      <c r="D1125">
        <v>4</v>
      </c>
      <c r="E1125" t="s">
        <v>34</v>
      </c>
      <c r="F1125">
        <v>3</v>
      </c>
      <c r="G1125">
        <v>5</v>
      </c>
      <c r="H1125" t="s">
        <v>50</v>
      </c>
      <c r="I1125">
        <v>2</v>
      </c>
      <c r="J1125" t="s">
        <v>57</v>
      </c>
      <c r="K1125">
        <v>19144</v>
      </c>
      <c r="L1125">
        <v>3</v>
      </c>
      <c r="M1125" t="s">
        <v>41</v>
      </c>
      <c r="N1125">
        <v>14</v>
      </c>
      <c r="O1125">
        <v>3</v>
      </c>
      <c r="P1125">
        <v>2</v>
      </c>
      <c r="Q1125">
        <v>28</v>
      </c>
      <c r="R1125">
        <v>4</v>
      </c>
      <c r="S1125">
        <v>10</v>
      </c>
      <c r="T1125">
        <v>1</v>
      </c>
      <c r="U1125">
        <v>6</v>
      </c>
      <c r="V1125" t="s">
        <v>58</v>
      </c>
      <c r="W1125" s="1" t="s">
        <v>567</v>
      </c>
      <c r="Y1125" t="s">
        <v>54</v>
      </c>
      <c r="Z1125" t="s">
        <v>40</v>
      </c>
      <c r="AA1125">
        <v>2</v>
      </c>
      <c r="AB1125">
        <v>1</v>
      </c>
      <c r="AC1125" t="s">
        <v>41</v>
      </c>
      <c r="AD1125" t="s">
        <v>42</v>
      </c>
      <c r="AE1125" t="s">
        <v>43</v>
      </c>
      <c r="AF1125" s="3">
        <v>1653</v>
      </c>
      <c r="AG1125" s="3">
        <v>77</v>
      </c>
      <c r="AH1125">
        <v>80</v>
      </c>
      <c r="AI1125">
        <v>7</v>
      </c>
      <c r="AJ1125">
        <v>0</v>
      </c>
      <c r="AL1125">
        <v>0</v>
      </c>
      <c r="AM1125">
        <v>1</v>
      </c>
      <c r="AN1125" t="s">
        <v>768</v>
      </c>
      <c r="AO1125" t="s">
        <v>41</v>
      </c>
    </row>
    <row r="1126" spans="1:41" x14ac:dyDescent="0.25">
      <c r="A1126">
        <v>29</v>
      </c>
      <c r="B1126" t="s">
        <v>66</v>
      </c>
      <c r="C1126" t="s">
        <v>55</v>
      </c>
      <c r="D1126">
        <v>2</v>
      </c>
      <c r="E1126" t="s">
        <v>34</v>
      </c>
      <c r="F1126">
        <v>3</v>
      </c>
      <c r="G1126">
        <v>2</v>
      </c>
      <c r="H1126" t="s">
        <v>70</v>
      </c>
      <c r="I1126">
        <v>4</v>
      </c>
      <c r="J1126" t="s">
        <v>36</v>
      </c>
      <c r="K1126">
        <v>4554</v>
      </c>
      <c r="L1126">
        <v>1</v>
      </c>
      <c r="M1126" t="s">
        <v>41</v>
      </c>
      <c r="N1126">
        <v>18</v>
      </c>
      <c r="O1126">
        <v>3</v>
      </c>
      <c r="P1126">
        <v>0</v>
      </c>
      <c r="Q1126">
        <v>10</v>
      </c>
      <c r="R1126">
        <v>3</v>
      </c>
      <c r="S1126">
        <v>10</v>
      </c>
      <c r="T1126">
        <v>0</v>
      </c>
      <c r="U1126">
        <v>9</v>
      </c>
      <c r="V1126" t="s">
        <v>58</v>
      </c>
      <c r="W1126" s="1" t="s">
        <v>568</v>
      </c>
      <c r="Y1126" t="s">
        <v>46</v>
      </c>
      <c r="Z1126" t="s">
        <v>40</v>
      </c>
      <c r="AA1126">
        <v>2</v>
      </c>
      <c r="AB1126">
        <v>2</v>
      </c>
      <c r="AC1126" t="s">
        <v>31</v>
      </c>
      <c r="AD1126" t="s">
        <v>67</v>
      </c>
      <c r="AE1126" t="s">
        <v>43</v>
      </c>
      <c r="AF1126" s="3">
        <v>1941</v>
      </c>
      <c r="AG1126" s="3">
        <v>42</v>
      </c>
      <c r="AH1126">
        <v>80</v>
      </c>
      <c r="AI1126">
        <v>4</v>
      </c>
      <c r="AJ1126">
        <v>0</v>
      </c>
      <c r="AL1126">
        <v>0</v>
      </c>
      <c r="AM1126">
        <v>1</v>
      </c>
      <c r="AN1126" t="s">
        <v>768</v>
      </c>
      <c r="AO1126" t="s">
        <v>41</v>
      </c>
    </row>
    <row r="1127" spans="1:41" x14ac:dyDescent="0.25">
      <c r="A1127">
        <v>55</v>
      </c>
      <c r="B1127" t="s">
        <v>32</v>
      </c>
      <c r="C1127" t="s">
        <v>33</v>
      </c>
      <c r="D1127">
        <v>20</v>
      </c>
      <c r="E1127" t="s">
        <v>34</v>
      </c>
      <c r="F1127">
        <v>3</v>
      </c>
      <c r="G1127">
        <v>2</v>
      </c>
      <c r="H1127" t="s">
        <v>35</v>
      </c>
      <c r="I1127">
        <v>4</v>
      </c>
      <c r="J1127" t="s">
        <v>51</v>
      </c>
      <c r="K1127">
        <v>5415</v>
      </c>
      <c r="L1127">
        <v>3</v>
      </c>
      <c r="M1127" t="s">
        <v>31</v>
      </c>
      <c r="N1127">
        <v>19</v>
      </c>
      <c r="O1127">
        <v>3</v>
      </c>
      <c r="P1127">
        <v>1</v>
      </c>
      <c r="Q1127">
        <v>12</v>
      </c>
      <c r="R1127">
        <v>4</v>
      </c>
      <c r="S1127">
        <v>10</v>
      </c>
      <c r="T1127">
        <v>0</v>
      </c>
      <c r="U1127">
        <v>8</v>
      </c>
      <c r="V1127" t="s">
        <v>52</v>
      </c>
      <c r="W1127" s="2">
        <v>40879</v>
      </c>
      <c r="Y1127" t="s">
        <v>46</v>
      </c>
      <c r="Z1127" t="s">
        <v>47</v>
      </c>
      <c r="AA1127">
        <v>3</v>
      </c>
      <c r="AB1127">
        <v>3</v>
      </c>
      <c r="AC1127" t="s">
        <v>31</v>
      </c>
      <c r="AD1127" t="s">
        <v>42</v>
      </c>
      <c r="AE1127" t="s">
        <v>60</v>
      </c>
      <c r="AF1127" s="3">
        <v>1852</v>
      </c>
      <c r="AG1127" s="3">
        <v>40</v>
      </c>
      <c r="AH1127">
        <v>80</v>
      </c>
      <c r="AI1127">
        <v>8</v>
      </c>
      <c r="AJ1127">
        <v>0</v>
      </c>
      <c r="AL1127">
        <v>0</v>
      </c>
      <c r="AM1127">
        <v>1</v>
      </c>
      <c r="AN1127" t="s">
        <v>768</v>
      </c>
      <c r="AO1127" t="s">
        <v>41</v>
      </c>
    </row>
    <row r="1128" spans="1:41" x14ac:dyDescent="0.25">
      <c r="A1128">
        <v>38</v>
      </c>
      <c r="B1128" t="s">
        <v>32</v>
      </c>
      <c r="C1128" t="s">
        <v>33</v>
      </c>
      <c r="D1128">
        <v>25</v>
      </c>
      <c r="E1128" t="s">
        <v>61</v>
      </c>
      <c r="F1128">
        <v>2</v>
      </c>
      <c r="G1128">
        <v>3</v>
      </c>
      <c r="H1128" t="s">
        <v>50</v>
      </c>
      <c r="I1128">
        <v>2</v>
      </c>
      <c r="J1128" t="s">
        <v>51</v>
      </c>
      <c r="K1128">
        <v>12061</v>
      </c>
      <c r="L1128">
        <v>3</v>
      </c>
      <c r="M1128" t="s">
        <v>41</v>
      </c>
      <c r="N1128">
        <v>17</v>
      </c>
      <c r="O1128">
        <v>3</v>
      </c>
      <c r="P1128">
        <v>1</v>
      </c>
      <c r="Q1128">
        <v>19</v>
      </c>
      <c r="R1128">
        <v>2</v>
      </c>
      <c r="S1128">
        <v>10</v>
      </c>
      <c r="T1128">
        <v>0</v>
      </c>
      <c r="U1128">
        <v>1</v>
      </c>
      <c r="V1128" t="s">
        <v>37</v>
      </c>
      <c r="W1128" s="2">
        <v>40817</v>
      </c>
      <c r="Y1128" t="s">
        <v>69</v>
      </c>
      <c r="Z1128" t="s">
        <v>47</v>
      </c>
      <c r="AA1128">
        <v>0</v>
      </c>
      <c r="AB1128">
        <v>1</v>
      </c>
      <c r="AC1128" t="s">
        <v>41</v>
      </c>
      <c r="AD1128" t="s">
        <v>42</v>
      </c>
      <c r="AE1128" t="s">
        <v>49</v>
      </c>
      <c r="AF1128" s="3">
        <v>1997</v>
      </c>
      <c r="AG1128" s="3">
        <v>72</v>
      </c>
      <c r="AH1128">
        <v>80</v>
      </c>
      <c r="AI1128">
        <v>3</v>
      </c>
      <c r="AJ1128">
        <v>0</v>
      </c>
      <c r="AL1128">
        <v>0</v>
      </c>
      <c r="AM1128">
        <v>1</v>
      </c>
      <c r="AN1128" t="s">
        <v>768</v>
      </c>
      <c r="AO1128" t="s">
        <v>41</v>
      </c>
    </row>
    <row r="1129" spans="1:41" x14ac:dyDescent="0.25">
      <c r="A1129">
        <v>33</v>
      </c>
      <c r="B1129" t="s">
        <v>66</v>
      </c>
      <c r="C1129" t="s">
        <v>33</v>
      </c>
      <c r="D1129">
        <v>5</v>
      </c>
      <c r="E1129" t="s">
        <v>61</v>
      </c>
      <c r="F1129">
        <v>3</v>
      </c>
      <c r="G1129">
        <v>3</v>
      </c>
      <c r="H1129" t="s">
        <v>75</v>
      </c>
      <c r="I1129">
        <v>2</v>
      </c>
      <c r="J1129" t="s">
        <v>51</v>
      </c>
      <c r="K1129">
        <v>11878</v>
      </c>
      <c r="L1129">
        <v>6</v>
      </c>
      <c r="M1129" t="s">
        <v>41</v>
      </c>
      <c r="N1129">
        <v>11</v>
      </c>
      <c r="O1129">
        <v>3</v>
      </c>
      <c r="P1129">
        <v>2</v>
      </c>
      <c r="Q1129">
        <v>12</v>
      </c>
      <c r="R1129">
        <v>2</v>
      </c>
      <c r="S1129">
        <v>10</v>
      </c>
      <c r="T1129">
        <v>8</v>
      </c>
      <c r="U1129">
        <v>8</v>
      </c>
      <c r="V1129" t="s">
        <v>37</v>
      </c>
      <c r="W1129" s="2">
        <v>40761</v>
      </c>
      <c r="Y1129" t="s">
        <v>63</v>
      </c>
      <c r="Z1129" t="s">
        <v>40</v>
      </c>
      <c r="AA1129">
        <v>3</v>
      </c>
      <c r="AB1129">
        <v>2</v>
      </c>
      <c r="AC1129" t="s">
        <v>31</v>
      </c>
      <c r="AD1129" t="s">
        <v>67</v>
      </c>
      <c r="AE1129" t="s">
        <v>60</v>
      </c>
      <c r="AF1129" s="3">
        <v>1720</v>
      </c>
      <c r="AG1129" s="3">
        <v>56</v>
      </c>
      <c r="AH1129">
        <v>80</v>
      </c>
      <c r="AI1129">
        <v>2</v>
      </c>
      <c r="AJ1129">
        <v>0</v>
      </c>
      <c r="AL1129">
        <v>0</v>
      </c>
      <c r="AM1129">
        <v>1</v>
      </c>
      <c r="AN1129" t="s">
        <v>768</v>
      </c>
      <c r="AO1129" t="s">
        <v>41</v>
      </c>
    </row>
    <row r="1130" spans="1:41" x14ac:dyDescent="0.25">
      <c r="A1130">
        <v>30</v>
      </c>
      <c r="B1130" t="s">
        <v>32</v>
      </c>
      <c r="C1130" t="s">
        <v>33</v>
      </c>
      <c r="D1130">
        <v>28</v>
      </c>
      <c r="E1130" t="s">
        <v>61</v>
      </c>
      <c r="F1130">
        <v>3</v>
      </c>
      <c r="G1130">
        <v>2</v>
      </c>
      <c r="H1130" t="s">
        <v>44</v>
      </c>
      <c r="I1130">
        <v>4</v>
      </c>
      <c r="J1130" t="s">
        <v>51</v>
      </c>
      <c r="K1130">
        <v>5775</v>
      </c>
      <c r="L1130">
        <v>1</v>
      </c>
      <c r="M1130" t="s">
        <v>41</v>
      </c>
      <c r="N1130">
        <v>13</v>
      </c>
      <c r="O1130">
        <v>3</v>
      </c>
      <c r="P1130">
        <v>2</v>
      </c>
      <c r="Q1130">
        <v>11</v>
      </c>
      <c r="R1130">
        <v>2</v>
      </c>
      <c r="S1130">
        <v>10</v>
      </c>
      <c r="T1130">
        <v>1</v>
      </c>
      <c r="U1130">
        <v>9</v>
      </c>
      <c r="V1130" t="s">
        <v>58</v>
      </c>
      <c r="W1130" s="1" t="s">
        <v>569</v>
      </c>
      <c r="Y1130" t="s">
        <v>39</v>
      </c>
      <c r="Z1130" t="s">
        <v>47</v>
      </c>
      <c r="AA1130">
        <v>4</v>
      </c>
      <c r="AB1130">
        <v>1</v>
      </c>
      <c r="AC1130" t="s">
        <v>31</v>
      </c>
      <c r="AD1130" t="s">
        <v>42</v>
      </c>
      <c r="AE1130" t="s">
        <v>43</v>
      </c>
      <c r="AF1130" s="3">
        <v>1918</v>
      </c>
      <c r="AG1130" s="3">
        <v>61</v>
      </c>
      <c r="AH1130">
        <v>80</v>
      </c>
      <c r="AI1130">
        <v>7</v>
      </c>
      <c r="AJ1130">
        <v>0</v>
      </c>
      <c r="AL1130">
        <v>0</v>
      </c>
      <c r="AM1130">
        <v>1</v>
      </c>
      <c r="AN1130" t="s">
        <v>768</v>
      </c>
      <c r="AO1130" t="s">
        <v>41</v>
      </c>
    </row>
    <row r="1131" spans="1:41" x14ac:dyDescent="0.25">
      <c r="A1131">
        <v>31</v>
      </c>
      <c r="B1131" t="s">
        <v>66</v>
      </c>
      <c r="C1131" t="s">
        <v>33</v>
      </c>
      <c r="D1131">
        <v>7</v>
      </c>
      <c r="E1131" t="s">
        <v>61</v>
      </c>
      <c r="F1131">
        <v>2</v>
      </c>
      <c r="G1131">
        <v>3</v>
      </c>
      <c r="H1131" t="s">
        <v>78</v>
      </c>
      <c r="I1131">
        <v>3</v>
      </c>
      <c r="J1131" t="s">
        <v>51</v>
      </c>
      <c r="K1131">
        <v>8943</v>
      </c>
      <c r="L1131">
        <v>1</v>
      </c>
      <c r="M1131" t="s">
        <v>41</v>
      </c>
      <c r="N1131">
        <v>24</v>
      </c>
      <c r="O1131">
        <v>4</v>
      </c>
      <c r="P1131">
        <v>1</v>
      </c>
      <c r="Q1131">
        <v>10</v>
      </c>
      <c r="R1131">
        <v>2</v>
      </c>
      <c r="S1131">
        <v>10</v>
      </c>
      <c r="T1131">
        <v>8</v>
      </c>
      <c r="U1131">
        <v>9</v>
      </c>
      <c r="V1131" t="s">
        <v>58</v>
      </c>
      <c r="W1131" s="2">
        <v>40879</v>
      </c>
      <c r="Y1131" t="s">
        <v>54</v>
      </c>
      <c r="Z1131" t="s">
        <v>40</v>
      </c>
      <c r="AA1131">
        <v>1</v>
      </c>
      <c r="AB1131">
        <v>0</v>
      </c>
      <c r="AC1131" t="s">
        <v>41</v>
      </c>
      <c r="AD1131" t="s">
        <v>48</v>
      </c>
      <c r="AE1131" t="s">
        <v>43</v>
      </c>
      <c r="AF1131" s="3">
        <v>2061</v>
      </c>
      <c r="AG1131" s="3">
        <v>41</v>
      </c>
      <c r="AH1131">
        <v>80</v>
      </c>
      <c r="AI1131">
        <v>2</v>
      </c>
      <c r="AJ1131">
        <v>0</v>
      </c>
      <c r="AL1131">
        <v>0</v>
      </c>
      <c r="AM1131">
        <v>1</v>
      </c>
      <c r="AN1131" t="s">
        <v>768</v>
      </c>
      <c r="AO1131" t="s">
        <v>41</v>
      </c>
    </row>
    <row r="1132" spans="1:41" x14ac:dyDescent="0.25">
      <c r="A1132">
        <v>45</v>
      </c>
      <c r="B1132" t="s">
        <v>32</v>
      </c>
      <c r="C1132" t="s">
        <v>33</v>
      </c>
      <c r="D1132">
        <v>8</v>
      </c>
      <c r="E1132" t="s">
        <v>34</v>
      </c>
      <c r="F1132">
        <v>3</v>
      </c>
      <c r="G1132">
        <v>2</v>
      </c>
      <c r="H1132" t="s">
        <v>44</v>
      </c>
      <c r="I1132">
        <v>4</v>
      </c>
      <c r="J1132" t="s">
        <v>51</v>
      </c>
      <c r="K1132">
        <v>3697</v>
      </c>
      <c r="L1132">
        <v>9</v>
      </c>
      <c r="M1132" t="s">
        <v>41</v>
      </c>
      <c r="N1132">
        <v>14</v>
      </c>
      <c r="O1132">
        <v>3</v>
      </c>
      <c r="P1132">
        <v>2</v>
      </c>
      <c r="Q1132">
        <v>12</v>
      </c>
      <c r="R1132">
        <v>3</v>
      </c>
      <c r="S1132">
        <v>10</v>
      </c>
      <c r="T1132">
        <v>9</v>
      </c>
      <c r="U1132">
        <v>8</v>
      </c>
      <c r="V1132" t="s">
        <v>37</v>
      </c>
      <c r="W1132" s="1" t="s">
        <v>570</v>
      </c>
      <c r="Y1132" t="s">
        <v>46</v>
      </c>
      <c r="Z1132" t="s">
        <v>47</v>
      </c>
      <c r="AA1132">
        <v>4</v>
      </c>
      <c r="AB1132">
        <v>0</v>
      </c>
      <c r="AC1132" t="s">
        <v>31</v>
      </c>
      <c r="AD1132" t="s">
        <v>48</v>
      </c>
      <c r="AE1132" t="s">
        <v>60</v>
      </c>
      <c r="AF1132" s="3">
        <v>1597</v>
      </c>
      <c r="AG1132" s="3">
        <v>92</v>
      </c>
      <c r="AH1132">
        <v>80</v>
      </c>
      <c r="AI1132">
        <v>2</v>
      </c>
      <c r="AJ1132">
        <v>0</v>
      </c>
      <c r="AL1132">
        <v>0</v>
      </c>
      <c r="AM1132">
        <v>1</v>
      </c>
      <c r="AN1132" t="s">
        <v>768</v>
      </c>
      <c r="AO1132" t="s">
        <v>41</v>
      </c>
    </row>
    <row r="1133" spans="1:41" x14ac:dyDescent="0.25">
      <c r="A1133">
        <v>30</v>
      </c>
      <c r="B1133" t="s">
        <v>32</v>
      </c>
      <c r="C1133" t="s">
        <v>55</v>
      </c>
      <c r="D1133">
        <v>5</v>
      </c>
      <c r="E1133" t="s">
        <v>61</v>
      </c>
      <c r="F1133">
        <v>2</v>
      </c>
      <c r="G1133">
        <v>2</v>
      </c>
      <c r="H1133" t="s">
        <v>70</v>
      </c>
      <c r="I1133">
        <v>3</v>
      </c>
      <c r="J1133" t="s">
        <v>57</v>
      </c>
      <c r="K1133">
        <v>6118</v>
      </c>
      <c r="L1133">
        <v>1</v>
      </c>
      <c r="M1133" t="s">
        <v>41</v>
      </c>
      <c r="N1133">
        <v>13</v>
      </c>
      <c r="O1133">
        <v>3</v>
      </c>
      <c r="P1133">
        <v>3</v>
      </c>
      <c r="Q1133">
        <v>10</v>
      </c>
      <c r="R1133">
        <v>2</v>
      </c>
      <c r="S1133">
        <v>10</v>
      </c>
      <c r="T1133">
        <v>1</v>
      </c>
      <c r="U1133">
        <v>2</v>
      </c>
      <c r="V1133" t="s">
        <v>52</v>
      </c>
      <c r="W1133" s="1" t="s">
        <v>571</v>
      </c>
      <c r="Y1133" t="s">
        <v>46</v>
      </c>
      <c r="Z1133" t="s">
        <v>47</v>
      </c>
      <c r="AA1133">
        <v>2</v>
      </c>
      <c r="AB1133">
        <v>2</v>
      </c>
      <c r="AC1133" t="s">
        <v>31</v>
      </c>
      <c r="AD1133" t="s">
        <v>42</v>
      </c>
      <c r="AE1133" t="s">
        <v>60</v>
      </c>
      <c r="AF1133" s="3">
        <v>1668</v>
      </c>
      <c r="AG1133" s="3">
        <v>90</v>
      </c>
      <c r="AH1133">
        <v>80</v>
      </c>
      <c r="AI1133">
        <v>11</v>
      </c>
      <c r="AJ1133">
        <v>0</v>
      </c>
      <c r="AL1133">
        <v>0</v>
      </c>
      <c r="AM1133">
        <v>1</v>
      </c>
      <c r="AN1133" t="s">
        <v>768</v>
      </c>
      <c r="AO1133" t="s">
        <v>41</v>
      </c>
    </row>
    <row r="1134" spans="1:41" x14ac:dyDescent="0.25">
      <c r="A1134">
        <v>36</v>
      </c>
      <c r="B1134" t="s">
        <v>32</v>
      </c>
      <c r="C1134" t="s">
        <v>55</v>
      </c>
      <c r="D1134">
        <v>2</v>
      </c>
      <c r="E1134" t="s">
        <v>34</v>
      </c>
      <c r="F1134">
        <v>2</v>
      </c>
      <c r="G1134">
        <v>3</v>
      </c>
      <c r="H1134" t="s">
        <v>70</v>
      </c>
      <c r="I1134">
        <v>3</v>
      </c>
      <c r="J1134" t="s">
        <v>51</v>
      </c>
      <c r="K1134">
        <v>7596</v>
      </c>
      <c r="L1134">
        <v>1</v>
      </c>
      <c r="M1134" t="s">
        <v>41</v>
      </c>
      <c r="N1134">
        <v>13</v>
      </c>
      <c r="O1134">
        <v>3</v>
      </c>
      <c r="P1134">
        <v>2</v>
      </c>
      <c r="Q1134">
        <v>10</v>
      </c>
      <c r="R1134">
        <v>2</v>
      </c>
      <c r="S1134">
        <v>10</v>
      </c>
      <c r="T1134">
        <v>9</v>
      </c>
      <c r="U1134">
        <v>0</v>
      </c>
      <c r="V1134" t="s">
        <v>72</v>
      </c>
      <c r="W1134" s="1" t="s">
        <v>572</v>
      </c>
      <c r="Y1134" t="s">
        <v>46</v>
      </c>
      <c r="Z1134" t="s">
        <v>40</v>
      </c>
      <c r="AA1134">
        <v>1</v>
      </c>
      <c r="AB1134">
        <v>2</v>
      </c>
      <c r="AC1134" t="s">
        <v>41</v>
      </c>
      <c r="AD1134" t="s">
        <v>65</v>
      </c>
      <c r="AE1134" t="s">
        <v>49</v>
      </c>
      <c r="AF1134" s="3">
        <v>1922</v>
      </c>
      <c r="AG1134" s="3">
        <v>44</v>
      </c>
      <c r="AH1134">
        <v>80</v>
      </c>
      <c r="AI1134">
        <v>2</v>
      </c>
      <c r="AJ1134">
        <v>0</v>
      </c>
      <c r="AL1134">
        <v>0</v>
      </c>
      <c r="AM1134">
        <v>1</v>
      </c>
      <c r="AN1134" t="s">
        <v>768</v>
      </c>
      <c r="AO1134" t="s">
        <v>41</v>
      </c>
    </row>
    <row r="1135" spans="1:41" x14ac:dyDescent="0.25">
      <c r="A1135">
        <v>41</v>
      </c>
      <c r="B1135" t="s">
        <v>32</v>
      </c>
      <c r="C1135" t="s">
        <v>55</v>
      </c>
      <c r="D1135">
        <v>1</v>
      </c>
      <c r="E1135" t="s">
        <v>34</v>
      </c>
      <c r="F1135">
        <v>4</v>
      </c>
      <c r="G1135">
        <v>3</v>
      </c>
      <c r="H1135" t="s">
        <v>70</v>
      </c>
      <c r="I1135">
        <v>1</v>
      </c>
      <c r="J1135" t="s">
        <v>51</v>
      </c>
      <c r="K1135">
        <v>8392</v>
      </c>
      <c r="L1135">
        <v>1</v>
      </c>
      <c r="M1135" t="s">
        <v>41</v>
      </c>
      <c r="N1135">
        <v>16</v>
      </c>
      <c r="O1135">
        <v>3</v>
      </c>
      <c r="P1135">
        <v>1</v>
      </c>
      <c r="Q1135">
        <v>10</v>
      </c>
      <c r="R1135">
        <v>2</v>
      </c>
      <c r="S1135">
        <v>10</v>
      </c>
      <c r="T1135">
        <v>0</v>
      </c>
      <c r="U1135">
        <v>7</v>
      </c>
      <c r="V1135" t="s">
        <v>72</v>
      </c>
      <c r="W1135" s="1" t="s">
        <v>559</v>
      </c>
      <c r="Y1135" t="s">
        <v>46</v>
      </c>
      <c r="Z1135" t="s">
        <v>40</v>
      </c>
      <c r="AA1135">
        <v>2</v>
      </c>
      <c r="AB1135">
        <v>2</v>
      </c>
      <c r="AC1135" t="s">
        <v>41</v>
      </c>
      <c r="AD1135" t="s">
        <v>48</v>
      </c>
      <c r="AE1135" t="s">
        <v>49</v>
      </c>
      <c r="AF1135" s="3">
        <v>1412</v>
      </c>
      <c r="AG1135" s="3">
        <v>60</v>
      </c>
      <c r="AH1135">
        <v>80</v>
      </c>
      <c r="AI1135">
        <v>2</v>
      </c>
      <c r="AJ1135">
        <v>0</v>
      </c>
      <c r="AL1135">
        <v>0</v>
      </c>
      <c r="AM1135">
        <v>1</v>
      </c>
      <c r="AN1135" t="s">
        <v>768</v>
      </c>
      <c r="AO1135" t="s">
        <v>41</v>
      </c>
    </row>
    <row r="1136" spans="1:41" x14ac:dyDescent="0.25">
      <c r="A1136">
        <v>28</v>
      </c>
      <c r="B1136" t="s">
        <v>32</v>
      </c>
      <c r="C1136" t="s">
        <v>33</v>
      </c>
      <c r="D1136">
        <v>17</v>
      </c>
      <c r="E1136" t="s">
        <v>34</v>
      </c>
      <c r="F1136">
        <v>3</v>
      </c>
      <c r="G1136">
        <v>2</v>
      </c>
      <c r="H1136" t="s">
        <v>35</v>
      </c>
      <c r="I1136">
        <v>1</v>
      </c>
      <c r="J1136" t="s">
        <v>57</v>
      </c>
      <c r="K1136">
        <v>4558</v>
      </c>
      <c r="L1136">
        <v>1</v>
      </c>
      <c r="M1136" t="s">
        <v>41</v>
      </c>
      <c r="N1136">
        <v>12</v>
      </c>
      <c r="O1136">
        <v>3</v>
      </c>
      <c r="P1136">
        <v>1</v>
      </c>
      <c r="Q1136">
        <v>10</v>
      </c>
      <c r="R1136">
        <v>2</v>
      </c>
      <c r="S1136">
        <v>10</v>
      </c>
      <c r="T1136">
        <v>1</v>
      </c>
      <c r="U1136">
        <v>8</v>
      </c>
      <c r="V1136" t="s">
        <v>37</v>
      </c>
      <c r="W1136" s="2">
        <v>40636</v>
      </c>
      <c r="Y1136" t="s">
        <v>54</v>
      </c>
      <c r="Z1136" t="s">
        <v>47</v>
      </c>
      <c r="AA1136">
        <v>2</v>
      </c>
      <c r="AB1136">
        <v>1</v>
      </c>
      <c r="AC1136" t="s">
        <v>31</v>
      </c>
      <c r="AD1136" t="s">
        <v>65</v>
      </c>
      <c r="AE1136" t="s">
        <v>60</v>
      </c>
      <c r="AF1136" s="3">
        <v>1648</v>
      </c>
      <c r="AG1136" s="3">
        <v>87</v>
      </c>
      <c r="AH1136">
        <v>80</v>
      </c>
      <c r="AI1136">
        <v>2</v>
      </c>
      <c r="AJ1136">
        <v>0</v>
      </c>
      <c r="AL1136">
        <v>0</v>
      </c>
      <c r="AM1136">
        <v>1</v>
      </c>
      <c r="AN1136" t="s">
        <v>768</v>
      </c>
      <c r="AO1136" t="s">
        <v>41</v>
      </c>
    </row>
    <row r="1137" spans="1:41" x14ac:dyDescent="0.25">
      <c r="A1137">
        <v>46</v>
      </c>
      <c r="B1137" t="s">
        <v>32</v>
      </c>
      <c r="C1137" t="s">
        <v>33</v>
      </c>
      <c r="D1137">
        <v>18</v>
      </c>
      <c r="E1137" t="s">
        <v>61</v>
      </c>
      <c r="F1137">
        <v>3</v>
      </c>
      <c r="G1137">
        <v>2</v>
      </c>
      <c r="H1137" t="s">
        <v>78</v>
      </c>
      <c r="I1137">
        <v>3</v>
      </c>
      <c r="J1137" t="s">
        <v>57</v>
      </c>
      <c r="K1137">
        <v>4810</v>
      </c>
      <c r="L1137">
        <v>2</v>
      </c>
      <c r="M1137" t="s">
        <v>41</v>
      </c>
      <c r="N1137">
        <v>14</v>
      </c>
      <c r="O1137">
        <v>3</v>
      </c>
      <c r="P1137">
        <v>1</v>
      </c>
      <c r="Q1137">
        <v>19</v>
      </c>
      <c r="R1137">
        <v>5</v>
      </c>
      <c r="S1137">
        <v>10</v>
      </c>
      <c r="T1137">
        <v>0</v>
      </c>
      <c r="U1137">
        <v>8</v>
      </c>
      <c r="V1137" t="s">
        <v>58</v>
      </c>
      <c r="W1137" s="2">
        <v>40727</v>
      </c>
      <c r="Y1137" t="s">
        <v>69</v>
      </c>
      <c r="Z1137" t="s">
        <v>47</v>
      </c>
      <c r="AA1137">
        <v>0</v>
      </c>
      <c r="AB1137">
        <v>2</v>
      </c>
      <c r="AC1137" t="s">
        <v>31</v>
      </c>
      <c r="AD1137" t="s">
        <v>65</v>
      </c>
      <c r="AE1137" t="s">
        <v>43</v>
      </c>
      <c r="AF1137" s="3">
        <v>1812</v>
      </c>
      <c r="AG1137" s="3">
        <v>83</v>
      </c>
      <c r="AH1137">
        <v>80</v>
      </c>
      <c r="AI1137">
        <v>1</v>
      </c>
      <c r="AJ1137">
        <v>0</v>
      </c>
      <c r="AL1137">
        <v>0</v>
      </c>
      <c r="AM1137">
        <v>1</v>
      </c>
      <c r="AN1137" t="s">
        <v>768</v>
      </c>
      <c r="AO1137" t="s">
        <v>41</v>
      </c>
    </row>
    <row r="1138" spans="1:41" x14ac:dyDescent="0.25">
      <c r="A1138">
        <v>29</v>
      </c>
      <c r="B1138" t="s">
        <v>32</v>
      </c>
      <c r="C1138" t="s">
        <v>33</v>
      </c>
      <c r="D1138">
        <v>3</v>
      </c>
      <c r="E1138" t="s">
        <v>34</v>
      </c>
      <c r="F1138">
        <v>2</v>
      </c>
      <c r="G1138">
        <v>3</v>
      </c>
      <c r="H1138" t="s">
        <v>50</v>
      </c>
      <c r="I1138">
        <v>3</v>
      </c>
      <c r="J1138" t="s">
        <v>51</v>
      </c>
      <c r="K1138">
        <v>11935</v>
      </c>
      <c r="L1138">
        <v>1</v>
      </c>
      <c r="M1138" t="s">
        <v>41</v>
      </c>
      <c r="N1138">
        <v>18</v>
      </c>
      <c r="O1138">
        <v>3</v>
      </c>
      <c r="P1138">
        <v>0</v>
      </c>
      <c r="Q1138">
        <v>10</v>
      </c>
      <c r="R1138">
        <v>2</v>
      </c>
      <c r="S1138">
        <v>10</v>
      </c>
      <c r="T1138">
        <v>0</v>
      </c>
      <c r="U1138">
        <v>7</v>
      </c>
      <c r="V1138" t="s">
        <v>52</v>
      </c>
      <c r="W1138" s="1" t="s">
        <v>573</v>
      </c>
      <c r="Y1138" t="s">
        <v>54</v>
      </c>
      <c r="Z1138" t="s">
        <v>47</v>
      </c>
      <c r="AA1138">
        <v>0</v>
      </c>
      <c r="AB1138">
        <v>1</v>
      </c>
      <c r="AC1138" t="s">
        <v>41</v>
      </c>
      <c r="AD1138" t="s">
        <v>42</v>
      </c>
      <c r="AE1138" t="s">
        <v>60</v>
      </c>
      <c r="AF1138" s="3">
        <v>1700</v>
      </c>
      <c r="AG1138" s="3">
        <v>31</v>
      </c>
      <c r="AH1138">
        <v>80</v>
      </c>
      <c r="AI1138">
        <v>3</v>
      </c>
      <c r="AJ1138">
        <v>0</v>
      </c>
      <c r="AL1138">
        <v>0</v>
      </c>
      <c r="AM1138">
        <v>1</v>
      </c>
      <c r="AN1138" t="s">
        <v>768</v>
      </c>
      <c r="AO1138" t="s">
        <v>41</v>
      </c>
    </row>
    <row r="1139" spans="1:41" x14ac:dyDescent="0.25">
      <c r="A1139">
        <v>36</v>
      </c>
      <c r="B1139" t="s">
        <v>81</v>
      </c>
      <c r="C1139" t="s">
        <v>55</v>
      </c>
      <c r="D1139">
        <v>10</v>
      </c>
      <c r="E1139" t="s">
        <v>34</v>
      </c>
      <c r="F1139">
        <v>3</v>
      </c>
      <c r="G1139">
        <v>3</v>
      </c>
      <c r="H1139" t="s">
        <v>70</v>
      </c>
      <c r="I1139">
        <v>4</v>
      </c>
      <c r="J1139" t="s">
        <v>36</v>
      </c>
      <c r="K1139">
        <v>9980</v>
      </c>
      <c r="L1139">
        <v>1</v>
      </c>
      <c r="M1139" t="s">
        <v>41</v>
      </c>
      <c r="N1139">
        <v>14</v>
      </c>
      <c r="O1139">
        <v>3</v>
      </c>
      <c r="P1139">
        <v>0</v>
      </c>
      <c r="Q1139">
        <v>10</v>
      </c>
      <c r="R1139">
        <v>3</v>
      </c>
      <c r="S1139">
        <v>10</v>
      </c>
      <c r="T1139">
        <v>9</v>
      </c>
      <c r="U1139">
        <v>7</v>
      </c>
      <c r="V1139" t="s">
        <v>58</v>
      </c>
      <c r="W1139" s="2">
        <v>40882</v>
      </c>
      <c r="Y1139" t="s">
        <v>46</v>
      </c>
      <c r="Z1139" t="s">
        <v>47</v>
      </c>
      <c r="AA1139">
        <v>3</v>
      </c>
      <c r="AB1139">
        <v>3</v>
      </c>
      <c r="AC1139" t="s">
        <v>41</v>
      </c>
      <c r="AD1139" t="s">
        <v>48</v>
      </c>
      <c r="AE1139" t="s">
        <v>43</v>
      </c>
      <c r="AF1139" s="3">
        <v>2065</v>
      </c>
      <c r="AG1139" s="3">
        <v>63</v>
      </c>
      <c r="AH1139">
        <v>80</v>
      </c>
      <c r="AI1139">
        <v>6</v>
      </c>
      <c r="AJ1139">
        <v>0</v>
      </c>
      <c r="AL1139">
        <v>0</v>
      </c>
      <c r="AM1139">
        <v>1</v>
      </c>
      <c r="AN1139" t="s">
        <v>768</v>
      </c>
      <c r="AO1139" t="s">
        <v>41</v>
      </c>
    </row>
    <row r="1140" spans="1:41" x14ac:dyDescent="0.25">
      <c r="A1140">
        <v>55</v>
      </c>
      <c r="B1140" t="s">
        <v>32</v>
      </c>
      <c r="C1140" t="s">
        <v>55</v>
      </c>
      <c r="D1140">
        <v>18</v>
      </c>
      <c r="E1140" t="s">
        <v>61</v>
      </c>
      <c r="F1140">
        <v>3</v>
      </c>
      <c r="G1140">
        <v>4</v>
      </c>
      <c r="H1140" t="s">
        <v>75</v>
      </c>
      <c r="I1140">
        <v>2</v>
      </c>
      <c r="J1140" t="s">
        <v>36</v>
      </c>
      <c r="K1140">
        <v>16835</v>
      </c>
      <c r="L1140">
        <v>3</v>
      </c>
      <c r="M1140" t="s">
        <v>41</v>
      </c>
      <c r="N1140">
        <v>23</v>
      </c>
      <c r="O1140">
        <v>4</v>
      </c>
      <c r="P1140">
        <v>0</v>
      </c>
      <c r="Q1140">
        <v>37</v>
      </c>
      <c r="R1140">
        <v>2</v>
      </c>
      <c r="S1140">
        <v>10</v>
      </c>
      <c r="T1140">
        <v>7</v>
      </c>
      <c r="U1140">
        <v>7</v>
      </c>
      <c r="V1140" t="s">
        <v>37</v>
      </c>
      <c r="W1140" s="2">
        <v>40758</v>
      </c>
      <c r="Y1140" t="s">
        <v>46</v>
      </c>
      <c r="Z1140" t="s">
        <v>47</v>
      </c>
      <c r="AA1140">
        <v>2</v>
      </c>
      <c r="AB1140">
        <v>0</v>
      </c>
      <c r="AC1140" t="s">
        <v>31</v>
      </c>
      <c r="AD1140" t="s">
        <v>42</v>
      </c>
      <c r="AE1140" t="s">
        <v>60</v>
      </c>
      <c r="AF1140" s="3">
        <v>1477</v>
      </c>
      <c r="AG1140" s="3">
        <v>54</v>
      </c>
      <c r="AH1140">
        <v>80</v>
      </c>
      <c r="AI1140">
        <v>3</v>
      </c>
      <c r="AJ1140">
        <v>0</v>
      </c>
      <c r="AL1140">
        <v>0</v>
      </c>
      <c r="AM1140">
        <v>1</v>
      </c>
      <c r="AN1140" t="s">
        <v>768</v>
      </c>
      <c r="AO1140" t="s">
        <v>41</v>
      </c>
    </row>
    <row r="1141" spans="1:41" x14ac:dyDescent="0.25">
      <c r="A1141">
        <v>42</v>
      </c>
      <c r="B1141" t="s">
        <v>32</v>
      </c>
      <c r="C1141" t="s">
        <v>33</v>
      </c>
      <c r="D1141">
        <v>24</v>
      </c>
      <c r="E1141" t="s">
        <v>34</v>
      </c>
      <c r="F1141">
        <v>3</v>
      </c>
      <c r="G1141">
        <v>3</v>
      </c>
      <c r="H1141" t="s">
        <v>78</v>
      </c>
      <c r="I1141">
        <v>1</v>
      </c>
      <c r="J1141" t="s">
        <v>51</v>
      </c>
      <c r="K1141">
        <v>7406</v>
      </c>
      <c r="L1141">
        <v>1</v>
      </c>
      <c r="M1141" t="s">
        <v>31</v>
      </c>
      <c r="N1141">
        <v>21</v>
      </c>
      <c r="O1141">
        <v>4</v>
      </c>
      <c r="P1141">
        <v>1</v>
      </c>
      <c r="Q1141">
        <v>10</v>
      </c>
      <c r="R1141">
        <v>5</v>
      </c>
      <c r="S1141">
        <v>10</v>
      </c>
      <c r="T1141">
        <v>5</v>
      </c>
      <c r="U1141">
        <v>8</v>
      </c>
      <c r="V1141" t="s">
        <v>52</v>
      </c>
      <c r="W1141" s="1" t="s">
        <v>557</v>
      </c>
      <c r="Y1141" t="s">
        <v>39</v>
      </c>
      <c r="Z1141" t="s">
        <v>47</v>
      </c>
      <c r="AA1141">
        <v>3</v>
      </c>
      <c r="AB1141">
        <v>1</v>
      </c>
      <c r="AC1141" t="s">
        <v>41</v>
      </c>
      <c r="AD1141" t="s">
        <v>48</v>
      </c>
      <c r="AE1141" t="s">
        <v>49</v>
      </c>
      <c r="AF1141" s="3">
        <v>1507</v>
      </c>
      <c r="AG1141" s="3">
        <v>55</v>
      </c>
      <c r="AH1141">
        <v>80</v>
      </c>
      <c r="AI1141">
        <v>2</v>
      </c>
      <c r="AJ1141">
        <v>0</v>
      </c>
      <c r="AL1141">
        <v>0</v>
      </c>
      <c r="AM1141">
        <v>1</v>
      </c>
      <c r="AN1141" t="s">
        <v>768</v>
      </c>
      <c r="AO1141" t="s">
        <v>41</v>
      </c>
    </row>
    <row r="1142" spans="1:41" x14ac:dyDescent="0.25">
      <c r="A1142">
        <v>34</v>
      </c>
      <c r="B1142" t="s">
        <v>32</v>
      </c>
      <c r="C1142" t="s">
        <v>55</v>
      </c>
      <c r="D1142">
        <v>21</v>
      </c>
      <c r="E1142" t="s">
        <v>34</v>
      </c>
      <c r="F1142">
        <v>4</v>
      </c>
      <c r="G1142">
        <v>2</v>
      </c>
      <c r="H1142" t="s">
        <v>70</v>
      </c>
      <c r="I1142">
        <v>4</v>
      </c>
      <c r="J1142" t="s">
        <v>36</v>
      </c>
      <c r="K1142">
        <v>5337</v>
      </c>
      <c r="L1142">
        <v>1</v>
      </c>
      <c r="M1142" t="s">
        <v>41</v>
      </c>
      <c r="N1142">
        <v>12</v>
      </c>
      <c r="O1142">
        <v>3</v>
      </c>
      <c r="P1142">
        <v>0</v>
      </c>
      <c r="Q1142">
        <v>10</v>
      </c>
      <c r="R1142">
        <v>3</v>
      </c>
      <c r="S1142">
        <v>10</v>
      </c>
      <c r="T1142">
        <v>5</v>
      </c>
      <c r="U1142">
        <v>7</v>
      </c>
      <c r="V1142" t="s">
        <v>37</v>
      </c>
      <c r="W1142" s="2">
        <v>40578</v>
      </c>
      <c r="Y1142" t="s">
        <v>39</v>
      </c>
      <c r="Z1142" t="s">
        <v>40</v>
      </c>
      <c r="AA1142">
        <v>2</v>
      </c>
      <c r="AB1142">
        <v>3</v>
      </c>
      <c r="AC1142" t="s">
        <v>41</v>
      </c>
      <c r="AD1142" t="s">
        <v>65</v>
      </c>
      <c r="AE1142" t="s">
        <v>49</v>
      </c>
      <c r="AF1142" s="3">
        <v>1613</v>
      </c>
      <c r="AG1142" s="3">
        <v>54</v>
      </c>
      <c r="AH1142">
        <v>80</v>
      </c>
      <c r="AI1142">
        <v>2</v>
      </c>
      <c r="AJ1142">
        <v>0</v>
      </c>
      <c r="AL1142">
        <v>0</v>
      </c>
      <c r="AM1142">
        <v>1</v>
      </c>
      <c r="AN1142" t="s">
        <v>768</v>
      </c>
      <c r="AO1142" t="s">
        <v>41</v>
      </c>
    </row>
    <row r="1143" spans="1:41" x14ac:dyDescent="0.25">
      <c r="A1143">
        <v>52</v>
      </c>
      <c r="B1143" t="s">
        <v>32</v>
      </c>
      <c r="C1143" t="s">
        <v>33</v>
      </c>
      <c r="D1143">
        <v>6</v>
      </c>
      <c r="E1143" t="s">
        <v>34</v>
      </c>
      <c r="F1143">
        <v>3</v>
      </c>
      <c r="G1143">
        <v>2</v>
      </c>
      <c r="H1143" t="s">
        <v>44</v>
      </c>
      <c r="I1143">
        <v>1</v>
      </c>
      <c r="J1143" t="s">
        <v>57</v>
      </c>
      <c r="K1143">
        <v>5577</v>
      </c>
      <c r="L1143">
        <v>3</v>
      </c>
      <c r="M1143" t="s">
        <v>31</v>
      </c>
      <c r="N1143">
        <v>12</v>
      </c>
      <c r="O1143">
        <v>3</v>
      </c>
      <c r="P1143">
        <v>2</v>
      </c>
      <c r="Q1143">
        <v>18</v>
      </c>
      <c r="R1143">
        <v>3</v>
      </c>
      <c r="S1143">
        <v>10</v>
      </c>
      <c r="T1143">
        <v>6</v>
      </c>
      <c r="U1143">
        <v>9</v>
      </c>
      <c r="V1143" t="s">
        <v>72</v>
      </c>
      <c r="W1143" s="1" t="s">
        <v>574</v>
      </c>
      <c r="Y1143" t="s">
        <v>54</v>
      </c>
      <c r="Z1143" t="s">
        <v>40</v>
      </c>
      <c r="AA1143">
        <v>3</v>
      </c>
      <c r="AB1143">
        <v>2</v>
      </c>
      <c r="AC1143" t="s">
        <v>41</v>
      </c>
      <c r="AD1143" t="s">
        <v>48</v>
      </c>
      <c r="AE1143" t="s">
        <v>43</v>
      </c>
      <c r="AF1143" s="3">
        <v>1853</v>
      </c>
      <c r="AG1143" s="3">
        <v>79</v>
      </c>
      <c r="AH1143">
        <v>80</v>
      </c>
      <c r="AI1143">
        <v>0</v>
      </c>
      <c r="AJ1143">
        <v>0</v>
      </c>
      <c r="AL1143">
        <v>0</v>
      </c>
      <c r="AM1143">
        <v>1</v>
      </c>
      <c r="AN1143" t="s">
        <v>768</v>
      </c>
      <c r="AO1143" t="s">
        <v>41</v>
      </c>
    </row>
    <row r="1144" spans="1:41" x14ac:dyDescent="0.25">
      <c r="A1144">
        <v>42</v>
      </c>
      <c r="B1144" t="s">
        <v>32</v>
      </c>
      <c r="C1144" t="s">
        <v>33</v>
      </c>
      <c r="D1144">
        <v>2</v>
      </c>
      <c r="E1144" t="s">
        <v>61</v>
      </c>
      <c r="F1144">
        <v>3</v>
      </c>
      <c r="G1144">
        <v>2</v>
      </c>
      <c r="H1144" t="s">
        <v>89</v>
      </c>
      <c r="I1144">
        <v>4</v>
      </c>
      <c r="J1144" t="s">
        <v>51</v>
      </c>
      <c r="K1144">
        <v>4089</v>
      </c>
      <c r="L1144">
        <v>1</v>
      </c>
      <c r="M1144" t="s">
        <v>41</v>
      </c>
      <c r="N1144">
        <v>13</v>
      </c>
      <c r="O1144">
        <v>3</v>
      </c>
      <c r="P1144">
        <v>2</v>
      </c>
      <c r="Q1144">
        <v>10</v>
      </c>
      <c r="R1144">
        <v>4</v>
      </c>
      <c r="S1144">
        <v>10</v>
      </c>
      <c r="T1144">
        <v>2</v>
      </c>
      <c r="U1144">
        <v>2</v>
      </c>
      <c r="V1144" t="s">
        <v>72</v>
      </c>
      <c r="W1144" s="2">
        <v>40818</v>
      </c>
      <c r="Y1144" t="s">
        <v>39</v>
      </c>
      <c r="Z1144" t="s">
        <v>47</v>
      </c>
      <c r="AA1144">
        <v>5</v>
      </c>
      <c r="AB1144">
        <v>0</v>
      </c>
      <c r="AC1144" t="s">
        <v>41</v>
      </c>
      <c r="AD1144" t="s">
        <v>65</v>
      </c>
      <c r="AE1144" t="s">
        <v>60</v>
      </c>
      <c r="AF1144" s="3">
        <v>1794</v>
      </c>
      <c r="AG1144" s="3">
        <v>89</v>
      </c>
      <c r="AH1144">
        <v>80</v>
      </c>
      <c r="AI1144">
        <v>0</v>
      </c>
      <c r="AJ1144">
        <v>0</v>
      </c>
      <c r="AL1144">
        <v>0</v>
      </c>
      <c r="AM1144">
        <v>1</v>
      </c>
      <c r="AN1144" t="s">
        <v>768</v>
      </c>
      <c r="AO1144" t="s">
        <v>41</v>
      </c>
    </row>
    <row r="1145" spans="1:41" x14ac:dyDescent="0.25">
      <c r="A1145">
        <v>34</v>
      </c>
      <c r="B1145" t="s">
        <v>32</v>
      </c>
      <c r="C1145" t="s">
        <v>33</v>
      </c>
      <c r="D1145">
        <v>1</v>
      </c>
      <c r="E1145" t="s">
        <v>34</v>
      </c>
      <c r="F1145">
        <v>3</v>
      </c>
      <c r="G1145">
        <v>1</v>
      </c>
      <c r="H1145" t="s">
        <v>44</v>
      </c>
      <c r="I1145">
        <v>4</v>
      </c>
      <c r="J1145" t="s">
        <v>51</v>
      </c>
      <c r="K1145">
        <v>2691</v>
      </c>
      <c r="L1145">
        <v>1</v>
      </c>
      <c r="M1145" t="s">
        <v>41</v>
      </c>
      <c r="N1145">
        <v>12</v>
      </c>
      <c r="O1145">
        <v>3</v>
      </c>
      <c r="P1145">
        <v>1</v>
      </c>
      <c r="Q1145">
        <v>10</v>
      </c>
      <c r="R1145">
        <v>4</v>
      </c>
      <c r="S1145">
        <v>10</v>
      </c>
      <c r="T1145">
        <v>8</v>
      </c>
      <c r="U1145">
        <v>8</v>
      </c>
      <c r="V1145" t="s">
        <v>58</v>
      </c>
      <c r="W1145" s="1" t="s">
        <v>557</v>
      </c>
      <c r="Y1145" t="s">
        <v>63</v>
      </c>
      <c r="Z1145" t="s">
        <v>47</v>
      </c>
      <c r="AA1145">
        <v>5</v>
      </c>
      <c r="AB1145">
        <v>2</v>
      </c>
      <c r="AC1145" t="s">
        <v>31</v>
      </c>
      <c r="AD1145" t="s">
        <v>42</v>
      </c>
      <c r="AE1145" t="s">
        <v>49</v>
      </c>
      <c r="AF1145" s="3">
        <v>1865</v>
      </c>
      <c r="AG1145" s="3">
        <v>87</v>
      </c>
      <c r="AH1145">
        <v>80</v>
      </c>
      <c r="AI1145">
        <v>0</v>
      </c>
      <c r="AJ1145">
        <v>0</v>
      </c>
      <c r="AL1145">
        <v>0</v>
      </c>
      <c r="AM1145">
        <v>1</v>
      </c>
      <c r="AN1145" t="s">
        <v>768</v>
      </c>
      <c r="AO1145" t="s">
        <v>41</v>
      </c>
    </row>
    <row r="1146" spans="1:41" x14ac:dyDescent="0.25">
      <c r="A1146">
        <v>37</v>
      </c>
      <c r="B1146" t="s">
        <v>32</v>
      </c>
      <c r="C1146" t="s">
        <v>33</v>
      </c>
      <c r="D1146">
        <v>3</v>
      </c>
      <c r="E1146" t="s">
        <v>34</v>
      </c>
      <c r="F1146">
        <v>3</v>
      </c>
      <c r="G1146">
        <v>3</v>
      </c>
      <c r="H1146" t="s">
        <v>78</v>
      </c>
      <c r="I1146">
        <v>3</v>
      </c>
      <c r="J1146" t="s">
        <v>51</v>
      </c>
      <c r="K1146">
        <v>9434</v>
      </c>
      <c r="L1146">
        <v>1</v>
      </c>
      <c r="M1146" t="s">
        <v>41</v>
      </c>
      <c r="N1146">
        <v>15</v>
      </c>
      <c r="O1146">
        <v>3</v>
      </c>
      <c r="P1146">
        <v>1</v>
      </c>
      <c r="Q1146">
        <v>10</v>
      </c>
      <c r="R1146">
        <v>2</v>
      </c>
      <c r="S1146">
        <v>10</v>
      </c>
      <c r="T1146">
        <v>7</v>
      </c>
      <c r="U1146">
        <v>8</v>
      </c>
      <c r="V1146" t="s">
        <v>52</v>
      </c>
      <c r="W1146" s="1" t="s">
        <v>575</v>
      </c>
      <c r="Y1146" t="s">
        <v>63</v>
      </c>
      <c r="Z1146" t="s">
        <v>47</v>
      </c>
      <c r="AA1146">
        <v>0</v>
      </c>
      <c r="AB1146">
        <v>1</v>
      </c>
      <c r="AC1146" t="s">
        <v>41</v>
      </c>
      <c r="AD1146" t="s">
        <v>42</v>
      </c>
      <c r="AE1146" t="s">
        <v>49</v>
      </c>
      <c r="AF1146" s="3">
        <v>1419</v>
      </c>
      <c r="AG1146" s="3">
        <v>51</v>
      </c>
      <c r="AH1146">
        <v>80</v>
      </c>
      <c r="AI1146">
        <v>9</v>
      </c>
      <c r="AJ1146">
        <v>0</v>
      </c>
      <c r="AL1146">
        <v>0</v>
      </c>
      <c r="AM1146">
        <v>1</v>
      </c>
      <c r="AN1146" t="s">
        <v>768</v>
      </c>
      <c r="AO1146" t="s">
        <v>41</v>
      </c>
    </row>
    <row r="1147" spans="1:41" x14ac:dyDescent="0.25">
      <c r="A1147">
        <v>33</v>
      </c>
      <c r="B1147" t="s">
        <v>66</v>
      </c>
      <c r="C1147" t="s">
        <v>33</v>
      </c>
      <c r="D1147">
        <v>3</v>
      </c>
      <c r="E1147" t="s">
        <v>34</v>
      </c>
      <c r="F1147">
        <v>3</v>
      </c>
      <c r="G1147">
        <v>1</v>
      </c>
      <c r="H1147" t="s">
        <v>44</v>
      </c>
      <c r="I1147">
        <v>1</v>
      </c>
      <c r="J1147" t="s">
        <v>36</v>
      </c>
      <c r="K1147">
        <v>3348</v>
      </c>
      <c r="L1147">
        <v>1</v>
      </c>
      <c r="M1147" t="s">
        <v>31</v>
      </c>
      <c r="N1147">
        <v>11</v>
      </c>
      <c r="O1147">
        <v>3</v>
      </c>
      <c r="P1147">
        <v>0</v>
      </c>
      <c r="Q1147">
        <v>10</v>
      </c>
      <c r="R1147">
        <v>3</v>
      </c>
      <c r="S1147">
        <v>10</v>
      </c>
      <c r="T1147">
        <v>9</v>
      </c>
      <c r="U1147">
        <v>7</v>
      </c>
      <c r="V1147" t="s">
        <v>52</v>
      </c>
      <c r="W1147" s="2">
        <v>40605</v>
      </c>
      <c r="Y1147" t="s">
        <v>69</v>
      </c>
      <c r="Z1147" t="s">
        <v>47</v>
      </c>
      <c r="AA1147">
        <v>1</v>
      </c>
      <c r="AB1147">
        <v>3</v>
      </c>
      <c r="AC1147" t="s">
        <v>41</v>
      </c>
      <c r="AD1147" t="s">
        <v>65</v>
      </c>
      <c r="AE1147" t="s">
        <v>60</v>
      </c>
      <c r="AF1147" s="3">
        <v>1778</v>
      </c>
      <c r="AG1147" s="3">
        <v>97</v>
      </c>
      <c r="AH1147">
        <v>80</v>
      </c>
      <c r="AI1147">
        <v>7</v>
      </c>
      <c r="AJ1147">
        <v>0</v>
      </c>
      <c r="AL1147">
        <v>0</v>
      </c>
      <c r="AM1147">
        <v>1</v>
      </c>
      <c r="AN1147" t="s">
        <v>768</v>
      </c>
      <c r="AO1147" t="s">
        <v>41</v>
      </c>
    </row>
    <row r="1148" spans="1:41" x14ac:dyDescent="0.25">
      <c r="A1148">
        <v>29</v>
      </c>
      <c r="B1148" t="s">
        <v>66</v>
      </c>
      <c r="C1148" t="s">
        <v>33</v>
      </c>
      <c r="D1148">
        <v>1</v>
      </c>
      <c r="E1148" t="s">
        <v>34</v>
      </c>
      <c r="F1148">
        <v>1</v>
      </c>
      <c r="G1148">
        <v>1</v>
      </c>
      <c r="H1148" t="s">
        <v>44</v>
      </c>
      <c r="I1148">
        <v>4</v>
      </c>
      <c r="J1148" t="s">
        <v>57</v>
      </c>
      <c r="K1148">
        <v>2720</v>
      </c>
      <c r="L1148">
        <v>1</v>
      </c>
      <c r="M1148" t="s">
        <v>41</v>
      </c>
      <c r="N1148">
        <v>18</v>
      </c>
      <c r="O1148">
        <v>3</v>
      </c>
      <c r="P1148">
        <v>1</v>
      </c>
      <c r="Q1148">
        <v>10</v>
      </c>
      <c r="R1148">
        <v>5</v>
      </c>
      <c r="S1148">
        <v>10</v>
      </c>
      <c r="T1148">
        <v>2</v>
      </c>
      <c r="U1148">
        <v>8</v>
      </c>
      <c r="V1148" t="s">
        <v>37</v>
      </c>
      <c r="W1148" s="1" t="s">
        <v>568</v>
      </c>
      <c r="Y1148" t="s">
        <v>54</v>
      </c>
      <c r="Z1148" t="s">
        <v>47</v>
      </c>
      <c r="AA1148">
        <v>4</v>
      </c>
      <c r="AB1148">
        <v>0</v>
      </c>
      <c r="AC1148" t="s">
        <v>41</v>
      </c>
      <c r="AD1148" t="s">
        <v>65</v>
      </c>
      <c r="AE1148" t="s">
        <v>60</v>
      </c>
      <c r="AF1148" s="3">
        <v>1694</v>
      </c>
      <c r="AG1148" s="3">
        <v>94</v>
      </c>
      <c r="AH1148">
        <v>80</v>
      </c>
      <c r="AI1148">
        <v>2</v>
      </c>
      <c r="AJ1148">
        <v>0</v>
      </c>
      <c r="AL1148">
        <v>0</v>
      </c>
      <c r="AM1148">
        <v>1</v>
      </c>
      <c r="AN1148" t="s">
        <v>768</v>
      </c>
      <c r="AO1148" t="s">
        <v>41</v>
      </c>
    </row>
    <row r="1149" spans="1:41" x14ac:dyDescent="0.25">
      <c r="A1149">
        <v>32</v>
      </c>
      <c r="B1149" t="s">
        <v>32</v>
      </c>
      <c r="C1149" t="s">
        <v>55</v>
      </c>
      <c r="D1149">
        <v>10</v>
      </c>
      <c r="E1149" t="s">
        <v>34</v>
      </c>
      <c r="F1149">
        <v>3</v>
      </c>
      <c r="G1149">
        <v>2</v>
      </c>
      <c r="H1149" t="s">
        <v>70</v>
      </c>
      <c r="I1149">
        <v>4</v>
      </c>
      <c r="J1149" t="s">
        <v>36</v>
      </c>
      <c r="K1149">
        <v>5396</v>
      </c>
      <c r="L1149">
        <v>1</v>
      </c>
      <c r="M1149" t="s">
        <v>41</v>
      </c>
      <c r="N1149">
        <v>12</v>
      </c>
      <c r="O1149">
        <v>3</v>
      </c>
      <c r="P1149">
        <v>0</v>
      </c>
      <c r="Q1149">
        <v>10</v>
      </c>
      <c r="R1149">
        <v>2</v>
      </c>
      <c r="S1149">
        <v>10</v>
      </c>
      <c r="T1149">
        <v>0</v>
      </c>
      <c r="U1149">
        <v>8</v>
      </c>
      <c r="V1149" t="s">
        <v>37</v>
      </c>
      <c r="W1149" s="2">
        <v>40575</v>
      </c>
      <c r="Y1149" t="s">
        <v>39</v>
      </c>
      <c r="Z1149" t="s">
        <v>47</v>
      </c>
      <c r="AA1149">
        <v>1</v>
      </c>
      <c r="AB1149">
        <v>1</v>
      </c>
      <c r="AC1149" t="s">
        <v>31</v>
      </c>
      <c r="AD1149" t="s">
        <v>65</v>
      </c>
      <c r="AE1149" t="s">
        <v>60</v>
      </c>
      <c r="AF1149" s="3">
        <v>1506</v>
      </c>
      <c r="AG1149" s="3">
        <v>72</v>
      </c>
      <c r="AH1149">
        <v>80</v>
      </c>
      <c r="AI1149">
        <v>0</v>
      </c>
      <c r="AJ1149">
        <v>0</v>
      </c>
      <c r="AL1149">
        <v>0</v>
      </c>
      <c r="AM1149">
        <v>1</v>
      </c>
      <c r="AN1149" t="s">
        <v>768</v>
      </c>
      <c r="AO1149" t="s">
        <v>41</v>
      </c>
    </row>
    <row r="1150" spans="1:41" x14ac:dyDescent="0.25">
      <c r="A1150">
        <v>56</v>
      </c>
      <c r="B1150" t="s">
        <v>32</v>
      </c>
      <c r="C1150" t="s">
        <v>33</v>
      </c>
      <c r="D1150">
        <v>9</v>
      </c>
      <c r="E1150" t="s">
        <v>34</v>
      </c>
      <c r="F1150">
        <v>3</v>
      </c>
      <c r="G1150">
        <v>4</v>
      </c>
      <c r="H1150" t="s">
        <v>89</v>
      </c>
      <c r="I1150">
        <v>4</v>
      </c>
      <c r="J1150" t="s">
        <v>51</v>
      </c>
      <c r="K1150">
        <v>11103</v>
      </c>
      <c r="L1150">
        <v>7</v>
      </c>
      <c r="M1150" t="s">
        <v>41</v>
      </c>
      <c r="N1150">
        <v>11</v>
      </c>
      <c r="O1150">
        <v>3</v>
      </c>
      <c r="P1150">
        <v>0</v>
      </c>
      <c r="Q1150">
        <v>30</v>
      </c>
      <c r="R1150">
        <v>1</v>
      </c>
      <c r="S1150">
        <v>10</v>
      </c>
      <c r="T1150">
        <v>1</v>
      </c>
      <c r="U1150">
        <v>1</v>
      </c>
      <c r="V1150" t="s">
        <v>72</v>
      </c>
      <c r="W1150" s="2">
        <v>40634</v>
      </c>
      <c r="Y1150" t="s">
        <v>54</v>
      </c>
      <c r="Z1150" t="s">
        <v>40</v>
      </c>
      <c r="AA1150">
        <v>4</v>
      </c>
      <c r="AB1150">
        <v>1</v>
      </c>
      <c r="AC1150" t="s">
        <v>31</v>
      </c>
      <c r="AD1150" t="s">
        <v>48</v>
      </c>
      <c r="AE1150" t="s">
        <v>60</v>
      </c>
      <c r="AF1150" s="3">
        <v>1892</v>
      </c>
      <c r="AG1150" s="3">
        <v>98</v>
      </c>
      <c r="AH1150">
        <v>80</v>
      </c>
      <c r="AI1150">
        <v>7</v>
      </c>
      <c r="AJ1150">
        <v>0</v>
      </c>
      <c r="AL1150">
        <v>0</v>
      </c>
      <c r="AM1150">
        <v>1</v>
      </c>
      <c r="AN1150" t="s">
        <v>768</v>
      </c>
      <c r="AO1150" t="s">
        <v>41</v>
      </c>
    </row>
    <row r="1151" spans="1:41" x14ac:dyDescent="0.25">
      <c r="A1151">
        <v>32</v>
      </c>
      <c r="B1151" t="s">
        <v>66</v>
      </c>
      <c r="C1151" t="s">
        <v>33</v>
      </c>
      <c r="D1151">
        <v>24</v>
      </c>
      <c r="E1151" t="s">
        <v>34</v>
      </c>
      <c r="F1151">
        <v>3</v>
      </c>
      <c r="G1151">
        <v>2</v>
      </c>
      <c r="H1151" t="s">
        <v>35</v>
      </c>
      <c r="I1151">
        <v>4</v>
      </c>
      <c r="J1151" t="s">
        <v>51</v>
      </c>
      <c r="K1151">
        <v>5309</v>
      </c>
      <c r="L1151">
        <v>1</v>
      </c>
      <c r="M1151" t="s">
        <v>41</v>
      </c>
      <c r="N1151">
        <v>15</v>
      </c>
      <c r="O1151">
        <v>3</v>
      </c>
      <c r="P1151">
        <v>2</v>
      </c>
      <c r="Q1151">
        <v>10</v>
      </c>
      <c r="R1151">
        <v>2</v>
      </c>
      <c r="S1151">
        <v>10</v>
      </c>
      <c r="T1151">
        <v>4</v>
      </c>
      <c r="U1151">
        <v>7</v>
      </c>
      <c r="V1151" t="s">
        <v>72</v>
      </c>
      <c r="W1151" s="2">
        <v>40578</v>
      </c>
      <c r="Y1151" t="s">
        <v>39</v>
      </c>
      <c r="Z1151" t="s">
        <v>40</v>
      </c>
      <c r="AA1151">
        <v>2</v>
      </c>
      <c r="AB1151">
        <v>2</v>
      </c>
      <c r="AC1151" t="s">
        <v>41</v>
      </c>
      <c r="AD1151" t="s">
        <v>42</v>
      </c>
      <c r="AE1151" t="s">
        <v>43</v>
      </c>
      <c r="AF1151" s="3">
        <v>1881</v>
      </c>
      <c r="AG1151" s="3">
        <v>89</v>
      </c>
      <c r="AH1151">
        <v>80</v>
      </c>
      <c r="AI1151">
        <v>8</v>
      </c>
      <c r="AJ1151">
        <v>0</v>
      </c>
      <c r="AL1151">
        <v>0</v>
      </c>
      <c r="AM1151">
        <v>1</v>
      </c>
      <c r="AN1151" t="s">
        <v>768</v>
      </c>
      <c r="AO1151" t="s">
        <v>41</v>
      </c>
    </row>
    <row r="1152" spans="1:41" x14ac:dyDescent="0.25">
      <c r="A1152">
        <v>33</v>
      </c>
      <c r="B1152" t="s">
        <v>32</v>
      </c>
      <c r="C1152" t="s">
        <v>33</v>
      </c>
      <c r="D1152">
        <v>1</v>
      </c>
      <c r="E1152" t="s">
        <v>34</v>
      </c>
      <c r="F1152">
        <v>3</v>
      </c>
      <c r="G1152">
        <v>1</v>
      </c>
      <c r="H1152" t="s">
        <v>44</v>
      </c>
      <c r="I1152">
        <v>4</v>
      </c>
      <c r="J1152" t="s">
        <v>36</v>
      </c>
      <c r="K1152">
        <v>2686</v>
      </c>
      <c r="L1152">
        <v>1</v>
      </c>
      <c r="M1152" t="s">
        <v>31</v>
      </c>
      <c r="N1152">
        <v>13</v>
      </c>
      <c r="O1152">
        <v>3</v>
      </c>
      <c r="P1152">
        <v>0</v>
      </c>
      <c r="Q1152">
        <v>10</v>
      </c>
      <c r="R1152">
        <v>2</v>
      </c>
      <c r="S1152">
        <v>10</v>
      </c>
      <c r="T1152">
        <v>7</v>
      </c>
      <c r="U1152">
        <v>8</v>
      </c>
      <c r="V1152" t="s">
        <v>37</v>
      </c>
      <c r="W1152" s="2">
        <v>40881</v>
      </c>
      <c r="Y1152" t="s">
        <v>39</v>
      </c>
      <c r="Z1152" t="s">
        <v>47</v>
      </c>
      <c r="AA1152">
        <v>2</v>
      </c>
      <c r="AB1152">
        <v>0</v>
      </c>
      <c r="AC1152" t="s">
        <v>41</v>
      </c>
      <c r="AD1152" t="s">
        <v>67</v>
      </c>
      <c r="AE1152" t="s">
        <v>43</v>
      </c>
      <c r="AF1152" s="3">
        <v>1627</v>
      </c>
      <c r="AG1152" s="3">
        <v>76</v>
      </c>
      <c r="AH1152">
        <v>80</v>
      </c>
      <c r="AI1152">
        <v>8</v>
      </c>
      <c r="AJ1152">
        <v>0</v>
      </c>
      <c r="AL1152">
        <v>0</v>
      </c>
      <c r="AM1152">
        <v>1</v>
      </c>
      <c r="AN1152" t="s">
        <v>768</v>
      </c>
      <c r="AO1152" t="s">
        <v>41</v>
      </c>
    </row>
    <row r="1153" spans="1:41" x14ac:dyDescent="0.25">
      <c r="A1153">
        <v>36</v>
      </c>
      <c r="B1153" t="s">
        <v>81</v>
      </c>
      <c r="C1153" t="s">
        <v>55</v>
      </c>
      <c r="D1153">
        <v>8</v>
      </c>
      <c r="E1153" t="s">
        <v>34</v>
      </c>
      <c r="F1153">
        <v>2</v>
      </c>
      <c r="G1153">
        <v>3</v>
      </c>
      <c r="H1153" t="s">
        <v>70</v>
      </c>
      <c r="I1153">
        <v>1</v>
      </c>
      <c r="J1153" t="s">
        <v>36</v>
      </c>
      <c r="K1153">
        <v>7587</v>
      </c>
      <c r="L1153">
        <v>1</v>
      </c>
      <c r="M1153" t="s">
        <v>41</v>
      </c>
      <c r="N1153">
        <v>15</v>
      </c>
      <c r="O1153">
        <v>3</v>
      </c>
      <c r="P1153">
        <v>0</v>
      </c>
      <c r="Q1153">
        <v>10</v>
      </c>
      <c r="R1153">
        <v>1</v>
      </c>
      <c r="S1153">
        <v>10</v>
      </c>
      <c r="T1153">
        <v>0</v>
      </c>
      <c r="U1153">
        <v>9</v>
      </c>
      <c r="V1153" t="s">
        <v>37</v>
      </c>
      <c r="W1153" s="1" t="s">
        <v>576</v>
      </c>
      <c r="Y1153" t="s">
        <v>63</v>
      </c>
      <c r="Z1153" t="s">
        <v>40</v>
      </c>
      <c r="AA1153">
        <v>1</v>
      </c>
      <c r="AB1153">
        <v>1</v>
      </c>
      <c r="AC1153" t="s">
        <v>41</v>
      </c>
      <c r="AD1153" t="s">
        <v>42</v>
      </c>
      <c r="AE1153" t="s">
        <v>49</v>
      </c>
      <c r="AF1153" s="3">
        <v>1474</v>
      </c>
      <c r="AG1153" s="3">
        <v>68</v>
      </c>
      <c r="AH1153">
        <v>80</v>
      </c>
      <c r="AI1153">
        <v>1</v>
      </c>
      <c r="AJ1153">
        <v>0</v>
      </c>
      <c r="AL1153">
        <v>0</v>
      </c>
      <c r="AM1153">
        <v>1</v>
      </c>
      <c r="AN1153" t="s">
        <v>768</v>
      </c>
      <c r="AO1153" t="s">
        <v>41</v>
      </c>
    </row>
    <row r="1154" spans="1:41" x14ac:dyDescent="0.25">
      <c r="A1154">
        <v>29</v>
      </c>
      <c r="B1154" t="s">
        <v>32</v>
      </c>
      <c r="C1154" t="s">
        <v>33</v>
      </c>
      <c r="D1154">
        <v>23</v>
      </c>
      <c r="E1154" t="s">
        <v>34</v>
      </c>
      <c r="F1154">
        <v>4</v>
      </c>
      <c r="G1154">
        <v>1</v>
      </c>
      <c r="H1154" t="s">
        <v>44</v>
      </c>
      <c r="I1154">
        <v>3</v>
      </c>
      <c r="J1154" t="s">
        <v>51</v>
      </c>
      <c r="K1154">
        <v>2700</v>
      </c>
      <c r="L1154">
        <v>1</v>
      </c>
      <c r="M1154" t="s">
        <v>41</v>
      </c>
      <c r="N1154">
        <v>24</v>
      </c>
      <c r="O1154">
        <v>4</v>
      </c>
      <c r="P1154">
        <v>1</v>
      </c>
      <c r="Q1154">
        <v>10</v>
      </c>
      <c r="R1154">
        <v>3</v>
      </c>
      <c r="S1154">
        <v>10</v>
      </c>
      <c r="T1154">
        <v>0</v>
      </c>
      <c r="U1154">
        <v>7</v>
      </c>
      <c r="V1154" t="s">
        <v>58</v>
      </c>
      <c r="W1154" s="1" t="s">
        <v>577</v>
      </c>
      <c r="Y1154" t="s">
        <v>54</v>
      </c>
      <c r="Z1154" t="s">
        <v>40</v>
      </c>
      <c r="AA1154">
        <v>0</v>
      </c>
      <c r="AB1154">
        <v>2</v>
      </c>
      <c r="AC1154" t="s">
        <v>41</v>
      </c>
      <c r="AD1154" t="s">
        <v>48</v>
      </c>
      <c r="AE1154" t="s">
        <v>49</v>
      </c>
      <c r="AF1154" s="3">
        <v>1857</v>
      </c>
      <c r="AG1154" s="3">
        <v>82</v>
      </c>
      <c r="AH1154">
        <v>80</v>
      </c>
      <c r="AI1154">
        <v>8</v>
      </c>
      <c r="AJ1154">
        <v>0</v>
      </c>
      <c r="AL1154">
        <v>0</v>
      </c>
      <c r="AM1154">
        <v>1</v>
      </c>
      <c r="AN1154" t="s">
        <v>768</v>
      </c>
      <c r="AO1154" t="s">
        <v>41</v>
      </c>
    </row>
    <row r="1155" spans="1:41" x14ac:dyDescent="0.25">
      <c r="A1155">
        <v>35</v>
      </c>
      <c r="B1155" t="s">
        <v>66</v>
      </c>
      <c r="C1155" t="s">
        <v>33</v>
      </c>
      <c r="D1155">
        <v>25</v>
      </c>
      <c r="E1155" t="s">
        <v>61</v>
      </c>
      <c r="F1155">
        <v>3</v>
      </c>
      <c r="G1155">
        <v>1</v>
      </c>
      <c r="H1155" t="s">
        <v>44</v>
      </c>
      <c r="I1155">
        <v>2</v>
      </c>
      <c r="J1155" t="s">
        <v>57</v>
      </c>
      <c r="K1155">
        <v>2022</v>
      </c>
      <c r="L1155">
        <v>1</v>
      </c>
      <c r="M1155" t="s">
        <v>31</v>
      </c>
      <c r="N1155">
        <v>19</v>
      </c>
      <c r="O1155">
        <v>3</v>
      </c>
      <c r="P1155">
        <v>1</v>
      </c>
      <c r="Q1155">
        <v>10</v>
      </c>
      <c r="R1155">
        <v>3</v>
      </c>
      <c r="S1155">
        <v>10</v>
      </c>
      <c r="T1155">
        <v>7</v>
      </c>
      <c r="U1155">
        <v>8</v>
      </c>
      <c r="V1155" t="s">
        <v>72</v>
      </c>
      <c r="W1155" s="2">
        <v>40882</v>
      </c>
      <c r="Y1155" t="s">
        <v>63</v>
      </c>
      <c r="Z1155" t="s">
        <v>47</v>
      </c>
      <c r="AA1155">
        <v>5</v>
      </c>
      <c r="AB1155">
        <v>0</v>
      </c>
      <c r="AC1155" t="s">
        <v>41</v>
      </c>
      <c r="AD1155" t="s">
        <v>48</v>
      </c>
      <c r="AE1155" t="s">
        <v>60</v>
      </c>
      <c r="AF1155" s="3">
        <v>1599</v>
      </c>
      <c r="AG1155" s="3">
        <v>87</v>
      </c>
      <c r="AH1155">
        <v>80</v>
      </c>
      <c r="AI1155">
        <v>4</v>
      </c>
      <c r="AJ1155">
        <v>0</v>
      </c>
      <c r="AL1155">
        <v>0</v>
      </c>
      <c r="AM1155">
        <v>1</v>
      </c>
      <c r="AN1155" t="s">
        <v>768</v>
      </c>
      <c r="AO1155" t="s">
        <v>41</v>
      </c>
    </row>
    <row r="1156" spans="1:41" x14ac:dyDescent="0.25">
      <c r="A1156">
        <v>32</v>
      </c>
      <c r="B1156" t="s">
        <v>66</v>
      </c>
      <c r="C1156" t="s">
        <v>55</v>
      </c>
      <c r="D1156">
        <v>5</v>
      </c>
      <c r="E1156" t="s">
        <v>34</v>
      </c>
      <c r="F1156">
        <v>3</v>
      </c>
      <c r="G1156">
        <v>2</v>
      </c>
      <c r="H1156" t="s">
        <v>70</v>
      </c>
      <c r="I1156">
        <v>2</v>
      </c>
      <c r="J1156" t="s">
        <v>51</v>
      </c>
      <c r="K1156">
        <v>6524</v>
      </c>
      <c r="L1156">
        <v>1</v>
      </c>
      <c r="M1156" t="s">
        <v>41</v>
      </c>
      <c r="N1156">
        <v>14</v>
      </c>
      <c r="O1156">
        <v>3</v>
      </c>
      <c r="P1156">
        <v>1</v>
      </c>
      <c r="Q1156">
        <v>10</v>
      </c>
      <c r="R1156">
        <v>3</v>
      </c>
      <c r="S1156">
        <v>10</v>
      </c>
      <c r="T1156">
        <v>5</v>
      </c>
      <c r="U1156">
        <v>3</v>
      </c>
      <c r="V1156" t="s">
        <v>52</v>
      </c>
      <c r="W1156" s="1" t="s">
        <v>578</v>
      </c>
      <c r="Y1156" t="s">
        <v>54</v>
      </c>
      <c r="Z1156" t="s">
        <v>47</v>
      </c>
      <c r="AA1156">
        <v>5</v>
      </c>
      <c r="AB1156">
        <v>3</v>
      </c>
      <c r="AC1156" t="s">
        <v>41</v>
      </c>
      <c r="AD1156" t="s">
        <v>48</v>
      </c>
      <c r="AE1156" t="s">
        <v>60</v>
      </c>
      <c r="AF1156" s="3">
        <v>1940</v>
      </c>
      <c r="AG1156" s="3">
        <v>71</v>
      </c>
      <c r="AH1156">
        <v>80</v>
      </c>
      <c r="AI1156">
        <v>2</v>
      </c>
      <c r="AJ1156">
        <v>0</v>
      </c>
      <c r="AL1156">
        <v>0</v>
      </c>
      <c r="AM1156">
        <v>1</v>
      </c>
      <c r="AN1156" t="s">
        <v>768</v>
      </c>
      <c r="AO1156" t="s">
        <v>41</v>
      </c>
    </row>
    <row r="1157" spans="1:41" x14ac:dyDescent="0.25">
      <c r="A1157">
        <v>37</v>
      </c>
      <c r="B1157" t="s">
        <v>81</v>
      </c>
      <c r="C1157" t="s">
        <v>55</v>
      </c>
      <c r="D1157">
        <v>19</v>
      </c>
      <c r="E1157" t="s">
        <v>34</v>
      </c>
      <c r="F1157">
        <v>3</v>
      </c>
      <c r="G1157">
        <v>3</v>
      </c>
      <c r="H1157" t="s">
        <v>70</v>
      </c>
      <c r="I1157">
        <v>2</v>
      </c>
      <c r="J1157" t="s">
        <v>36</v>
      </c>
      <c r="K1157">
        <v>7642</v>
      </c>
      <c r="L1157">
        <v>1</v>
      </c>
      <c r="M1157" t="s">
        <v>31</v>
      </c>
      <c r="N1157">
        <v>13</v>
      </c>
      <c r="O1157">
        <v>3</v>
      </c>
      <c r="P1157">
        <v>0</v>
      </c>
      <c r="Q1157">
        <v>10</v>
      </c>
      <c r="R1157">
        <v>2</v>
      </c>
      <c r="S1157">
        <v>10</v>
      </c>
      <c r="T1157">
        <v>0</v>
      </c>
      <c r="U1157">
        <v>9</v>
      </c>
      <c r="V1157" t="s">
        <v>58</v>
      </c>
      <c r="W1157" s="1" t="s">
        <v>579</v>
      </c>
      <c r="Y1157" t="s">
        <v>69</v>
      </c>
      <c r="Z1157" t="s">
        <v>40</v>
      </c>
      <c r="AA1157">
        <v>4</v>
      </c>
      <c r="AB1157">
        <v>3</v>
      </c>
      <c r="AC1157" t="s">
        <v>31</v>
      </c>
      <c r="AD1157" t="s">
        <v>65</v>
      </c>
      <c r="AE1157" t="s">
        <v>49</v>
      </c>
      <c r="AF1157" s="3">
        <v>1424</v>
      </c>
      <c r="AG1157" s="3">
        <v>81</v>
      </c>
      <c r="AH1157">
        <v>80</v>
      </c>
      <c r="AI1157">
        <v>7</v>
      </c>
      <c r="AJ1157">
        <v>0</v>
      </c>
      <c r="AL1157">
        <v>0</v>
      </c>
      <c r="AM1157">
        <v>1</v>
      </c>
      <c r="AN1157" t="s">
        <v>768</v>
      </c>
      <c r="AO1157" t="s">
        <v>41</v>
      </c>
    </row>
    <row r="1158" spans="1:41" x14ac:dyDescent="0.25">
      <c r="A1158">
        <v>35</v>
      </c>
      <c r="B1158" t="s">
        <v>32</v>
      </c>
      <c r="C1158" t="s">
        <v>33</v>
      </c>
      <c r="D1158">
        <v>21</v>
      </c>
      <c r="E1158" t="s">
        <v>61</v>
      </c>
      <c r="F1158">
        <v>3</v>
      </c>
      <c r="G1158">
        <v>2</v>
      </c>
      <c r="H1158" t="s">
        <v>89</v>
      </c>
      <c r="I1158">
        <v>4</v>
      </c>
      <c r="J1158" t="s">
        <v>51</v>
      </c>
      <c r="K1158">
        <v>4014</v>
      </c>
      <c r="L1158">
        <v>1</v>
      </c>
      <c r="M1158" t="s">
        <v>31</v>
      </c>
      <c r="N1158">
        <v>25</v>
      </c>
      <c r="O1158">
        <v>4</v>
      </c>
      <c r="P1158">
        <v>1</v>
      </c>
      <c r="Q1158">
        <v>10</v>
      </c>
      <c r="R1158">
        <v>2</v>
      </c>
      <c r="S1158">
        <v>10</v>
      </c>
      <c r="T1158">
        <v>0</v>
      </c>
      <c r="U1158">
        <v>7</v>
      </c>
      <c r="V1158" t="s">
        <v>37</v>
      </c>
      <c r="W1158" s="1" t="s">
        <v>580</v>
      </c>
      <c r="Y1158" t="s">
        <v>63</v>
      </c>
      <c r="Z1158" t="s">
        <v>47</v>
      </c>
      <c r="AA1158">
        <v>2</v>
      </c>
      <c r="AB1158">
        <v>2</v>
      </c>
      <c r="AC1158" t="s">
        <v>41</v>
      </c>
      <c r="AD1158" t="s">
        <v>65</v>
      </c>
      <c r="AE1158" t="s">
        <v>43</v>
      </c>
      <c r="AF1158" s="3">
        <v>1484</v>
      </c>
      <c r="AG1158" s="3">
        <v>35</v>
      </c>
      <c r="AH1158">
        <v>80</v>
      </c>
      <c r="AI1158">
        <v>7</v>
      </c>
      <c r="AJ1158">
        <v>0</v>
      </c>
      <c r="AL1158">
        <v>0</v>
      </c>
      <c r="AM1158">
        <v>1</v>
      </c>
      <c r="AN1158" t="s">
        <v>768</v>
      </c>
      <c r="AO1158" t="s">
        <v>41</v>
      </c>
    </row>
    <row r="1159" spans="1:41" x14ac:dyDescent="0.25">
      <c r="A1159">
        <v>35</v>
      </c>
      <c r="B1159" t="s">
        <v>32</v>
      </c>
      <c r="C1159" t="s">
        <v>55</v>
      </c>
      <c r="D1159">
        <v>3</v>
      </c>
      <c r="E1159" t="s">
        <v>34</v>
      </c>
      <c r="F1159">
        <v>3</v>
      </c>
      <c r="G1159">
        <v>3</v>
      </c>
      <c r="H1159" t="s">
        <v>70</v>
      </c>
      <c r="I1159">
        <v>4</v>
      </c>
      <c r="J1159" t="s">
        <v>57</v>
      </c>
      <c r="K1159">
        <v>7823</v>
      </c>
      <c r="L1159">
        <v>6</v>
      </c>
      <c r="M1159" t="s">
        <v>41</v>
      </c>
      <c r="N1159">
        <v>13</v>
      </c>
      <c r="O1159">
        <v>3</v>
      </c>
      <c r="P1159">
        <v>1</v>
      </c>
      <c r="Q1159">
        <v>12</v>
      </c>
      <c r="R1159">
        <v>2</v>
      </c>
      <c r="S1159">
        <v>10</v>
      </c>
      <c r="T1159">
        <v>0</v>
      </c>
      <c r="U1159">
        <v>8</v>
      </c>
      <c r="V1159" t="s">
        <v>52</v>
      </c>
      <c r="W1159" s="2">
        <v>40760</v>
      </c>
      <c r="Y1159" t="s">
        <v>69</v>
      </c>
      <c r="Z1159" t="s">
        <v>40</v>
      </c>
      <c r="AA1159">
        <v>5</v>
      </c>
      <c r="AB1159">
        <v>1</v>
      </c>
      <c r="AC1159" t="s">
        <v>31</v>
      </c>
      <c r="AD1159" t="s">
        <v>48</v>
      </c>
      <c r="AE1159" t="s">
        <v>49</v>
      </c>
      <c r="AF1159" s="3">
        <v>1859</v>
      </c>
      <c r="AG1159" s="3">
        <v>93</v>
      </c>
      <c r="AH1159">
        <v>80</v>
      </c>
      <c r="AI1159">
        <v>0</v>
      </c>
      <c r="AJ1159">
        <v>0</v>
      </c>
      <c r="AL1159">
        <v>0</v>
      </c>
      <c r="AM1159">
        <v>1</v>
      </c>
      <c r="AN1159" t="s">
        <v>768</v>
      </c>
      <c r="AO1159" t="s">
        <v>41</v>
      </c>
    </row>
    <row r="1160" spans="1:41" x14ac:dyDescent="0.25">
      <c r="A1160">
        <v>33</v>
      </c>
      <c r="B1160" t="s">
        <v>81</v>
      </c>
      <c r="C1160" t="s">
        <v>55</v>
      </c>
      <c r="D1160">
        <v>17</v>
      </c>
      <c r="E1160" t="s">
        <v>34</v>
      </c>
      <c r="F1160">
        <v>3</v>
      </c>
      <c r="G1160">
        <v>4</v>
      </c>
      <c r="H1160" t="s">
        <v>75</v>
      </c>
      <c r="I1160">
        <v>3</v>
      </c>
      <c r="J1160" t="s">
        <v>36</v>
      </c>
      <c r="K1160">
        <v>17444</v>
      </c>
      <c r="L1160">
        <v>1</v>
      </c>
      <c r="M1160" t="s">
        <v>41</v>
      </c>
      <c r="N1160">
        <v>11</v>
      </c>
      <c r="O1160">
        <v>3</v>
      </c>
      <c r="P1160">
        <v>0</v>
      </c>
      <c r="Q1160">
        <v>10</v>
      </c>
      <c r="R1160">
        <v>2</v>
      </c>
      <c r="S1160">
        <v>10</v>
      </c>
      <c r="T1160">
        <v>6</v>
      </c>
      <c r="U1160">
        <v>0</v>
      </c>
      <c r="V1160" t="s">
        <v>58</v>
      </c>
      <c r="W1160" s="2">
        <v>40549</v>
      </c>
      <c r="Y1160" t="s">
        <v>63</v>
      </c>
      <c r="Z1160" t="s">
        <v>40</v>
      </c>
      <c r="AA1160">
        <v>0</v>
      </c>
      <c r="AB1160">
        <v>2</v>
      </c>
      <c r="AC1160" t="s">
        <v>31</v>
      </c>
      <c r="AD1160" t="s">
        <v>42</v>
      </c>
      <c r="AE1160" t="s">
        <v>43</v>
      </c>
      <c r="AF1160" s="3">
        <v>1619</v>
      </c>
      <c r="AG1160" s="3">
        <v>67</v>
      </c>
      <c r="AH1160">
        <v>80</v>
      </c>
      <c r="AI1160">
        <v>7</v>
      </c>
      <c r="AJ1160">
        <v>0</v>
      </c>
      <c r="AL1160">
        <v>0</v>
      </c>
      <c r="AM1160">
        <v>1</v>
      </c>
      <c r="AN1160" t="s">
        <v>768</v>
      </c>
      <c r="AO1160" t="s">
        <v>41</v>
      </c>
    </row>
    <row r="1161" spans="1:41" x14ac:dyDescent="0.25">
      <c r="A1161">
        <v>54</v>
      </c>
      <c r="B1161" t="s">
        <v>32</v>
      </c>
      <c r="C1161" t="s">
        <v>33</v>
      </c>
      <c r="D1161">
        <v>17</v>
      </c>
      <c r="E1161" t="s">
        <v>61</v>
      </c>
      <c r="F1161">
        <v>3</v>
      </c>
      <c r="G1161">
        <v>3</v>
      </c>
      <c r="H1161" t="s">
        <v>78</v>
      </c>
      <c r="I1161">
        <v>3</v>
      </c>
      <c r="J1161" t="s">
        <v>51</v>
      </c>
      <c r="K1161">
        <v>10739</v>
      </c>
      <c r="L1161">
        <v>8</v>
      </c>
      <c r="M1161" t="s">
        <v>41</v>
      </c>
      <c r="N1161">
        <v>11</v>
      </c>
      <c r="O1161">
        <v>3</v>
      </c>
      <c r="P1161">
        <v>1</v>
      </c>
      <c r="Q1161">
        <v>22</v>
      </c>
      <c r="R1161">
        <v>2</v>
      </c>
      <c r="S1161">
        <v>10</v>
      </c>
      <c r="T1161">
        <v>0</v>
      </c>
      <c r="U1161">
        <v>8</v>
      </c>
      <c r="V1161" t="s">
        <v>52</v>
      </c>
      <c r="W1161" s="2">
        <v>40697</v>
      </c>
      <c r="Y1161" t="s">
        <v>54</v>
      </c>
      <c r="Z1161" t="s">
        <v>47</v>
      </c>
      <c r="AA1161">
        <v>5</v>
      </c>
      <c r="AB1161">
        <v>0</v>
      </c>
      <c r="AC1161" t="s">
        <v>41</v>
      </c>
      <c r="AD1161" t="s">
        <v>67</v>
      </c>
      <c r="AE1161" t="s">
        <v>49</v>
      </c>
      <c r="AF1161" s="3">
        <v>1671</v>
      </c>
      <c r="AG1161" s="3">
        <v>45</v>
      </c>
      <c r="AH1161">
        <v>80</v>
      </c>
      <c r="AI1161">
        <v>5</v>
      </c>
      <c r="AJ1161">
        <v>0</v>
      </c>
      <c r="AL1161">
        <v>0</v>
      </c>
      <c r="AM1161">
        <v>1</v>
      </c>
      <c r="AN1161" t="s">
        <v>768</v>
      </c>
      <c r="AO1161" t="s">
        <v>41</v>
      </c>
    </row>
    <row r="1162" spans="1:41" x14ac:dyDescent="0.25">
      <c r="A1162">
        <v>51</v>
      </c>
      <c r="B1162" t="s">
        <v>32</v>
      </c>
      <c r="C1162" t="s">
        <v>33</v>
      </c>
      <c r="D1162">
        <v>4</v>
      </c>
      <c r="E1162" t="s">
        <v>34</v>
      </c>
      <c r="F1162">
        <v>3</v>
      </c>
      <c r="G1162">
        <v>1</v>
      </c>
      <c r="H1162" t="s">
        <v>44</v>
      </c>
      <c r="I1162">
        <v>3</v>
      </c>
      <c r="J1162" t="s">
        <v>51</v>
      </c>
      <c r="K1162">
        <v>2461</v>
      </c>
      <c r="L1162">
        <v>9</v>
      </c>
      <c r="M1162" t="s">
        <v>31</v>
      </c>
      <c r="N1162">
        <v>12</v>
      </c>
      <c r="O1162">
        <v>3</v>
      </c>
      <c r="P1162">
        <v>3</v>
      </c>
      <c r="Q1162">
        <v>18</v>
      </c>
      <c r="R1162">
        <v>2</v>
      </c>
      <c r="S1162">
        <v>10</v>
      </c>
      <c r="T1162">
        <v>2</v>
      </c>
      <c r="U1162">
        <v>7</v>
      </c>
      <c r="V1162" t="s">
        <v>37</v>
      </c>
      <c r="W1162" s="2">
        <v>40547</v>
      </c>
      <c r="Y1162" t="s">
        <v>69</v>
      </c>
      <c r="Z1162" t="s">
        <v>47</v>
      </c>
      <c r="AA1162">
        <v>1</v>
      </c>
      <c r="AB1162">
        <v>1</v>
      </c>
      <c r="AC1162" t="s">
        <v>41</v>
      </c>
      <c r="AD1162" t="s">
        <v>65</v>
      </c>
      <c r="AE1162" t="s">
        <v>49</v>
      </c>
      <c r="AF1162" s="3">
        <v>1553</v>
      </c>
      <c r="AG1162" s="3">
        <v>66</v>
      </c>
      <c r="AH1162">
        <v>80</v>
      </c>
      <c r="AI1162">
        <v>8</v>
      </c>
      <c r="AJ1162">
        <v>0</v>
      </c>
      <c r="AL1162">
        <v>0</v>
      </c>
      <c r="AM1162">
        <v>1</v>
      </c>
      <c r="AN1162" t="s">
        <v>768</v>
      </c>
      <c r="AO1162" t="s">
        <v>41</v>
      </c>
    </row>
    <row r="1163" spans="1:41" x14ac:dyDescent="0.25">
      <c r="A1163">
        <v>28</v>
      </c>
      <c r="B1163" t="s">
        <v>81</v>
      </c>
      <c r="C1163" t="s">
        <v>33</v>
      </c>
      <c r="D1163">
        <v>24</v>
      </c>
      <c r="E1163" t="s">
        <v>34</v>
      </c>
      <c r="F1163">
        <v>2</v>
      </c>
      <c r="G1163">
        <v>3</v>
      </c>
      <c r="H1163" t="s">
        <v>89</v>
      </c>
      <c r="I1163">
        <v>1</v>
      </c>
      <c r="J1163" t="s">
        <v>36</v>
      </c>
      <c r="K1163">
        <v>8722</v>
      </c>
      <c r="L1163">
        <v>1</v>
      </c>
      <c r="M1163" t="s">
        <v>41</v>
      </c>
      <c r="N1163">
        <v>12</v>
      </c>
      <c r="O1163">
        <v>3</v>
      </c>
      <c r="P1163">
        <v>0</v>
      </c>
      <c r="Q1163">
        <v>10</v>
      </c>
      <c r="R1163">
        <v>2</v>
      </c>
      <c r="S1163">
        <v>10</v>
      </c>
      <c r="T1163">
        <v>1</v>
      </c>
      <c r="U1163">
        <v>9</v>
      </c>
      <c r="V1163" t="s">
        <v>72</v>
      </c>
      <c r="W1163" s="2">
        <v>40757</v>
      </c>
      <c r="Y1163" t="s">
        <v>46</v>
      </c>
      <c r="Z1163" t="s">
        <v>40</v>
      </c>
      <c r="AA1163">
        <v>3</v>
      </c>
      <c r="AB1163">
        <v>1</v>
      </c>
      <c r="AC1163" t="s">
        <v>41</v>
      </c>
      <c r="AD1163" t="s">
        <v>48</v>
      </c>
      <c r="AE1163" t="s">
        <v>60</v>
      </c>
      <c r="AF1163" s="3">
        <v>1725</v>
      </c>
      <c r="AG1163" s="3">
        <v>91</v>
      </c>
      <c r="AH1163">
        <v>80</v>
      </c>
      <c r="AI1163">
        <v>2</v>
      </c>
      <c r="AJ1163">
        <v>0</v>
      </c>
      <c r="AL1163">
        <v>0</v>
      </c>
      <c r="AM1163">
        <v>1</v>
      </c>
      <c r="AN1163" t="s">
        <v>768</v>
      </c>
      <c r="AO1163" t="s">
        <v>41</v>
      </c>
    </row>
    <row r="1164" spans="1:41" x14ac:dyDescent="0.25">
      <c r="A1164">
        <v>41</v>
      </c>
      <c r="B1164" t="s">
        <v>32</v>
      </c>
      <c r="C1164" t="s">
        <v>33</v>
      </c>
      <c r="D1164">
        <v>7</v>
      </c>
      <c r="E1164" t="s">
        <v>61</v>
      </c>
      <c r="F1164">
        <v>4</v>
      </c>
      <c r="G1164">
        <v>1</v>
      </c>
      <c r="H1164" t="s">
        <v>44</v>
      </c>
      <c r="I1164">
        <v>3</v>
      </c>
      <c r="J1164" t="s">
        <v>51</v>
      </c>
      <c r="K1164">
        <v>3376</v>
      </c>
      <c r="L1164">
        <v>1</v>
      </c>
      <c r="M1164" t="s">
        <v>41</v>
      </c>
      <c r="N1164">
        <v>13</v>
      </c>
      <c r="O1164">
        <v>3</v>
      </c>
      <c r="P1164">
        <v>0</v>
      </c>
      <c r="Q1164">
        <v>10</v>
      </c>
      <c r="R1164">
        <v>3</v>
      </c>
      <c r="S1164">
        <v>10</v>
      </c>
      <c r="T1164">
        <v>0</v>
      </c>
      <c r="U1164">
        <v>8</v>
      </c>
      <c r="V1164" t="s">
        <v>58</v>
      </c>
      <c r="W1164" s="1" t="s">
        <v>581</v>
      </c>
      <c r="Y1164" t="s">
        <v>46</v>
      </c>
      <c r="Z1164" t="s">
        <v>40</v>
      </c>
      <c r="AA1164">
        <v>2</v>
      </c>
      <c r="AB1164">
        <v>1</v>
      </c>
      <c r="AC1164" t="s">
        <v>41</v>
      </c>
      <c r="AD1164" t="s">
        <v>65</v>
      </c>
      <c r="AE1164" t="s">
        <v>60</v>
      </c>
      <c r="AF1164" s="3">
        <v>1551</v>
      </c>
      <c r="AG1164" s="3">
        <v>57</v>
      </c>
      <c r="AH1164">
        <v>80</v>
      </c>
      <c r="AI1164">
        <v>1</v>
      </c>
      <c r="AJ1164">
        <v>0</v>
      </c>
      <c r="AL1164">
        <v>0</v>
      </c>
      <c r="AM1164">
        <v>1</v>
      </c>
      <c r="AN1164" t="s">
        <v>768</v>
      </c>
      <c r="AO1164" t="s">
        <v>41</v>
      </c>
    </row>
    <row r="1165" spans="1:41" x14ac:dyDescent="0.25">
      <c r="A1165">
        <v>29</v>
      </c>
      <c r="B1165" t="s">
        <v>32</v>
      </c>
      <c r="C1165" t="s">
        <v>33</v>
      </c>
      <c r="D1165">
        <v>8</v>
      </c>
      <c r="E1165" t="s">
        <v>34</v>
      </c>
      <c r="F1165">
        <v>2</v>
      </c>
      <c r="G1165">
        <v>2</v>
      </c>
      <c r="H1165" t="s">
        <v>78</v>
      </c>
      <c r="I1165">
        <v>4</v>
      </c>
      <c r="J1165" t="s">
        <v>51</v>
      </c>
      <c r="K1165">
        <v>5056</v>
      </c>
      <c r="L1165">
        <v>1</v>
      </c>
      <c r="M1165" t="s">
        <v>31</v>
      </c>
      <c r="N1165">
        <v>15</v>
      </c>
      <c r="O1165">
        <v>3</v>
      </c>
      <c r="P1165">
        <v>1</v>
      </c>
      <c r="Q1165">
        <v>10</v>
      </c>
      <c r="R1165">
        <v>2</v>
      </c>
      <c r="S1165">
        <v>10</v>
      </c>
      <c r="T1165">
        <v>1</v>
      </c>
      <c r="U1165">
        <v>2</v>
      </c>
      <c r="V1165" t="s">
        <v>37</v>
      </c>
      <c r="W1165" s="2">
        <v>40606</v>
      </c>
      <c r="Y1165" t="s">
        <v>46</v>
      </c>
      <c r="Z1165" t="s">
        <v>47</v>
      </c>
      <c r="AA1165">
        <v>1</v>
      </c>
      <c r="AB1165">
        <v>2</v>
      </c>
      <c r="AC1165" t="s">
        <v>41</v>
      </c>
      <c r="AD1165" t="s">
        <v>67</v>
      </c>
      <c r="AE1165" t="s">
        <v>49</v>
      </c>
      <c r="AF1165" s="3">
        <v>1871</v>
      </c>
      <c r="AG1165" s="3">
        <v>41</v>
      </c>
      <c r="AH1165">
        <v>80</v>
      </c>
      <c r="AI1165">
        <v>2</v>
      </c>
      <c r="AJ1165">
        <v>0</v>
      </c>
      <c r="AL1165">
        <v>0</v>
      </c>
      <c r="AM1165">
        <v>1</v>
      </c>
      <c r="AN1165" t="s">
        <v>768</v>
      </c>
      <c r="AO1165" t="s">
        <v>41</v>
      </c>
    </row>
    <row r="1166" spans="1:41" x14ac:dyDescent="0.25">
      <c r="A1166">
        <v>30</v>
      </c>
      <c r="B1166" t="s">
        <v>32</v>
      </c>
      <c r="C1166" t="s">
        <v>55</v>
      </c>
      <c r="D1166">
        <v>10</v>
      </c>
      <c r="E1166" t="s">
        <v>34</v>
      </c>
      <c r="F1166">
        <v>2</v>
      </c>
      <c r="G1166">
        <v>2</v>
      </c>
      <c r="H1166" t="s">
        <v>70</v>
      </c>
      <c r="I1166">
        <v>3</v>
      </c>
      <c r="J1166" t="s">
        <v>51</v>
      </c>
      <c r="K1166">
        <v>6578</v>
      </c>
      <c r="L1166">
        <v>1</v>
      </c>
      <c r="M1166" t="s">
        <v>41</v>
      </c>
      <c r="N1166">
        <v>18</v>
      </c>
      <c r="O1166">
        <v>3</v>
      </c>
      <c r="P1166">
        <v>1</v>
      </c>
      <c r="Q1166">
        <v>10</v>
      </c>
      <c r="R1166">
        <v>3</v>
      </c>
      <c r="S1166">
        <v>10</v>
      </c>
      <c r="T1166">
        <v>1</v>
      </c>
      <c r="U1166">
        <v>4</v>
      </c>
      <c r="V1166" t="s">
        <v>58</v>
      </c>
      <c r="W1166" s="1" t="s">
        <v>582</v>
      </c>
      <c r="Y1166" t="s">
        <v>54</v>
      </c>
      <c r="Z1166" t="s">
        <v>47</v>
      </c>
      <c r="AA1166">
        <v>4</v>
      </c>
      <c r="AB1166">
        <v>3</v>
      </c>
      <c r="AC1166" t="s">
        <v>31</v>
      </c>
      <c r="AD1166" t="s">
        <v>48</v>
      </c>
      <c r="AE1166" t="s">
        <v>49</v>
      </c>
      <c r="AF1166" s="3">
        <v>2031</v>
      </c>
      <c r="AG1166" s="3">
        <v>56</v>
      </c>
      <c r="AH1166">
        <v>80</v>
      </c>
      <c r="AI1166">
        <v>6</v>
      </c>
      <c r="AJ1166">
        <v>0</v>
      </c>
      <c r="AL1166">
        <v>0</v>
      </c>
      <c r="AM1166">
        <v>1</v>
      </c>
      <c r="AN1166" t="s">
        <v>768</v>
      </c>
      <c r="AO1166" t="s">
        <v>41</v>
      </c>
    </row>
    <row r="1167" spans="1:41" x14ac:dyDescent="0.25">
      <c r="A1167">
        <v>29</v>
      </c>
      <c r="B1167" t="s">
        <v>32</v>
      </c>
      <c r="C1167" t="s">
        <v>33</v>
      </c>
      <c r="D1167">
        <v>6</v>
      </c>
      <c r="E1167" t="s">
        <v>61</v>
      </c>
      <c r="F1167">
        <v>3</v>
      </c>
      <c r="G1167">
        <v>1</v>
      </c>
      <c r="H1167" t="s">
        <v>35</v>
      </c>
      <c r="I1167">
        <v>4</v>
      </c>
      <c r="J1167" t="s">
        <v>51</v>
      </c>
      <c r="K1167">
        <v>3131</v>
      </c>
      <c r="L1167">
        <v>1</v>
      </c>
      <c r="M1167" t="s">
        <v>41</v>
      </c>
      <c r="N1167">
        <v>13</v>
      </c>
      <c r="O1167">
        <v>3</v>
      </c>
      <c r="P1167">
        <v>1</v>
      </c>
      <c r="Q1167">
        <v>10</v>
      </c>
      <c r="R1167">
        <v>5</v>
      </c>
      <c r="S1167">
        <v>10</v>
      </c>
      <c r="T1167">
        <v>0</v>
      </c>
      <c r="U1167">
        <v>8</v>
      </c>
      <c r="V1167" t="s">
        <v>52</v>
      </c>
      <c r="W1167" s="1" t="s">
        <v>583</v>
      </c>
      <c r="Y1167" t="s">
        <v>46</v>
      </c>
      <c r="Z1167" t="s">
        <v>47</v>
      </c>
      <c r="AA1167">
        <v>0</v>
      </c>
      <c r="AB1167">
        <v>2</v>
      </c>
      <c r="AC1167" t="s">
        <v>31</v>
      </c>
      <c r="AD1167" t="s">
        <v>65</v>
      </c>
      <c r="AE1167" t="s">
        <v>60</v>
      </c>
      <c r="AF1167" s="3">
        <v>1543</v>
      </c>
      <c r="AG1167" s="3">
        <v>47</v>
      </c>
      <c r="AH1167">
        <v>80</v>
      </c>
      <c r="AI1167">
        <v>8</v>
      </c>
      <c r="AJ1167">
        <v>0</v>
      </c>
      <c r="AL1167">
        <v>0</v>
      </c>
      <c r="AM1167">
        <v>1</v>
      </c>
      <c r="AN1167" t="s">
        <v>768</v>
      </c>
      <c r="AO1167" t="s">
        <v>41</v>
      </c>
    </row>
    <row r="1168" spans="1:41" x14ac:dyDescent="0.25">
      <c r="A1168">
        <v>33</v>
      </c>
      <c r="B1168" t="s">
        <v>66</v>
      </c>
      <c r="C1168" t="s">
        <v>55</v>
      </c>
      <c r="D1168">
        <v>25</v>
      </c>
      <c r="E1168" t="s">
        <v>61</v>
      </c>
      <c r="F1168">
        <v>3</v>
      </c>
      <c r="G1168">
        <v>2</v>
      </c>
      <c r="H1168" t="s">
        <v>70</v>
      </c>
      <c r="I1168">
        <v>3</v>
      </c>
      <c r="J1168" t="s">
        <v>51</v>
      </c>
      <c r="K1168">
        <v>4539</v>
      </c>
      <c r="L1168">
        <v>1</v>
      </c>
      <c r="M1168" t="s">
        <v>41</v>
      </c>
      <c r="N1168">
        <v>12</v>
      </c>
      <c r="O1168">
        <v>3</v>
      </c>
      <c r="P1168">
        <v>1</v>
      </c>
      <c r="Q1168">
        <v>10</v>
      </c>
      <c r="R1168">
        <v>3</v>
      </c>
      <c r="S1168">
        <v>10</v>
      </c>
      <c r="T1168">
        <v>0</v>
      </c>
      <c r="U1168">
        <v>1</v>
      </c>
      <c r="V1168" t="s">
        <v>52</v>
      </c>
      <c r="W1168" s="2">
        <v>40695</v>
      </c>
      <c r="Y1168" t="s">
        <v>46</v>
      </c>
      <c r="Z1168" t="s">
        <v>40</v>
      </c>
      <c r="AA1168">
        <v>5</v>
      </c>
      <c r="AB1168">
        <v>2</v>
      </c>
      <c r="AC1168" t="s">
        <v>41</v>
      </c>
      <c r="AD1168" t="s">
        <v>48</v>
      </c>
      <c r="AE1168" t="s">
        <v>60</v>
      </c>
      <c r="AF1168" s="3">
        <v>1434</v>
      </c>
      <c r="AG1168" s="3">
        <v>91</v>
      </c>
      <c r="AH1168">
        <v>80</v>
      </c>
      <c r="AI1168">
        <v>0</v>
      </c>
      <c r="AJ1168">
        <v>0</v>
      </c>
      <c r="AL1168">
        <v>0</v>
      </c>
      <c r="AM1168">
        <v>1</v>
      </c>
      <c r="AN1168" t="s">
        <v>768</v>
      </c>
      <c r="AO1168" t="s">
        <v>41</v>
      </c>
    </row>
    <row r="1169" spans="1:41" x14ac:dyDescent="0.25">
      <c r="A1169">
        <v>30</v>
      </c>
      <c r="B1169" t="s">
        <v>32</v>
      </c>
      <c r="C1169" t="s">
        <v>33</v>
      </c>
      <c r="D1169">
        <v>7</v>
      </c>
      <c r="E1169" t="s">
        <v>34</v>
      </c>
      <c r="F1169">
        <v>3</v>
      </c>
      <c r="G1169">
        <v>2</v>
      </c>
      <c r="H1169" t="s">
        <v>35</v>
      </c>
      <c r="I1169">
        <v>3</v>
      </c>
      <c r="J1169" t="s">
        <v>57</v>
      </c>
      <c r="K1169">
        <v>3491</v>
      </c>
      <c r="L1169">
        <v>1</v>
      </c>
      <c r="M1169" t="s">
        <v>41</v>
      </c>
      <c r="N1169">
        <v>13</v>
      </c>
      <c r="O1169">
        <v>3</v>
      </c>
      <c r="P1169">
        <v>3</v>
      </c>
      <c r="Q1169">
        <v>10</v>
      </c>
      <c r="R1169">
        <v>4</v>
      </c>
      <c r="S1169">
        <v>10</v>
      </c>
      <c r="T1169">
        <v>8</v>
      </c>
      <c r="U1169">
        <v>9</v>
      </c>
      <c r="V1169" t="s">
        <v>37</v>
      </c>
      <c r="W1169" s="1" t="s">
        <v>584</v>
      </c>
      <c r="Y1169" t="s">
        <v>63</v>
      </c>
      <c r="Z1169" t="s">
        <v>40</v>
      </c>
      <c r="AA1169">
        <v>3</v>
      </c>
      <c r="AB1169">
        <v>3</v>
      </c>
      <c r="AC1169" t="s">
        <v>41</v>
      </c>
      <c r="AD1169" t="s">
        <v>42</v>
      </c>
      <c r="AE1169" t="s">
        <v>49</v>
      </c>
      <c r="AF1169" s="3">
        <v>1621</v>
      </c>
      <c r="AG1169" s="3">
        <v>48</v>
      </c>
      <c r="AH1169">
        <v>80</v>
      </c>
      <c r="AI1169">
        <v>15</v>
      </c>
      <c r="AJ1169">
        <v>0</v>
      </c>
      <c r="AL1169">
        <v>0</v>
      </c>
      <c r="AM1169">
        <v>1</v>
      </c>
      <c r="AN1169" t="s">
        <v>768</v>
      </c>
      <c r="AO1169" t="s">
        <v>41</v>
      </c>
    </row>
    <row r="1170" spans="1:41" x14ac:dyDescent="0.25">
      <c r="A1170">
        <v>44</v>
      </c>
      <c r="B1170" t="s">
        <v>32</v>
      </c>
      <c r="C1170" t="s">
        <v>33</v>
      </c>
      <c r="D1170">
        <v>2</v>
      </c>
      <c r="E1170" t="s">
        <v>61</v>
      </c>
      <c r="F1170">
        <v>4</v>
      </c>
      <c r="G1170">
        <v>1</v>
      </c>
      <c r="H1170" t="s">
        <v>44</v>
      </c>
      <c r="I1170">
        <v>4</v>
      </c>
      <c r="J1170" t="s">
        <v>51</v>
      </c>
      <c r="K1170">
        <v>2011</v>
      </c>
      <c r="L1170">
        <v>1</v>
      </c>
      <c r="M1170" t="s">
        <v>41</v>
      </c>
      <c r="N1170">
        <v>13</v>
      </c>
      <c r="O1170">
        <v>3</v>
      </c>
      <c r="P1170">
        <v>1</v>
      </c>
      <c r="Q1170">
        <v>10</v>
      </c>
      <c r="R1170">
        <v>5</v>
      </c>
      <c r="S1170">
        <v>10</v>
      </c>
      <c r="T1170">
        <v>7</v>
      </c>
      <c r="U1170">
        <v>7</v>
      </c>
      <c r="V1170" t="s">
        <v>37</v>
      </c>
      <c r="W1170" s="1" t="s">
        <v>580</v>
      </c>
      <c r="Y1170" t="s">
        <v>39</v>
      </c>
      <c r="Z1170" t="s">
        <v>40</v>
      </c>
      <c r="AA1170">
        <v>1</v>
      </c>
      <c r="AB1170">
        <v>3</v>
      </c>
      <c r="AC1170" t="s">
        <v>31</v>
      </c>
      <c r="AD1170" t="s">
        <v>67</v>
      </c>
      <c r="AE1170" t="s">
        <v>43</v>
      </c>
      <c r="AF1170" s="3">
        <v>2068</v>
      </c>
      <c r="AG1170" s="3">
        <v>82</v>
      </c>
      <c r="AH1170">
        <v>80</v>
      </c>
      <c r="AI1170">
        <v>3</v>
      </c>
      <c r="AJ1170">
        <v>0</v>
      </c>
      <c r="AL1170">
        <v>0</v>
      </c>
      <c r="AM1170">
        <v>1</v>
      </c>
      <c r="AN1170" t="s">
        <v>768</v>
      </c>
      <c r="AO1170" t="s">
        <v>41</v>
      </c>
    </row>
    <row r="1171" spans="1:41" x14ac:dyDescent="0.25">
      <c r="A1171">
        <v>54</v>
      </c>
      <c r="B1171" t="s">
        <v>32</v>
      </c>
      <c r="C1171" t="s">
        <v>33</v>
      </c>
      <c r="D1171">
        <v>3</v>
      </c>
      <c r="E1171" t="s">
        <v>34</v>
      </c>
      <c r="F1171">
        <v>3</v>
      </c>
      <c r="G1171">
        <v>4</v>
      </c>
      <c r="H1171" t="s">
        <v>50</v>
      </c>
      <c r="I1171">
        <v>4</v>
      </c>
      <c r="J1171" t="s">
        <v>51</v>
      </c>
      <c r="K1171">
        <v>17779</v>
      </c>
      <c r="L1171">
        <v>3</v>
      </c>
      <c r="M1171" t="s">
        <v>41</v>
      </c>
      <c r="N1171">
        <v>14</v>
      </c>
      <c r="O1171">
        <v>3</v>
      </c>
      <c r="P1171">
        <v>0</v>
      </c>
      <c r="Q1171">
        <v>36</v>
      </c>
      <c r="R1171">
        <v>2</v>
      </c>
      <c r="S1171">
        <v>10</v>
      </c>
      <c r="T1171">
        <v>0</v>
      </c>
      <c r="U1171">
        <v>9</v>
      </c>
      <c r="V1171" t="s">
        <v>72</v>
      </c>
      <c r="W1171" s="1" t="s">
        <v>585</v>
      </c>
      <c r="Y1171" t="s">
        <v>39</v>
      </c>
      <c r="Z1171" t="s">
        <v>47</v>
      </c>
      <c r="AA1171">
        <v>0</v>
      </c>
      <c r="AB1171">
        <v>0</v>
      </c>
      <c r="AC1171" t="s">
        <v>31</v>
      </c>
      <c r="AD1171" t="s">
        <v>42</v>
      </c>
      <c r="AE1171" t="s">
        <v>49</v>
      </c>
      <c r="AF1171" s="3">
        <v>1689</v>
      </c>
      <c r="AG1171" s="3">
        <v>48</v>
      </c>
      <c r="AH1171">
        <v>80</v>
      </c>
      <c r="AI1171">
        <v>3</v>
      </c>
      <c r="AJ1171">
        <v>0</v>
      </c>
      <c r="AL1171">
        <v>0</v>
      </c>
      <c r="AM1171">
        <v>1</v>
      </c>
      <c r="AN1171" t="s">
        <v>768</v>
      </c>
      <c r="AO1171" t="s">
        <v>41</v>
      </c>
    </row>
    <row r="1172" spans="1:41" x14ac:dyDescent="0.25">
      <c r="A1172">
        <v>31</v>
      </c>
      <c r="B1172" t="s">
        <v>32</v>
      </c>
      <c r="C1172" t="s">
        <v>33</v>
      </c>
      <c r="D1172">
        <v>24</v>
      </c>
      <c r="E1172" t="s">
        <v>61</v>
      </c>
      <c r="F1172">
        <v>2</v>
      </c>
      <c r="G1172">
        <v>2</v>
      </c>
      <c r="H1172" t="s">
        <v>89</v>
      </c>
      <c r="I1172">
        <v>1</v>
      </c>
      <c r="J1172" t="s">
        <v>36</v>
      </c>
      <c r="K1172">
        <v>6812</v>
      </c>
      <c r="L1172">
        <v>1</v>
      </c>
      <c r="M1172" t="s">
        <v>41</v>
      </c>
      <c r="N1172">
        <v>19</v>
      </c>
      <c r="O1172">
        <v>3</v>
      </c>
      <c r="P1172">
        <v>0</v>
      </c>
      <c r="Q1172">
        <v>10</v>
      </c>
      <c r="R1172">
        <v>2</v>
      </c>
      <c r="S1172">
        <v>10</v>
      </c>
      <c r="T1172">
        <v>1</v>
      </c>
      <c r="U1172">
        <v>8</v>
      </c>
      <c r="V1172" t="s">
        <v>72</v>
      </c>
      <c r="W1172" s="2">
        <v>40851</v>
      </c>
      <c r="Y1172" t="s">
        <v>54</v>
      </c>
      <c r="Z1172" t="s">
        <v>40</v>
      </c>
      <c r="AA1172">
        <v>5</v>
      </c>
      <c r="AB1172">
        <v>0</v>
      </c>
      <c r="AC1172" t="s">
        <v>41</v>
      </c>
      <c r="AD1172" t="s">
        <v>67</v>
      </c>
      <c r="AE1172" t="s">
        <v>49</v>
      </c>
      <c r="AF1172" s="3">
        <v>1867</v>
      </c>
      <c r="AG1172" s="3">
        <v>91</v>
      </c>
      <c r="AH1172">
        <v>80</v>
      </c>
      <c r="AI1172">
        <v>10</v>
      </c>
      <c r="AJ1172">
        <v>0</v>
      </c>
      <c r="AL1172">
        <v>0</v>
      </c>
      <c r="AM1172">
        <v>1</v>
      </c>
      <c r="AN1172" t="s">
        <v>768</v>
      </c>
      <c r="AO1172" t="s">
        <v>41</v>
      </c>
    </row>
    <row r="1173" spans="1:41" x14ac:dyDescent="0.25">
      <c r="A1173">
        <v>34</v>
      </c>
      <c r="B1173" t="s">
        <v>66</v>
      </c>
      <c r="C1173" t="s">
        <v>120</v>
      </c>
      <c r="D1173">
        <v>11</v>
      </c>
      <c r="E1173" t="s">
        <v>34</v>
      </c>
      <c r="F1173">
        <v>2</v>
      </c>
      <c r="G1173">
        <v>2</v>
      </c>
      <c r="H1173" t="s">
        <v>120</v>
      </c>
      <c r="I1173">
        <v>2</v>
      </c>
      <c r="J1173" t="s">
        <v>51</v>
      </c>
      <c r="K1173">
        <v>4490</v>
      </c>
      <c r="L1173">
        <v>4</v>
      </c>
      <c r="M1173" t="s">
        <v>41</v>
      </c>
      <c r="N1173">
        <v>11</v>
      </c>
      <c r="O1173">
        <v>3</v>
      </c>
      <c r="P1173">
        <v>2</v>
      </c>
      <c r="Q1173">
        <v>14</v>
      </c>
      <c r="R1173">
        <v>5</v>
      </c>
      <c r="S1173">
        <v>10</v>
      </c>
      <c r="T1173">
        <v>1</v>
      </c>
      <c r="U1173">
        <v>8</v>
      </c>
      <c r="V1173" t="s">
        <v>72</v>
      </c>
      <c r="W1173" s="1" t="s">
        <v>554</v>
      </c>
      <c r="Y1173" t="s">
        <v>39</v>
      </c>
      <c r="Z1173" t="s">
        <v>47</v>
      </c>
      <c r="AA1173">
        <v>2</v>
      </c>
      <c r="AB1173">
        <v>3</v>
      </c>
      <c r="AC1173" t="s">
        <v>31</v>
      </c>
      <c r="AD1173" t="s">
        <v>65</v>
      </c>
      <c r="AE1173" t="s">
        <v>60</v>
      </c>
      <c r="AF1173" s="3">
        <v>1989</v>
      </c>
      <c r="AG1173" s="3">
        <v>76</v>
      </c>
      <c r="AH1173">
        <v>80</v>
      </c>
      <c r="AI1173">
        <v>8</v>
      </c>
      <c r="AJ1173">
        <v>0</v>
      </c>
      <c r="AL1173">
        <v>0</v>
      </c>
      <c r="AM1173">
        <v>1</v>
      </c>
      <c r="AN1173" t="s">
        <v>768</v>
      </c>
      <c r="AO1173" t="s">
        <v>41</v>
      </c>
    </row>
    <row r="1174" spans="1:41" x14ac:dyDescent="0.25">
      <c r="A1174">
        <v>44</v>
      </c>
      <c r="B1174" t="s">
        <v>32</v>
      </c>
      <c r="C1174" t="s">
        <v>33</v>
      </c>
      <c r="D1174">
        <v>15</v>
      </c>
      <c r="E1174" t="s">
        <v>61</v>
      </c>
      <c r="F1174">
        <v>3</v>
      </c>
      <c r="G1174">
        <v>3</v>
      </c>
      <c r="H1174" t="s">
        <v>89</v>
      </c>
      <c r="I1174">
        <v>4</v>
      </c>
      <c r="J1174" t="s">
        <v>51</v>
      </c>
      <c r="K1174">
        <v>7978</v>
      </c>
      <c r="L1174">
        <v>1</v>
      </c>
      <c r="M1174" t="s">
        <v>41</v>
      </c>
      <c r="N1174">
        <v>11</v>
      </c>
      <c r="O1174">
        <v>3</v>
      </c>
      <c r="P1174">
        <v>1</v>
      </c>
      <c r="Q1174">
        <v>10</v>
      </c>
      <c r="R1174">
        <v>2</v>
      </c>
      <c r="S1174">
        <v>10</v>
      </c>
      <c r="T1174">
        <v>0</v>
      </c>
      <c r="U1174">
        <v>5</v>
      </c>
      <c r="V1174" t="s">
        <v>58</v>
      </c>
      <c r="W1174" s="1" t="s">
        <v>565</v>
      </c>
      <c r="Y1174" t="s">
        <v>69</v>
      </c>
      <c r="Z1174" t="s">
        <v>40</v>
      </c>
      <c r="AA1174">
        <v>5</v>
      </c>
      <c r="AB1174">
        <v>1</v>
      </c>
      <c r="AC1174" t="s">
        <v>41</v>
      </c>
      <c r="AD1174" t="s">
        <v>42</v>
      </c>
      <c r="AE1174" t="s">
        <v>43</v>
      </c>
      <c r="AF1174" s="3">
        <v>1954</v>
      </c>
      <c r="AG1174" s="3">
        <v>89</v>
      </c>
      <c r="AH1174">
        <v>80</v>
      </c>
      <c r="AI1174">
        <v>3</v>
      </c>
      <c r="AJ1174">
        <v>0</v>
      </c>
      <c r="AL1174">
        <v>0</v>
      </c>
      <c r="AM1174">
        <v>1</v>
      </c>
      <c r="AN1174" t="s">
        <v>768</v>
      </c>
      <c r="AO1174" t="s">
        <v>41</v>
      </c>
    </row>
    <row r="1175" spans="1:41" x14ac:dyDescent="0.25">
      <c r="A1175">
        <v>32</v>
      </c>
      <c r="B1175" t="s">
        <v>32</v>
      </c>
      <c r="C1175" t="s">
        <v>55</v>
      </c>
      <c r="D1175">
        <v>8</v>
      </c>
      <c r="E1175" t="s">
        <v>34</v>
      </c>
      <c r="F1175">
        <v>4</v>
      </c>
      <c r="G1175">
        <v>2</v>
      </c>
      <c r="H1175" t="s">
        <v>70</v>
      </c>
      <c r="I1175">
        <v>4</v>
      </c>
      <c r="J1175" t="s">
        <v>51</v>
      </c>
      <c r="K1175">
        <v>6209</v>
      </c>
      <c r="L1175">
        <v>1</v>
      </c>
      <c r="M1175" t="s">
        <v>41</v>
      </c>
      <c r="N1175">
        <v>15</v>
      </c>
      <c r="O1175">
        <v>3</v>
      </c>
      <c r="P1175">
        <v>2</v>
      </c>
      <c r="Q1175">
        <v>10</v>
      </c>
      <c r="R1175">
        <v>4</v>
      </c>
      <c r="S1175">
        <v>10</v>
      </c>
      <c r="T1175">
        <v>0</v>
      </c>
      <c r="U1175">
        <v>8</v>
      </c>
      <c r="V1175" t="s">
        <v>52</v>
      </c>
      <c r="W1175" s="1" t="s">
        <v>586</v>
      </c>
      <c r="Y1175" t="s">
        <v>54</v>
      </c>
      <c r="Z1175" t="s">
        <v>47</v>
      </c>
      <c r="AA1175">
        <v>0</v>
      </c>
      <c r="AB1175">
        <v>3</v>
      </c>
      <c r="AC1175" t="s">
        <v>41</v>
      </c>
      <c r="AD1175" t="s">
        <v>42</v>
      </c>
      <c r="AE1175" t="s">
        <v>49</v>
      </c>
      <c r="AF1175" s="3">
        <v>1473</v>
      </c>
      <c r="AG1175" s="3">
        <v>96</v>
      </c>
      <c r="AH1175">
        <v>80</v>
      </c>
      <c r="AI1175">
        <v>2</v>
      </c>
      <c r="AJ1175">
        <v>0</v>
      </c>
      <c r="AL1175">
        <v>0</v>
      </c>
      <c r="AM1175">
        <v>1</v>
      </c>
      <c r="AN1175" t="s">
        <v>768</v>
      </c>
      <c r="AO1175" t="s">
        <v>41</v>
      </c>
    </row>
    <row r="1176" spans="1:41" x14ac:dyDescent="0.25">
      <c r="A1176">
        <v>32</v>
      </c>
      <c r="B1176" t="s">
        <v>32</v>
      </c>
      <c r="C1176" t="s">
        <v>33</v>
      </c>
      <c r="D1176">
        <v>7</v>
      </c>
      <c r="E1176" t="s">
        <v>34</v>
      </c>
      <c r="F1176">
        <v>3</v>
      </c>
      <c r="G1176">
        <v>2</v>
      </c>
      <c r="H1176" t="s">
        <v>35</v>
      </c>
      <c r="I1176">
        <v>3</v>
      </c>
      <c r="J1176" t="s">
        <v>51</v>
      </c>
      <c r="K1176">
        <v>4883</v>
      </c>
      <c r="L1176">
        <v>1</v>
      </c>
      <c r="M1176" t="s">
        <v>41</v>
      </c>
      <c r="N1176">
        <v>18</v>
      </c>
      <c r="O1176">
        <v>3</v>
      </c>
      <c r="P1176">
        <v>1</v>
      </c>
      <c r="Q1176">
        <v>10</v>
      </c>
      <c r="R1176">
        <v>3</v>
      </c>
      <c r="S1176">
        <v>10</v>
      </c>
      <c r="T1176">
        <v>1</v>
      </c>
      <c r="U1176">
        <v>1</v>
      </c>
      <c r="V1176" t="s">
        <v>37</v>
      </c>
      <c r="W1176" s="1" t="s">
        <v>587</v>
      </c>
      <c r="Y1176" t="s">
        <v>46</v>
      </c>
      <c r="Z1176" t="s">
        <v>47</v>
      </c>
      <c r="AA1176">
        <v>0</v>
      </c>
      <c r="AB1176">
        <v>2</v>
      </c>
      <c r="AC1176" t="s">
        <v>31</v>
      </c>
      <c r="AD1176" t="s">
        <v>48</v>
      </c>
      <c r="AE1176" t="s">
        <v>60</v>
      </c>
      <c r="AF1176" s="3">
        <v>1971</v>
      </c>
      <c r="AG1176" s="3">
        <v>30</v>
      </c>
      <c r="AH1176">
        <v>80</v>
      </c>
      <c r="AI1176">
        <v>9</v>
      </c>
      <c r="AJ1176">
        <v>0</v>
      </c>
      <c r="AL1176">
        <v>0</v>
      </c>
      <c r="AM1176">
        <v>1</v>
      </c>
      <c r="AN1176" t="s">
        <v>768</v>
      </c>
      <c r="AO1176" t="s">
        <v>41</v>
      </c>
    </row>
    <row r="1177" spans="1:41" x14ac:dyDescent="0.25">
      <c r="A1177">
        <v>31</v>
      </c>
      <c r="B1177" t="s">
        <v>81</v>
      </c>
      <c r="C1177" t="s">
        <v>55</v>
      </c>
      <c r="D1177">
        <v>2</v>
      </c>
      <c r="E1177" t="s">
        <v>61</v>
      </c>
      <c r="F1177">
        <v>3</v>
      </c>
      <c r="G1177">
        <v>3</v>
      </c>
      <c r="H1177" t="s">
        <v>70</v>
      </c>
      <c r="I1177">
        <v>3</v>
      </c>
      <c r="J1177" t="s">
        <v>57</v>
      </c>
      <c r="K1177">
        <v>9852</v>
      </c>
      <c r="L1177">
        <v>1</v>
      </c>
      <c r="M1177" t="s">
        <v>31</v>
      </c>
      <c r="N1177">
        <v>19</v>
      </c>
      <c r="O1177">
        <v>3</v>
      </c>
      <c r="P1177">
        <v>1</v>
      </c>
      <c r="Q1177">
        <v>10</v>
      </c>
      <c r="R1177">
        <v>5</v>
      </c>
      <c r="S1177">
        <v>10</v>
      </c>
      <c r="T1177">
        <v>9</v>
      </c>
      <c r="U1177">
        <v>6</v>
      </c>
      <c r="V1177" t="s">
        <v>58</v>
      </c>
      <c r="W1177" s="1" t="s">
        <v>588</v>
      </c>
      <c r="Y1177" t="s">
        <v>46</v>
      </c>
      <c r="Z1177" t="s">
        <v>40</v>
      </c>
      <c r="AA1177">
        <v>5</v>
      </c>
      <c r="AB1177">
        <v>0</v>
      </c>
      <c r="AC1177" t="s">
        <v>31</v>
      </c>
      <c r="AD1177" t="s">
        <v>67</v>
      </c>
      <c r="AE1177" t="s">
        <v>60</v>
      </c>
      <c r="AF1177" s="3">
        <v>1415</v>
      </c>
      <c r="AG1177" s="3">
        <v>81</v>
      </c>
      <c r="AH1177">
        <v>80</v>
      </c>
      <c r="AI1177">
        <v>2</v>
      </c>
      <c r="AJ1177">
        <v>0</v>
      </c>
      <c r="AL1177">
        <v>0</v>
      </c>
      <c r="AM1177">
        <v>1</v>
      </c>
      <c r="AN1177" t="s">
        <v>768</v>
      </c>
      <c r="AO1177" t="s">
        <v>41</v>
      </c>
    </row>
    <row r="1178" spans="1:41" x14ac:dyDescent="0.25">
      <c r="A1178">
        <v>34</v>
      </c>
      <c r="B1178" t="s">
        <v>32</v>
      </c>
      <c r="C1178" t="s">
        <v>55</v>
      </c>
      <c r="D1178">
        <v>15</v>
      </c>
      <c r="E1178" t="s">
        <v>61</v>
      </c>
      <c r="F1178">
        <v>3</v>
      </c>
      <c r="G1178">
        <v>2</v>
      </c>
      <c r="H1178" t="s">
        <v>70</v>
      </c>
      <c r="I1178">
        <v>1</v>
      </c>
      <c r="J1178" t="s">
        <v>36</v>
      </c>
      <c r="K1178">
        <v>6125</v>
      </c>
      <c r="L1178">
        <v>1</v>
      </c>
      <c r="M1178" t="s">
        <v>41</v>
      </c>
      <c r="N1178">
        <v>12</v>
      </c>
      <c r="O1178">
        <v>3</v>
      </c>
      <c r="P1178">
        <v>0</v>
      </c>
      <c r="Q1178">
        <v>10</v>
      </c>
      <c r="R1178">
        <v>6</v>
      </c>
      <c r="S1178">
        <v>10</v>
      </c>
      <c r="T1178">
        <v>9</v>
      </c>
      <c r="U1178">
        <v>6</v>
      </c>
      <c r="V1178" t="s">
        <v>58</v>
      </c>
      <c r="W1178" s="1" t="s">
        <v>564</v>
      </c>
      <c r="Y1178" t="s">
        <v>39</v>
      </c>
      <c r="Z1178" t="s">
        <v>47</v>
      </c>
      <c r="AA1178">
        <v>4</v>
      </c>
      <c r="AB1178">
        <v>1</v>
      </c>
      <c r="AC1178" t="s">
        <v>31</v>
      </c>
      <c r="AD1178" t="s">
        <v>67</v>
      </c>
      <c r="AE1178" t="s">
        <v>60</v>
      </c>
      <c r="AF1178" s="3">
        <v>1438</v>
      </c>
      <c r="AG1178" s="3">
        <v>74</v>
      </c>
      <c r="AH1178">
        <v>80</v>
      </c>
      <c r="AI1178">
        <v>5</v>
      </c>
      <c r="AJ1178">
        <v>0</v>
      </c>
      <c r="AL1178">
        <v>0</v>
      </c>
      <c r="AM1178">
        <v>1</v>
      </c>
      <c r="AN1178" t="s">
        <v>768</v>
      </c>
      <c r="AO1178" t="s">
        <v>41</v>
      </c>
    </row>
    <row r="1179" spans="1:41" x14ac:dyDescent="0.25">
      <c r="A1179">
        <v>58</v>
      </c>
      <c r="B1179" t="s">
        <v>32</v>
      </c>
      <c r="C1179" t="s">
        <v>33</v>
      </c>
      <c r="D1179">
        <v>7</v>
      </c>
      <c r="E1179" t="s">
        <v>61</v>
      </c>
      <c r="F1179">
        <v>2</v>
      </c>
      <c r="G1179">
        <v>3</v>
      </c>
      <c r="H1179" t="s">
        <v>78</v>
      </c>
      <c r="I1179">
        <v>1</v>
      </c>
      <c r="J1179" t="s">
        <v>51</v>
      </c>
      <c r="K1179">
        <v>10008</v>
      </c>
      <c r="L1179">
        <v>7</v>
      </c>
      <c r="M1179" t="s">
        <v>31</v>
      </c>
      <c r="N1179">
        <v>14</v>
      </c>
      <c r="O1179">
        <v>3</v>
      </c>
      <c r="P1179">
        <v>0</v>
      </c>
      <c r="Q1179">
        <v>31</v>
      </c>
      <c r="R1179">
        <v>0</v>
      </c>
      <c r="S1179">
        <v>10</v>
      </c>
      <c r="T1179">
        <v>5</v>
      </c>
      <c r="U1179">
        <v>9</v>
      </c>
      <c r="V1179" t="s">
        <v>37</v>
      </c>
      <c r="W1179" s="2">
        <v>40728</v>
      </c>
      <c r="Y1179" t="s">
        <v>46</v>
      </c>
      <c r="Z1179" t="s">
        <v>47</v>
      </c>
      <c r="AA1179">
        <v>3</v>
      </c>
      <c r="AB1179">
        <v>2</v>
      </c>
      <c r="AC1179" t="s">
        <v>41</v>
      </c>
      <c r="AD1179" t="s">
        <v>65</v>
      </c>
      <c r="AE1179" t="s">
        <v>49</v>
      </c>
      <c r="AF1179" s="3">
        <v>1826</v>
      </c>
      <c r="AG1179" s="3">
        <v>91</v>
      </c>
      <c r="AH1179">
        <v>80</v>
      </c>
      <c r="AI1179">
        <v>4</v>
      </c>
      <c r="AJ1179">
        <v>0</v>
      </c>
      <c r="AL1179">
        <v>0</v>
      </c>
      <c r="AM1179">
        <v>1</v>
      </c>
      <c r="AN1179" t="s">
        <v>768</v>
      </c>
      <c r="AO1179" t="s">
        <v>41</v>
      </c>
    </row>
    <row r="1180" spans="1:41" x14ac:dyDescent="0.25">
      <c r="A1180">
        <v>48</v>
      </c>
      <c r="B1180" t="s">
        <v>32</v>
      </c>
      <c r="C1180" t="s">
        <v>33</v>
      </c>
      <c r="D1180">
        <v>4</v>
      </c>
      <c r="E1180" t="s">
        <v>34</v>
      </c>
      <c r="F1180">
        <v>3</v>
      </c>
      <c r="G1180">
        <v>3</v>
      </c>
      <c r="H1180" t="s">
        <v>78</v>
      </c>
      <c r="I1180">
        <v>4</v>
      </c>
      <c r="J1180" t="s">
        <v>36</v>
      </c>
      <c r="K1180">
        <v>7898</v>
      </c>
      <c r="L1180">
        <v>1</v>
      </c>
      <c r="M1180" t="s">
        <v>41</v>
      </c>
      <c r="N1180">
        <v>11</v>
      </c>
      <c r="O1180">
        <v>3</v>
      </c>
      <c r="P1180">
        <v>0</v>
      </c>
      <c r="Q1180">
        <v>11</v>
      </c>
      <c r="R1180">
        <v>2</v>
      </c>
      <c r="S1180">
        <v>10</v>
      </c>
      <c r="T1180">
        <v>0</v>
      </c>
      <c r="U1180">
        <v>8</v>
      </c>
      <c r="V1180" t="s">
        <v>58</v>
      </c>
      <c r="W1180" s="1" t="s">
        <v>589</v>
      </c>
      <c r="Y1180" t="s">
        <v>46</v>
      </c>
      <c r="Z1180" t="s">
        <v>40</v>
      </c>
      <c r="AA1180">
        <v>0</v>
      </c>
      <c r="AB1180">
        <v>2</v>
      </c>
      <c r="AC1180" t="s">
        <v>31</v>
      </c>
      <c r="AD1180" t="s">
        <v>67</v>
      </c>
      <c r="AE1180" t="s">
        <v>43</v>
      </c>
      <c r="AF1180" s="3">
        <v>1609</v>
      </c>
      <c r="AG1180" s="3">
        <v>48</v>
      </c>
      <c r="AH1180">
        <v>80</v>
      </c>
      <c r="AI1180">
        <v>4</v>
      </c>
      <c r="AJ1180">
        <v>0</v>
      </c>
      <c r="AL1180">
        <v>0</v>
      </c>
      <c r="AM1180">
        <v>1</v>
      </c>
      <c r="AN1180" t="s">
        <v>768</v>
      </c>
      <c r="AO1180" t="s">
        <v>41</v>
      </c>
    </row>
    <row r="1181" spans="1:41" x14ac:dyDescent="0.25">
      <c r="A1181">
        <v>31</v>
      </c>
      <c r="B1181" t="s">
        <v>32</v>
      </c>
      <c r="C1181" t="s">
        <v>33</v>
      </c>
      <c r="D1181">
        <v>22</v>
      </c>
      <c r="E1181" t="s">
        <v>34</v>
      </c>
      <c r="F1181">
        <v>3</v>
      </c>
      <c r="G1181">
        <v>2</v>
      </c>
      <c r="H1181" t="s">
        <v>78</v>
      </c>
      <c r="I1181">
        <v>3</v>
      </c>
      <c r="J1181" t="s">
        <v>51</v>
      </c>
      <c r="K1181">
        <v>6179</v>
      </c>
      <c r="L1181">
        <v>1</v>
      </c>
      <c r="M1181" t="s">
        <v>31</v>
      </c>
      <c r="N1181">
        <v>15</v>
      </c>
      <c r="O1181">
        <v>3</v>
      </c>
      <c r="P1181">
        <v>2</v>
      </c>
      <c r="Q1181">
        <v>10</v>
      </c>
      <c r="R1181">
        <v>3</v>
      </c>
      <c r="S1181">
        <v>10</v>
      </c>
      <c r="T1181">
        <v>6</v>
      </c>
      <c r="U1181">
        <v>7</v>
      </c>
      <c r="V1181" t="s">
        <v>72</v>
      </c>
      <c r="W1181" s="2">
        <v>40607</v>
      </c>
      <c r="Y1181" t="s">
        <v>63</v>
      </c>
      <c r="Z1181" t="s">
        <v>47</v>
      </c>
      <c r="AA1181">
        <v>5</v>
      </c>
      <c r="AB1181">
        <v>1</v>
      </c>
      <c r="AC1181" t="s">
        <v>41</v>
      </c>
      <c r="AD1181" t="s">
        <v>42</v>
      </c>
      <c r="AE1181" t="s">
        <v>43</v>
      </c>
      <c r="AF1181" s="3">
        <v>1696</v>
      </c>
      <c r="AG1181" s="3">
        <v>57</v>
      </c>
      <c r="AH1181">
        <v>80</v>
      </c>
      <c r="AI1181">
        <v>10</v>
      </c>
      <c r="AJ1181">
        <v>0</v>
      </c>
      <c r="AL1181">
        <v>0</v>
      </c>
      <c r="AM1181">
        <v>1</v>
      </c>
      <c r="AN1181" t="s">
        <v>768</v>
      </c>
      <c r="AO1181" t="s">
        <v>41</v>
      </c>
    </row>
    <row r="1182" spans="1:41" x14ac:dyDescent="0.25">
      <c r="A1182">
        <v>29</v>
      </c>
      <c r="B1182" t="s">
        <v>32</v>
      </c>
      <c r="C1182" t="s">
        <v>120</v>
      </c>
      <c r="D1182">
        <v>17</v>
      </c>
      <c r="E1182" t="s">
        <v>34</v>
      </c>
      <c r="F1182">
        <v>2</v>
      </c>
      <c r="G1182">
        <v>3</v>
      </c>
      <c r="H1182" t="s">
        <v>120</v>
      </c>
      <c r="I1182">
        <v>1</v>
      </c>
      <c r="J1182" t="s">
        <v>36</v>
      </c>
      <c r="K1182">
        <v>7988</v>
      </c>
      <c r="L1182">
        <v>1</v>
      </c>
      <c r="M1182" t="s">
        <v>41</v>
      </c>
      <c r="N1182">
        <v>13</v>
      </c>
      <c r="O1182">
        <v>3</v>
      </c>
      <c r="P1182">
        <v>0</v>
      </c>
      <c r="Q1182">
        <v>10</v>
      </c>
      <c r="R1182">
        <v>3</v>
      </c>
      <c r="S1182">
        <v>10</v>
      </c>
      <c r="T1182">
        <v>0</v>
      </c>
      <c r="U1182">
        <v>9</v>
      </c>
      <c r="V1182" t="s">
        <v>58</v>
      </c>
      <c r="W1182" s="1" t="s">
        <v>554</v>
      </c>
      <c r="Y1182" t="s">
        <v>54</v>
      </c>
      <c r="Z1182" t="s">
        <v>40</v>
      </c>
      <c r="AA1182">
        <v>2</v>
      </c>
      <c r="AB1182">
        <v>2</v>
      </c>
      <c r="AC1182" t="s">
        <v>31</v>
      </c>
      <c r="AD1182" t="s">
        <v>48</v>
      </c>
      <c r="AE1182" t="s">
        <v>43</v>
      </c>
      <c r="AF1182" s="3">
        <v>1931</v>
      </c>
      <c r="AG1182" s="3">
        <v>41</v>
      </c>
      <c r="AH1182">
        <v>80</v>
      </c>
      <c r="AI1182">
        <v>3</v>
      </c>
      <c r="AJ1182">
        <v>0</v>
      </c>
      <c r="AL1182">
        <v>0</v>
      </c>
      <c r="AM1182">
        <v>1</v>
      </c>
      <c r="AN1182" t="s">
        <v>768</v>
      </c>
      <c r="AO1182" t="s">
        <v>41</v>
      </c>
    </row>
    <row r="1183" spans="1:41" x14ac:dyDescent="0.25">
      <c r="A1183">
        <v>36</v>
      </c>
      <c r="B1183" t="s">
        <v>32</v>
      </c>
      <c r="C1183" t="s">
        <v>33</v>
      </c>
      <c r="D1183">
        <v>4</v>
      </c>
      <c r="E1183" t="s">
        <v>34</v>
      </c>
      <c r="F1183">
        <v>2</v>
      </c>
      <c r="G1183">
        <v>2</v>
      </c>
      <c r="H1183" t="s">
        <v>35</v>
      </c>
      <c r="I1183">
        <v>4</v>
      </c>
      <c r="J1183" t="s">
        <v>36</v>
      </c>
      <c r="K1183">
        <v>5810</v>
      </c>
      <c r="L1183">
        <v>1</v>
      </c>
      <c r="M1183" t="s">
        <v>41</v>
      </c>
      <c r="N1183">
        <v>16</v>
      </c>
      <c r="O1183">
        <v>3</v>
      </c>
      <c r="P1183">
        <v>0</v>
      </c>
      <c r="Q1183">
        <v>10</v>
      </c>
      <c r="R1183">
        <v>2</v>
      </c>
      <c r="S1183">
        <v>10</v>
      </c>
      <c r="T1183">
        <v>1</v>
      </c>
      <c r="U1183">
        <v>8</v>
      </c>
      <c r="V1183" t="s">
        <v>72</v>
      </c>
      <c r="W1183" s="1" t="s">
        <v>590</v>
      </c>
      <c r="Y1183" t="s">
        <v>63</v>
      </c>
      <c r="Z1183" t="s">
        <v>47</v>
      </c>
      <c r="AA1183">
        <v>4</v>
      </c>
      <c r="AB1183">
        <v>2</v>
      </c>
      <c r="AC1183" t="s">
        <v>41</v>
      </c>
      <c r="AD1183" t="s">
        <v>42</v>
      </c>
      <c r="AE1183" t="s">
        <v>49</v>
      </c>
      <c r="AF1183" s="3">
        <v>1721</v>
      </c>
      <c r="AG1183" s="3">
        <v>69</v>
      </c>
      <c r="AH1183">
        <v>80</v>
      </c>
      <c r="AI1183">
        <v>2</v>
      </c>
      <c r="AJ1183">
        <v>0</v>
      </c>
      <c r="AL1183">
        <v>0</v>
      </c>
      <c r="AM1183">
        <v>1</v>
      </c>
      <c r="AN1183" t="s">
        <v>768</v>
      </c>
      <c r="AO1183" t="s">
        <v>41</v>
      </c>
    </row>
    <row r="1184" spans="1:41" x14ac:dyDescent="0.25">
      <c r="A1184">
        <v>31</v>
      </c>
      <c r="B1184" t="s">
        <v>66</v>
      </c>
      <c r="C1184" t="s">
        <v>33</v>
      </c>
      <c r="D1184">
        <v>1</v>
      </c>
      <c r="E1184" t="s">
        <v>61</v>
      </c>
      <c r="F1184">
        <v>4</v>
      </c>
      <c r="G1184">
        <v>3</v>
      </c>
      <c r="H1184" t="s">
        <v>78</v>
      </c>
      <c r="I1184">
        <v>2</v>
      </c>
      <c r="J1184" t="s">
        <v>36</v>
      </c>
      <c r="K1184">
        <v>7446</v>
      </c>
      <c r="L1184">
        <v>1</v>
      </c>
      <c r="M1184" t="s">
        <v>41</v>
      </c>
      <c r="N1184">
        <v>11</v>
      </c>
      <c r="O1184">
        <v>3</v>
      </c>
      <c r="P1184">
        <v>0</v>
      </c>
      <c r="Q1184">
        <v>10</v>
      </c>
      <c r="R1184">
        <v>2</v>
      </c>
      <c r="S1184">
        <v>10</v>
      </c>
      <c r="T1184">
        <v>4</v>
      </c>
      <c r="U1184">
        <v>7</v>
      </c>
      <c r="V1184" t="s">
        <v>52</v>
      </c>
      <c r="W1184" s="2">
        <v>40667</v>
      </c>
      <c r="Y1184" t="s">
        <v>39</v>
      </c>
      <c r="Z1184" t="s">
        <v>47</v>
      </c>
      <c r="AA1184">
        <v>2</v>
      </c>
      <c r="AB1184">
        <v>2</v>
      </c>
      <c r="AC1184" t="s">
        <v>31</v>
      </c>
      <c r="AD1184" t="s">
        <v>65</v>
      </c>
      <c r="AE1184" t="s">
        <v>43</v>
      </c>
      <c r="AF1184" s="3">
        <v>1729</v>
      </c>
      <c r="AG1184" s="3">
        <v>33</v>
      </c>
      <c r="AH1184">
        <v>80</v>
      </c>
      <c r="AI1184">
        <v>0</v>
      </c>
      <c r="AJ1184">
        <v>0</v>
      </c>
      <c r="AL1184">
        <v>0</v>
      </c>
      <c r="AM1184">
        <v>1</v>
      </c>
      <c r="AN1184" t="s">
        <v>768</v>
      </c>
      <c r="AO1184" t="s">
        <v>41</v>
      </c>
    </row>
    <row r="1185" spans="1:41" x14ac:dyDescent="0.25">
      <c r="A1185">
        <v>29</v>
      </c>
      <c r="B1185" t="s">
        <v>32</v>
      </c>
      <c r="C1185" t="s">
        <v>55</v>
      </c>
      <c r="D1185">
        <v>19</v>
      </c>
      <c r="E1185" t="s">
        <v>34</v>
      </c>
      <c r="F1185">
        <v>2</v>
      </c>
      <c r="G1185">
        <v>2</v>
      </c>
      <c r="H1185" t="s">
        <v>70</v>
      </c>
      <c r="I1185">
        <v>3</v>
      </c>
      <c r="J1185" t="s">
        <v>57</v>
      </c>
      <c r="K1185">
        <v>8620</v>
      </c>
      <c r="L1185">
        <v>1</v>
      </c>
      <c r="M1185" t="s">
        <v>41</v>
      </c>
      <c r="N1185">
        <v>14</v>
      </c>
      <c r="O1185">
        <v>3</v>
      </c>
      <c r="P1185">
        <v>2</v>
      </c>
      <c r="Q1185">
        <v>10</v>
      </c>
      <c r="R1185">
        <v>3</v>
      </c>
      <c r="S1185">
        <v>10</v>
      </c>
      <c r="T1185">
        <v>0</v>
      </c>
      <c r="U1185">
        <v>4</v>
      </c>
      <c r="V1185" t="s">
        <v>72</v>
      </c>
      <c r="W1185" s="1" t="s">
        <v>591</v>
      </c>
      <c r="Y1185" t="s">
        <v>39</v>
      </c>
      <c r="Z1185" t="s">
        <v>47</v>
      </c>
      <c r="AA1185">
        <v>0</v>
      </c>
      <c r="AB1185">
        <v>0</v>
      </c>
      <c r="AC1185" t="s">
        <v>41</v>
      </c>
      <c r="AD1185" t="s">
        <v>67</v>
      </c>
      <c r="AE1185" t="s">
        <v>60</v>
      </c>
      <c r="AF1185" s="3">
        <v>1580</v>
      </c>
      <c r="AG1185" s="3">
        <v>45</v>
      </c>
      <c r="AH1185">
        <v>80</v>
      </c>
      <c r="AI1185">
        <v>2</v>
      </c>
      <c r="AJ1185">
        <v>0</v>
      </c>
      <c r="AL1185">
        <v>0</v>
      </c>
      <c r="AM1185">
        <v>1</v>
      </c>
      <c r="AN1185" t="s">
        <v>768</v>
      </c>
      <c r="AO1185" t="s">
        <v>41</v>
      </c>
    </row>
    <row r="1186" spans="1:41" x14ac:dyDescent="0.25">
      <c r="A1186">
        <v>34</v>
      </c>
      <c r="B1186" t="s">
        <v>32</v>
      </c>
      <c r="C1186" t="s">
        <v>55</v>
      </c>
      <c r="D1186">
        <v>1</v>
      </c>
      <c r="E1186" t="s">
        <v>34</v>
      </c>
      <c r="F1186">
        <v>2</v>
      </c>
      <c r="G1186">
        <v>3</v>
      </c>
      <c r="H1186" t="s">
        <v>70</v>
      </c>
      <c r="I1186">
        <v>3</v>
      </c>
      <c r="J1186" t="s">
        <v>51</v>
      </c>
      <c r="K1186">
        <v>7083</v>
      </c>
      <c r="L1186">
        <v>1</v>
      </c>
      <c r="M1186" t="s">
        <v>31</v>
      </c>
      <c r="N1186">
        <v>14</v>
      </c>
      <c r="O1186">
        <v>3</v>
      </c>
      <c r="P1186">
        <v>0</v>
      </c>
      <c r="Q1186">
        <v>10</v>
      </c>
      <c r="R1186">
        <v>3</v>
      </c>
      <c r="S1186">
        <v>10</v>
      </c>
      <c r="T1186">
        <v>8</v>
      </c>
      <c r="U1186">
        <v>6</v>
      </c>
      <c r="V1186" t="s">
        <v>37</v>
      </c>
      <c r="W1186" s="2">
        <v>40546</v>
      </c>
      <c r="Y1186" t="s">
        <v>63</v>
      </c>
      <c r="Z1186" t="s">
        <v>47</v>
      </c>
      <c r="AA1186">
        <v>3</v>
      </c>
      <c r="AB1186">
        <v>2</v>
      </c>
      <c r="AC1186" t="s">
        <v>31</v>
      </c>
      <c r="AD1186" t="s">
        <v>65</v>
      </c>
      <c r="AE1186" t="s">
        <v>43</v>
      </c>
      <c r="AF1186" s="3">
        <v>1903</v>
      </c>
      <c r="AG1186" s="3">
        <v>78</v>
      </c>
      <c r="AH1186">
        <v>80</v>
      </c>
      <c r="AI1186">
        <v>0</v>
      </c>
      <c r="AJ1186">
        <v>0</v>
      </c>
      <c r="AL1186">
        <v>0</v>
      </c>
      <c r="AM1186">
        <v>1</v>
      </c>
      <c r="AN1186" t="s">
        <v>768</v>
      </c>
      <c r="AO1186" t="s">
        <v>41</v>
      </c>
    </row>
    <row r="1187" spans="1:41" x14ac:dyDescent="0.25">
      <c r="A1187">
        <v>37</v>
      </c>
      <c r="B1187" t="s">
        <v>32</v>
      </c>
      <c r="C1187" t="s">
        <v>33</v>
      </c>
      <c r="D1187">
        <v>13</v>
      </c>
      <c r="E1187" t="s">
        <v>34</v>
      </c>
      <c r="F1187">
        <v>3</v>
      </c>
      <c r="G1187">
        <v>2</v>
      </c>
      <c r="H1187" t="s">
        <v>44</v>
      </c>
      <c r="I1187">
        <v>4</v>
      </c>
      <c r="J1187" t="s">
        <v>51</v>
      </c>
      <c r="K1187">
        <v>4285</v>
      </c>
      <c r="L1187">
        <v>1</v>
      </c>
      <c r="M1187" t="s">
        <v>41</v>
      </c>
      <c r="N1187">
        <v>17</v>
      </c>
      <c r="O1187">
        <v>3</v>
      </c>
      <c r="P1187">
        <v>0</v>
      </c>
      <c r="Q1187">
        <v>10</v>
      </c>
      <c r="R1187">
        <v>2</v>
      </c>
      <c r="S1187">
        <v>10</v>
      </c>
      <c r="T1187">
        <v>3</v>
      </c>
      <c r="U1187">
        <v>7</v>
      </c>
      <c r="V1187" t="s">
        <v>58</v>
      </c>
      <c r="W1187" s="2">
        <v>40850</v>
      </c>
      <c r="Y1187" t="s">
        <v>69</v>
      </c>
      <c r="Z1187" t="s">
        <v>40</v>
      </c>
      <c r="AA1187">
        <v>1</v>
      </c>
      <c r="AB1187">
        <v>3</v>
      </c>
      <c r="AC1187" t="s">
        <v>41</v>
      </c>
      <c r="AD1187" t="s">
        <v>65</v>
      </c>
      <c r="AE1187" t="s">
        <v>60</v>
      </c>
      <c r="AF1187" s="3">
        <v>1542</v>
      </c>
      <c r="AG1187" s="3">
        <v>68</v>
      </c>
      <c r="AH1187">
        <v>80</v>
      </c>
      <c r="AI1187">
        <v>0</v>
      </c>
      <c r="AJ1187">
        <v>0</v>
      </c>
      <c r="AL1187">
        <v>0</v>
      </c>
      <c r="AM1187">
        <v>1</v>
      </c>
      <c r="AN1187" t="s">
        <v>768</v>
      </c>
      <c r="AO1187" t="s">
        <v>41</v>
      </c>
    </row>
    <row r="1188" spans="1:41" x14ac:dyDescent="0.25">
      <c r="A1188">
        <v>45</v>
      </c>
      <c r="B1188" t="s">
        <v>32</v>
      </c>
      <c r="C1188" t="s">
        <v>33</v>
      </c>
      <c r="D1188">
        <v>1</v>
      </c>
      <c r="E1188" t="s">
        <v>34</v>
      </c>
      <c r="F1188">
        <v>3</v>
      </c>
      <c r="G1188">
        <v>3</v>
      </c>
      <c r="H1188" t="s">
        <v>89</v>
      </c>
      <c r="I1188">
        <v>2</v>
      </c>
      <c r="J1188" t="s">
        <v>57</v>
      </c>
      <c r="K1188">
        <v>7441</v>
      </c>
      <c r="L1188">
        <v>1</v>
      </c>
      <c r="M1188" t="s">
        <v>41</v>
      </c>
      <c r="N1188">
        <v>12</v>
      </c>
      <c r="O1188">
        <v>3</v>
      </c>
      <c r="P1188">
        <v>3</v>
      </c>
      <c r="Q1188">
        <v>10</v>
      </c>
      <c r="R1188">
        <v>4</v>
      </c>
      <c r="S1188">
        <v>10</v>
      </c>
      <c r="T1188">
        <v>7</v>
      </c>
      <c r="U1188">
        <v>7</v>
      </c>
      <c r="V1188" t="s">
        <v>58</v>
      </c>
      <c r="W1188" s="2">
        <v>40699</v>
      </c>
      <c r="Y1188" t="s">
        <v>63</v>
      </c>
      <c r="Z1188" t="s">
        <v>40</v>
      </c>
      <c r="AA1188">
        <v>4</v>
      </c>
      <c r="AB1188">
        <v>0</v>
      </c>
      <c r="AC1188" t="s">
        <v>41</v>
      </c>
      <c r="AD1188" t="s">
        <v>42</v>
      </c>
      <c r="AE1188" t="s">
        <v>49</v>
      </c>
      <c r="AF1188" s="3">
        <v>1601</v>
      </c>
      <c r="AG1188" s="3">
        <v>63</v>
      </c>
      <c r="AH1188">
        <v>80</v>
      </c>
      <c r="AI1188">
        <v>0</v>
      </c>
      <c r="AJ1188">
        <v>0</v>
      </c>
      <c r="AL1188">
        <v>0</v>
      </c>
      <c r="AM1188">
        <v>1</v>
      </c>
      <c r="AN1188" t="s">
        <v>768</v>
      </c>
      <c r="AO1188" t="s">
        <v>41</v>
      </c>
    </row>
    <row r="1189" spans="1:41" x14ac:dyDescent="0.25">
      <c r="A1189">
        <v>30</v>
      </c>
      <c r="B1189" t="s">
        <v>32</v>
      </c>
      <c r="C1189" t="s">
        <v>55</v>
      </c>
      <c r="D1189">
        <v>1</v>
      </c>
      <c r="E1189" t="s">
        <v>34</v>
      </c>
      <c r="F1189">
        <v>2</v>
      </c>
      <c r="G1189">
        <v>2</v>
      </c>
      <c r="H1189" t="s">
        <v>70</v>
      </c>
      <c r="I1189">
        <v>1</v>
      </c>
      <c r="J1189" t="s">
        <v>51</v>
      </c>
      <c r="K1189">
        <v>9714</v>
      </c>
      <c r="L1189">
        <v>1</v>
      </c>
      <c r="M1189" t="s">
        <v>41</v>
      </c>
      <c r="N1189">
        <v>11</v>
      </c>
      <c r="O1189">
        <v>3</v>
      </c>
      <c r="P1189">
        <v>1</v>
      </c>
      <c r="Q1189">
        <v>10</v>
      </c>
      <c r="R1189">
        <v>4</v>
      </c>
      <c r="S1189">
        <v>10</v>
      </c>
      <c r="T1189">
        <v>6</v>
      </c>
      <c r="U1189">
        <v>7</v>
      </c>
      <c r="V1189" t="s">
        <v>52</v>
      </c>
      <c r="W1189" s="2">
        <v>40575</v>
      </c>
      <c r="Y1189" t="s">
        <v>54</v>
      </c>
      <c r="Z1189" t="s">
        <v>47</v>
      </c>
      <c r="AA1189">
        <v>5</v>
      </c>
      <c r="AB1189">
        <v>1</v>
      </c>
      <c r="AC1189" t="s">
        <v>41</v>
      </c>
      <c r="AD1189" t="s">
        <v>42</v>
      </c>
      <c r="AE1189" t="s">
        <v>49</v>
      </c>
      <c r="AF1189" s="3">
        <v>1911</v>
      </c>
      <c r="AG1189" s="3">
        <v>83</v>
      </c>
      <c r="AH1189">
        <v>80</v>
      </c>
      <c r="AI1189">
        <v>7</v>
      </c>
      <c r="AJ1189">
        <v>0</v>
      </c>
      <c r="AL1189">
        <v>0</v>
      </c>
      <c r="AM1189">
        <v>1</v>
      </c>
      <c r="AN1189" t="s">
        <v>768</v>
      </c>
      <c r="AO1189" t="s">
        <v>41</v>
      </c>
    </row>
    <row r="1190" spans="1:41" x14ac:dyDescent="0.25">
      <c r="A1190">
        <v>29</v>
      </c>
      <c r="B1190" t="s">
        <v>32</v>
      </c>
      <c r="C1190" t="s">
        <v>33</v>
      </c>
      <c r="D1190">
        <v>3</v>
      </c>
      <c r="E1190" t="s">
        <v>34</v>
      </c>
      <c r="F1190">
        <v>3</v>
      </c>
      <c r="G1190">
        <v>1</v>
      </c>
      <c r="H1190" t="s">
        <v>35</v>
      </c>
      <c r="I1190">
        <v>1</v>
      </c>
      <c r="J1190" t="s">
        <v>36</v>
      </c>
      <c r="K1190">
        <v>4723</v>
      </c>
      <c r="L1190">
        <v>1</v>
      </c>
      <c r="M1190" t="s">
        <v>31</v>
      </c>
      <c r="N1190">
        <v>18</v>
      </c>
      <c r="O1190">
        <v>3</v>
      </c>
      <c r="P1190">
        <v>0</v>
      </c>
      <c r="Q1190">
        <v>10</v>
      </c>
      <c r="R1190">
        <v>3</v>
      </c>
      <c r="S1190">
        <v>10</v>
      </c>
      <c r="T1190">
        <v>1</v>
      </c>
      <c r="U1190">
        <v>5</v>
      </c>
      <c r="V1190" t="s">
        <v>58</v>
      </c>
      <c r="W1190" s="2">
        <v>40696</v>
      </c>
      <c r="Y1190" t="s">
        <v>39</v>
      </c>
      <c r="Z1190" t="s">
        <v>47</v>
      </c>
      <c r="AA1190">
        <v>3</v>
      </c>
      <c r="AB1190">
        <v>1</v>
      </c>
      <c r="AC1190" t="s">
        <v>31</v>
      </c>
      <c r="AD1190" t="s">
        <v>67</v>
      </c>
      <c r="AE1190" t="s">
        <v>60</v>
      </c>
      <c r="AF1190" s="3">
        <v>1799</v>
      </c>
      <c r="AG1190" s="3">
        <v>82</v>
      </c>
      <c r="AH1190">
        <v>80</v>
      </c>
      <c r="AI1190">
        <v>3</v>
      </c>
      <c r="AJ1190">
        <v>0</v>
      </c>
      <c r="AL1190">
        <v>0</v>
      </c>
      <c r="AM1190">
        <v>1</v>
      </c>
      <c r="AN1190" t="s">
        <v>768</v>
      </c>
      <c r="AO1190" t="s">
        <v>41</v>
      </c>
    </row>
    <row r="1191" spans="1:41" x14ac:dyDescent="0.25">
      <c r="A1191">
        <v>35</v>
      </c>
      <c r="B1191" t="s">
        <v>32</v>
      </c>
      <c r="C1191" t="s">
        <v>33</v>
      </c>
      <c r="D1191">
        <v>28</v>
      </c>
      <c r="E1191" t="s">
        <v>34</v>
      </c>
      <c r="F1191">
        <v>4</v>
      </c>
      <c r="G1191">
        <v>2</v>
      </c>
      <c r="H1191" t="s">
        <v>35</v>
      </c>
      <c r="I1191">
        <v>3</v>
      </c>
      <c r="J1191" t="s">
        <v>51</v>
      </c>
      <c r="K1191">
        <v>3407</v>
      </c>
      <c r="L1191">
        <v>1</v>
      </c>
      <c r="M1191" t="s">
        <v>41</v>
      </c>
      <c r="N1191">
        <v>17</v>
      </c>
      <c r="O1191">
        <v>3</v>
      </c>
      <c r="P1191">
        <v>2</v>
      </c>
      <c r="Q1191">
        <v>10</v>
      </c>
      <c r="R1191">
        <v>3</v>
      </c>
      <c r="S1191">
        <v>10</v>
      </c>
      <c r="T1191">
        <v>6</v>
      </c>
      <c r="U1191">
        <v>8</v>
      </c>
      <c r="V1191" t="s">
        <v>58</v>
      </c>
      <c r="W1191" s="1" t="s">
        <v>576</v>
      </c>
      <c r="Y1191" t="s">
        <v>46</v>
      </c>
      <c r="Z1191" t="s">
        <v>40</v>
      </c>
      <c r="AA1191">
        <v>3</v>
      </c>
      <c r="AB1191">
        <v>3</v>
      </c>
      <c r="AC1191" t="s">
        <v>31</v>
      </c>
      <c r="AD1191" t="s">
        <v>48</v>
      </c>
      <c r="AE1191" t="s">
        <v>43</v>
      </c>
      <c r="AF1191" s="3">
        <v>1763</v>
      </c>
      <c r="AG1191" s="3">
        <v>58</v>
      </c>
      <c r="AH1191">
        <v>80</v>
      </c>
      <c r="AI1191">
        <v>0</v>
      </c>
      <c r="AJ1191">
        <v>0</v>
      </c>
      <c r="AL1191">
        <v>0</v>
      </c>
      <c r="AM1191">
        <v>1</v>
      </c>
      <c r="AN1191" t="s">
        <v>768</v>
      </c>
      <c r="AO1191" t="s">
        <v>41</v>
      </c>
    </row>
    <row r="1192" spans="1:41" x14ac:dyDescent="0.25">
      <c r="A1192">
        <v>45</v>
      </c>
      <c r="B1192" t="s">
        <v>32</v>
      </c>
      <c r="C1192" t="s">
        <v>33</v>
      </c>
      <c r="D1192">
        <v>5</v>
      </c>
      <c r="E1192" t="s">
        <v>61</v>
      </c>
      <c r="F1192">
        <v>1</v>
      </c>
      <c r="G1192">
        <v>2</v>
      </c>
      <c r="H1192" t="s">
        <v>35</v>
      </c>
      <c r="I1192">
        <v>1</v>
      </c>
      <c r="J1192" t="s">
        <v>36</v>
      </c>
      <c r="K1192">
        <v>5769</v>
      </c>
      <c r="L1192">
        <v>1</v>
      </c>
      <c r="M1192" t="s">
        <v>31</v>
      </c>
      <c r="N1192">
        <v>14</v>
      </c>
      <c r="O1192">
        <v>3</v>
      </c>
      <c r="P1192">
        <v>0</v>
      </c>
      <c r="Q1192">
        <v>10</v>
      </c>
      <c r="R1192">
        <v>3</v>
      </c>
      <c r="S1192">
        <v>10</v>
      </c>
      <c r="T1192">
        <v>1</v>
      </c>
      <c r="U1192">
        <v>4</v>
      </c>
      <c r="V1192" t="s">
        <v>58</v>
      </c>
      <c r="W1192" s="1" t="s">
        <v>592</v>
      </c>
      <c r="Y1192" t="s">
        <v>69</v>
      </c>
      <c r="Z1192" t="s">
        <v>47</v>
      </c>
      <c r="AA1192">
        <v>4</v>
      </c>
      <c r="AB1192">
        <v>3</v>
      </c>
      <c r="AC1192" t="s">
        <v>31</v>
      </c>
      <c r="AD1192" t="s">
        <v>67</v>
      </c>
      <c r="AE1192" t="s">
        <v>49</v>
      </c>
      <c r="AF1192" s="3">
        <v>1707</v>
      </c>
      <c r="AG1192" s="3">
        <v>62</v>
      </c>
      <c r="AH1192">
        <v>80</v>
      </c>
      <c r="AI1192">
        <v>3</v>
      </c>
      <c r="AJ1192">
        <v>0</v>
      </c>
      <c r="AL1192">
        <v>0</v>
      </c>
      <c r="AM1192">
        <v>1</v>
      </c>
      <c r="AN1192" t="s">
        <v>768</v>
      </c>
      <c r="AO1192" t="s">
        <v>41</v>
      </c>
    </row>
    <row r="1193" spans="1:41" x14ac:dyDescent="0.25">
      <c r="A1193">
        <v>45</v>
      </c>
      <c r="B1193" t="s">
        <v>81</v>
      </c>
      <c r="C1193" t="s">
        <v>55</v>
      </c>
      <c r="D1193">
        <v>26</v>
      </c>
      <c r="E1193" t="s">
        <v>34</v>
      </c>
      <c r="F1193">
        <v>2</v>
      </c>
      <c r="G1193">
        <v>2</v>
      </c>
      <c r="H1193" t="s">
        <v>70</v>
      </c>
      <c r="I1193">
        <v>1</v>
      </c>
      <c r="J1193" t="s">
        <v>51</v>
      </c>
      <c r="K1193">
        <v>4385</v>
      </c>
      <c r="L1193">
        <v>1</v>
      </c>
      <c r="M1193" t="s">
        <v>41</v>
      </c>
      <c r="N1193">
        <v>15</v>
      </c>
      <c r="O1193">
        <v>3</v>
      </c>
      <c r="P1193">
        <v>1</v>
      </c>
      <c r="Q1193">
        <v>10</v>
      </c>
      <c r="R1193">
        <v>2</v>
      </c>
      <c r="S1193">
        <v>10</v>
      </c>
      <c r="T1193">
        <v>4</v>
      </c>
      <c r="U1193">
        <v>5</v>
      </c>
      <c r="V1193" t="s">
        <v>37</v>
      </c>
      <c r="W1193" s="2">
        <v>40547</v>
      </c>
      <c r="Y1193" t="s">
        <v>54</v>
      </c>
      <c r="Z1193" t="s">
        <v>40</v>
      </c>
      <c r="AA1193">
        <v>3</v>
      </c>
      <c r="AB1193">
        <v>3</v>
      </c>
      <c r="AC1193" t="s">
        <v>31</v>
      </c>
      <c r="AD1193" t="s">
        <v>65</v>
      </c>
      <c r="AE1193" t="s">
        <v>60</v>
      </c>
      <c r="AF1193" s="3">
        <v>2062</v>
      </c>
      <c r="AG1193" s="3">
        <v>42</v>
      </c>
      <c r="AH1193">
        <v>80</v>
      </c>
      <c r="AI1193">
        <v>7</v>
      </c>
      <c r="AJ1193">
        <v>0</v>
      </c>
      <c r="AL1193">
        <v>0</v>
      </c>
      <c r="AM1193">
        <v>1</v>
      </c>
      <c r="AN1193" t="s">
        <v>768</v>
      </c>
      <c r="AO1193" t="s">
        <v>41</v>
      </c>
    </row>
    <row r="1194" spans="1:41" x14ac:dyDescent="0.25">
      <c r="A1194">
        <v>39</v>
      </c>
      <c r="B1194" t="s">
        <v>32</v>
      </c>
      <c r="C1194" t="s">
        <v>33</v>
      </c>
      <c r="D1194">
        <v>3</v>
      </c>
      <c r="E1194" t="s">
        <v>34</v>
      </c>
      <c r="F1194">
        <v>2</v>
      </c>
      <c r="G1194">
        <v>2</v>
      </c>
      <c r="H1194" t="s">
        <v>35</v>
      </c>
      <c r="I1194">
        <v>3</v>
      </c>
      <c r="J1194" t="s">
        <v>57</v>
      </c>
      <c r="K1194">
        <v>3069</v>
      </c>
      <c r="L1194">
        <v>0</v>
      </c>
      <c r="M1194" t="s">
        <v>41</v>
      </c>
      <c r="N1194">
        <v>15</v>
      </c>
      <c r="O1194">
        <v>3</v>
      </c>
      <c r="P1194">
        <v>1</v>
      </c>
      <c r="Q1194">
        <v>11</v>
      </c>
      <c r="R1194">
        <v>3</v>
      </c>
      <c r="S1194">
        <v>10</v>
      </c>
      <c r="T1194">
        <v>0</v>
      </c>
      <c r="U1194">
        <v>7</v>
      </c>
      <c r="V1194" t="s">
        <v>37</v>
      </c>
      <c r="W1194" s="2">
        <v>40606</v>
      </c>
      <c r="Y1194" t="s">
        <v>54</v>
      </c>
      <c r="Z1194" t="s">
        <v>47</v>
      </c>
      <c r="AA1194">
        <v>5</v>
      </c>
      <c r="AB1194">
        <v>0</v>
      </c>
      <c r="AC1194" t="s">
        <v>31</v>
      </c>
      <c r="AD1194" t="s">
        <v>42</v>
      </c>
      <c r="AE1194" t="s">
        <v>43</v>
      </c>
      <c r="AF1194" s="3">
        <v>1523</v>
      </c>
      <c r="AG1194" s="3">
        <v>32</v>
      </c>
      <c r="AH1194">
        <v>80</v>
      </c>
      <c r="AI1194">
        <v>6</v>
      </c>
      <c r="AJ1194">
        <v>0</v>
      </c>
      <c r="AL1194">
        <v>0</v>
      </c>
      <c r="AM1194">
        <v>1</v>
      </c>
      <c r="AN1194" t="s">
        <v>768</v>
      </c>
      <c r="AO1194" t="s">
        <v>41</v>
      </c>
    </row>
    <row r="1195" spans="1:41" x14ac:dyDescent="0.25">
      <c r="A1195">
        <v>45</v>
      </c>
      <c r="B1195" t="s">
        <v>32</v>
      </c>
      <c r="C1195" t="s">
        <v>33</v>
      </c>
      <c r="D1195">
        <v>2</v>
      </c>
      <c r="E1195" t="s">
        <v>61</v>
      </c>
      <c r="F1195">
        <v>2</v>
      </c>
      <c r="G1195">
        <v>2</v>
      </c>
      <c r="H1195" t="s">
        <v>78</v>
      </c>
      <c r="I1195">
        <v>4</v>
      </c>
      <c r="J1195" t="s">
        <v>57</v>
      </c>
      <c r="K1195">
        <v>5770</v>
      </c>
      <c r="L1195">
        <v>1</v>
      </c>
      <c r="M1195" t="s">
        <v>41</v>
      </c>
      <c r="N1195">
        <v>19</v>
      </c>
      <c r="O1195">
        <v>3</v>
      </c>
      <c r="P1195">
        <v>2</v>
      </c>
      <c r="Q1195">
        <v>10</v>
      </c>
      <c r="R1195">
        <v>3</v>
      </c>
      <c r="S1195">
        <v>10</v>
      </c>
      <c r="T1195">
        <v>3</v>
      </c>
      <c r="U1195">
        <v>9</v>
      </c>
      <c r="V1195" t="s">
        <v>72</v>
      </c>
      <c r="W1195" s="1" t="s">
        <v>593</v>
      </c>
      <c r="Y1195" t="s">
        <v>69</v>
      </c>
      <c r="Z1195" t="s">
        <v>47</v>
      </c>
      <c r="AA1195">
        <v>1</v>
      </c>
      <c r="AB1195">
        <v>3</v>
      </c>
      <c r="AC1195" t="s">
        <v>31</v>
      </c>
      <c r="AD1195" t="s">
        <v>48</v>
      </c>
      <c r="AE1195" t="s">
        <v>49</v>
      </c>
      <c r="AF1195" s="3">
        <v>1728</v>
      </c>
      <c r="AG1195" s="3">
        <v>49</v>
      </c>
      <c r="AH1195">
        <v>80</v>
      </c>
      <c r="AI1195">
        <v>7</v>
      </c>
      <c r="AJ1195">
        <v>0</v>
      </c>
      <c r="AL1195">
        <v>0</v>
      </c>
      <c r="AM1195">
        <v>1</v>
      </c>
      <c r="AN1195" t="s">
        <v>768</v>
      </c>
      <c r="AO1195" t="s">
        <v>41</v>
      </c>
    </row>
    <row r="1196" spans="1:41" x14ac:dyDescent="0.25">
      <c r="A1196">
        <v>44</v>
      </c>
      <c r="B1196" t="s">
        <v>66</v>
      </c>
      <c r="C1196" t="s">
        <v>120</v>
      </c>
      <c r="D1196">
        <v>1</v>
      </c>
      <c r="E1196" t="s">
        <v>34</v>
      </c>
      <c r="F1196">
        <v>3</v>
      </c>
      <c r="G1196">
        <v>2</v>
      </c>
      <c r="H1196" t="s">
        <v>120</v>
      </c>
      <c r="I1196">
        <v>4</v>
      </c>
      <c r="J1196" t="s">
        <v>51</v>
      </c>
      <c r="K1196">
        <v>5743</v>
      </c>
      <c r="L1196">
        <v>4</v>
      </c>
      <c r="M1196" t="s">
        <v>31</v>
      </c>
      <c r="N1196">
        <v>11</v>
      </c>
      <c r="O1196">
        <v>3</v>
      </c>
      <c r="P1196">
        <v>0</v>
      </c>
      <c r="Q1196">
        <v>14</v>
      </c>
      <c r="R1196">
        <v>3</v>
      </c>
      <c r="S1196">
        <v>10</v>
      </c>
      <c r="T1196">
        <v>0</v>
      </c>
      <c r="U1196">
        <v>2</v>
      </c>
      <c r="V1196" t="s">
        <v>52</v>
      </c>
      <c r="W1196" s="1" t="s">
        <v>589</v>
      </c>
      <c r="Y1196" t="s">
        <v>63</v>
      </c>
      <c r="Z1196" t="s">
        <v>40</v>
      </c>
      <c r="AA1196">
        <v>3</v>
      </c>
      <c r="AB1196">
        <v>2</v>
      </c>
      <c r="AC1196" t="s">
        <v>31</v>
      </c>
      <c r="AD1196" t="s">
        <v>48</v>
      </c>
      <c r="AE1196" t="s">
        <v>49</v>
      </c>
      <c r="AF1196" s="3">
        <v>1798</v>
      </c>
      <c r="AG1196" s="3">
        <v>90</v>
      </c>
      <c r="AH1196">
        <v>80</v>
      </c>
      <c r="AI1196">
        <v>8</v>
      </c>
      <c r="AJ1196">
        <v>0</v>
      </c>
      <c r="AL1196">
        <v>0</v>
      </c>
      <c r="AM1196">
        <v>1</v>
      </c>
      <c r="AN1196" t="s">
        <v>768</v>
      </c>
      <c r="AO1196" t="s">
        <v>41</v>
      </c>
    </row>
    <row r="1197" spans="1:41" x14ac:dyDescent="0.25">
      <c r="A1197">
        <v>54</v>
      </c>
      <c r="B1197" t="s">
        <v>32</v>
      </c>
      <c r="C1197" t="s">
        <v>33</v>
      </c>
      <c r="D1197">
        <v>22</v>
      </c>
      <c r="E1197" t="s">
        <v>61</v>
      </c>
      <c r="F1197">
        <v>3</v>
      </c>
      <c r="G1197">
        <v>4</v>
      </c>
      <c r="H1197" t="s">
        <v>75</v>
      </c>
      <c r="I1197">
        <v>3</v>
      </c>
      <c r="J1197" t="s">
        <v>51</v>
      </c>
      <c r="K1197">
        <v>17426</v>
      </c>
      <c r="L1197">
        <v>3</v>
      </c>
      <c r="M1197" t="s">
        <v>41</v>
      </c>
      <c r="N1197">
        <v>25</v>
      </c>
      <c r="O1197">
        <v>4</v>
      </c>
      <c r="P1197">
        <v>1</v>
      </c>
      <c r="Q1197">
        <v>36</v>
      </c>
      <c r="R1197">
        <v>6</v>
      </c>
      <c r="S1197">
        <v>10</v>
      </c>
      <c r="T1197">
        <v>4</v>
      </c>
      <c r="U1197">
        <v>7</v>
      </c>
      <c r="V1197" t="s">
        <v>72</v>
      </c>
      <c r="W1197" s="1" t="s">
        <v>594</v>
      </c>
      <c r="Y1197" t="s">
        <v>46</v>
      </c>
      <c r="Z1197" t="s">
        <v>47</v>
      </c>
      <c r="AA1197">
        <v>1</v>
      </c>
      <c r="AB1197">
        <v>0</v>
      </c>
      <c r="AC1197" t="s">
        <v>41</v>
      </c>
      <c r="AD1197" t="s">
        <v>48</v>
      </c>
      <c r="AE1197" t="s">
        <v>43</v>
      </c>
      <c r="AF1197" s="3">
        <v>1592</v>
      </c>
      <c r="AG1197" s="3">
        <v>45</v>
      </c>
      <c r="AH1197">
        <v>80</v>
      </c>
      <c r="AI1197">
        <v>2</v>
      </c>
      <c r="AJ1197">
        <v>0</v>
      </c>
      <c r="AL1197">
        <v>0</v>
      </c>
      <c r="AM1197">
        <v>1</v>
      </c>
      <c r="AN1197" t="s">
        <v>768</v>
      </c>
      <c r="AO1197" t="s">
        <v>41</v>
      </c>
    </row>
    <row r="1198" spans="1:41" x14ac:dyDescent="0.25">
      <c r="A1198">
        <v>29</v>
      </c>
      <c r="B1198" t="s">
        <v>32</v>
      </c>
      <c r="C1198" t="s">
        <v>55</v>
      </c>
      <c r="D1198">
        <v>5</v>
      </c>
      <c r="E1198" t="s">
        <v>34</v>
      </c>
      <c r="F1198">
        <v>2</v>
      </c>
      <c r="G1198">
        <v>2</v>
      </c>
      <c r="H1198" t="s">
        <v>70</v>
      </c>
      <c r="I1198">
        <v>2</v>
      </c>
      <c r="J1198" t="s">
        <v>57</v>
      </c>
      <c r="K1198">
        <v>4187</v>
      </c>
      <c r="L1198">
        <v>1</v>
      </c>
      <c r="M1198" t="s">
        <v>31</v>
      </c>
      <c r="N1198">
        <v>13</v>
      </c>
      <c r="O1198">
        <v>3</v>
      </c>
      <c r="P1198">
        <v>1</v>
      </c>
      <c r="Q1198">
        <v>10</v>
      </c>
      <c r="R1198">
        <v>3</v>
      </c>
      <c r="S1198">
        <v>10</v>
      </c>
      <c r="T1198">
        <v>0</v>
      </c>
      <c r="U1198">
        <v>9</v>
      </c>
      <c r="V1198" t="s">
        <v>52</v>
      </c>
      <c r="W1198" s="2">
        <v>40699</v>
      </c>
      <c r="Y1198" t="s">
        <v>46</v>
      </c>
      <c r="Z1198" t="s">
        <v>47</v>
      </c>
      <c r="AA1198">
        <v>4</v>
      </c>
      <c r="AB1198">
        <v>3</v>
      </c>
      <c r="AC1198" t="s">
        <v>41</v>
      </c>
      <c r="AD1198" t="s">
        <v>65</v>
      </c>
      <c r="AE1198" t="s">
        <v>43</v>
      </c>
      <c r="AF1198" s="3">
        <v>1682</v>
      </c>
      <c r="AG1198" s="3">
        <v>80</v>
      </c>
      <c r="AH1198">
        <v>80</v>
      </c>
      <c r="AI1198">
        <v>2</v>
      </c>
      <c r="AJ1198">
        <v>0</v>
      </c>
      <c r="AL1198">
        <v>0</v>
      </c>
      <c r="AM1198">
        <v>1</v>
      </c>
      <c r="AN1198" t="s">
        <v>768</v>
      </c>
      <c r="AO1198" t="s">
        <v>41</v>
      </c>
    </row>
    <row r="1199" spans="1:41" x14ac:dyDescent="0.25">
      <c r="A1199">
        <v>31</v>
      </c>
      <c r="B1199" t="s">
        <v>32</v>
      </c>
      <c r="C1199" t="s">
        <v>55</v>
      </c>
      <c r="D1199">
        <v>5</v>
      </c>
      <c r="E1199" t="s">
        <v>61</v>
      </c>
      <c r="F1199">
        <v>3</v>
      </c>
      <c r="G1199">
        <v>2</v>
      </c>
      <c r="H1199" t="s">
        <v>70</v>
      </c>
      <c r="I1199">
        <v>4</v>
      </c>
      <c r="J1199" t="s">
        <v>51</v>
      </c>
      <c r="K1199">
        <v>5476</v>
      </c>
      <c r="L1199">
        <v>1</v>
      </c>
      <c r="M1199" t="s">
        <v>41</v>
      </c>
      <c r="N1199">
        <v>11</v>
      </c>
      <c r="O1199">
        <v>3</v>
      </c>
      <c r="P1199">
        <v>2</v>
      </c>
      <c r="Q1199">
        <v>10</v>
      </c>
      <c r="R1199">
        <v>2</v>
      </c>
      <c r="S1199">
        <v>10</v>
      </c>
      <c r="T1199">
        <v>0</v>
      </c>
      <c r="U1199">
        <v>2</v>
      </c>
      <c r="V1199" t="s">
        <v>52</v>
      </c>
      <c r="W1199" s="1" t="s">
        <v>595</v>
      </c>
      <c r="Y1199" t="s">
        <v>39</v>
      </c>
      <c r="Z1199" t="s">
        <v>47</v>
      </c>
      <c r="AA1199">
        <v>5</v>
      </c>
      <c r="AB1199">
        <v>2</v>
      </c>
      <c r="AC1199" t="s">
        <v>41</v>
      </c>
      <c r="AD1199" t="s">
        <v>48</v>
      </c>
      <c r="AE1199" t="s">
        <v>43</v>
      </c>
      <c r="AF1199" s="3">
        <v>2012</v>
      </c>
      <c r="AG1199" s="3">
        <v>83</v>
      </c>
      <c r="AH1199">
        <v>80</v>
      </c>
      <c r="AI1199">
        <v>0</v>
      </c>
      <c r="AJ1199">
        <v>0</v>
      </c>
      <c r="AL1199">
        <v>0</v>
      </c>
      <c r="AM1199">
        <v>1</v>
      </c>
      <c r="AN1199" t="s">
        <v>768</v>
      </c>
      <c r="AO1199" t="s">
        <v>41</v>
      </c>
    </row>
    <row r="1200" spans="1:41" x14ac:dyDescent="0.25">
      <c r="A1200">
        <v>34</v>
      </c>
      <c r="B1200" t="s">
        <v>32</v>
      </c>
      <c r="C1200" t="s">
        <v>33</v>
      </c>
      <c r="D1200">
        <v>19</v>
      </c>
      <c r="E1200" t="s">
        <v>61</v>
      </c>
      <c r="F1200">
        <v>2</v>
      </c>
      <c r="G1200">
        <v>1</v>
      </c>
      <c r="H1200" t="s">
        <v>44</v>
      </c>
      <c r="I1200">
        <v>4</v>
      </c>
      <c r="J1200" t="s">
        <v>51</v>
      </c>
      <c r="K1200">
        <v>2929</v>
      </c>
      <c r="L1200">
        <v>1</v>
      </c>
      <c r="M1200" t="s">
        <v>41</v>
      </c>
      <c r="N1200">
        <v>12</v>
      </c>
      <c r="O1200">
        <v>3</v>
      </c>
      <c r="P1200">
        <v>0</v>
      </c>
      <c r="Q1200">
        <v>10</v>
      </c>
      <c r="R1200">
        <v>3</v>
      </c>
      <c r="S1200">
        <v>10</v>
      </c>
      <c r="T1200">
        <v>8</v>
      </c>
      <c r="U1200">
        <v>7</v>
      </c>
      <c r="V1200" t="s">
        <v>72</v>
      </c>
      <c r="W1200" s="1" t="s">
        <v>596</v>
      </c>
      <c r="Y1200" t="s">
        <v>63</v>
      </c>
      <c r="Z1200" t="s">
        <v>47</v>
      </c>
      <c r="AA1200">
        <v>0</v>
      </c>
      <c r="AB1200">
        <v>2</v>
      </c>
      <c r="AC1200" t="s">
        <v>41</v>
      </c>
      <c r="AD1200" t="s">
        <v>42</v>
      </c>
      <c r="AE1200" t="s">
        <v>60</v>
      </c>
      <c r="AF1200" s="3">
        <v>1803</v>
      </c>
      <c r="AG1200" s="3">
        <v>95</v>
      </c>
      <c r="AH1200">
        <v>80</v>
      </c>
      <c r="AI1200">
        <v>0</v>
      </c>
      <c r="AJ1200">
        <v>0</v>
      </c>
      <c r="AL1200">
        <v>0</v>
      </c>
      <c r="AM1200">
        <v>1</v>
      </c>
      <c r="AN1200" t="s">
        <v>768</v>
      </c>
      <c r="AO1200" t="s">
        <v>41</v>
      </c>
    </row>
    <row r="1201" spans="1:41" x14ac:dyDescent="0.25">
      <c r="A1201">
        <v>43</v>
      </c>
      <c r="B1201" t="s">
        <v>32</v>
      </c>
      <c r="C1201" t="s">
        <v>55</v>
      </c>
      <c r="D1201">
        <v>2</v>
      </c>
      <c r="E1201" t="s">
        <v>34</v>
      </c>
      <c r="F1201">
        <v>3</v>
      </c>
      <c r="G1201">
        <v>2</v>
      </c>
      <c r="H1201" t="s">
        <v>70</v>
      </c>
      <c r="I1201">
        <v>4</v>
      </c>
      <c r="J1201" t="s">
        <v>51</v>
      </c>
      <c r="K1201">
        <v>7847</v>
      </c>
      <c r="L1201">
        <v>1</v>
      </c>
      <c r="M1201" t="s">
        <v>31</v>
      </c>
      <c r="N1201">
        <v>17</v>
      </c>
      <c r="O1201">
        <v>3</v>
      </c>
      <c r="P1201">
        <v>1</v>
      </c>
      <c r="Q1201">
        <v>10</v>
      </c>
      <c r="R1201">
        <v>3</v>
      </c>
      <c r="S1201">
        <v>10</v>
      </c>
      <c r="T1201">
        <v>8</v>
      </c>
      <c r="U1201">
        <v>8</v>
      </c>
      <c r="V1201" t="s">
        <v>37</v>
      </c>
      <c r="W1201" s="2">
        <v>40549</v>
      </c>
      <c r="Y1201" t="s">
        <v>63</v>
      </c>
      <c r="Z1201" t="s">
        <v>40</v>
      </c>
      <c r="AA1201">
        <v>5</v>
      </c>
      <c r="AB1201">
        <v>0</v>
      </c>
      <c r="AC1201" t="s">
        <v>31</v>
      </c>
      <c r="AD1201" t="s">
        <v>42</v>
      </c>
      <c r="AE1201" t="s">
        <v>43</v>
      </c>
      <c r="AF1201" s="3">
        <v>1596</v>
      </c>
      <c r="AG1201" s="3">
        <v>46</v>
      </c>
      <c r="AH1201">
        <v>80</v>
      </c>
      <c r="AI1201">
        <v>9</v>
      </c>
      <c r="AJ1201">
        <v>0</v>
      </c>
      <c r="AL1201">
        <v>0</v>
      </c>
      <c r="AM1201">
        <v>1</v>
      </c>
      <c r="AN1201" t="s">
        <v>768</v>
      </c>
      <c r="AO1201" t="s">
        <v>41</v>
      </c>
    </row>
    <row r="1202" spans="1:41" x14ac:dyDescent="0.25">
      <c r="A1202">
        <v>41</v>
      </c>
      <c r="B1202" t="s">
        <v>32</v>
      </c>
      <c r="C1202" t="s">
        <v>55</v>
      </c>
      <c r="D1202">
        <v>6</v>
      </c>
      <c r="E1202" t="s">
        <v>34</v>
      </c>
      <c r="F1202">
        <v>3</v>
      </c>
      <c r="G1202">
        <v>3</v>
      </c>
      <c r="H1202" t="s">
        <v>70</v>
      </c>
      <c r="I1202">
        <v>3</v>
      </c>
      <c r="J1202" t="s">
        <v>36</v>
      </c>
      <c r="K1202">
        <v>9241</v>
      </c>
      <c r="L1202">
        <v>1</v>
      </c>
      <c r="M1202" t="s">
        <v>41</v>
      </c>
      <c r="N1202">
        <v>12</v>
      </c>
      <c r="O1202">
        <v>3</v>
      </c>
      <c r="P1202">
        <v>0</v>
      </c>
      <c r="Q1202">
        <v>10</v>
      </c>
      <c r="R1202">
        <v>3</v>
      </c>
      <c r="S1202">
        <v>10</v>
      </c>
      <c r="T1202">
        <v>8</v>
      </c>
      <c r="U1202">
        <v>7</v>
      </c>
      <c r="V1202" t="s">
        <v>52</v>
      </c>
      <c r="W1202" s="2">
        <v>40792</v>
      </c>
      <c r="Y1202" t="s">
        <v>46</v>
      </c>
      <c r="Z1202" t="s">
        <v>47</v>
      </c>
      <c r="AA1202">
        <v>5</v>
      </c>
      <c r="AB1202">
        <v>3</v>
      </c>
      <c r="AC1202" t="s">
        <v>31</v>
      </c>
      <c r="AD1202" t="s">
        <v>67</v>
      </c>
      <c r="AE1202" t="s">
        <v>49</v>
      </c>
      <c r="AF1202" s="3">
        <v>1514</v>
      </c>
      <c r="AG1202" s="3">
        <v>96</v>
      </c>
      <c r="AH1202">
        <v>80</v>
      </c>
      <c r="AI1202">
        <v>6</v>
      </c>
      <c r="AJ1202">
        <v>0</v>
      </c>
      <c r="AL1202">
        <v>0</v>
      </c>
      <c r="AM1202">
        <v>1</v>
      </c>
      <c r="AN1202" t="s">
        <v>768</v>
      </c>
      <c r="AO1202" t="s">
        <v>41</v>
      </c>
    </row>
    <row r="1203" spans="1:41" x14ac:dyDescent="0.25">
      <c r="A1203">
        <v>46</v>
      </c>
      <c r="B1203" t="s">
        <v>32</v>
      </c>
      <c r="C1203" t="s">
        <v>33</v>
      </c>
      <c r="D1203">
        <v>13</v>
      </c>
      <c r="E1203" t="s">
        <v>34</v>
      </c>
      <c r="F1203">
        <v>3</v>
      </c>
      <c r="G1203">
        <v>2</v>
      </c>
      <c r="H1203" t="s">
        <v>89</v>
      </c>
      <c r="I1203">
        <v>2</v>
      </c>
      <c r="J1203" t="s">
        <v>36</v>
      </c>
      <c r="K1203">
        <v>5562</v>
      </c>
      <c r="L1203">
        <v>6</v>
      </c>
      <c r="M1203" t="s">
        <v>41</v>
      </c>
      <c r="N1203">
        <v>14</v>
      </c>
      <c r="O1203">
        <v>3</v>
      </c>
      <c r="P1203">
        <v>0</v>
      </c>
      <c r="Q1203">
        <v>19</v>
      </c>
      <c r="R1203">
        <v>3</v>
      </c>
      <c r="S1203">
        <v>10</v>
      </c>
      <c r="T1203">
        <v>0</v>
      </c>
      <c r="U1203">
        <v>9</v>
      </c>
      <c r="V1203" t="s">
        <v>72</v>
      </c>
      <c r="W1203" s="1" t="s">
        <v>597</v>
      </c>
      <c r="Y1203" t="s">
        <v>39</v>
      </c>
      <c r="Z1203" t="s">
        <v>47</v>
      </c>
      <c r="AA1203">
        <v>4</v>
      </c>
      <c r="AB1203">
        <v>2</v>
      </c>
      <c r="AC1203" t="s">
        <v>41</v>
      </c>
      <c r="AD1203" t="s">
        <v>42</v>
      </c>
      <c r="AE1203" t="s">
        <v>43</v>
      </c>
      <c r="AF1203" s="3">
        <v>1558</v>
      </c>
      <c r="AG1203" s="3">
        <v>91</v>
      </c>
      <c r="AH1203">
        <v>80</v>
      </c>
      <c r="AI1203">
        <v>0</v>
      </c>
      <c r="AJ1203">
        <v>0</v>
      </c>
      <c r="AL1203">
        <v>0</v>
      </c>
      <c r="AM1203">
        <v>1</v>
      </c>
      <c r="AN1203" t="s">
        <v>768</v>
      </c>
      <c r="AO1203" t="s">
        <v>41</v>
      </c>
    </row>
    <row r="1204" spans="1:41" x14ac:dyDescent="0.25">
      <c r="A1204">
        <v>30</v>
      </c>
      <c r="B1204" t="s">
        <v>32</v>
      </c>
      <c r="C1204" t="s">
        <v>33</v>
      </c>
      <c r="D1204">
        <v>16</v>
      </c>
      <c r="E1204" t="s">
        <v>34</v>
      </c>
      <c r="F1204">
        <v>3</v>
      </c>
      <c r="G1204">
        <v>1</v>
      </c>
      <c r="H1204" t="s">
        <v>44</v>
      </c>
      <c r="I1204">
        <v>4</v>
      </c>
      <c r="J1204" t="s">
        <v>51</v>
      </c>
      <c r="K1204">
        <v>2862</v>
      </c>
      <c r="L1204">
        <v>1</v>
      </c>
      <c r="M1204" t="s">
        <v>41</v>
      </c>
      <c r="N1204">
        <v>12</v>
      </c>
      <c r="O1204">
        <v>3</v>
      </c>
      <c r="P1204">
        <v>1</v>
      </c>
      <c r="Q1204">
        <v>10</v>
      </c>
      <c r="R1204">
        <v>2</v>
      </c>
      <c r="S1204">
        <v>10</v>
      </c>
      <c r="T1204">
        <v>0</v>
      </c>
      <c r="U1204">
        <v>8</v>
      </c>
      <c r="V1204" t="s">
        <v>37</v>
      </c>
      <c r="W1204" s="2">
        <v>40636</v>
      </c>
      <c r="Y1204" t="s">
        <v>46</v>
      </c>
      <c r="Z1204" t="s">
        <v>47</v>
      </c>
      <c r="AA1204">
        <v>3</v>
      </c>
      <c r="AB1204">
        <v>3</v>
      </c>
      <c r="AC1204" t="s">
        <v>31</v>
      </c>
      <c r="AD1204" t="s">
        <v>42</v>
      </c>
      <c r="AE1204" t="s">
        <v>49</v>
      </c>
      <c r="AF1204" s="3">
        <v>1618</v>
      </c>
      <c r="AG1204" s="3">
        <v>76</v>
      </c>
      <c r="AH1204">
        <v>80</v>
      </c>
      <c r="AI1204">
        <v>7</v>
      </c>
      <c r="AJ1204">
        <v>0</v>
      </c>
      <c r="AL1204">
        <v>0</v>
      </c>
      <c r="AM1204">
        <v>1</v>
      </c>
      <c r="AN1204" t="s">
        <v>768</v>
      </c>
      <c r="AO1204" t="s">
        <v>41</v>
      </c>
    </row>
    <row r="1205" spans="1:41" x14ac:dyDescent="0.25">
      <c r="A1205">
        <v>46</v>
      </c>
      <c r="B1205" t="s">
        <v>32</v>
      </c>
      <c r="C1205" t="s">
        <v>55</v>
      </c>
      <c r="D1205">
        <v>2</v>
      </c>
      <c r="E1205" t="s">
        <v>34</v>
      </c>
      <c r="F1205">
        <v>3</v>
      </c>
      <c r="G1205">
        <v>3</v>
      </c>
      <c r="H1205" t="s">
        <v>70</v>
      </c>
      <c r="I1205">
        <v>4</v>
      </c>
      <c r="J1205" t="s">
        <v>57</v>
      </c>
      <c r="K1205">
        <v>10368</v>
      </c>
      <c r="L1205">
        <v>4</v>
      </c>
      <c r="M1205" t="s">
        <v>31</v>
      </c>
      <c r="N1205">
        <v>12</v>
      </c>
      <c r="O1205">
        <v>3</v>
      </c>
      <c r="P1205">
        <v>1</v>
      </c>
      <c r="Q1205">
        <v>13</v>
      </c>
      <c r="R1205">
        <v>5</v>
      </c>
      <c r="S1205">
        <v>10</v>
      </c>
      <c r="T1205">
        <v>0</v>
      </c>
      <c r="U1205">
        <v>3</v>
      </c>
      <c r="V1205" t="s">
        <v>58</v>
      </c>
      <c r="W1205" s="1" t="s">
        <v>564</v>
      </c>
      <c r="Y1205" t="s">
        <v>46</v>
      </c>
      <c r="Z1205" t="s">
        <v>47</v>
      </c>
      <c r="AA1205">
        <v>0</v>
      </c>
      <c r="AB1205">
        <v>1</v>
      </c>
      <c r="AC1205" t="s">
        <v>31</v>
      </c>
      <c r="AD1205" t="s">
        <v>65</v>
      </c>
      <c r="AE1205" t="s">
        <v>43</v>
      </c>
      <c r="AF1205" s="3">
        <v>1698</v>
      </c>
      <c r="AG1205" s="3">
        <v>79</v>
      </c>
      <c r="AH1205">
        <v>80</v>
      </c>
      <c r="AI1205">
        <v>11</v>
      </c>
      <c r="AJ1205">
        <v>0</v>
      </c>
      <c r="AL1205">
        <v>0</v>
      </c>
      <c r="AM1205">
        <v>1</v>
      </c>
      <c r="AN1205" t="s">
        <v>768</v>
      </c>
      <c r="AO1205" t="s">
        <v>41</v>
      </c>
    </row>
    <row r="1206" spans="1:41" x14ac:dyDescent="0.25">
      <c r="A1206">
        <v>37</v>
      </c>
      <c r="B1206" t="s">
        <v>32</v>
      </c>
      <c r="C1206" t="s">
        <v>120</v>
      </c>
      <c r="D1206">
        <v>8</v>
      </c>
      <c r="E1206" t="s">
        <v>34</v>
      </c>
      <c r="F1206">
        <v>3</v>
      </c>
      <c r="G1206">
        <v>2</v>
      </c>
      <c r="H1206" t="s">
        <v>120</v>
      </c>
      <c r="I1206">
        <v>2</v>
      </c>
      <c r="J1206" t="s">
        <v>57</v>
      </c>
      <c r="K1206">
        <v>4071</v>
      </c>
      <c r="L1206">
        <v>2</v>
      </c>
      <c r="M1206" t="s">
        <v>41</v>
      </c>
      <c r="N1206">
        <v>13</v>
      </c>
      <c r="O1206">
        <v>3</v>
      </c>
      <c r="P1206">
        <v>0</v>
      </c>
      <c r="Q1206">
        <v>19</v>
      </c>
      <c r="R1206">
        <v>4</v>
      </c>
      <c r="S1206">
        <v>10</v>
      </c>
      <c r="T1206">
        <v>4</v>
      </c>
      <c r="U1206">
        <v>7</v>
      </c>
      <c r="V1206" t="s">
        <v>52</v>
      </c>
      <c r="W1206" s="1" t="s">
        <v>578</v>
      </c>
      <c r="Y1206" t="s">
        <v>54</v>
      </c>
      <c r="Z1206" t="s">
        <v>40</v>
      </c>
      <c r="AA1206">
        <v>2</v>
      </c>
      <c r="AB1206">
        <v>1</v>
      </c>
      <c r="AC1206" t="s">
        <v>41</v>
      </c>
      <c r="AD1206" t="s">
        <v>48</v>
      </c>
      <c r="AE1206" t="s">
        <v>43</v>
      </c>
      <c r="AF1206" s="3">
        <v>1770</v>
      </c>
      <c r="AG1206" s="3">
        <v>60</v>
      </c>
      <c r="AH1206">
        <v>80</v>
      </c>
      <c r="AI1206">
        <v>0</v>
      </c>
      <c r="AJ1206">
        <v>0</v>
      </c>
      <c r="AL1206">
        <v>0</v>
      </c>
      <c r="AM1206">
        <v>1</v>
      </c>
      <c r="AN1206" t="s">
        <v>768</v>
      </c>
      <c r="AO1206" t="s">
        <v>41</v>
      </c>
    </row>
    <row r="1207" spans="1:41" x14ac:dyDescent="0.25">
      <c r="A1207">
        <v>35</v>
      </c>
      <c r="B1207" t="s">
        <v>32</v>
      </c>
      <c r="C1207" t="s">
        <v>55</v>
      </c>
      <c r="D1207">
        <v>27</v>
      </c>
      <c r="E1207" t="s">
        <v>34</v>
      </c>
      <c r="F1207">
        <v>3</v>
      </c>
      <c r="G1207">
        <v>2</v>
      </c>
      <c r="H1207" t="s">
        <v>70</v>
      </c>
      <c r="I1207">
        <v>4</v>
      </c>
      <c r="J1207" t="s">
        <v>36</v>
      </c>
      <c r="K1207">
        <v>5813</v>
      </c>
      <c r="L1207">
        <v>1</v>
      </c>
      <c r="M1207" t="s">
        <v>31</v>
      </c>
      <c r="N1207">
        <v>18</v>
      </c>
      <c r="O1207">
        <v>3</v>
      </c>
      <c r="P1207">
        <v>0</v>
      </c>
      <c r="Q1207">
        <v>10</v>
      </c>
      <c r="R1207">
        <v>2</v>
      </c>
      <c r="S1207">
        <v>10</v>
      </c>
      <c r="T1207">
        <v>7</v>
      </c>
      <c r="U1207">
        <v>7</v>
      </c>
      <c r="V1207" t="s">
        <v>37</v>
      </c>
      <c r="W1207" s="1" t="s">
        <v>598</v>
      </c>
      <c r="Y1207" t="s">
        <v>69</v>
      </c>
      <c r="Z1207" t="s">
        <v>40</v>
      </c>
      <c r="AA1207">
        <v>4</v>
      </c>
      <c r="AB1207">
        <v>1</v>
      </c>
      <c r="AC1207" t="s">
        <v>31</v>
      </c>
      <c r="AD1207" t="s">
        <v>42</v>
      </c>
      <c r="AE1207" t="s">
        <v>43</v>
      </c>
      <c r="AF1207" s="3">
        <v>1631</v>
      </c>
      <c r="AG1207" s="3">
        <v>85</v>
      </c>
      <c r="AH1207">
        <v>80</v>
      </c>
      <c r="AI1207">
        <v>3</v>
      </c>
      <c r="AJ1207">
        <v>0</v>
      </c>
      <c r="AL1207">
        <v>0</v>
      </c>
      <c r="AM1207">
        <v>1</v>
      </c>
      <c r="AN1207" t="s">
        <v>768</v>
      </c>
      <c r="AO1207" t="s">
        <v>41</v>
      </c>
    </row>
    <row r="1208" spans="1:41" x14ac:dyDescent="0.25">
      <c r="A1208">
        <v>33</v>
      </c>
      <c r="B1208" t="s">
        <v>32</v>
      </c>
      <c r="C1208" t="s">
        <v>33</v>
      </c>
      <c r="D1208">
        <v>8</v>
      </c>
      <c r="E1208" t="s">
        <v>34</v>
      </c>
      <c r="F1208">
        <v>4</v>
      </c>
      <c r="G1208">
        <v>1</v>
      </c>
      <c r="H1208" t="s">
        <v>44</v>
      </c>
      <c r="I1208">
        <v>1</v>
      </c>
      <c r="J1208" t="s">
        <v>51</v>
      </c>
      <c r="K1208">
        <v>3143</v>
      </c>
      <c r="L1208">
        <v>6</v>
      </c>
      <c r="M1208" t="s">
        <v>41</v>
      </c>
      <c r="N1208">
        <v>19</v>
      </c>
      <c r="O1208">
        <v>3</v>
      </c>
      <c r="P1208">
        <v>1</v>
      </c>
      <c r="Q1208">
        <v>14</v>
      </c>
      <c r="R1208">
        <v>1</v>
      </c>
      <c r="S1208">
        <v>10</v>
      </c>
      <c r="T1208">
        <v>7</v>
      </c>
      <c r="U1208">
        <v>6</v>
      </c>
      <c r="V1208" t="s">
        <v>58</v>
      </c>
      <c r="W1208" s="2">
        <v>40607</v>
      </c>
      <c r="Y1208" t="s">
        <v>46</v>
      </c>
      <c r="Z1208" t="s">
        <v>40</v>
      </c>
      <c r="AA1208">
        <v>0</v>
      </c>
      <c r="AB1208">
        <v>0</v>
      </c>
      <c r="AC1208" t="s">
        <v>41</v>
      </c>
      <c r="AD1208" t="s">
        <v>67</v>
      </c>
      <c r="AE1208" t="s">
        <v>49</v>
      </c>
      <c r="AF1208" s="3">
        <v>1718</v>
      </c>
      <c r="AG1208" s="3">
        <v>62</v>
      </c>
      <c r="AH1208">
        <v>80</v>
      </c>
      <c r="AI1208">
        <v>2</v>
      </c>
      <c r="AJ1208">
        <v>0</v>
      </c>
      <c r="AL1208">
        <v>0</v>
      </c>
      <c r="AM1208">
        <v>1</v>
      </c>
      <c r="AN1208" t="s">
        <v>768</v>
      </c>
      <c r="AO1208" t="s">
        <v>41</v>
      </c>
    </row>
    <row r="1209" spans="1:41" x14ac:dyDescent="0.25">
      <c r="A1209">
        <v>37</v>
      </c>
      <c r="B1209" t="s">
        <v>32</v>
      </c>
      <c r="C1209" t="s">
        <v>33</v>
      </c>
      <c r="D1209">
        <v>10</v>
      </c>
      <c r="E1209" t="s">
        <v>34</v>
      </c>
      <c r="F1209">
        <v>3</v>
      </c>
      <c r="G1209">
        <v>2</v>
      </c>
      <c r="H1209" t="s">
        <v>78</v>
      </c>
      <c r="I1209">
        <v>1</v>
      </c>
      <c r="J1209" t="s">
        <v>36</v>
      </c>
      <c r="K1209">
        <v>4213</v>
      </c>
      <c r="L1209">
        <v>1</v>
      </c>
      <c r="M1209" t="s">
        <v>41</v>
      </c>
      <c r="N1209">
        <v>15</v>
      </c>
      <c r="O1209">
        <v>3</v>
      </c>
      <c r="P1209">
        <v>0</v>
      </c>
      <c r="Q1209">
        <v>10</v>
      </c>
      <c r="R1209">
        <v>4</v>
      </c>
      <c r="S1209">
        <v>10</v>
      </c>
      <c r="T1209">
        <v>0</v>
      </c>
      <c r="U1209">
        <v>8</v>
      </c>
      <c r="V1209" t="s">
        <v>58</v>
      </c>
      <c r="W1209" s="2">
        <v>40545</v>
      </c>
      <c r="Y1209" t="s">
        <v>39</v>
      </c>
      <c r="Z1209" t="s">
        <v>40</v>
      </c>
      <c r="AA1209">
        <v>4</v>
      </c>
      <c r="AB1209">
        <v>2</v>
      </c>
      <c r="AC1209" t="s">
        <v>31</v>
      </c>
      <c r="AD1209" t="s">
        <v>65</v>
      </c>
      <c r="AE1209" t="s">
        <v>60</v>
      </c>
      <c r="AF1209" s="3">
        <v>1435</v>
      </c>
      <c r="AG1209" s="3">
        <v>37</v>
      </c>
      <c r="AH1209">
        <v>80</v>
      </c>
      <c r="AI1209">
        <v>4</v>
      </c>
      <c r="AJ1209">
        <v>0</v>
      </c>
      <c r="AL1209">
        <v>0</v>
      </c>
      <c r="AM1209">
        <v>1</v>
      </c>
      <c r="AN1209" t="s">
        <v>768</v>
      </c>
      <c r="AO1209" t="s">
        <v>41</v>
      </c>
    </row>
    <row r="1210" spans="1:41" x14ac:dyDescent="0.25">
      <c r="A1210">
        <v>34</v>
      </c>
      <c r="B1210" t="s">
        <v>32</v>
      </c>
      <c r="C1210" t="s">
        <v>55</v>
      </c>
      <c r="D1210">
        <v>8</v>
      </c>
      <c r="E1210" t="s">
        <v>34</v>
      </c>
      <c r="F1210">
        <v>4</v>
      </c>
      <c r="G1210">
        <v>2</v>
      </c>
      <c r="H1210" t="s">
        <v>70</v>
      </c>
      <c r="I1210">
        <v>3</v>
      </c>
      <c r="J1210" t="s">
        <v>51</v>
      </c>
      <c r="K1210">
        <v>6799</v>
      </c>
      <c r="L1210">
        <v>1</v>
      </c>
      <c r="M1210" t="s">
        <v>41</v>
      </c>
      <c r="N1210">
        <v>21</v>
      </c>
      <c r="O1210">
        <v>4</v>
      </c>
      <c r="P1210">
        <v>2</v>
      </c>
      <c r="Q1210">
        <v>10</v>
      </c>
      <c r="R1210">
        <v>5</v>
      </c>
      <c r="S1210">
        <v>10</v>
      </c>
      <c r="T1210">
        <v>4</v>
      </c>
      <c r="U1210">
        <v>8</v>
      </c>
      <c r="V1210" t="s">
        <v>37</v>
      </c>
      <c r="W1210" s="2">
        <v>40883</v>
      </c>
      <c r="Y1210" t="s">
        <v>63</v>
      </c>
      <c r="Z1210" t="s">
        <v>40</v>
      </c>
      <c r="AA1210">
        <v>0</v>
      </c>
      <c r="AB1210">
        <v>3</v>
      </c>
      <c r="AC1210" t="s">
        <v>31</v>
      </c>
      <c r="AD1210" t="s">
        <v>48</v>
      </c>
      <c r="AE1210" t="s">
        <v>60</v>
      </c>
      <c r="AF1210" s="3">
        <v>1659</v>
      </c>
      <c r="AG1210" s="3">
        <v>77</v>
      </c>
      <c r="AH1210">
        <v>80</v>
      </c>
      <c r="AI1210">
        <v>3</v>
      </c>
      <c r="AJ1210">
        <v>0</v>
      </c>
      <c r="AL1210">
        <v>0</v>
      </c>
      <c r="AM1210">
        <v>1</v>
      </c>
      <c r="AN1210" t="s">
        <v>768</v>
      </c>
      <c r="AO1210" t="s">
        <v>41</v>
      </c>
    </row>
    <row r="1211" spans="1:41" x14ac:dyDescent="0.25">
      <c r="A1211">
        <v>36</v>
      </c>
      <c r="B1211" t="s">
        <v>32</v>
      </c>
      <c r="C1211" t="s">
        <v>55</v>
      </c>
      <c r="D1211">
        <v>10</v>
      </c>
      <c r="E1211" t="s">
        <v>61</v>
      </c>
      <c r="F1211">
        <v>2</v>
      </c>
      <c r="G1211">
        <v>2</v>
      </c>
      <c r="H1211" t="s">
        <v>70</v>
      </c>
      <c r="I1211">
        <v>3</v>
      </c>
      <c r="J1211" t="s">
        <v>51</v>
      </c>
      <c r="K1211">
        <v>5673</v>
      </c>
      <c r="L1211">
        <v>1</v>
      </c>
      <c r="M1211" t="s">
        <v>31</v>
      </c>
      <c r="N1211">
        <v>13</v>
      </c>
      <c r="O1211">
        <v>3</v>
      </c>
      <c r="P1211">
        <v>1</v>
      </c>
      <c r="Q1211">
        <v>10</v>
      </c>
      <c r="R1211">
        <v>4</v>
      </c>
      <c r="S1211">
        <v>10</v>
      </c>
      <c r="T1211">
        <v>1</v>
      </c>
      <c r="U1211">
        <v>7</v>
      </c>
      <c r="V1211" t="s">
        <v>52</v>
      </c>
      <c r="W1211" s="1" t="s">
        <v>576</v>
      </c>
      <c r="Y1211" t="s">
        <v>69</v>
      </c>
      <c r="Z1211" t="s">
        <v>47</v>
      </c>
      <c r="AA1211">
        <v>4</v>
      </c>
      <c r="AB1211">
        <v>1</v>
      </c>
      <c r="AC1211" t="s">
        <v>31</v>
      </c>
      <c r="AD1211" t="s">
        <v>67</v>
      </c>
      <c r="AE1211" t="s">
        <v>49</v>
      </c>
      <c r="AF1211" s="3">
        <v>1533</v>
      </c>
      <c r="AG1211" s="3">
        <v>97</v>
      </c>
      <c r="AH1211">
        <v>80</v>
      </c>
      <c r="AI1211">
        <v>3</v>
      </c>
      <c r="AJ1211">
        <v>0</v>
      </c>
      <c r="AL1211">
        <v>0</v>
      </c>
      <c r="AM1211">
        <v>1</v>
      </c>
      <c r="AN1211" t="s">
        <v>768</v>
      </c>
      <c r="AO1211" t="s">
        <v>41</v>
      </c>
    </row>
    <row r="1212" spans="1:41" x14ac:dyDescent="0.25">
      <c r="A1212">
        <v>31</v>
      </c>
      <c r="B1212" t="s">
        <v>32</v>
      </c>
      <c r="C1212" t="s">
        <v>33</v>
      </c>
      <c r="D1212">
        <v>20</v>
      </c>
      <c r="E1212" t="s">
        <v>34</v>
      </c>
      <c r="F1212">
        <v>3</v>
      </c>
      <c r="G1212">
        <v>2</v>
      </c>
      <c r="H1212" t="s">
        <v>35</v>
      </c>
      <c r="I1212">
        <v>3</v>
      </c>
      <c r="J1212" t="s">
        <v>57</v>
      </c>
      <c r="K1212">
        <v>4197</v>
      </c>
      <c r="L1212">
        <v>1</v>
      </c>
      <c r="M1212" t="s">
        <v>41</v>
      </c>
      <c r="N1212">
        <v>11</v>
      </c>
      <c r="O1212">
        <v>3</v>
      </c>
      <c r="P1212">
        <v>1</v>
      </c>
      <c r="Q1212">
        <v>10</v>
      </c>
      <c r="R1212">
        <v>2</v>
      </c>
      <c r="S1212">
        <v>10</v>
      </c>
      <c r="T1212">
        <v>0</v>
      </c>
      <c r="U1212">
        <v>2</v>
      </c>
      <c r="V1212" t="s">
        <v>58</v>
      </c>
      <c r="W1212" s="1" t="s">
        <v>579</v>
      </c>
      <c r="Y1212" t="s">
        <v>69</v>
      </c>
      <c r="Z1212" t="s">
        <v>47</v>
      </c>
      <c r="AA1212">
        <v>4</v>
      </c>
      <c r="AB1212">
        <v>1</v>
      </c>
      <c r="AC1212" t="s">
        <v>41</v>
      </c>
      <c r="AD1212" t="s">
        <v>67</v>
      </c>
      <c r="AE1212" t="s">
        <v>43</v>
      </c>
      <c r="AF1212" s="3">
        <v>1577</v>
      </c>
      <c r="AG1212" s="3">
        <v>35</v>
      </c>
      <c r="AH1212">
        <v>80</v>
      </c>
      <c r="AI1212">
        <v>0</v>
      </c>
      <c r="AJ1212">
        <v>0</v>
      </c>
      <c r="AL1212">
        <v>0</v>
      </c>
      <c r="AM1212">
        <v>1</v>
      </c>
      <c r="AN1212" t="s">
        <v>768</v>
      </c>
      <c r="AO1212" t="s">
        <v>41</v>
      </c>
    </row>
    <row r="1213" spans="1:41" x14ac:dyDescent="0.25">
      <c r="A1213">
        <v>36</v>
      </c>
      <c r="B1213" t="s">
        <v>66</v>
      </c>
      <c r="C1213" t="s">
        <v>120</v>
      </c>
      <c r="D1213">
        <v>2</v>
      </c>
      <c r="E1213" t="s">
        <v>34</v>
      </c>
      <c r="F1213">
        <v>2</v>
      </c>
      <c r="G1213">
        <v>2</v>
      </c>
      <c r="H1213" t="s">
        <v>120</v>
      </c>
      <c r="I1213">
        <v>4</v>
      </c>
      <c r="J1213" t="s">
        <v>36</v>
      </c>
      <c r="K1213">
        <v>3886</v>
      </c>
      <c r="L1213">
        <v>1</v>
      </c>
      <c r="M1213" t="s">
        <v>41</v>
      </c>
      <c r="N1213">
        <v>21</v>
      </c>
      <c r="O1213">
        <v>4</v>
      </c>
      <c r="P1213">
        <v>0</v>
      </c>
      <c r="Q1213">
        <v>10</v>
      </c>
      <c r="R1213">
        <v>2</v>
      </c>
      <c r="S1213">
        <v>10</v>
      </c>
      <c r="T1213">
        <v>0</v>
      </c>
      <c r="U1213">
        <v>8</v>
      </c>
      <c r="V1213" t="s">
        <v>58</v>
      </c>
      <c r="W1213" s="1" t="s">
        <v>572</v>
      </c>
      <c r="Y1213" t="s">
        <v>69</v>
      </c>
      <c r="Z1213" t="s">
        <v>47</v>
      </c>
      <c r="AA1213">
        <v>1</v>
      </c>
      <c r="AB1213">
        <v>3</v>
      </c>
      <c r="AC1213" t="s">
        <v>41</v>
      </c>
      <c r="AD1213" t="s">
        <v>48</v>
      </c>
      <c r="AE1213" t="s">
        <v>49</v>
      </c>
      <c r="AF1213" s="3">
        <v>2014</v>
      </c>
      <c r="AG1213" s="3">
        <v>52</v>
      </c>
      <c r="AH1213">
        <v>80</v>
      </c>
      <c r="AI1213">
        <v>7</v>
      </c>
      <c r="AJ1213">
        <v>0</v>
      </c>
      <c r="AL1213">
        <v>0</v>
      </c>
      <c r="AM1213">
        <v>1</v>
      </c>
      <c r="AN1213" t="s">
        <v>768</v>
      </c>
      <c r="AO1213" t="s">
        <v>41</v>
      </c>
    </row>
    <row r="1214" spans="1:41" x14ac:dyDescent="0.25">
      <c r="A1214">
        <v>33</v>
      </c>
      <c r="B1214" t="s">
        <v>32</v>
      </c>
      <c r="C1214" t="s">
        <v>55</v>
      </c>
      <c r="D1214">
        <v>10</v>
      </c>
      <c r="E1214" t="s">
        <v>34</v>
      </c>
      <c r="F1214">
        <v>3</v>
      </c>
      <c r="G1214">
        <v>2</v>
      </c>
      <c r="H1214" t="s">
        <v>70</v>
      </c>
      <c r="I1214">
        <v>3</v>
      </c>
      <c r="J1214" t="s">
        <v>36</v>
      </c>
      <c r="K1214">
        <v>5487</v>
      </c>
      <c r="L1214">
        <v>1</v>
      </c>
      <c r="M1214" t="s">
        <v>41</v>
      </c>
      <c r="N1214">
        <v>14</v>
      </c>
      <c r="O1214">
        <v>3</v>
      </c>
      <c r="P1214">
        <v>0</v>
      </c>
      <c r="Q1214">
        <v>10</v>
      </c>
      <c r="R1214">
        <v>2</v>
      </c>
      <c r="S1214">
        <v>10</v>
      </c>
      <c r="T1214">
        <v>0</v>
      </c>
      <c r="U1214">
        <v>9</v>
      </c>
      <c r="V1214" t="s">
        <v>58</v>
      </c>
      <c r="W1214" s="2">
        <v>40546</v>
      </c>
      <c r="Y1214" t="s">
        <v>63</v>
      </c>
      <c r="Z1214" t="s">
        <v>40</v>
      </c>
      <c r="AA1214">
        <v>0</v>
      </c>
      <c r="AB1214">
        <v>1</v>
      </c>
      <c r="AC1214" t="s">
        <v>31</v>
      </c>
      <c r="AD1214" t="s">
        <v>67</v>
      </c>
      <c r="AE1214" t="s">
        <v>60</v>
      </c>
      <c r="AF1214" s="3">
        <v>1981</v>
      </c>
      <c r="AG1214" s="3">
        <v>45</v>
      </c>
      <c r="AH1214">
        <v>80</v>
      </c>
      <c r="AI1214">
        <v>3</v>
      </c>
      <c r="AJ1214">
        <v>0</v>
      </c>
      <c r="AL1214">
        <v>0</v>
      </c>
      <c r="AM1214">
        <v>1</v>
      </c>
      <c r="AN1214" t="s">
        <v>768</v>
      </c>
      <c r="AO1214" t="s">
        <v>41</v>
      </c>
    </row>
    <row r="1215" spans="1:41" x14ac:dyDescent="0.25">
      <c r="A1215">
        <v>39</v>
      </c>
      <c r="B1215" t="s">
        <v>32</v>
      </c>
      <c r="C1215" t="s">
        <v>33</v>
      </c>
      <c r="D1215">
        <v>9</v>
      </c>
      <c r="E1215" t="s">
        <v>34</v>
      </c>
      <c r="F1215">
        <v>3</v>
      </c>
      <c r="G1215">
        <v>2</v>
      </c>
      <c r="H1215" t="s">
        <v>78</v>
      </c>
      <c r="I1215">
        <v>1</v>
      </c>
      <c r="J1215" t="s">
        <v>51</v>
      </c>
      <c r="K1215">
        <v>5151</v>
      </c>
      <c r="L1215">
        <v>1</v>
      </c>
      <c r="M1215" t="s">
        <v>41</v>
      </c>
      <c r="N1215">
        <v>25</v>
      </c>
      <c r="O1215">
        <v>4</v>
      </c>
      <c r="P1215">
        <v>1</v>
      </c>
      <c r="Q1215">
        <v>10</v>
      </c>
      <c r="R1215">
        <v>3</v>
      </c>
      <c r="S1215">
        <v>10</v>
      </c>
      <c r="T1215">
        <v>7</v>
      </c>
      <c r="U1215">
        <v>9</v>
      </c>
      <c r="V1215" t="s">
        <v>52</v>
      </c>
      <c r="W1215" s="2">
        <v>40576</v>
      </c>
      <c r="Y1215" t="s">
        <v>46</v>
      </c>
      <c r="Z1215" t="s">
        <v>47</v>
      </c>
      <c r="AA1215">
        <v>5</v>
      </c>
      <c r="AB1215">
        <v>2</v>
      </c>
      <c r="AC1215" t="s">
        <v>31</v>
      </c>
      <c r="AD1215" t="s">
        <v>42</v>
      </c>
      <c r="AE1215" t="s">
        <v>43</v>
      </c>
      <c r="AF1215" s="3">
        <v>2008</v>
      </c>
      <c r="AG1215" s="3">
        <v>48</v>
      </c>
      <c r="AH1215">
        <v>80</v>
      </c>
      <c r="AI1215">
        <v>7</v>
      </c>
      <c r="AJ1215">
        <v>0</v>
      </c>
      <c r="AL1215">
        <v>0</v>
      </c>
      <c r="AM1215">
        <v>1</v>
      </c>
      <c r="AN1215" t="s">
        <v>768</v>
      </c>
      <c r="AO1215" t="s">
        <v>41</v>
      </c>
    </row>
    <row r="1216" spans="1:41" x14ac:dyDescent="0.25">
      <c r="A1216">
        <v>31</v>
      </c>
      <c r="B1216" t="s">
        <v>66</v>
      </c>
      <c r="C1216" t="s">
        <v>33</v>
      </c>
      <c r="D1216">
        <v>1</v>
      </c>
      <c r="E1216" t="s">
        <v>34</v>
      </c>
      <c r="F1216">
        <v>1</v>
      </c>
      <c r="G1216">
        <v>2</v>
      </c>
      <c r="H1216" t="s">
        <v>44</v>
      </c>
      <c r="I1216">
        <v>1</v>
      </c>
      <c r="J1216" t="s">
        <v>51</v>
      </c>
      <c r="K1216">
        <v>5003</v>
      </c>
      <c r="L1216">
        <v>1</v>
      </c>
      <c r="M1216" t="s">
        <v>41</v>
      </c>
      <c r="N1216">
        <v>21</v>
      </c>
      <c r="O1216">
        <v>4</v>
      </c>
      <c r="P1216">
        <v>0</v>
      </c>
      <c r="Q1216">
        <v>10</v>
      </c>
      <c r="R1216">
        <v>6</v>
      </c>
      <c r="S1216">
        <v>10</v>
      </c>
      <c r="T1216">
        <v>8</v>
      </c>
      <c r="U1216">
        <v>7</v>
      </c>
      <c r="V1216" t="s">
        <v>37</v>
      </c>
      <c r="W1216" s="1" t="s">
        <v>585</v>
      </c>
      <c r="Y1216" t="s">
        <v>69</v>
      </c>
      <c r="Z1216" t="s">
        <v>40</v>
      </c>
      <c r="AA1216">
        <v>3</v>
      </c>
      <c r="AB1216">
        <v>3</v>
      </c>
      <c r="AC1216" t="s">
        <v>31</v>
      </c>
      <c r="AD1216" t="s">
        <v>67</v>
      </c>
      <c r="AE1216" t="s">
        <v>60</v>
      </c>
      <c r="AF1216" s="3">
        <v>1814</v>
      </c>
      <c r="AG1216" s="3">
        <v>85</v>
      </c>
      <c r="AH1216">
        <v>80</v>
      </c>
      <c r="AI1216">
        <v>2</v>
      </c>
      <c r="AJ1216">
        <v>0</v>
      </c>
      <c r="AL1216">
        <v>0</v>
      </c>
      <c r="AM1216">
        <v>1</v>
      </c>
      <c r="AN1216" t="s">
        <v>768</v>
      </c>
      <c r="AO1216" t="s">
        <v>41</v>
      </c>
    </row>
    <row r="1217" spans="1:41" x14ac:dyDescent="0.25">
      <c r="A1217">
        <v>35</v>
      </c>
      <c r="B1217" t="s">
        <v>32</v>
      </c>
      <c r="C1217" t="s">
        <v>55</v>
      </c>
      <c r="D1217">
        <v>7</v>
      </c>
      <c r="E1217" t="s">
        <v>61</v>
      </c>
      <c r="F1217">
        <v>3</v>
      </c>
      <c r="G1217">
        <v>2</v>
      </c>
      <c r="H1217" t="s">
        <v>70</v>
      </c>
      <c r="I1217">
        <v>4</v>
      </c>
      <c r="J1217" t="s">
        <v>51</v>
      </c>
      <c r="K1217">
        <v>5204</v>
      </c>
      <c r="L1217">
        <v>1</v>
      </c>
      <c r="M1217" t="s">
        <v>31</v>
      </c>
      <c r="N1217">
        <v>11</v>
      </c>
      <c r="O1217">
        <v>3</v>
      </c>
      <c r="P1217">
        <v>0</v>
      </c>
      <c r="Q1217">
        <v>10</v>
      </c>
      <c r="R1217">
        <v>2</v>
      </c>
      <c r="S1217">
        <v>10</v>
      </c>
      <c r="T1217">
        <v>0</v>
      </c>
      <c r="U1217">
        <v>9</v>
      </c>
      <c r="V1217" t="s">
        <v>72</v>
      </c>
      <c r="W1217" s="2">
        <v>40579</v>
      </c>
      <c r="Y1217" t="s">
        <v>69</v>
      </c>
      <c r="Z1217" t="s">
        <v>40</v>
      </c>
      <c r="AA1217">
        <v>0</v>
      </c>
      <c r="AB1217">
        <v>2</v>
      </c>
      <c r="AC1217" t="s">
        <v>41</v>
      </c>
      <c r="AD1217" t="s">
        <v>67</v>
      </c>
      <c r="AE1217" t="s">
        <v>49</v>
      </c>
      <c r="AF1217" s="3">
        <v>2048</v>
      </c>
      <c r="AG1217" s="3">
        <v>52</v>
      </c>
      <c r="AH1217">
        <v>80</v>
      </c>
      <c r="AI1217">
        <v>2</v>
      </c>
      <c r="AJ1217">
        <v>0</v>
      </c>
      <c r="AL1217">
        <v>0</v>
      </c>
      <c r="AM1217">
        <v>1</v>
      </c>
      <c r="AN1217" t="s">
        <v>768</v>
      </c>
      <c r="AO1217" t="s">
        <v>41</v>
      </c>
    </row>
    <row r="1218" spans="1:41" x14ac:dyDescent="0.25">
      <c r="A1218">
        <v>31</v>
      </c>
      <c r="B1218" t="s">
        <v>66</v>
      </c>
      <c r="C1218" t="s">
        <v>55</v>
      </c>
      <c r="D1218">
        <v>26</v>
      </c>
      <c r="E1218" t="s">
        <v>34</v>
      </c>
      <c r="F1218">
        <v>3</v>
      </c>
      <c r="G1218">
        <v>2</v>
      </c>
      <c r="H1218" t="s">
        <v>70</v>
      </c>
      <c r="I1218">
        <v>4</v>
      </c>
      <c r="J1218" t="s">
        <v>51</v>
      </c>
      <c r="K1218">
        <v>5617</v>
      </c>
      <c r="L1218">
        <v>1</v>
      </c>
      <c r="M1218" t="s">
        <v>31</v>
      </c>
      <c r="N1218">
        <v>11</v>
      </c>
      <c r="O1218">
        <v>3</v>
      </c>
      <c r="P1218">
        <v>0</v>
      </c>
      <c r="Q1218">
        <v>10</v>
      </c>
      <c r="R1218">
        <v>4</v>
      </c>
      <c r="S1218">
        <v>10</v>
      </c>
      <c r="T1218">
        <v>0</v>
      </c>
      <c r="U1218">
        <v>8</v>
      </c>
      <c r="V1218" t="s">
        <v>72</v>
      </c>
      <c r="W1218" s="1" t="s">
        <v>599</v>
      </c>
      <c r="Y1218" t="s">
        <v>63</v>
      </c>
      <c r="Z1218" t="s">
        <v>40</v>
      </c>
      <c r="AA1218">
        <v>1</v>
      </c>
      <c r="AB1218">
        <v>0</v>
      </c>
      <c r="AC1218" t="s">
        <v>41</v>
      </c>
      <c r="AD1218" t="s">
        <v>42</v>
      </c>
      <c r="AE1218" t="s">
        <v>43</v>
      </c>
      <c r="AF1218" s="3">
        <v>1952</v>
      </c>
      <c r="AG1218" s="3">
        <v>95</v>
      </c>
      <c r="AH1218">
        <v>80</v>
      </c>
      <c r="AI1218">
        <v>7</v>
      </c>
      <c r="AJ1218">
        <v>0</v>
      </c>
      <c r="AL1218">
        <v>0</v>
      </c>
      <c r="AM1218">
        <v>1</v>
      </c>
      <c r="AN1218" t="s">
        <v>768</v>
      </c>
      <c r="AO1218" t="s">
        <v>41</v>
      </c>
    </row>
    <row r="1219" spans="1:41" x14ac:dyDescent="0.25">
      <c r="A1219">
        <v>43</v>
      </c>
      <c r="B1219" t="s">
        <v>32</v>
      </c>
      <c r="C1219" t="s">
        <v>33</v>
      </c>
      <c r="D1219">
        <v>11</v>
      </c>
      <c r="E1219" t="s">
        <v>34</v>
      </c>
      <c r="F1219">
        <v>3</v>
      </c>
      <c r="G1219">
        <v>3</v>
      </c>
      <c r="H1219" t="s">
        <v>89</v>
      </c>
      <c r="I1219">
        <v>3</v>
      </c>
      <c r="J1219" t="s">
        <v>51</v>
      </c>
      <c r="K1219">
        <v>7510</v>
      </c>
      <c r="L1219">
        <v>1</v>
      </c>
      <c r="M1219" t="s">
        <v>41</v>
      </c>
      <c r="N1219">
        <v>17</v>
      </c>
      <c r="O1219">
        <v>3</v>
      </c>
      <c r="P1219">
        <v>1</v>
      </c>
      <c r="Q1219">
        <v>10</v>
      </c>
      <c r="R1219">
        <v>1</v>
      </c>
      <c r="S1219">
        <v>10</v>
      </c>
      <c r="T1219">
        <v>0</v>
      </c>
      <c r="U1219">
        <v>9</v>
      </c>
      <c r="V1219" t="s">
        <v>72</v>
      </c>
      <c r="W1219" s="1" t="s">
        <v>600</v>
      </c>
      <c r="Y1219" t="s">
        <v>54</v>
      </c>
      <c r="Z1219" t="s">
        <v>47</v>
      </c>
      <c r="AA1219">
        <v>1</v>
      </c>
      <c r="AB1219">
        <v>1</v>
      </c>
      <c r="AC1219" t="s">
        <v>41</v>
      </c>
      <c r="AD1219" t="s">
        <v>42</v>
      </c>
      <c r="AE1219" t="s">
        <v>43</v>
      </c>
      <c r="AF1219" s="3">
        <v>1727</v>
      </c>
      <c r="AG1219" s="3">
        <v>34</v>
      </c>
      <c r="AH1219">
        <v>80</v>
      </c>
      <c r="AI1219">
        <v>7</v>
      </c>
      <c r="AJ1219">
        <v>0</v>
      </c>
      <c r="AL1219">
        <v>0</v>
      </c>
      <c r="AM1219">
        <v>1</v>
      </c>
      <c r="AN1219" t="s">
        <v>768</v>
      </c>
      <c r="AO1219" t="s">
        <v>41</v>
      </c>
    </row>
    <row r="1220" spans="1:41" x14ac:dyDescent="0.25">
      <c r="A1220">
        <v>55</v>
      </c>
      <c r="B1220" t="s">
        <v>32</v>
      </c>
      <c r="C1220" t="s">
        <v>120</v>
      </c>
      <c r="D1220">
        <v>26</v>
      </c>
      <c r="E1220" t="s">
        <v>34</v>
      </c>
      <c r="F1220">
        <v>4</v>
      </c>
      <c r="G1220">
        <v>5</v>
      </c>
      <c r="H1220" t="s">
        <v>75</v>
      </c>
      <c r="I1220">
        <v>2</v>
      </c>
      <c r="J1220" t="s">
        <v>51</v>
      </c>
      <c r="K1220">
        <v>19636</v>
      </c>
      <c r="L1220">
        <v>4</v>
      </c>
      <c r="M1220" t="s">
        <v>31</v>
      </c>
      <c r="N1220">
        <v>18</v>
      </c>
      <c r="O1220">
        <v>3</v>
      </c>
      <c r="P1220">
        <v>1</v>
      </c>
      <c r="Q1220">
        <v>35</v>
      </c>
      <c r="R1220">
        <v>0</v>
      </c>
      <c r="S1220">
        <v>10</v>
      </c>
      <c r="T1220">
        <v>1</v>
      </c>
      <c r="U1220">
        <v>4</v>
      </c>
      <c r="V1220" t="s">
        <v>72</v>
      </c>
      <c r="W1220" s="2">
        <v>40851</v>
      </c>
      <c r="Y1220" t="s">
        <v>54</v>
      </c>
      <c r="Z1220" t="s">
        <v>40</v>
      </c>
      <c r="AA1220">
        <v>1</v>
      </c>
      <c r="AB1220">
        <v>3</v>
      </c>
      <c r="AC1220" t="s">
        <v>41</v>
      </c>
      <c r="AD1220" t="s">
        <v>67</v>
      </c>
      <c r="AE1220" t="s">
        <v>60</v>
      </c>
      <c r="AF1220" s="3">
        <v>1677</v>
      </c>
      <c r="AG1220" s="3">
        <v>36</v>
      </c>
      <c r="AH1220">
        <v>80</v>
      </c>
      <c r="AI1220">
        <v>7</v>
      </c>
      <c r="AJ1220">
        <v>0</v>
      </c>
      <c r="AL1220">
        <v>0</v>
      </c>
      <c r="AM1220">
        <v>1</v>
      </c>
      <c r="AN1220" t="s">
        <v>768</v>
      </c>
      <c r="AO1220" t="s">
        <v>41</v>
      </c>
    </row>
    <row r="1221" spans="1:41" x14ac:dyDescent="0.25">
      <c r="A1221">
        <v>40</v>
      </c>
      <c r="B1221" t="s">
        <v>66</v>
      </c>
      <c r="C1221" t="s">
        <v>33</v>
      </c>
      <c r="D1221">
        <v>11</v>
      </c>
      <c r="E1221" t="s">
        <v>61</v>
      </c>
      <c r="F1221">
        <v>3</v>
      </c>
      <c r="G1221">
        <v>2</v>
      </c>
      <c r="H1221" t="s">
        <v>35</v>
      </c>
      <c r="I1221">
        <v>3</v>
      </c>
      <c r="J1221" t="s">
        <v>51</v>
      </c>
      <c r="K1221">
        <v>6323</v>
      </c>
      <c r="L1221">
        <v>1</v>
      </c>
      <c r="M1221" t="s">
        <v>41</v>
      </c>
      <c r="N1221">
        <v>11</v>
      </c>
      <c r="O1221">
        <v>3</v>
      </c>
      <c r="P1221">
        <v>1</v>
      </c>
      <c r="Q1221">
        <v>10</v>
      </c>
      <c r="R1221">
        <v>2</v>
      </c>
      <c r="S1221">
        <v>10</v>
      </c>
      <c r="T1221">
        <v>9</v>
      </c>
      <c r="U1221">
        <v>4</v>
      </c>
      <c r="V1221" t="s">
        <v>37</v>
      </c>
      <c r="W1221" s="1" t="s">
        <v>560</v>
      </c>
      <c r="Y1221" t="s">
        <v>63</v>
      </c>
      <c r="Z1221" t="s">
        <v>40</v>
      </c>
      <c r="AA1221">
        <v>5</v>
      </c>
      <c r="AB1221">
        <v>3</v>
      </c>
      <c r="AC1221" t="s">
        <v>31</v>
      </c>
      <c r="AD1221" t="s">
        <v>48</v>
      </c>
      <c r="AE1221" t="s">
        <v>43</v>
      </c>
      <c r="AF1221" s="3">
        <v>1623</v>
      </c>
      <c r="AG1221" s="3">
        <v>97</v>
      </c>
      <c r="AH1221">
        <v>80</v>
      </c>
      <c r="AI1221">
        <v>2</v>
      </c>
      <c r="AJ1221">
        <v>0</v>
      </c>
      <c r="AL1221">
        <v>0</v>
      </c>
      <c r="AM1221">
        <v>1</v>
      </c>
      <c r="AN1221" t="s">
        <v>768</v>
      </c>
      <c r="AO1221" t="s">
        <v>41</v>
      </c>
    </row>
    <row r="1222" spans="1:41" x14ac:dyDescent="0.25">
      <c r="A1222">
        <v>35</v>
      </c>
      <c r="B1222" t="s">
        <v>32</v>
      </c>
      <c r="C1222" t="s">
        <v>33</v>
      </c>
      <c r="D1222">
        <v>9</v>
      </c>
      <c r="E1222" t="s">
        <v>34</v>
      </c>
      <c r="F1222">
        <v>3</v>
      </c>
      <c r="G1222">
        <v>2</v>
      </c>
      <c r="H1222" t="s">
        <v>44</v>
      </c>
      <c r="I1222">
        <v>3</v>
      </c>
      <c r="J1222" t="s">
        <v>36</v>
      </c>
      <c r="K1222">
        <v>5098</v>
      </c>
      <c r="L1222">
        <v>1</v>
      </c>
      <c r="M1222" t="s">
        <v>41</v>
      </c>
      <c r="N1222">
        <v>19</v>
      </c>
      <c r="O1222">
        <v>3</v>
      </c>
      <c r="P1222">
        <v>0</v>
      </c>
      <c r="Q1222">
        <v>10</v>
      </c>
      <c r="R1222">
        <v>5</v>
      </c>
      <c r="S1222">
        <v>10</v>
      </c>
      <c r="T1222">
        <v>0</v>
      </c>
      <c r="U1222">
        <v>8</v>
      </c>
      <c r="V1222" t="s">
        <v>37</v>
      </c>
      <c r="W1222" s="1" t="s">
        <v>601</v>
      </c>
      <c r="Y1222" t="s">
        <v>54</v>
      </c>
      <c r="Z1222" t="s">
        <v>40</v>
      </c>
      <c r="AA1222">
        <v>2</v>
      </c>
      <c r="AB1222">
        <v>0</v>
      </c>
      <c r="AC1222" t="s">
        <v>31</v>
      </c>
      <c r="AD1222" t="s">
        <v>48</v>
      </c>
      <c r="AE1222" t="s">
        <v>60</v>
      </c>
      <c r="AF1222" s="3">
        <v>1417</v>
      </c>
      <c r="AG1222" s="3">
        <v>100</v>
      </c>
      <c r="AH1222">
        <v>80</v>
      </c>
      <c r="AI1222">
        <v>7</v>
      </c>
      <c r="AJ1222">
        <v>0</v>
      </c>
      <c r="AL1222">
        <v>0</v>
      </c>
      <c r="AM1222">
        <v>1</v>
      </c>
      <c r="AN1222" t="s">
        <v>768</v>
      </c>
      <c r="AO1222" t="s">
        <v>41</v>
      </c>
    </row>
    <row r="1223" spans="1:41" x14ac:dyDescent="0.25">
      <c r="A1223">
        <v>56</v>
      </c>
      <c r="B1223" t="s">
        <v>32</v>
      </c>
      <c r="C1223" t="s">
        <v>33</v>
      </c>
      <c r="D1223">
        <v>7</v>
      </c>
      <c r="E1223" t="s">
        <v>34</v>
      </c>
      <c r="F1223">
        <v>3</v>
      </c>
      <c r="G1223">
        <v>1</v>
      </c>
      <c r="H1223" t="s">
        <v>35</v>
      </c>
      <c r="I1223">
        <v>3</v>
      </c>
      <c r="J1223" t="s">
        <v>51</v>
      </c>
      <c r="K1223">
        <v>2339</v>
      </c>
      <c r="L1223">
        <v>8</v>
      </c>
      <c r="M1223" t="s">
        <v>41</v>
      </c>
      <c r="N1223">
        <v>11</v>
      </c>
      <c r="O1223">
        <v>3</v>
      </c>
      <c r="P1223">
        <v>1</v>
      </c>
      <c r="Q1223">
        <v>14</v>
      </c>
      <c r="R1223">
        <v>4</v>
      </c>
      <c r="S1223">
        <v>10</v>
      </c>
      <c r="T1223">
        <v>9</v>
      </c>
      <c r="U1223">
        <v>8</v>
      </c>
      <c r="V1223" t="s">
        <v>52</v>
      </c>
      <c r="W1223" s="1" t="s">
        <v>602</v>
      </c>
      <c r="Y1223" t="s">
        <v>46</v>
      </c>
      <c r="Z1223" t="s">
        <v>47</v>
      </c>
      <c r="AA1223">
        <v>5</v>
      </c>
      <c r="AB1223">
        <v>3</v>
      </c>
      <c r="AC1223" t="s">
        <v>41</v>
      </c>
      <c r="AD1223" t="s">
        <v>65</v>
      </c>
      <c r="AE1223" t="s">
        <v>43</v>
      </c>
      <c r="AF1223" s="3">
        <v>1564</v>
      </c>
      <c r="AG1223" s="3">
        <v>68</v>
      </c>
      <c r="AH1223">
        <v>80</v>
      </c>
      <c r="AI1223">
        <v>0</v>
      </c>
      <c r="AJ1223">
        <v>0</v>
      </c>
      <c r="AL1223">
        <v>0</v>
      </c>
      <c r="AM1223">
        <v>1</v>
      </c>
      <c r="AN1223" t="s">
        <v>768</v>
      </c>
      <c r="AO1223" t="s">
        <v>41</v>
      </c>
    </row>
    <row r="1224" spans="1:41" x14ac:dyDescent="0.25">
      <c r="A1224">
        <v>38</v>
      </c>
      <c r="B1224" t="s">
        <v>32</v>
      </c>
      <c r="C1224" t="s">
        <v>55</v>
      </c>
      <c r="D1224">
        <v>10</v>
      </c>
      <c r="E1224" t="s">
        <v>61</v>
      </c>
      <c r="F1224">
        <v>3</v>
      </c>
      <c r="G1224">
        <v>2</v>
      </c>
      <c r="H1224" t="s">
        <v>70</v>
      </c>
      <c r="I1224">
        <v>4</v>
      </c>
      <c r="J1224" t="s">
        <v>51</v>
      </c>
      <c r="K1224">
        <v>5343</v>
      </c>
      <c r="L1224">
        <v>1</v>
      </c>
      <c r="M1224" t="s">
        <v>41</v>
      </c>
      <c r="N1224">
        <v>11</v>
      </c>
      <c r="O1224">
        <v>3</v>
      </c>
      <c r="P1224">
        <v>1</v>
      </c>
      <c r="Q1224">
        <v>10</v>
      </c>
      <c r="R1224">
        <v>1</v>
      </c>
      <c r="S1224">
        <v>10</v>
      </c>
      <c r="T1224">
        <v>1</v>
      </c>
      <c r="U1224">
        <v>9</v>
      </c>
      <c r="V1224" t="s">
        <v>37</v>
      </c>
      <c r="W1224" s="1" t="s">
        <v>596</v>
      </c>
      <c r="Y1224" t="s">
        <v>54</v>
      </c>
      <c r="Z1224" t="s">
        <v>47</v>
      </c>
      <c r="AA1224">
        <v>2</v>
      </c>
      <c r="AB1224">
        <v>1</v>
      </c>
      <c r="AC1224" t="s">
        <v>41</v>
      </c>
      <c r="AD1224" t="s">
        <v>42</v>
      </c>
      <c r="AE1224" t="s">
        <v>49</v>
      </c>
      <c r="AF1224" s="3">
        <v>1545</v>
      </c>
      <c r="AG1224" s="3">
        <v>44</v>
      </c>
      <c r="AH1224">
        <v>80</v>
      </c>
      <c r="AI1224">
        <v>3</v>
      </c>
      <c r="AJ1224">
        <v>0</v>
      </c>
      <c r="AL1224">
        <v>0</v>
      </c>
      <c r="AM1224">
        <v>1</v>
      </c>
      <c r="AN1224" t="s">
        <v>768</v>
      </c>
      <c r="AO1224" t="s">
        <v>41</v>
      </c>
    </row>
    <row r="1225" spans="1:41" x14ac:dyDescent="0.25">
      <c r="A1225">
        <v>35</v>
      </c>
      <c r="B1225" t="s">
        <v>66</v>
      </c>
      <c r="C1225" t="s">
        <v>33</v>
      </c>
      <c r="D1225">
        <v>18</v>
      </c>
      <c r="E1225" t="s">
        <v>34</v>
      </c>
      <c r="F1225">
        <v>3</v>
      </c>
      <c r="G1225">
        <v>2</v>
      </c>
      <c r="H1225" t="s">
        <v>89</v>
      </c>
      <c r="I1225">
        <v>3</v>
      </c>
      <c r="J1225" t="s">
        <v>51</v>
      </c>
      <c r="K1225">
        <v>5689</v>
      </c>
      <c r="L1225">
        <v>1</v>
      </c>
      <c r="M1225" t="s">
        <v>31</v>
      </c>
      <c r="N1225">
        <v>14</v>
      </c>
      <c r="O1225">
        <v>3</v>
      </c>
      <c r="P1225">
        <v>2</v>
      </c>
      <c r="Q1225">
        <v>10</v>
      </c>
      <c r="R1225">
        <v>2</v>
      </c>
      <c r="S1225">
        <v>10</v>
      </c>
      <c r="T1225">
        <v>0</v>
      </c>
      <c r="U1225">
        <v>2</v>
      </c>
      <c r="V1225" t="s">
        <v>52</v>
      </c>
      <c r="W1225" s="1" t="s">
        <v>601</v>
      </c>
      <c r="Y1225" t="s">
        <v>39</v>
      </c>
      <c r="Z1225" t="s">
        <v>47</v>
      </c>
      <c r="AA1225">
        <v>5</v>
      </c>
      <c r="AB1225">
        <v>1</v>
      </c>
      <c r="AC1225" t="s">
        <v>31</v>
      </c>
      <c r="AD1225" t="s">
        <v>67</v>
      </c>
      <c r="AE1225" t="s">
        <v>43</v>
      </c>
      <c r="AF1225" s="3">
        <v>1883</v>
      </c>
      <c r="AG1225" s="3">
        <v>59</v>
      </c>
      <c r="AH1225">
        <v>80</v>
      </c>
      <c r="AI1225">
        <v>2</v>
      </c>
      <c r="AJ1225">
        <v>0</v>
      </c>
      <c r="AL1225">
        <v>0</v>
      </c>
      <c r="AM1225">
        <v>1</v>
      </c>
      <c r="AN1225" t="s">
        <v>768</v>
      </c>
      <c r="AO1225" t="s">
        <v>41</v>
      </c>
    </row>
    <row r="1226" spans="1:41" x14ac:dyDescent="0.25">
      <c r="A1226">
        <v>31</v>
      </c>
      <c r="B1226" t="s">
        <v>32</v>
      </c>
      <c r="C1226" t="s">
        <v>33</v>
      </c>
      <c r="D1226">
        <v>8</v>
      </c>
      <c r="E1226" t="s">
        <v>61</v>
      </c>
      <c r="F1226">
        <v>3</v>
      </c>
      <c r="G1226">
        <v>2</v>
      </c>
      <c r="H1226" t="s">
        <v>78</v>
      </c>
      <c r="I1226">
        <v>4</v>
      </c>
      <c r="J1226" t="s">
        <v>36</v>
      </c>
      <c r="K1226">
        <v>4424</v>
      </c>
      <c r="L1226">
        <v>1</v>
      </c>
      <c r="M1226" t="s">
        <v>41</v>
      </c>
      <c r="N1226">
        <v>23</v>
      </c>
      <c r="O1226">
        <v>4</v>
      </c>
      <c r="P1226">
        <v>0</v>
      </c>
      <c r="Q1226">
        <v>11</v>
      </c>
      <c r="R1226">
        <v>2</v>
      </c>
      <c r="S1226">
        <v>11</v>
      </c>
      <c r="T1226">
        <v>1</v>
      </c>
      <c r="U1226">
        <v>8</v>
      </c>
      <c r="V1226" t="s">
        <v>72</v>
      </c>
      <c r="W1226" s="1" t="s">
        <v>603</v>
      </c>
      <c r="Y1226" t="s">
        <v>69</v>
      </c>
      <c r="Z1226" t="s">
        <v>47</v>
      </c>
      <c r="AA1226">
        <v>2</v>
      </c>
      <c r="AB1226">
        <v>0</v>
      </c>
      <c r="AC1226" t="s">
        <v>41</v>
      </c>
      <c r="AD1226" t="s">
        <v>67</v>
      </c>
      <c r="AE1226" t="s">
        <v>60</v>
      </c>
      <c r="AF1226" s="3">
        <v>2038</v>
      </c>
      <c r="AG1226" s="3">
        <v>78</v>
      </c>
      <c r="AH1226">
        <v>80</v>
      </c>
      <c r="AI1226">
        <v>2</v>
      </c>
      <c r="AJ1226">
        <v>0</v>
      </c>
      <c r="AL1226">
        <v>0</v>
      </c>
      <c r="AM1226">
        <v>1</v>
      </c>
      <c r="AN1226" t="s">
        <v>768</v>
      </c>
      <c r="AO1226" t="s">
        <v>41</v>
      </c>
    </row>
    <row r="1227" spans="1:41" x14ac:dyDescent="0.25">
      <c r="A1227">
        <v>30</v>
      </c>
      <c r="B1227" t="s">
        <v>32</v>
      </c>
      <c r="C1227" t="s">
        <v>33</v>
      </c>
      <c r="D1227">
        <v>2</v>
      </c>
      <c r="E1227" t="s">
        <v>34</v>
      </c>
      <c r="F1227">
        <v>2</v>
      </c>
      <c r="G1227">
        <v>2</v>
      </c>
      <c r="H1227" t="s">
        <v>89</v>
      </c>
      <c r="I1227">
        <v>4</v>
      </c>
      <c r="J1227" t="s">
        <v>51</v>
      </c>
      <c r="K1227">
        <v>4152</v>
      </c>
      <c r="L1227">
        <v>1</v>
      </c>
      <c r="M1227" t="s">
        <v>41</v>
      </c>
      <c r="N1227">
        <v>19</v>
      </c>
      <c r="O1227">
        <v>3</v>
      </c>
      <c r="P1227">
        <v>3</v>
      </c>
      <c r="Q1227">
        <v>11</v>
      </c>
      <c r="R1227">
        <v>3</v>
      </c>
      <c r="S1227">
        <v>11</v>
      </c>
      <c r="T1227">
        <v>10</v>
      </c>
      <c r="U1227">
        <v>8</v>
      </c>
      <c r="V1227" t="s">
        <v>58</v>
      </c>
      <c r="W1227" s="2">
        <v>40335</v>
      </c>
      <c r="Y1227" t="s">
        <v>54</v>
      </c>
      <c r="Z1227" t="s">
        <v>40</v>
      </c>
      <c r="AA1227">
        <v>4</v>
      </c>
      <c r="AB1227">
        <v>1</v>
      </c>
      <c r="AC1227" t="s">
        <v>31</v>
      </c>
      <c r="AD1227" t="s">
        <v>65</v>
      </c>
      <c r="AE1227" t="s">
        <v>60</v>
      </c>
      <c r="AF1227" s="3">
        <v>1475</v>
      </c>
      <c r="AG1227" s="3">
        <v>49</v>
      </c>
      <c r="AH1227">
        <v>80</v>
      </c>
      <c r="AI1227">
        <v>2</v>
      </c>
      <c r="AJ1227">
        <v>0</v>
      </c>
      <c r="AL1227">
        <v>0</v>
      </c>
      <c r="AM1227">
        <v>1</v>
      </c>
      <c r="AN1227" t="s">
        <v>768</v>
      </c>
      <c r="AO1227" t="s">
        <v>41</v>
      </c>
    </row>
    <row r="1228" spans="1:41" x14ac:dyDescent="0.25">
      <c r="A1228">
        <v>30</v>
      </c>
      <c r="B1228" t="s">
        <v>32</v>
      </c>
      <c r="C1228" t="s">
        <v>55</v>
      </c>
      <c r="D1228">
        <v>4</v>
      </c>
      <c r="E1228" t="s">
        <v>61</v>
      </c>
      <c r="F1228">
        <v>2</v>
      </c>
      <c r="G1228">
        <v>2</v>
      </c>
      <c r="H1228" t="s">
        <v>70</v>
      </c>
      <c r="I1228">
        <v>2</v>
      </c>
      <c r="J1228" t="s">
        <v>57</v>
      </c>
      <c r="K1228">
        <v>5209</v>
      </c>
      <c r="L1228">
        <v>1</v>
      </c>
      <c r="M1228" t="s">
        <v>31</v>
      </c>
      <c r="N1228">
        <v>12</v>
      </c>
      <c r="O1228">
        <v>3</v>
      </c>
      <c r="P1228">
        <v>3</v>
      </c>
      <c r="Q1228">
        <v>11</v>
      </c>
      <c r="R1228">
        <v>4</v>
      </c>
      <c r="S1228">
        <v>11</v>
      </c>
      <c r="T1228">
        <v>2</v>
      </c>
      <c r="U1228">
        <v>7</v>
      </c>
      <c r="V1228" t="s">
        <v>37</v>
      </c>
      <c r="W1228" s="1" t="s">
        <v>604</v>
      </c>
      <c r="Y1228" t="s">
        <v>39</v>
      </c>
      <c r="Z1228" t="s">
        <v>47</v>
      </c>
      <c r="AA1228">
        <v>1</v>
      </c>
      <c r="AB1228">
        <v>1</v>
      </c>
      <c r="AC1228" t="s">
        <v>31</v>
      </c>
      <c r="AD1228" t="s">
        <v>42</v>
      </c>
      <c r="AE1228" t="s">
        <v>60</v>
      </c>
      <c r="AF1228" s="3">
        <v>1860</v>
      </c>
      <c r="AG1228" s="3">
        <v>81</v>
      </c>
      <c r="AH1228">
        <v>80</v>
      </c>
      <c r="AI1228">
        <v>0</v>
      </c>
      <c r="AJ1228">
        <v>0</v>
      </c>
      <c r="AL1228">
        <v>0</v>
      </c>
      <c r="AM1228">
        <v>1</v>
      </c>
      <c r="AN1228" t="s">
        <v>768</v>
      </c>
      <c r="AO1228" t="s">
        <v>41</v>
      </c>
    </row>
    <row r="1229" spans="1:41" x14ac:dyDescent="0.25">
      <c r="A1229">
        <v>32</v>
      </c>
      <c r="B1229" t="s">
        <v>32</v>
      </c>
      <c r="C1229" t="s">
        <v>55</v>
      </c>
      <c r="D1229">
        <v>6</v>
      </c>
      <c r="E1229" t="s">
        <v>34</v>
      </c>
      <c r="F1229">
        <v>3</v>
      </c>
      <c r="G1229">
        <v>2</v>
      </c>
      <c r="H1229" t="s">
        <v>70</v>
      </c>
      <c r="I1229">
        <v>3</v>
      </c>
      <c r="J1229" t="s">
        <v>36</v>
      </c>
      <c r="K1229">
        <v>5010</v>
      </c>
      <c r="L1229">
        <v>1</v>
      </c>
      <c r="M1229" t="s">
        <v>41</v>
      </c>
      <c r="N1229">
        <v>16</v>
      </c>
      <c r="O1229">
        <v>3</v>
      </c>
      <c r="P1229">
        <v>0</v>
      </c>
      <c r="Q1229">
        <v>12</v>
      </c>
      <c r="R1229">
        <v>0</v>
      </c>
      <c r="S1229">
        <v>11</v>
      </c>
      <c r="T1229">
        <v>5</v>
      </c>
      <c r="U1229">
        <v>7</v>
      </c>
      <c r="V1229" t="s">
        <v>72</v>
      </c>
      <c r="W1229" s="1" t="s">
        <v>605</v>
      </c>
      <c r="Y1229" t="s">
        <v>69</v>
      </c>
      <c r="Z1229" t="s">
        <v>47</v>
      </c>
      <c r="AA1229">
        <v>2</v>
      </c>
      <c r="AB1229">
        <v>1</v>
      </c>
      <c r="AC1229" t="s">
        <v>41</v>
      </c>
      <c r="AD1229" t="s">
        <v>42</v>
      </c>
      <c r="AE1229" t="s">
        <v>43</v>
      </c>
      <c r="AF1229" s="3">
        <v>2007</v>
      </c>
      <c r="AG1229" s="3">
        <v>63</v>
      </c>
      <c r="AH1229">
        <v>80</v>
      </c>
      <c r="AI1229">
        <v>2</v>
      </c>
      <c r="AJ1229">
        <v>0</v>
      </c>
      <c r="AL1229">
        <v>0</v>
      </c>
      <c r="AM1229">
        <v>1</v>
      </c>
      <c r="AN1229" t="s">
        <v>768</v>
      </c>
      <c r="AO1229" t="s">
        <v>41</v>
      </c>
    </row>
    <row r="1230" spans="1:41" x14ac:dyDescent="0.25">
      <c r="A1230">
        <v>34</v>
      </c>
      <c r="B1230" t="s">
        <v>32</v>
      </c>
      <c r="C1230" t="s">
        <v>33</v>
      </c>
      <c r="D1230">
        <v>5</v>
      </c>
      <c r="E1230" t="s">
        <v>61</v>
      </c>
      <c r="F1230">
        <v>2</v>
      </c>
      <c r="G1230">
        <v>3</v>
      </c>
      <c r="H1230" t="s">
        <v>75</v>
      </c>
      <c r="I1230">
        <v>1</v>
      </c>
      <c r="J1230" t="s">
        <v>36</v>
      </c>
      <c r="K1230">
        <v>11631</v>
      </c>
      <c r="L1230">
        <v>2</v>
      </c>
      <c r="M1230" t="s">
        <v>41</v>
      </c>
      <c r="N1230">
        <v>12</v>
      </c>
      <c r="O1230">
        <v>3</v>
      </c>
      <c r="P1230">
        <v>0</v>
      </c>
      <c r="Q1230">
        <v>14</v>
      </c>
      <c r="R1230">
        <v>6</v>
      </c>
      <c r="S1230">
        <v>11</v>
      </c>
      <c r="T1230">
        <v>5</v>
      </c>
      <c r="U1230">
        <v>8</v>
      </c>
      <c r="V1230" t="s">
        <v>72</v>
      </c>
      <c r="W1230" s="2">
        <v>40299</v>
      </c>
      <c r="Y1230" t="s">
        <v>46</v>
      </c>
      <c r="Z1230" t="s">
        <v>40</v>
      </c>
      <c r="AA1230">
        <v>0</v>
      </c>
      <c r="AB1230">
        <v>1</v>
      </c>
      <c r="AC1230" t="s">
        <v>41</v>
      </c>
      <c r="AD1230" t="s">
        <v>42</v>
      </c>
      <c r="AE1230" t="s">
        <v>43</v>
      </c>
      <c r="AF1230" s="3">
        <v>1982</v>
      </c>
      <c r="AG1230" s="3">
        <v>78</v>
      </c>
      <c r="AH1230">
        <v>80</v>
      </c>
      <c r="AI1230">
        <v>2</v>
      </c>
      <c r="AJ1230">
        <v>0</v>
      </c>
      <c r="AL1230">
        <v>0</v>
      </c>
      <c r="AM1230">
        <v>1</v>
      </c>
      <c r="AN1230" t="s">
        <v>768</v>
      </c>
      <c r="AO1230" t="s">
        <v>41</v>
      </c>
    </row>
    <row r="1231" spans="1:41" x14ac:dyDescent="0.25">
      <c r="A1231">
        <v>30</v>
      </c>
      <c r="B1231" t="s">
        <v>32</v>
      </c>
      <c r="C1231" t="s">
        <v>120</v>
      </c>
      <c r="D1231">
        <v>9</v>
      </c>
      <c r="E1231" t="s">
        <v>34</v>
      </c>
      <c r="F1231">
        <v>3</v>
      </c>
      <c r="G1231">
        <v>2</v>
      </c>
      <c r="H1231" t="s">
        <v>120</v>
      </c>
      <c r="I1231">
        <v>4</v>
      </c>
      <c r="J1231" t="s">
        <v>51</v>
      </c>
      <c r="K1231">
        <v>6347</v>
      </c>
      <c r="L1231">
        <v>0</v>
      </c>
      <c r="M1231" t="s">
        <v>31</v>
      </c>
      <c r="N1231">
        <v>19</v>
      </c>
      <c r="O1231">
        <v>3</v>
      </c>
      <c r="P1231">
        <v>0</v>
      </c>
      <c r="Q1231">
        <v>12</v>
      </c>
      <c r="R1231">
        <v>2</v>
      </c>
      <c r="S1231">
        <v>11</v>
      </c>
      <c r="T1231">
        <v>4</v>
      </c>
      <c r="U1231">
        <v>7</v>
      </c>
      <c r="V1231" t="s">
        <v>52</v>
      </c>
      <c r="W1231" s="2">
        <v>40239</v>
      </c>
      <c r="Y1231" t="s">
        <v>46</v>
      </c>
      <c r="Z1231" t="s">
        <v>47</v>
      </c>
      <c r="AA1231">
        <v>5</v>
      </c>
      <c r="AB1231">
        <v>2</v>
      </c>
      <c r="AC1231" t="s">
        <v>41</v>
      </c>
      <c r="AD1231" t="s">
        <v>42</v>
      </c>
      <c r="AE1231" t="s">
        <v>60</v>
      </c>
      <c r="AF1231" s="3">
        <v>1472</v>
      </c>
      <c r="AG1231" s="3">
        <v>39</v>
      </c>
      <c r="AH1231">
        <v>80</v>
      </c>
      <c r="AI1231">
        <v>8</v>
      </c>
      <c r="AJ1231">
        <v>0</v>
      </c>
      <c r="AL1231">
        <v>0</v>
      </c>
      <c r="AM1231">
        <v>1</v>
      </c>
      <c r="AN1231" t="s">
        <v>768</v>
      </c>
      <c r="AO1231" t="s">
        <v>41</v>
      </c>
    </row>
    <row r="1232" spans="1:41" x14ac:dyDescent="0.25">
      <c r="A1232">
        <v>30</v>
      </c>
      <c r="B1232" t="s">
        <v>81</v>
      </c>
      <c r="C1232" t="s">
        <v>33</v>
      </c>
      <c r="D1232">
        <v>1</v>
      </c>
      <c r="E1232" t="s">
        <v>34</v>
      </c>
      <c r="F1232">
        <v>2</v>
      </c>
      <c r="G1232">
        <v>3</v>
      </c>
      <c r="H1232" t="s">
        <v>78</v>
      </c>
      <c r="I1232">
        <v>3</v>
      </c>
      <c r="J1232" t="s">
        <v>36</v>
      </c>
      <c r="K1232">
        <v>8474</v>
      </c>
      <c r="L1232">
        <v>1</v>
      </c>
      <c r="M1232" t="s">
        <v>41</v>
      </c>
      <c r="N1232">
        <v>22</v>
      </c>
      <c r="O1232">
        <v>4</v>
      </c>
      <c r="P1232">
        <v>0</v>
      </c>
      <c r="Q1232">
        <v>12</v>
      </c>
      <c r="R1232">
        <v>2</v>
      </c>
      <c r="S1232">
        <v>11</v>
      </c>
      <c r="T1232">
        <v>5</v>
      </c>
      <c r="U1232">
        <v>8</v>
      </c>
      <c r="V1232" t="s">
        <v>37</v>
      </c>
      <c r="W1232" s="1" t="s">
        <v>606</v>
      </c>
      <c r="Y1232" t="s">
        <v>46</v>
      </c>
      <c r="Z1232" t="s">
        <v>40</v>
      </c>
      <c r="AA1232">
        <v>4</v>
      </c>
      <c r="AB1232">
        <v>2</v>
      </c>
      <c r="AC1232" t="s">
        <v>41</v>
      </c>
      <c r="AD1232" t="s">
        <v>48</v>
      </c>
      <c r="AE1232" t="s">
        <v>60</v>
      </c>
      <c r="AF1232" s="3">
        <v>1453</v>
      </c>
      <c r="AG1232" s="3">
        <v>31</v>
      </c>
      <c r="AH1232">
        <v>80</v>
      </c>
      <c r="AI1232">
        <v>7</v>
      </c>
      <c r="AJ1232">
        <v>0</v>
      </c>
      <c r="AL1232">
        <v>0</v>
      </c>
      <c r="AM1232">
        <v>1</v>
      </c>
      <c r="AN1232" t="s">
        <v>768</v>
      </c>
      <c r="AO1232" t="s">
        <v>41</v>
      </c>
    </row>
    <row r="1233" spans="1:41" x14ac:dyDescent="0.25">
      <c r="A1233">
        <v>29</v>
      </c>
      <c r="B1233" t="s">
        <v>66</v>
      </c>
      <c r="C1233" t="s">
        <v>55</v>
      </c>
      <c r="D1233">
        <v>1</v>
      </c>
      <c r="E1233" t="s">
        <v>61</v>
      </c>
      <c r="F1233">
        <v>3</v>
      </c>
      <c r="G1233">
        <v>3</v>
      </c>
      <c r="H1233" t="s">
        <v>70</v>
      </c>
      <c r="I1233">
        <v>4</v>
      </c>
      <c r="J1233" t="s">
        <v>51</v>
      </c>
      <c r="K1233">
        <v>7918</v>
      </c>
      <c r="L1233">
        <v>1</v>
      </c>
      <c r="M1233" t="s">
        <v>41</v>
      </c>
      <c r="N1233">
        <v>14</v>
      </c>
      <c r="O1233">
        <v>3</v>
      </c>
      <c r="P1233">
        <v>1</v>
      </c>
      <c r="Q1233">
        <v>11</v>
      </c>
      <c r="R1233">
        <v>5</v>
      </c>
      <c r="S1233">
        <v>11</v>
      </c>
      <c r="T1233">
        <v>4</v>
      </c>
      <c r="U1233">
        <v>1</v>
      </c>
      <c r="V1233" t="s">
        <v>52</v>
      </c>
      <c r="W1233" s="1" t="s">
        <v>607</v>
      </c>
      <c r="Y1233" t="s">
        <v>54</v>
      </c>
      <c r="Z1233" t="s">
        <v>40</v>
      </c>
      <c r="AA1233">
        <v>3</v>
      </c>
      <c r="AB1233">
        <v>3</v>
      </c>
      <c r="AC1233" t="s">
        <v>31</v>
      </c>
      <c r="AD1233" t="s">
        <v>48</v>
      </c>
      <c r="AE1233" t="s">
        <v>49</v>
      </c>
      <c r="AF1233" s="3">
        <v>1754</v>
      </c>
      <c r="AG1233" s="3">
        <v>94</v>
      </c>
      <c r="AH1233">
        <v>80</v>
      </c>
      <c r="AI1233">
        <v>7</v>
      </c>
      <c r="AJ1233">
        <v>0</v>
      </c>
      <c r="AL1233">
        <v>0</v>
      </c>
      <c r="AM1233">
        <v>1</v>
      </c>
      <c r="AN1233" t="s">
        <v>768</v>
      </c>
      <c r="AO1233" t="s">
        <v>41</v>
      </c>
    </row>
    <row r="1234" spans="1:41" x14ac:dyDescent="0.25">
      <c r="A1234">
        <v>34</v>
      </c>
      <c r="B1234" t="s">
        <v>32</v>
      </c>
      <c r="C1234" t="s">
        <v>33</v>
      </c>
      <c r="D1234">
        <v>2</v>
      </c>
      <c r="E1234" t="s">
        <v>34</v>
      </c>
      <c r="F1234">
        <v>2</v>
      </c>
      <c r="G1234">
        <v>2</v>
      </c>
      <c r="H1234" t="s">
        <v>78</v>
      </c>
      <c r="I1234">
        <v>1</v>
      </c>
      <c r="J1234" t="s">
        <v>51</v>
      </c>
      <c r="K1234">
        <v>5957</v>
      </c>
      <c r="L1234">
        <v>6</v>
      </c>
      <c r="M1234" t="s">
        <v>41</v>
      </c>
      <c r="N1234">
        <v>13</v>
      </c>
      <c r="O1234">
        <v>3</v>
      </c>
      <c r="P1234">
        <v>1</v>
      </c>
      <c r="Q1234">
        <v>13</v>
      </c>
      <c r="R1234">
        <v>3</v>
      </c>
      <c r="S1234">
        <v>11</v>
      </c>
      <c r="T1234">
        <v>5</v>
      </c>
      <c r="U1234">
        <v>9</v>
      </c>
      <c r="V1234" t="s">
        <v>72</v>
      </c>
      <c r="W1234" s="1" t="s">
        <v>608</v>
      </c>
      <c r="Y1234" t="s">
        <v>46</v>
      </c>
      <c r="Z1234" t="s">
        <v>40</v>
      </c>
      <c r="AA1234">
        <v>3</v>
      </c>
      <c r="AB1234">
        <v>2</v>
      </c>
      <c r="AC1234" t="s">
        <v>31</v>
      </c>
      <c r="AD1234" t="s">
        <v>48</v>
      </c>
      <c r="AE1234" t="s">
        <v>60</v>
      </c>
      <c r="AF1234" s="3">
        <v>2037</v>
      </c>
      <c r="AG1234" s="3">
        <v>57</v>
      </c>
      <c r="AH1234">
        <v>80</v>
      </c>
      <c r="AI1234">
        <v>4</v>
      </c>
      <c r="AJ1234">
        <v>0</v>
      </c>
      <c r="AL1234">
        <v>0</v>
      </c>
      <c r="AM1234">
        <v>1</v>
      </c>
      <c r="AN1234" t="s">
        <v>768</v>
      </c>
      <c r="AO1234" t="s">
        <v>41</v>
      </c>
    </row>
    <row r="1235" spans="1:41" x14ac:dyDescent="0.25">
      <c r="A1235">
        <v>35</v>
      </c>
      <c r="B1235" t="s">
        <v>32</v>
      </c>
      <c r="C1235" t="s">
        <v>55</v>
      </c>
      <c r="D1235">
        <v>16</v>
      </c>
      <c r="E1235" t="s">
        <v>34</v>
      </c>
      <c r="F1235">
        <v>3</v>
      </c>
      <c r="G1235">
        <v>3</v>
      </c>
      <c r="H1235" t="s">
        <v>70</v>
      </c>
      <c r="I1235">
        <v>2</v>
      </c>
      <c r="J1235" t="s">
        <v>51</v>
      </c>
      <c r="K1235">
        <v>8020</v>
      </c>
      <c r="L1235">
        <v>0</v>
      </c>
      <c r="M1235" t="s">
        <v>41</v>
      </c>
      <c r="N1235">
        <v>15</v>
      </c>
      <c r="O1235">
        <v>3</v>
      </c>
      <c r="P1235">
        <v>2</v>
      </c>
      <c r="Q1235">
        <v>12</v>
      </c>
      <c r="R1235">
        <v>3</v>
      </c>
      <c r="S1235">
        <v>11</v>
      </c>
      <c r="T1235">
        <v>6</v>
      </c>
      <c r="U1235">
        <v>9</v>
      </c>
      <c r="V1235" t="s">
        <v>52</v>
      </c>
      <c r="W1235" s="1" t="s">
        <v>609</v>
      </c>
      <c r="Y1235" t="s">
        <v>63</v>
      </c>
      <c r="Z1235" t="s">
        <v>47</v>
      </c>
      <c r="AA1235">
        <v>1</v>
      </c>
      <c r="AB1235">
        <v>3</v>
      </c>
      <c r="AC1235" t="s">
        <v>31</v>
      </c>
      <c r="AD1235" t="s">
        <v>67</v>
      </c>
      <c r="AE1235" t="s">
        <v>49</v>
      </c>
      <c r="AF1235" s="3">
        <v>1951</v>
      </c>
      <c r="AG1235" s="3">
        <v>39</v>
      </c>
      <c r="AH1235">
        <v>80</v>
      </c>
      <c r="AI1235">
        <v>7</v>
      </c>
      <c r="AJ1235">
        <v>0</v>
      </c>
      <c r="AL1235">
        <v>0</v>
      </c>
      <c r="AM1235">
        <v>1</v>
      </c>
      <c r="AN1235" t="s">
        <v>768</v>
      </c>
      <c r="AO1235" t="s">
        <v>41</v>
      </c>
    </row>
    <row r="1236" spans="1:41" x14ac:dyDescent="0.25">
      <c r="A1236">
        <v>38</v>
      </c>
      <c r="B1236" t="s">
        <v>32</v>
      </c>
      <c r="C1236" t="s">
        <v>33</v>
      </c>
      <c r="D1236">
        <v>15</v>
      </c>
      <c r="E1236" t="s">
        <v>34</v>
      </c>
      <c r="F1236">
        <v>2</v>
      </c>
      <c r="G1236">
        <v>3</v>
      </c>
      <c r="H1236" t="s">
        <v>50</v>
      </c>
      <c r="I1236">
        <v>4</v>
      </c>
      <c r="J1236" t="s">
        <v>57</v>
      </c>
      <c r="K1236">
        <v>11510</v>
      </c>
      <c r="L1236">
        <v>0</v>
      </c>
      <c r="M1236" t="s">
        <v>31</v>
      </c>
      <c r="N1236">
        <v>14</v>
      </c>
      <c r="O1236">
        <v>3</v>
      </c>
      <c r="P1236">
        <v>1</v>
      </c>
      <c r="Q1236">
        <v>12</v>
      </c>
      <c r="R1236">
        <v>3</v>
      </c>
      <c r="S1236">
        <v>11</v>
      </c>
      <c r="T1236">
        <v>2</v>
      </c>
      <c r="U1236">
        <v>9</v>
      </c>
      <c r="V1236" t="s">
        <v>37</v>
      </c>
      <c r="W1236" s="1" t="s">
        <v>610</v>
      </c>
      <c r="Y1236" t="s">
        <v>63</v>
      </c>
      <c r="Z1236" t="s">
        <v>47</v>
      </c>
      <c r="AA1236">
        <v>1</v>
      </c>
      <c r="AB1236">
        <v>3</v>
      </c>
      <c r="AC1236" t="s">
        <v>41</v>
      </c>
      <c r="AD1236" t="s">
        <v>42</v>
      </c>
      <c r="AE1236" t="s">
        <v>60</v>
      </c>
      <c r="AF1236" s="3">
        <v>1497</v>
      </c>
      <c r="AG1236" s="3">
        <v>77</v>
      </c>
      <c r="AH1236">
        <v>80</v>
      </c>
      <c r="AI1236">
        <v>7</v>
      </c>
      <c r="AJ1236">
        <v>0</v>
      </c>
      <c r="AL1236">
        <v>0</v>
      </c>
      <c r="AM1236">
        <v>1</v>
      </c>
      <c r="AN1236" t="s">
        <v>768</v>
      </c>
      <c r="AO1236" t="s">
        <v>41</v>
      </c>
    </row>
    <row r="1237" spans="1:41" x14ac:dyDescent="0.25">
      <c r="A1237">
        <v>31</v>
      </c>
      <c r="B1237" t="s">
        <v>32</v>
      </c>
      <c r="C1237" t="s">
        <v>33</v>
      </c>
      <c r="D1237">
        <v>7</v>
      </c>
      <c r="E1237" t="s">
        <v>61</v>
      </c>
      <c r="F1237">
        <v>3</v>
      </c>
      <c r="G1237">
        <v>3</v>
      </c>
      <c r="H1237" t="s">
        <v>78</v>
      </c>
      <c r="I1237">
        <v>4</v>
      </c>
      <c r="J1237" t="s">
        <v>36</v>
      </c>
      <c r="K1237">
        <v>7143</v>
      </c>
      <c r="L1237">
        <v>1</v>
      </c>
      <c r="M1237" t="s">
        <v>31</v>
      </c>
      <c r="N1237">
        <v>14</v>
      </c>
      <c r="O1237">
        <v>3</v>
      </c>
      <c r="P1237">
        <v>0</v>
      </c>
      <c r="Q1237">
        <v>11</v>
      </c>
      <c r="R1237">
        <v>2</v>
      </c>
      <c r="S1237">
        <v>11</v>
      </c>
      <c r="T1237">
        <v>4</v>
      </c>
      <c r="U1237">
        <v>10</v>
      </c>
      <c r="V1237" t="s">
        <v>72</v>
      </c>
      <c r="W1237" s="1" t="s">
        <v>611</v>
      </c>
      <c r="Y1237" t="s">
        <v>46</v>
      </c>
      <c r="Z1237" t="s">
        <v>47</v>
      </c>
      <c r="AA1237">
        <v>4</v>
      </c>
      <c r="AB1237">
        <v>3</v>
      </c>
      <c r="AC1237" t="s">
        <v>31</v>
      </c>
      <c r="AD1237" t="s">
        <v>65</v>
      </c>
      <c r="AE1237" t="s">
        <v>49</v>
      </c>
      <c r="AF1237" s="3">
        <v>1670</v>
      </c>
      <c r="AG1237" s="3">
        <v>93</v>
      </c>
      <c r="AH1237">
        <v>80</v>
      </c>
      <c r="AI1237">
        <v>2</v>
      </c>
      <c r="AJ1237">
        <v>0</v>
      </c>
      <c r="AL1237">
        <v>0</v>
      </c>
      <c r="AM1237">
        <v>1</v>
      </c>
      <c r="AN1237" t="s">
        <v>768</v>
      </c>
      <c r="AO1237" t="s">
        <v>41</v>
      </c>
    </row>
    <row r="1238" spans="1:41" x14ac:dyDescent="0.25">
      <c r="A1238">
        <v>30</v>
      </c>
      <c r="B1238" t="s">
        <v>81</v>
      </c>
      <c r="C1238" t="s">
        <v>33</v>
      </c>
      <c r="D1238">
        <v>2</v>
      </c>
      <c r="E1238" t="s">
        <v>61</v>
      </c>
      <c r="F1238">
        <v>3</v>
      </c>
      <c r="G1238">
        <v>1</v>
      </c>
      <c r="H1238" t="s">
        <v>35</v>
      </c>
      <c r="I1238">
        <v>4</v>
      </c>
      <c r="J1238" t="s">
        <v>36</v>
      </c>
      <c r="K1238">
        <v>2564</v>
      </c>
      <c r="L1238">
        <v>0</v>
      </c>
      <c r="M1238" t="s">
        <v>41</v>
      </c>
      <c r="N1238">
        <v>14</v>
      </c>
      <c r="O1238">
        <v>3</v>
      </c>
      <c r="P1238">
        <v>0</v>
      </c>
      <c r="Q1238">
        <v>12</v>
      </c>
      <c r="R1238">
        <v>2</v>
      </c>
      <c r="S1238">
        <v>11</v>
      </c>
      <c r="T1238">
        <v>6</v>
      </c>
      <c r="U1238">
        <v>7</v>
      </c>
      <c r="V1238" t="s">
        <v>37</v>
      </c>
      <c r="W1238" s="1" t="s">
        <v>612</v>
      </c>
      <c r="Y1238" t="s">
        <v>54</v>
      </c>
      <c r="Z1238" t="s">
        <v>47</v>
      </c>
      <c r="AA1238">
        <v>0</v>
      </c>
      <c r="AB1238">
        <v>0</v>
      </c>
      <c r="AC1238" t="s">
        <v>41</v>
      </c>
      <c r="AD1238" t="s">
        <v>67</v>
      </c>
      <c r="AE1238" t="s">
        <v>43</v>
      </c>
      <c r="AF1238" s="3">
        <v>1466</v>
      </c>
      <c r="AG1238" s="3">
        <v>96</v>
      </c>
      <c r="AH1238">
        <v>80</v>
      </c>
      <c r="AI1238">
        <v>2</v>
      </c>
      <c r="AJ1238">
        <v>0</v>
      </c>
      <c r="AL1238">
        <v>0</v>
      </c>
      <c r="AM1238">
        <v>1</v>
      </c>
      <c r="AN1238" t="s">
        <v>768</v>
      </c>
      <c r="AO1238" t="s">
        <v>41</v>
      </c>
    </row>
    <row r="1239" spans="1:41" x14ac:dyDescent="0.25">
      <c r="A1239">
        <v>35</v>
      </c>
      <c r="B1239" t="s">
        <v>32</v>
      </c>
      <c r="C1239" t="s">
        <v>55</v>
      </c>
      <c r="D1239">
        <v>1</v>
      </c>
      <c r="E1239" t="s">
        <v>34</v>
      </c>
      <c r="F1239">
        <v>3</v>
      </c>
      <c r="G1239">
        <v>2</v>
      </c>
      <c r="H1239" t="s">
        <v>70</v>
      </c>
      <c r="I1239">
        <v>3</v>
      </c>
      <c r="J1239" t="s">
        <v>51</v>
      </c>
      <c r="K1239">
        <v>4717</v>
      </c>
      <c r="L1239">
        <v>9</v>
      </c>
      <c r="M1239" t="s">
        <v>41</v>
      </c>
      <c r="N1239">
        <v>11</v>
      </c>
      <c r="O1239">
        <v>3</v>
      </c>
      <c r="P1239">
        <v>0</v>
      </c>
      <c r="Q1239">
        <v>15</v>
      </c>
      <c r="R1239">
        <v>2</v>
      </c>
      <c r="S1239">
        <v>11</v>
      </c>
      <c r="T1239">
        <v>6</v>
      </c>
      <c r="U1239">
        <v>9</v>
      </c>
      <c r="V1239" t="s">
        <v>72</v>
      </c>
      <c r="W1239" s="1" t="s">
        <v>613</v>
      </c>
      <c r="Y1239" t="s">
        <v>69</v>
      </c>
      <c r="Z1239" t="s">
        <v>40</v>
      </c>
      <c r="AA1239">
        <v>5</v>
      </c>
      <c r="AB1239">
        <v>1</v>
      </c>
      <c r="AC1239" t="s">
        <v>41</v>
      </c>
      <c r="AD1239" t="s">
        <v>42</v>
      </c>
      <c r="AE1239" t="s">
        <v>43</v>
      </c>
      <c r="AF1239" s="3">
        <v>1548</v>
      </c>
      <c r="AG1239" s="3">
        <v>47</v>
      </c>
      <c r="AH1239">
        <v>80</v>
      </c>
      <c r="AI1239">
        <v>4</v>
      </c>
      <c r="AJ1239">
        <v>0</v>
      </c>
      <c r="AL1239">
        <v>0</v>
      </c>
      <c r="AM1239">
        <v>1</v>
      </c>
      <c r="AN1239" t="s">
        <v>768</v>
      </c>
      <c r="AO1239" t="s">
        <v>41</v>
      </c>
    </row>
    <row r="1240" spans="1:41" x14ac:dyDescent="0.25">
      <c r="A1240">
        <v>36</v>
      </c>
      <c r="B1240" t="s">
        <v>32</v>
      </c>
      <c r="C1240" t="s">
        <v>33</v>
      </c>
      <c r="D1240">
        <v>2</v>
      </c>
      <c r="E1240" t="s">
        <v>34</v>
      </c>
      <c r="F1240">
        <v>3</v>
      </c>
      <c r="G1240">
        <v>1</v>
      </c>
      <c r="H1240" t="s">
        <v>35</v>
      </c>
      <c r="I1240">
        <v>3</v>
      </c>
      <c r="J1240" t="s">
        <v>36</v>
      </c>
      <c r="K1240">
        <v>2519</v>
      </c>
      <c r="L1240">
        <v>4</v>
      </c>
      <c r="M1240" t="s">
        <v>41</v>
      </c>
      <c r="N1240">
        <v>21</v>
      </c>
      <c r="O1240">
        <v>4</v>
      </c>
      <c r="P1240">
        <v>0</v>
      </c>
      <c r="Q1240">
        <v>16</v>
      </c>
      <c r="R1240">
        <v>6</v>
      </c>
      <c r="S1240">
        <v>11</v>
      </c>
      <c r="T1240">
        <v>3</v>
      </c>
      <c r="U1240">
        <v>9</v>
      </c>
      <c r="V1240" t="s">
        <v>37</v>
      </c>
      <c r="W1240" s="1" t="s">
        <v>614</v>
      </c>
      <c r="Y1240" t="s">
        <v>69</v>
      </c>
      <c r="Z1240" t="s">
        <v>40</v>
      </c>
      <c r="AA1240">
        <v>0</v>
      </c>
      <c r="AB1240">
        <v>3</v>
      </c>
      <c r="AC1240" t="s">
        <v>41</v>
      </c>
      <c r="AD1240" t="s">
        <v>65</v>
      </c>
      <c r="AE1240" t="s">
        <v>49</v>
      </c>
      <c r="AF1240" s="3">
        <v>1560</v>
      </c>
      <c r="AG1240" s="3">
        <v>46</v>
      </c>
      <c r="AH1240">
        <v>80</v>
      </c>
      <c r="AI1240">
        <v>2</v>
      </c>
      <c r="AJ1240">
        <v>0</v>
      </c>
      <c r="AL1240">
        <v>0</v>
      </c>
      <c r="AM1240">
        <v>1</v>
      </c>
      <c r="AN1240" t="s">
        <v>768</v>
      </c>
      <c r="AO1240" t="s">
        <v>41</v>
      </c>
    </row>
    <row r="1241" spans="1:41" x14ac:dyDescent="0.25">
      <c r="A1241">
        <v>40</v>
      </c>
      <c r="B1241" t="s">
        <v>32</v>
      </c>
      <c r="C1241" t="s">
        <v>33</v>
      </c>
      <c r="D1241">
        <v>20</v>
      </c>
      <c r="E1241" t="s">
        <v>34</v>
      </c>
      <c r="F1241">
        <v>3</v>
      </c>
      <c r="G1241">
        <v>3</v>
      </c>
      <c r="H1241" t="s">
        <v>89</v>
      </c>
      <c r="I1241">
        <v>4</v>
      </c>
      <c r="J1241" t="s">
        <v>51</v>
      </c>
      <c r="K1241">
        <v>10322</v>
      </c>
      <c r="L1241">
        <v>4</v>
      </c>
      <c r="M1241" t="s">
        <v>41</v>
      </c>
      <c r="N1241">
        <v>20</v>
      </c>
      <c r="O1241">
        <v>4</v>
      </c>
      <c r="P1241">
        <v>1</v>
      </c>
      <c r="Q1241">
        <v>14</v>
      </c>
      <c r="R1241">
        <v>6</v>
      </c>
      <c r="S1241">
        <v>11</v>
      </c>
      <c r="T1241">
        <v>11</v>
      </c>
      <c r="U1241">
        <v>1</v>
      </c>
      <c r="V1241" t="s">
        <v>72</v>
      </c>
      <c r="W1241" s="2">
        <v>40365</v>
      </c>
      <c r="Y1241" t="s">
        <v>39</v>
      </c>
      <c r="Z1241" t="s">
        <v>47</v>
      </c>
      <c r="AA1241">
        <v>3</v>
      </c>
      <c r="AB1241">
        <v>3</v>
      </c>
      <c r="AC1241" t="s">
        <v>31</v>
      </c>
      <c r="AD1241" t="s">
        <v>67</v>
      </c>
      <c r="AE1241" t="s">
        <v>43</v>
      </c>
      <c r="AF1241" s="3">
        <v>1996</v>
      </c>
      <c r="AG1241" s="3">
        <v>54</v>
      </c>
      <c r="AH1241">
        <v>80</v>
      </c>
      <c r="AI1241">
        <v>2</v>
      </c>
      <c r="AJ1241">
        <v>0</v>
      </c>
      <c r="AL1241">
        <v>0</v>
      </c>
      <c r="AM1241">
        <v>1</v>
      </c>
      <c r="AN1241" t="s">
        <v>768</v>
      </c>
      <c r="AO1241" t="s">
        <v>41</v>
      </c>
    </row>
    <row r="1242" spans="1:41" x14ac:dyDescent="0.25">
      <c r="A1242">
        <v>36</v>
      </c>
      <c r="B1242" t="s">
        <v>81</v>
      </c>
      <c r="C1242" t="s">
        <v>33</v>
      </c>
      <c r="D1242">
        <v>18</v>
      </c>
      <c r="E1242" t="s">
        <v>34</v>
      </c>
      <c r="F1242">
        <v>3</v>
      </c>
      <c r="G1242">
        <v>2</v>
      </c>
      <c r="H1242" t="s">
        <v>78</v>
      </c>
      <c r="I1242">
        <v>4</v>
      </c>
      <c r="J1242" t="s">
        <v>36</v>
      </c>
      <c r="K1242">
        <v>7779</v>
      </c>
      <c r="L1242">
        <v>2</v>
      </c>
      <c r="M1242" t="s">
        <v>41</v>
      </c>
      <c r="N1242">
        <v>20</v>
      </c>
      <c r="O1242">
        <v>4</v>
      </c>
      <c r="P1242">
        <v>0</v>
      </c>
      <c r="Q1242">
        <v>18</v>
      </c>
      <c r="R1242">
        <v>0</v>
      </c>
      <c r="S1242">
        <v>11</v>
      </c>
      <c r="T1242">
        <v>0</v>
      </c>
      <c r="U1242">
        <v>9</v>
      </c>
      <c r="V1242" t="s">
        <v>52</v>
      </c>
      <c r="W1242" s="1" t="s">
        <v>615</v>
      </c>
      <c r="Y1242" t="s">
        <v>63</v>
      </c>
      <c r="Z1242" t="s">
        <v>47</v>
      </c>
      <c r="AA1242">
        <v>4</v>
      </c>
      <c r="AB1242">
        <v>3</v>
      </c>
      <c r="AC1242" t="s">
        <v>41</v>
      </c>
      <c r="AD1242" t="s">
        <v>48</v>
      </c>
      <c r="AE1242" t="s">
        <v>60</v>
      </c>
      <c r="AF1242" s="3">
        <v>1749</v>
      </c>
      <c r="AG1242" s="3">
        <v>51</v>
      </c>
      <c r="AH1242">
        <v>80</v>
      </c>
      <c r="AI1242">
        <v>2</v>
      </c>
      <c r="AJ1242">
        <v>0</v>
      </c>
      <c r="AL1242">
        <v>0</v>
      </c>
      <c r="AM1242">
        <v>1</v>
      </c>
      <c r="AN1242" t="s">
        <v>768</v>
      </c>
      <c r="AO1242" t="s">
        <v>41</v>
      </c>
    </row>
    <row r="1243" spans="1:41" x14ac:dyDescent="0.25">
      <c r="A1243">
        <v>29</v>
      </c>
      <c r="B1243" t="s">
        <v>32</v>
      </c>
      <c r="C1243" t="s">
        <v>55</v>
      </c>
      <c r="D1243">
        <v>23</v>
      </c>
      <c r="E1243" t="s">
        <v>61</v>
      </c>
      <c r="F1243">
        <v>2</v>
      </c>
      <c r="G1243">
        <v>3</v>
      </c>
      <c r="H1243" t="s">
        <v>70</v>
      </c>
      <c r="I1243">
        <v>1</v>
      </c>
      <c r="J1243" t="s">
        <v>51</v>
      </c>
      <c r="K1243">
        <v>7336</v>
      </c>
      <c r="L1243">
        <v>1</v>
      </c>
      <c r="M1243" t="s">
        <v>41</v>
      </c>
      <c r="N1243">
        <v>13</v>
      </c>
      <c r="O1243">
        <v>3</v>
      </c>
      <c r="P1243">
        <v>1</v>
      </c>
      <c r="Q1243">
        <v>11</v>
      </c>
      <c r="R1243">
        <v>3</v>
      </c>
      <c r="S1243">
        <v>11</v>
      </c>
      <c r="T1243">
        <v>3</v>
      </c>
      <c r="U1243">
        <v>10</v>
      </c>
      <c r="V1243" t="s">
        <v>72</v>
      </c>
      <c r="W1243" s="1" t="s">
        <v>616</v>
      </c>
      <c r="Y1243" t="s">
        <v>46</v>
      </c>
      <c r="Z1243" t="s">
        <v>47</v>
      </c>
      <c r="AA1243">
        <v>3</v>
      </c>
      <c r="AB1243">
        <v>2</v>
      </c>
      <c r="AC1243" t="s">
        <v>31</v>
      </c>
      <c r="AD1243" t="s">
        <v>67</v>
      </c>
      <c r="AE1243" t="s">
        <v>49</v>
      </c>
      <c r="AF1243" s="3">
        <v>2013</v>
      </c>
      <c r="AG1243" s="3">
        <v>68</v>
      </c>
      <c r="AH1243">
        <v>80</v>
      </c>
      <c r="AI1243">
        <v>2</v>
      </c>
      <c r="AJ1243">
        <v>0</v>
      </c>
      <c r="AL1243">
        <v>0</v>
      </c>
      <c r="AM1243">
        <v>1</v>
      </c>
      <c r="AN1243" t="s">
        <v>768</v>
      </c>
      <c r="AO1243" t="s">
        <v>41</v>
      </c>
    </row>
    <row r="1244" spans="1:41" x14ac:dyDescent="0.25">
      <c r="A1244">
        <v>60</v>
      </c>
      <c r="B1244" t="s">
        <v>32</v>
      </c>
      <c r="C1244" t="s">
        <v>55</v>
      </c>
      <c r="D1244">
        <v>7</v>
      </c>
      <c r="E1244" t="s">
        <v>34</v>
      </c>
      <c r="F1244">
        <v>4</v>
      </c>
      <c r="G1244">
        <v>2</v>
      </c>
      <c r="H1244" t="s">
        <v>70</v>
      </c>
      <c r="I1244">
        <v>4</v>
      </c>
      <c r="J1244" t="s">
        <v>57</v>
      </c>
      <c r="K1244">
        <v>5220</v>
      </c>
      <c r="L1244">
        <v>0</v>
      </c>
      <c r="M1244" t="s">
        <v>31</v>
      </c>
      <c r="N1244">
        <v>18</v>
      </c>
      <c r="O1244">
        <v>3</v>
      </c>
      <c r="P1244">
        <v>1</v>
      </c>
      <c r="Q1244">
        <v>12</v>
      </c>
      <c r="R1244">
        <v>3</v>
      </c>
      <c r="S1244">
        <v>11</v>
      </c>
      <c r="T1244">
        <v>1</v>
      </c>
      <c r="U1244">
        <v>9</v>
      </c>
      <c r="V1244" t="s">
        <v>52</v>
      </c>
      <c r="W1244" s="1" t="s">
        <v>617</v>
      </c>
      <c r="Y1244" t="s">
        <v>63</v>
      </c>
      <c r="Z1244" t="s">
        <v>47</v>
      </c>
      <c r="AA1244">
        <v>3</v>
      </c>
      <c r="AB1244">
        <v>1</v>
      </c>
      <c r="AC1244" t="s">
        <v>41</v>
      </c>
      <c r="AD1244" t="s">
        <v>67</v>
      </c>
      <c r="AE1244" t="s">
        <v>60</v>
      </c>
      <c r="AF1244" s="3">
        <v>1945</v>
      </c>
      <c r="AG1244" s="3">
        <v>71</v>
      </c>
      <c r="AH1244">
        <v>80</v>
      </c>
      <c r="AI1244">
        <v>3</v>
      </c>
      <c r="AJ1244">
        <v>0</v>
      </c>
      <c r="AL1244">
        <v>0</v>
      </c>
      <c r="AM1244">
        <v>1</v>
      </c>
      <c r="AN1244" t="s">
        <v>768</v>
      </c>
      <c r="AO1244" t="s">
        <v>41</v>
      </c>
    </row>
    <row r="1245" spans="1:41" x14ac:dyDescent="0.25">
      <c r="A1245">
        <v>30</v>
      </c>
      <c r="B1245" t="s">
        <v>32</v>
      </c>
      <c r="C1245" t="s">
        <v>33</v>
      </c>
      <c r="D1245">
        <v>1</v>
      </c>
      <c r="E1245" t="s">
        <v>34</v>
      </c>
      <c r="F1245">
        <v>3</v>
      </c>
      <c r="G1245">
        <v>1</v>
      </c>
      <c r="H1245" t="s">
        <v>44</v>
      </c>
      <c r="I1245">
        <v>2</v>
      </c>
      <c r="J1245" t="s">
        <v>51</v>
      </c>
      <c r="K1245">
        <v>3579</v>
      </c>
      <c r="L1245">
        <v>0</v>
      </c>
      <c r="M1245" t="s">
        <v>31</v>
      </c>
      <c r="N1245">
        <v>21</v>
      </c>
      <c r="O1245">
        <v>4</v>
      </c>
      <c r="P1245">
        <v>1</v>
      </c>
      <c r="Q1245">
        <v>12</v>
      </c>
      <c r="R1245">
        <v>2</v>
      </c>
      <c r="S1245">
        <v>11</v>
      </c>
      <c r="T1245">
        <v>5</v>
      </c>
      <c r="U1245">
        <v>7</v>
      </c>
      <c r="V1245" t="s">
        <v>72</v>
      </c>
      <c r="W1245" s="2">
        <v>40513</v>
      </c>
      <c r="Y1245" t="s">
        <v>54</v>
      </c>
      <c r="Z1245" t="s">
        <v>40</v>
      </c>
      <c r="AA1245">
        <v>0</v>
      </c>
      <c r="AB1245">
        <v>1</v>
      </c>
      <c r="AC1245" t="s">
        <v>41</v>
      </c>
      <c r="AD1245" t="s">
        <v>42</v>
      </c>
      <c r="AE1245" t="s">
        <v>49</v>
      </c>
      <c r="AF1245" s="3">
        <v>1568</v>
      </c>
      <c r="AG1245" s="3">
        <v>33</v>
      </c>
      <c r="AH1245">
        <v>80</v>
      </c>
      <c r="AI1245">
        <v>2</v>
      </c>
      <c r="AJ1245">
        <v>0</v>
      </c>
      <c r="AL1245">
        <v>0</v>
      </c>
      <c r="AM1245">
        <v>1</v>
      </c>
      <c r="AN1245" t="s">
        <v>768</v>
      </c>
      <c r="AO1245" t="s">
        <v>41</v>
      </c>
    </row>
    <row r="1246" spans="1:41" x14ac:dyDescent="0.25">
      <c r="A1246">
        <v>36</v>
      </c>
      <c r="B1246" t="s">
        <v>66</v>
      </c>
      <c r="C1246" t="s">
        <v>33</v>
      </c>
      <c r="D1246">
        <v>3</v>
      </c>
      <c r="E1246" t="s">
        <v>34</v>
      </c>
      <c r="F1246">
        <v>3</v>
      </c>
      <c r="G1246">
        <v>1</v>
      </c>
      <c r="H1246" t="s">
        <v>44</v>
      </c>
      <c r="I1246">
        <v>2</v>
      </c>
      <c r="J1246" t="s">
        <v>51</v>
      </c>
      <c r="K1246">
        <v>3692</v>
      </c>
      <c r="L1246">
        <v>1</v>
      </c>
      <c r="M1246" t="s">
        <v>41</v>
      </c>
      <c r="N1246">
        <v>12</v>
      </c>
      <c r="O1246">
        <v>3</v>
      </c>
      <c r="P1246">
        <v>0</v>
      </c>
      <c r="Q1246">
        <v>12</v>
      </c>
      <c r="R1246">
        <v>2</v>
      </c>
      <c r="S1246">
        <v>11</v>
      </c>
      <c r="T1246">
        <v>0</v>
      </c>
      <c r="U1246">
        <v>7</v>
      </c>
      <c r="V1246" t="s">
        <v>52</v>
      </c>
      <c r="W1246" s="1" t="s">
        <v>618</v>
      </c>
      <c r="Y1246" t="s">
        <v>39</v>
      </c>
      <c r="Z1246" t="s">
        <v>47</v>
      </c>
      <c r="AA1246">
        <v>4</v>
      </c>
      <c r="AB1246">
        <v>3</v>
      </c>
      <c r="AC1246" t="s">
        <v>31</v>
      </c>
      <c r="AD1246" t="s">
        <v>67</v>
      </c>
      <c r="AE1246" t="s">
        <v>49</v>
      </c>
      <c r="AF1246" s="3">
        <v>1582</v>
      </c>
      <c r="AG1246" s="3">
        <v>80</v>
      </c>
      <c r="AH1246">
        <v>80</v>
      </c>
      <c r="AI1246">
        <v>8</v>
      </c>
      <c r="AJ1246">
        <v>0</v>
      </c>
      <c r="AL1246">
        <v>0</v>
      </c>
      <c r="AM1246">
        <v>1</v>
      </c>
      <c r="AN1246" t="s">
        <v>768</v>
      </c>
      <c r="AO1246" t="s">
        <v>41</v>
      </c>
    </row>
    <row r="1247" spans="1:41" x14ac:dyDescent="0.25">
      <c r="A1247">
        <v>46</v>
      </c>
      <c r="B1247" t="s">
        <v>32</v>
      </c>
      <c r="C1247" t="s">
        <v>55</v>
      </c>
      <c r="D1247">
        <v>4</v>
      </c>
      <c r="E1247" t="s">
        <v>61</v>
      </c>
      <c r="F1247">
        <v>2</v>
      </c>
      <c r="G1247">
        <v>5</v>
      </c>
      <c r="H1247" t="s">
        <v>75</v>
      </c>
      <c r="I1247">
        <v>2</v>
      </c>
      <c r="J1247" t="s">
        <v>51</v>
      </c>
      <c r="K1247">
        <v>18789</v>
      </c>
      <c r="L1247">
        <v>2</v>
      </c>
      <c r="M1247" t="s">
        <v>41</v>
      </c>
      <c r="N1247">
        <v>14</v>
      </c>
      <c r="O1247">
        <v>3</v>
      </c>
      <c r="P1247">
        <v>1</v>
      </c>
      <c r="Q1247">
        <v>26</v>
      </c>
      <c r="R1247">
        <v>2</v>
      </c>
      <c r="S1247">
        <v>11</v>
      </c>
      <c r="T1247">
        <v>0</v>
      </c>
      <c r="U1247">
        <v>8</v>
      </c>
      <c r="V1247" t="s">
        <v>52</v>
      </c>
      <c r="W1247" s="1" t="s">
        <v>619</v>
      </c>
      <c r="Y1247" t="s">
        <v>54</v>
      </c>
      <c r="Z1247" t="s">
        <v>40</v>
      </c>
      <c r="AA1247">
        <v>0</v>
      </c>
      <c r="AB1247">
        <v>2</v>
      </c>
      <c r="AC1247" t="s">
        <v>41</v>
      </c>
      <c r="AD1247" t="s">
        <v>65</v>
      </c>
      <c r="AE1247" t="s">
        <v>49</v>
      </c>
      <c r="AF1247" s="3">
        <v>1739</v>
      </c>
      <c r="AG1247" s="3">
        <v>80</v>
      </c>
      <c r="AH1247">
        <v>80</v>
      </c>
      <c r="AI1247">
        <v>3</v>
      </c>
      <c r="AJ1247">
        <v>0</v>
      </c>
      <c r="AL1247">
        <v>0</v>
      </c>
      <c r="AM1247">
        <v>1</v>
      </c>
      <c r="AN1247" t="s">
        <v>768</v>
      </c>
      <c r="AO1247" t="s">
        <v>41</v>
      </c>
    </row>
    <row r="1248" spans="1:41" x14ac:dyDescent="0.25">
      <c r="A1248">
        <v>34</v>
      </c>
      <c r="B1248" t="s">
        <v>66</v>
      </c>
      <c r="C1248" t="s">
        <v>33</v>
      </c>
      <c r="D1248">
        <v>19</v>
      </c>
      <c r="E1248" t="s">
        <v>61</v>
      </c>
      <c r="F1248">
        <v>3</v>
      </c>
      <c r="G1248">
        <v>2</v>
      </c>
      <c r="H1248" t="s">
        <v>35</v>
      </c>
      <c r="I1248">
        <v>2</v>
      </c>
      <c r="J1248" t="s">
        <v>57</v>
      </c>
      <c r="K1248">
        <v>4444</v>
      </c>
      <c r="L1248">
        <v>4</v>
      </c>
      <c r="M1248" t="s">
        <v>41</v>
      </c>
      <c r="N1248">
        <v>13</v>
      </c>
      <c r="O1248">
        <v>3</v>
      </c>
      <c r="P1248">
        <v>2</v>
      </c>
      <c r="Q1248">
        <v>15</v>
      </c>
      <c r="R1248">
        <v>2</v>
      </c>
      <c r="S1248">
        <v>11</v>
      </c>
      <c r="T1248">
        <v>5</v>
      </c>
      <c r="U1248">
        <v>10</v>
      </c>
      <c r="V1248" t="s">
        <v>52</v>
      </c>
      <c r="W1248" s="1" t="s">
        <v>620</v>
      </c>
      <c r="Y1248" t="s">
        <v>39</v>
      </c>
      <c r="Z1248" t="s">
        <v>47</v>
      </c>
      <c r="AA1248">
        <v>1</v>
      </c>
      <c r="AB1248">
        <v>2</v>
      </c>
      <c r="AC1248" t="s">
        <v>31</v>
      </c>
      <c r="AD1248" t="s">
        <v>42</v>
      </c>
      <c r="AE1248" t="s">
        <v>60</v>
      </c>
      <c r="AF1248" s="3">
        <v>1492</v>
      </c>
      <c r="AG1248" s="3">
        <v>76</v>
      </c>
      <c r="AH1248">
        <v>80</v>
      </c>
      <c r="AI1248">
        <v>0</v>
      </c>
      <c r="AJ1248">
        <v>0</v>
      </c>
      <c r="AL1248">
        <v>0</v>
      </c>
      <c r="AM1248">
        <v>1</v>
      </c>
      <c r="AN1248" t="s">
        <v>768</v>
      </c>
      <c r="AO1248" t="s">
        <v>41</v>
      </c>
    </row>
    <row r="1249" spans="1:41" x14ac:dyDescent="0.25">
      <c r="A1249">
        <v>35</v>
      </c>
      <c r="B1249" t="s">
        <v>32</v>
      </c>
      <c r="C1249" t="s">
        <v>33</v>
      </c>
      <c r="D1249">
        <v>16</v>
      </c>
      <c r="E1249" t="s">
        <v>61</v>
      </c>
      <c r="F1249">
        <v>2</v>
      </c>
      <c r="G1249">
        <v>3</v>
      </c>
      <c r="H1249" t="s">
        <v>89</v>
      </c>
      <c r="I1249">
        <v>2</v>
      </c>
      <c r="J1249" t="s">
        <v>36</v>
      </c>
      <c r="K1249">
        <v>8606</v>
      </c>
      <c r="L1249">
        <v>1</v>
      </c>
      <c r="M1249" t="s">
        <v>41</v>
      </c>
      <c r="N1249">
        <v>19</v>
      </c>
      <c r="O1249">
        <v>3</v>
      </c>
      <c r="P1249">
        <v>0</v>
      </c>
      <c r="Q1249">
        <v>11</v>
      </c>
      <c r="R1249">
        <v>3</v>
      </c>
      <c r="S1249">
        <v>11</v>
      </c>
      <c r="T1249">
        <v>3</v>
      </c>
      <c r="U1249">
        <v>3</v>
      </c>
      <c r="V1249" t="s">
        <v>37</v>
      </c>
      <c r="W1249" s="1" t="s">
        <v>621</v>
      </c>
      <c r="Y1249" t="s">
        <v>46</v>
      </c>
      <c r="Z1249" t="s">
        <v>40</v>
      </c>
      <c r="AA1249">
        <v>5</v>
      </c>
      <c r="AB1249">
        <v>3</v>
      </c>
      <c r="AC1249" t="s">
        <v>31</v>
      </c>
      <c r="AD1249" t="s">
        <v>67</v>
      </c>
      <c r="AE1249" t="s">
        <v>43</v>
      </c>
      <c r="AF1249" s="3">
        <v>1446</v>
      </c>
      <c r="AG1249" s="3">
        <v>97</v>
      </c>
      <c r="AH1249">
        <v>80</v>
      </c>
      <c r="AI1249">
        <v>3</v>
      </c>
      <c r="AJ1249">
        <v>0</v>
      </c>
      <c r="AL1249">
        <v>0</v>
      </c>
      <c r="AM1249">
        <v>1</v>
      </c>
      <c r="AN1249" t="s">
        <v>768</v>
      </c>
      <c r="AO1249" t="s">
        <v>41</v>
      </c>
    </row>
    <row r="1250" spans="1:41" x14ac:dyDescent="0.25">
      <c r="A1250">
        <v>34</v>
      </c>
      <c r="B1250" t="s">
        <v>32</v>
      </c>
      <c r="C1250" t="s">
        <v>55</v>
      </c>
      <c r="D1250">
        <v>7</v>
      </c>
      <c r="E1250" t="s">
        <v>34</v>
      </c>
      <c r="F1250">
        <v>3</v>
      </c>
      <c r="G1250">
        <v>1</v>
      </c>
      <c r="H1250" t="s">
        <v>56</v>
      </c>
      <c r="I1250">
        <v>3</v>
      </c>
      <c r="J1250" t="s">
        <v>51</v>
      </c>
      <c r="K1250">
        <v>2308</v>
      </c>
      <c r="L1250">
        <v>0</v>
      </c>
      <c r="M1250" t="s">
        <v>31</v>
      </c>
      <c r="N1250">
        <v>25</v>
      </c>
      <c r="O1250">
        <v>4</v>
      </c>
      <c r="P1250">
        <v>1</v>
      </c>
      <c r="Q1250">
        <v>12</v>
      </c>
      <c r="R1250">
        <v>4</v>
      </c>
      <c r="S1250">
        <v>11</v>
      </c>
      <c r="T1250">
        <v>5</v>
      </c>
      <c r="U1250">
        <v>7</v>
      </c>
      <c r="V1250" t="s">
        <v>52</v>
      </c>
      <c r="W1250" s="1" t="s">
        <v>622</v>
      </c>
      <c r="Y1250" t="s">
        <v>46</v>
      </c>
      <c r="Z1250" t="s">
        <v>47</v>
      </c>
      <c r="AA1250">
        <v>1</v>
      </c>
      <c r="AB1250">
        <v>2</v>
      </c>
      <c r="AC1250" t="s">
        <v>31</v>
      </c>
      <c r="AD1250" t="s">
        <v>48</v>
      </c>
      <c r="AE1250" t="s">
        <v>60</v>
      </c>
      <c r="AF1250" s="3">
        <v>1588</v>
      </c>
      <c r="AG1250" s="3">
        <v>38</v>
      </c>
      <c r="AH1250">
        <v>80</v>
      </c>
      <c r="AI1250">
        <v>6</v>
      </c>
      <c r="AJ1250">
        <v>0</v>
      </c>
      <c r="AL1250">
        <v>0</v>
      </c>
      <c r="AM1250">
        <v>1</v>
      </c>
      <c r="AN1250" t="s">
        <v>768</v>
      </c>
      <c r="AO1250" t="s">
        <v>41</v>
      </c>
    </row>
    <row r="1251" spans="1:41" x14ac:dyDescent="0.25">
      <c r="A1251">
        <v>34</v>
      </c>
      <c r="B1251" t="s">
        <v>32</v>
      </c>
      <c r="C1251" t="s">
        <v>33</v>
      </c>
      <c r="D1251">
        <v>3</v>
      </c>
      <c r="E1251" t="s">
        <v>61</v>
      </c>
      <c r="F1251">
        <v>3</v>
      </c>
      <c r="G1251">
        <v>2</v>
      </c>
      <c r="H1251" t="s">
        <v>44</v>
      </c>
      <c r="I1251">
        <v>2</v>
      </c>
      <c r="J1251" t="s">
        <v>57</v>
      </c>
      <c r="K1251">
        <v>5433</v>
      </c>
      <c r="L1251">
        <v>1</v>
      </c>
      <c r="M1251" t="s">
        <v>41</v>
      </c>
      <c r="N1251">
        <v>12</v>
      </c>
      <c r="O1251">
        <v>3</v>
      </c>
      <c r="P1251">
        <v>1</v>
      </c>
      <c r="Q1251">
        <v>11</v>
      </c>
      <c r="R1251">
        <v>2</v>
      </c>
      <c r="S1251">
        <v>11</v>
      </c>
      <c r="T1251">
        <v>7</v>
      </c>
      <c r="U1251">
        <v>9</v>
      </c>
      <c r="V1251" t="s">
        <v>72</v>
      </c>
      <c r="W1251" s="1" t="s">
        <v>605</v>
      </c>
      <c r="Y1251" t="s">
        <v>39</v>
      </c>
      <c r="Z1251" t="s">
        <v>47</v>
      </c>
      <c r="AA1251">
        <v>0</v>
      </c>
      <c r="AB1251">
        <v>3</v>
      </c>
      <c r="AC1251" t="s">
        <v>41</v>
      </c>
      <c r="AD1251" t="s">
        <v>42</v>
      </c>
      <c r="AE1251" t="s">
        <v>49</v>
      </c>
      <c r="AF1251" s="3">
        <v>1787</v>
      </c>
      <c r="AG1251" s="3">
        <v>46</v>
      </c>
      <c r="AH1251">
        <v>80</v>
      </c>
      <c r="AI1251">
        <v>2</v>
      </c>
      <c r="AJ1251">
        <v>0</v>
      </c>
      <c r="AL1251">
        <v>0</v>
      </c>
      <c r="AM1251">
        <v>1</v>
      </c>
      <c r="AN1251" t="s">
        <v>768</v>
      </c>
      <c r="AO1251" t="s">
        <v>41</v>
      </c>
    </row>
    <row r="1252" spans="1:41" x14ac:dyDescent="0.25">
      <c r="A1252">
        <v>35</v>
      </c>
      <c r="B1252" t="s">
        <v>66</v>
      </c>
      <c r="C1252" t="s">
        <v>55</v>
      </c>
      <c r="D1252">
        <v>12</v>
      </c>
      <c r="E1252" t="s">
        <v>34</v>
      </c>
      <c r="F1252">
        <v>3</v>
      </c>
      <c r="G1252">
        <v>2</v>
      </c>
      <c r="H1252" t="s">
        <v>70</v>
      </c>
      <c r="I1252">
        <v>4</v>
      </c>
      <c r="J1252" t="s">
        <v>36</v>
      </c>
      <c r="K1252">
        <v>4581</v>
      </c>
      <c r="L1252">
        <v>3</v>
      </c>
      <c r="M1252" t="s">
        <v>31</v>
      </c>
      <c r="N1252">
        <v>24</v>
      </c>
      <c r="O1252">
        <v>4</v>
      </c>
      <c r="P1252">
        <v>0</v>
      </c>
      <c r="Q1252">
        <v>13</v>
      </c>
      <c r="R1252">
        <v>2</v>
      </c>
      <c r="S1252">
        <v>11</v>
      </c>
      <c r="T1252">
        <v>6</v>
      </c>
      <c r="U1252">
        <v>7</v>
      </c>
      <c r="V1252" t="s">
        <v>52</v>
      </c>
      <c r="W1252" s="1" t="s">
        <v>623</v>
      </c>
      <c r="Y1252" t="s">
        <v>39</v>
      </c>
      <c r="Z1252" t="s">
        <v>40</v>
      </c>
      <c r="AA1252">
        <v>4</v>
      </c>
      <c r="AB1252">
        <v>0</v>
      </c>
      <c r="AC1252" t="s">
        <v>31</v>
      </c>
      <c r="AD1252" t="s">
        <v>48</v>
      </c>
      <c r="AE1252" t="s">
        <v>60</v>
      </c>
      <c r="AF1252" s="3">
        <v>1908</v>
      </c>
      <c r="AG1252" s="3">
        <v>33</v>
      </c>
      <c r="AH1252">
        <v>80</v>
      </c>
      <c r="AI1252">
        <v>2</v>
      </c>
      <c r="AJ1252">
        <v>0</v>
      </c>
      <c r="AL1252">
        <v>0</v>
      </c>
      <c r="AM1252">
        <v>1</v>
      </c>
      <c r="AN1252" t="s">
        <v>768</v>
      </c>
      <c r="AO1252" t="s">
        <v>41</v>
      </c>
    </row>
    <row r="1253" spans="1:41" x14ac:dyDescent="0.25">
      <c r="A1253">
        <v>33</v>
      </c>
      <c r="B1253" t="s">
        <v>81</v>
      </c>
      <c r="C1253" t="s">
        <v>55</v>
      </c>
      <c r="D1253">
        <v>2</v>
      </c>
      <c r="E1253" t="s">
        <v>61</v>
      </c>
      <c r="F1253">
        <v>3</v>
      </c>
      <c r="G1253">
        <v>2</v>
      </c>
      <c r="H1253" t="s">
        <v>70</v>
      </c>
      <c r="I1253">
        <v>2</v>
      </c>
      <c r="J1253" t="s">
        <v>36</v>
      </c>
      <c r="K1253">
        <v>5147</v>
      </c>
      <c r="L1253">
        <v>8</v>
      </c>
      <c r="M1253" t="s">
        <v>41</v>
      </c>
      <c r="N1253">
        <v>15</v>
      </c>
      <c r="O1253">
        <v>3</v>
      </c>
      <c r="P1253">
        <v>0</v>
      </c>
      <c r="Q1253">
        <v>13</v>
      </c>
      <c r="R1253">
        <v>2</v>
      </c>
      <c r="S1253">
        <v>11</v>
      </c>
      <c r="T1253">
        <v>1</v>
      </c>
      <c r="U1253">
        <v>7</v>
      </c>
      <c r="V1253" t="s">
        <v>58</v>
      </c>
      <c r="W1253" s="2">
        <v>40515</v>
      </c>
      <c r="Y1253" t="s">
        <v>69</v>
      </c>
      <c r="Z1253" t="s">
        <v>40</v>
      </c>
      <c r="AA1253">
        <v>5</v>
      </c>
      <c r="AB1253">
        <v>2</v>
      </c>
      <c r="AC1253" t="s">
        <v>41</v>
      </c>
      <c r="AD1253" t="s">
        <v>67</v>
      </c>
      <c r="AE1253" t="s">
        <v>43</v>
      </c>
      <c r="AF1253" s="3">
        <v>1995</v>
      </c>
      <c r="AG1253" s="3">
        <v>86</v>
      </c>
      <c r="AH1253">
        <v>80</v>
      </c>
      <c r="AI1253">
        <v>13</v>
      </c>
      <c r="AJ1253">
        <v>0</v>
      </c>
      <c r="AL1253">
        <v>0</v>
      </c>
      <c r="AM1253">
        <v>1</v>
      </c>
      <c r="AN1253" t="s">
        <v>768</v>
      </c>
      <c r="AO1253" t="s">
        <v>41</v>
      </c>
    </row>
    <row r="1254" spans="1:41" x14ac:dyDescent="0.25">
      <c r="A1254">
        <v>38</v>
      </c>
      <c r="B1254" t="s">
        <v>81</v>
      </c>
      <c r="C1254" t="s">
        <v>120</v>
      </c>
      <c r="D1254">
        <v>2</v>
      </c>
      <c r="E1254" t="s">
        <v>34</v>
      </c>
      <c r="F1254">
        <v>3</v>
      </c>
      <c r="G1254">
        <v>1</v>
      </c>
      <c r="H1254" t="s">
        <v>120</v>
      </c>
      <c r="I1254">
        <v>2</v>
      </c>
      <c r="J1254" t="s">
        <v>57</v>
      </c>
      <c r="K1254">
        <v>2592</v>
      </c>
      <c r="L1254">
        <v>5</v>
      </c>
      <c r="M1254" t="s">
        <v>41</v>
      </c>
      <c r="N1254">
        <v>13</v>
      </c>
      <c r="O1254">
        <v>3</v>
      </c>
      <c r="P1254">
        <v>3</v>
      </c>
      <c r="Q1254">
        <v>13</v>
      </c>
      <c r="R1254">
        <v>3</v>
      </c>
      <c r="S1254">
        <v>11</v>
      </c>
      <c r="T1254">
        <v>3</v>
      </c>
      <c r="U1254">
        <v>8</v>
      </c>
      <c r="V1254" t="s">
        <v>72</v>
      </c>
      <c r="W1254" s="1" t="s">
        <v>624</v>
      </c>
      <c r="Y1254" t="s">
        <v>46</v>
      </c>
      <c r="Z1254" t="s">
        <v>40</v>
      </c>
      <c r="AA1254">
        <v>5</v>
      </c>
      <c r="AB1254">
        <v>3</v>
      </c>
      <c r="AC1254" t="s">
        <v>31</v>
      </c>
      <c r="AD1254" t="s">
        <v>65</v>
      </c>
      <c r="AE1254" t="s">
        <v>49</v>
      </c>
      <c r="AF1254" s="3">
        <v>1479</v>
      </c>
      <c r="AG1254" s="3">
        <v>96</v>
      </c>
      <c r="AH1254">
        <v>80</v>
      </c>
      <c r="AI1254">
        <v>1</v>
      </c>
      <c r="AJ1254">
        <v>0</v>
      </c>
      <c r="AL1254">
        <v>0</v>
      </c>
      <c r="AM1254">
        <v>1</v>
      </c>
      <c r="AN1254" t="s">
        <v>768</v>
      </c>
      <c r="AO1254" t="s">
        <v>41</v>
      </c>
    </row>
    <row r="1255" spans="1:41" x14ac:dyDescent="0.25">
      <c r="A1255">
        <v>29</v>
      </c>
      <c r="B1255" t="s">
        <v>66</v>
      </c>
      <c r="C1255" t="s">
        <v>33</v>
      </c>
      <c r="D1255">
        <v>20</v>
      </c>
      <c r="E1255" t="s">
        <v>34</v>
      </c>
      <c r="F1255">
        <v>3</v>
      </c>
      <c r="G1255">
        <v>1</v>
      </c>
      <c r="H1255" t="s">
        <v>35</v>
      </c>
      <c r="I1255">
        <v>4</v>
      </c>
      <c r="J1255" t="s">
        <v>51</v>
      </c>
      <c r="K1255">
        <v>3812</v>
      </c>
      <c r="L1255">
        <v>1</v>
      </c>
      <c r="M1255" t="s">
        <v>41</v>
      </c>
      <c r="N1255">
        <v>13</v>
      </c>
      <c r="O1255">
        <v>3</v>
      </c>
      <c r="P1255">
        <v>0</v>
      </c>
      <c r="Q1255">
        <v>11</v>
      </c>
      <c r="R1255">
        <v>3</v>
      </c>
      <c r="S1255">
        <v>11</v>
      </c>
      <c r="T1255">
        <v>3</v>
      </c>
      <c r="U1255">
        <v>10</v>
      </c>
      <c r="V1255" t="s">
        <v>72</v>
      </c>
      <c r="W1255" s="1" t="s">
        <v>625</v>
      </c>
      <c r="Y1255" t="s">
        <v>69</v>
      </c>
      <c r="Z1255" t="s">
        <v>40</v>
      </c>
      <c r="AA1255">
        <v>1</v>
      </c>
      <c r="AB1255">
        <v>2</v>
      </c>
      <c r="AC1255" t="s">
        <v>41</v>
      </c>
      <c r="AD1255" t="s">
        <v>65</v>
      </c>
      <c r="AE1255" t="s">
        <v>49</v>
      </c>
      <c r="AF1255" s="3">
        <v>1961</v>
      </c>
      <c r="AG1255" s="3">
        <v>59</v>
      </c>
      <c r="AH1255">
        <v>80</v>
      </c>
      <c r="AI1255">
        <v>0</v>
      </c>
      <c r="AJ1255">
        <v>0</v>
      </c>
      <c r="AL1255">
        <v>0</v>
      </c>
      <c r="AM1255">
        <v>1</v>
      </c>
      <c r="AN1255" t="s">
        <v>768</v>
      </c>
      <c r="AO1255" t="s">
        <v>41</v>
      </c>
    </row>
    <row r="1256" spans="1:41" x14ac:dyDescent="0.25">
      <c r="A1256">
        <v>31</v>
      </c>
      <c r="B1256" t="s">
        <v>81</v>
      </c>
      <c r="C1256" t="s">
        <v>33</v>
      </c>
      <c r="D1256">
        <v>10</v>
      </c>
      <c r="E1256" t="s">
        <v>61</v>
      </c>
      <c r="F1256">
        <v>3</v>
      </c>
      <c r="G1256">
        <v>3</v>
      </c>
      <c r="H1256" t="s">
        <v>50</v>
      </c>
      <c r="I1256">
        <v>3</v>
      </c>
      <c r="J1256" t="s">
        <v>51</v>
      </c>
      <c r="K1256">
        <v>11031</v>
      </c>
      <c r="L1256">
        <v>4</v>
      </c>
      <c r="M1256" t="s">
        <v>41</v>
      </c>
      <c r="N1256">
        <v>20</v>
      </c>
      <c r="O1256">
        <v>4</v>
      </c>
      <c r="P1256">
        <v>1</v>
      </c>
      <c r="Q1256">
        <v>13</v>
      </c>
      <c r="R1256">
        <v>2</v>
      </c>
      <c r="S1256">
        <v>11</v>
      </c>
      <c r="T1256">
        <v>4</v>
      </c>
      <c r="U1256">
        <v>8</v>
      </c>
      <c r="V1256" t="s">
        <v>72</v>
      </c>
      <c r="W1256" s="1" t="s">
        <v>626</v>
      </c>
      <c r="Y1256" t="s">
        <v>69</v>
      </c>
      <c r="Z1256" t="s">
        <v>47</v>
      </c>
      <c r="AA1256">
        <v>1</v>
      </c>
      <c r="AB1256">
        <v>2</v>
      </c>
      <c r="AC1256" t="s">
        <v>31</v>
      </c>
      <c r="AD1256" t="s">
        <v>42</v>
      </c>
      <c r="AE1256" t="s">
        <v>49</v>
      </c>
      <c r="AF1256" s="3">
        <v>1975</v>
      </c>
      <c r="AG1256" s="3">
        <v>77</v>
      </c>
      <c r="AH1256">
        <v>80</v>
      </c>
      <c r="AI1256">
        <v>8</v>
      </c>
      <c r="AJ1256">
        <v>0</v>
      </c>
      <c r="AL1256">
        <v>0</v>
      </c>
      <c r="AM1256">
        <v>1</v>
      </c>
      <c r="AN1256" t="s">
        <v>768</v>
      </c>
      <c r="AO1256" t="s">
        <v>41</v>
      </c>
    </row>
    <row r="1257" spans="1:41" x14ac:dyDescent="0.25">
      <c r="A1257">
        <v>40</v>
      </c>
      <c r="B1257" t="s">
        <v>32</v>
      </c>
      <c r="C1257" t="s">
        <v>55</v>
      </c>
      <c r="D1257">
        <v>2</v>
      </c>
      <c r="E1257" t="s">
        <v>61</v>
      </c>
      <c r="F1257">
        <v>3</v>
      </c>
      <c r="G1257">
        <v>2</v>
      </c>
      <c r="H1257" t="s">
        <v>70</v>
      </c>
      <c r="I1257">
        <v>2</v>
      </c>
      <c r="J1257" t="s">
        <v>51</v>
      </c>
      <c r="K1257">
        <v>5677</v>
      </c>
      <c r="L1257">
        <v>3</v>
      </c>
      <c r="M1257" t="s">
        <v>41</v>
      </c>
      <c r="N1257">
        <v>14</v>
      </c>
      <c r="O1257">
        <v>3</v>
      </c>
      <c r="P1257">
        <v>1</v>
      </c>
      <c r="Q1257">
        <v>15</v>
      </c>
      <c r="R1257">
        <v>4</v>
      </c>
      <c r="S1257">
        <v>11</v>
      </c>
      <c r="T1257">
        <v>5</v>
      </c>
      <c r="U1257">
        <v>10</v>
      </c>
      <c r="V1257" t="s">
        <v>58</v>
      </c>
      <c r="W1257" s="1" t="s">
        <v>627</v>
      </c>
      <c r="Y1257" t="s">
        <v>69</v>
      </c>
      <c r="Z1257" t="s">
        <v>47</v>
      </c>
      <c r="AA1257">
        <v>3</v>
      </c>
      <c r="AB1257">
        <v>2</v>
      </c>
      <c r="AC1257" t="s">
        <v>31</v>
      </c>
      <c r="AD1257" t="s">
        <v>67</v>
      </c>
      <c r="AE1257" t="s">
        <v>49</v>
      </c>
      <c r="AF1257" s="3">
        <v>1740</v>
      </c>
      <c r="AG1257" s="3">
        <v>88</v>
      </c>
      <c r="AH1257">
        <v>80</v>
      </c>
      <c r="AI1257">
        <v>8</v>
      </c>
      <c r="AJ1257">
        <v>0</v>
      </c>
      <c r="AL1257">
        <v>0</v>
      </c>
      <c r="AM1257">
        <v>1</v>
      </c>
      <c r="AN1257" t="s">
        <v>768</v>
      </c>
      <c r="AO1257" t="s">
        <v>41</v>
      </c>
    </row>
    <row r="1258" spans="1:41" x14ac:dyDescent="0.25">
      <c r="A1258">
        <v>34</v>
      </c>
      <c r="B1258" t="s">
        <v>32</v>
      </c>
      <c r="C1258" t="s">
        <v>33</v>
      </c>
      <c r="D1258">
        <v>7</v>
      </c>
      <c r="E1258" t="s">
        <v>61</v>
      </c>
      <c r="F1258">
        <v>3</v>
      </c>
      <c r="G1258">
        <v>3</v>
      </c>
      <c r="H1258" t="s">
        <v>50</v>
      </c>
      <c r="I1258">
        <v>2</v>
      </c>
      <c r="J1258" t="s">
        <v>36</v>
      </c>
      <c r="K1258">
        <v>11994</v>
      </c>
      <c r="L1258">
        <v>0</v>
      </c>
      <c r="M1258" t="s">
        <v>41</v>
      </c>
      <c r="N1258">
        <v>11</v>
      </c>
      <c r="O1258">
        <v>3</v>
      </c>
      <c r="P1258">
        <v>0</v>
      </c>
      <c r="Q1258">
        <v>13</v>
      </c>
      <c r="R1258">
        <v>4</v>
      </c>
      <c r="S1258">
        <v>12</v>
      </c>
      <c r="T1258">
        <v>2</v>
      </c>
      <c r="U1258">
        <v>11</v>
      </c>
      <c r="V1258" t="s">
        <v>58</v>
      </c>
      <c r="W1258" s="1" t="s">
        <v>628</v>
      </c>
      <c r="Y1258" t="s">
        <v>54</v>
      </c>
      <c r="Z1258" t="s">
        <v>47</v>
      </c>
      <c r="AA1258">
        <v>3</v>
      </c>
      <c r="AB1258">
        <v>2</v>
      </c>
      <c r="AC1258" t="s">
        <v>31</v>
      </c>
      <c r="AD1258" t="s">
        <v>42</v>
      </c>
      <c r="AE1258" t="s">
        <v>43</v>
      </c>
      <c r="AF1258" s="3">
        <v>1924</v>
      </c>
      <c r="AG1258" s="3">
        <v>43</v>
      </c>
      <c r="AH1258">
        <v>80</v>
      </c>
      <c r="AI1258">
        <v>4</v>
      </c>
      <c r="AJ1258">
        <v>0</v>
      </c>
      <c r="AL1258">
        <v>0</v>
      </c>
      <c r="AM1258">
        <v>1</v>
      </c>
      <c r="AN1258" t="s">
        <v>768</v>
      </c>
      <c r="AO1258" t="s">
        <v>41</v>
      </c>
    </row>
    <row r="1259" spans="1:41" x14ac:dyDescent="0.25">
      <c r="A1259">
        <v>30</v>
      </c>
      <c r="B1259" t="s">
        <v>66</v>
      </c>
      <c r="C1259" t="s">
        <v>33</v>
      </c>
      <c r="D1259">
        <v>1</v>
      </c>
      <c r="E1259" t="s">
        <v>61</v>
      </c>
      <c r="F1259">
        <v>3</v>
      </c>
      <c r="G1259">
        <v>2</v>
      </c>
      <c r="H1259" t="s">
        <v>35</v>
      </c>
      <c r="I1259">
        <v>4</v>
      </c>
      <c r="J1259" t="s">
        <v>36</v>
      </c>
      <c r="K1259">
        <v>4011</v>
      </c>
      <c r="L1259">
        <v>1</v>
      </c>
      <c r="M1259" t="s">
        <v>41</v>
      </c>
      <c r="N1259">
        <v>23</v>
      </c>
      <c r="O1259">
        <v>4</v>
      </c>
      <c r="P1259">
        <v>0</v>
      </c>
      <c r="Q1259">
        <v>12</v>
      </c>
      <c r="R1259">
        <v>2</v>
      </c>
      <c r="S1259">
        <v>12</v>
      </c>
      <c r="T1259">
        <v>3</v>
      </c>
      <c r="U1259">
        <v>7</v>
      </c>
      <c r="V1259" t="s">
        <v>37</v>
      </c>
      <c r="W1259" s="1" t="s">
        <v>629</v>
      </c>
      <c r="Y1259" t="s">
        <v>63</v>
      </c>
      <c r="Z1259" t="s">
        <v>47</v>
      </c>
      <c r="AA1259">
        <v>1</v>
      </c>
      <c r="AB1259">
        <v>1</v>
      </c>
      <c r="AC1259" t="s">
        <v>31</v>
      </c>
      <c r="AD1259" t="s">
        <v>48</v>
      </c>
      <c r="AE1259" t="s">
        <v>60</v>
      </c>
      <c r="AF1259" s="3">
        <v>1650</v>
      </c>
      <c r="AG1259" s="3">
        <v>42</v>
      </c>
      <c r="AH1259">
        <v>80</v>
      </c>
      <c r="AI1259">
        <v>2</v>
      </c>
      <c r="AJ1259">
        <v>0</v>
      </c>
      <c r="AL1259">
        <v>0</v>
      </c>
      <c r="AM1259">
        <v>1</v>
      </c>
      <c r="AN1259" t="s">
        <v>768</v>
      </c>
      <c r="AO1259" t="s">
        <v>41</v>
      </c>
    </row>
    <row r="1260" spans="1:41" x14ac:dyDescent="0.25">
      <c r="A1260">
        <v>40</v>
      </c>
      <c r="B1260" t="s">
        <v>32</v>
      </c>
      <c r="C1260" t="s">
        <v>55</v>
      </c>
      <c r="D1260">
        <v>4</v>
      </c>
      <c r="E1260" t="s">
        <v>34</v>
      </c>
      <c r="F1260">
        <v>2</v>
      </c>
      <c r="G1260">
        <v>3</v>
      </c>
      <c r="H1260" t="s">
        <v>70</v>
      </c>
      <c r="I1260">
        <v>4</v>
      </c>
      <c r="J1260" t="s">
        <v>51</v>
      </c>
      <c r="K1260">
        <v>10855</v>
      </c>
      <c r="L1260">
        <v>7</v>
      </c>
      <c r="M1260" t="s">
        <v>41</v>
      </c>
      <c r="N1260">
        <v>11</v>
      </c>
      <c r="O1260">
        <v>3</v>
      </c>
      <c r="P1260">
        <v>1</v>
      </c>
      <c r="Q1260">
        <v>15</v>
      </c>
      <c r="R1260">
        <v>2</v>
      </c>
      <c r="S1260">
        <v>12</v>
      </c>
      <c r="T1260">
        <v>2</v>
      </c>
      <c r="U1260">
        <v>11</v>
      </c>
      <c r="V1260" t="s">
        <v>37</v>
      </c>
      <c r="W1260" s="1" t="s">
        <v>630</v>
      </c>
      <c r="Y1260" t="s">
        <v>39</v>
      </c>
      <c r="Z1260" t="s">
        <v>40</v>
      </c>
      <c r="AA1260">
        <v>1</v>
      </c>
      <c r="AB1260">
        <v>1</v>
      </c>
      <c r="AC1260" t="s">
        <v>41</v>
      </c>
      <c r="AD1260" t="s">
        <v>67</v>
      </c>
      <c r="AE1260" t="s">
        <v>49</v>
      </c>
      <c r="AF1260" s="3">
        <v>1836</v>
      </c>
      <c r="AG1260" s="3">
        <v>46</v>
      </c>
      <c r="AH1260">
        <v>80</v>
      </c>
      <c r="AI1260">
        <v>3</v>
      </c>
      <c r="AJ1260">
        <v>0</v>
      </c>
      <c r="AL1260">
        <v>0</v>
      </c>
      <c r="AM1260">
        <v>1</v>
      </c>
      <c r="AN1260" t="s">
        <v>768</v>
      </c>
      <c r="AO1260" t="s">
        <v>41</v>
      </c>
    </row>
    <row r="1261" spans="1:41" x14ac:dyDescent="0.25">
      <c r="A1261">
        <v>30</v>
      </c>
      <c r="B1261" t="s">
        <v>81</v>
      </c>
      <c r="C1261" t="s">
        <v>33</v>
      </c>
      <c r="D1261">
        <v>9</v>
      </c>
      <c r="E1261" t="s">
        <v>34</v>
      </c>
      <c r="F1261">
        <v>3</v>
      </c>
      <c r="G1261">
        <v>2</v>
      </c>
      <c r="H1261" t="s">
        <v>35</v>
      </c>
      <c r="I1261">
        <v>1</v>
      </c>
      <c r="J1261" t="s">
        <v>57</v>
      </c>
      <c r="K1261">
        <v>3072</v>
      </c>
      <c r="L1261">
        <v>1</v>
      </c>
      <c r="M1261" t="s">
        <v>41</v>
      </c>
      <c r="N1261">
        <v>11</v>
      </c>
      <c r="O1261">
        <v>3</v>
      </c>
      <c r="P1261">
        <v>2</v>
      </c>
      <c r="Q1261">
        <v>12</v>
      </c>
      <c r="R1261">
        <v>4</v>
      </c>
      <c r="S1261">
        <v>12</v>
      </c>
      <c r="T1261">
        <v>6</v>
      </c>
      <c r="U1261">
        <v>10</v>
      </c>
      <c r="V1261" t="s">
        <v>37</v>
      </c>
      <c r="W1261" s="2">
        <v>40148</v>
      </c>
      <c r="Y1261" t="s">
        <v>39</v>
      </c>
      <c r="Z1261" t="s">
        <v>40</v>
      </c>
      <c r="AA1261">
        <v>3</v>
      </c>
      <c r="AB1261">
        <v>1</v>
      </c>
      <c r="AC1261" t="s">
        <v>41</v>
      </c>
      <c r="AD1261" t="s">
        <v>65</v>
      </c>
      <c r="AE1261" t="s">
        <v>49</v>
      </c>
      <c r="AF1261" s="3">
        <v>1478</v>
      </c>
      <c r="AG1261" s="3">
        <v>81</v>
      </c>
      <c r="AH1261">
        <v>80</v>
      </c>
      <c r="AI1261">
        <v>9</v>
      </c>
      <c r="AJ1261">
        <v>0</v>
      </c>
      <c r="AL1261">
        <v>0</v>
      </c>
      <c r="AM1261">
        <v>1</v>
      </c>
      <c r="AN1261" t="s">
        <v>768</v>
      </c>
      <c r="AO1261" t="s">
        <v>41</v>
      </c>
    </row>
    <row r="1262" spans="1:41" x14ac:dyDescent="0.25">
      <c r="A1262">
        <v>53</v>
      </c>
      <c r="B1262" t="s">
        <v>32</v>
      </c>
      <c r="C1262" t="s">
        <v>33</v>
      </c>
      <c r="D1262">
        <v>23</v>
      </c>
      <c r="E1262" t="s">
        <v>61</v>
      </c>
      <c r="F1262">
        <v>3</v>
      </c>
      <c r="G1262">
        <v>4</v>
      </c>
      <c r="H1262" t="s">
        <v>50</v>
      </c>
      <c r="I1262">
        <v>4</v>
      </c>
      <c r="J1262" t="s">
        <v>36</v>
      </c>
      <c r="K1262">
        <v>14275</v>
      </c>
      <c r="L1262">
        <v>6</v>
      </c>
      <c r="M1262" t="s">
        <v>41</v>
      </c>
      <c r="N1262">
        <v>18</v>
      </c>
      <c r="O1262">
        <v>3</v>
      </c>
      <c r="P1262">
        <v>0</v>
      </c>
      <c r="Q1262">
        <v>33</v>
      </c>
      <c r="R1262">
        <v>0</v>
      </c>
      <c r="S1262">
        <v>12</v>
      </c>
      <c r="T1262">
        <v>3</v>
      </c>
      <c r="U1262">
        <v>8</v>
      </c>
      <c r="V1262" t="s">
        <v>72</v>
      </c>
      <c r="W1262" s="1" t="s">
        <v>631</v>
      </c>
      <c r="Y1262" t="s">
        <v>54</v>
      </c>
      <c r="Z1262" t="s">
        <v>40</v>
      </c>
      <c r="AA1262">
        <v>4</v>
      </c>
      <c r="AB1262">
        <v>1</v>
      </c>
      <c r="AC1262" t="s">
        <v>31</v>
      </c>
      <c r="AD1262" t="s">
        <v>67</v>
      </c>
      <c r="AE1262" t="s">
        <v>43</v>
      </c>
      <c r="AF1262" s="3">
        <v>1680</v>
      </c>
      <c r="AG1262" s="3">
        <v>54</v>
      </c>
      <c r="AH1262">
        <v>80</v>
      </c>
      <c r="AI1262">
        <v>2</v>
      </c>
      <c r="AJ1262">
        <v>0</v>
      </c>
      <c r="AL1262">
        <v>0</v>
      </c>
      <c r="AM1262">
        <v>1</v>
      </c>
      <c r="AN1262" t="s">
        <v>768</v>
      </c>
      <c r="AO1262" t="s">
        <v>41</v>
      </c>
    </row>
    <row r="1263" spans="1:41" x14ac:dyDescent="0.25">
      <c r="A1263">
        <v>50</v>
      </c>
      <c r="B1263" t="s">
        <v>32</v>
      </c>
      <c r="C1263" t="s">
        <v>33</v>
      </c>
      <c r="D1263">
        <v>24</v>
      </c>
      <c r="E1263" t="s">
        <v>34</v>
      </c>
      <c r="F1263">
        <v>3</v>
      </c>
      <c r="G1263">
        <v>4</v>
      </c>
      <c r="H1263" t="s">
        <v>78</v>
      </c>
      <c r="I1263">
        <v>3</v>
      </c>
      <c r="J1263" t="s">
        <v>51</v>
      </c>
      <c r="K1263">
        <v>13973</v>
      </c>
      <c r="L1263">
        <v>3</v>
      </c>
      <c r="M1263" t="s">
        <v>31</v>
      </c>
      <c r="N1263">
        <v>18</v>
      </c>
      <c r="O1263">
        <v>3</v>
      </c>
      <c r="P1263">
        <v>1</v>
      </c>
      <c r="Q1263">
        <v>22</v>
      </c>
      <c r="R1263">
        <v>2</v>
      </c>
      <c r="S1263">
        <v>12</v>
      </c>
      <c r="T1263">
        <v>1</v>
      </c>
      <c r="U1263">
        <v>5</v>
      </c>
      <c r="V1263" t="s">
        <v>72</v>
      </c>
      <c r="W1263" s="2">
        <v>40150</v>
      </c>
      <c r="Y1263" t="s">
        <v>69</v>
      </c>
      <c r="Z1263" t="s">
        <v>40</v>
      </c>
      <c r="AA1263">
        <v>3</v>
      </c>
      <c r="AB1263">
        <v>2</v>
      </c>
      <c r="AC1263" t="s">
        <v>31</v>
      </c>
      <c r="AD1263" t="s">
        <v>65</v>
      </c>
      <c r="AE1263" t="s">
        <v>43</v>
      </c>
      <c r="AF1263" s="3">
        <v>1469</v>
      </c>
      <c r="AG1263" s="3">
        <v>84</v>
      </c>
      <c r="AH1263">
        <v>80</v>
      </c>
      <c r="AI1263">
        <v>4</v>
      </c>
      <c r="AJ1263">
        <v>0</v>
      </c>
      <c r="AL1263">
        <v>0</v>
      </c>
      <c r="AM1263">
        <v>1</v>
      </c>
      <c r="AN1263" t="s">
        <v>768</v>
      </c>
      <c r="AO1263" t="s">
        <v>41</v>
      </c>
    </row>
    <row r="1264" spans="1:41" x14ac:dyDescent="0.25">
      <c r="A1264">
        <v>44</v>
      </c>
      <c r="B1264" t="s">
        <v>32</v>
      </c>
      <c r="C1264" t="s">
        <v>55</v>
      </c>
      <c r="D1264">
        <v>28</v>
      </c>
      <c r="E1264" t="s">
        <v>61</v>
      </c>
      <c r="F1264">
        <v>4</v>
      </c>
      <c r="G1264">
        <v>4</v>
      </c>
      <c r="H1264" t="s">
        <v>70</v>
      </c>
      <c r="I1264">
        <v>4</v>
      </c>
      <c r="J1264" t="s">
        <v>51</v>
      </c>
      <c r="K1264">
        <v>13320</v>
      </c>
      <c r="L1264">
        <v>3</v>
      </c>
      <c r="M1264" t="s">
        <v>31</v>
      </c>
      <c r="N1264">
        <v>18</v>
      </c>
      <c r="O1264">
        <v>3</v>
      </c>
      <c r="P1264">
        <v>1</v>
      </c>
      <c r="Q1264">
        <v>23</v>
      </c>
      <c r="R1264">
        <v>2</v>
      </c>
      <c r="S1264">
        <v>12</v>
      </c>
      <c r="T1264">
        <v>11</v>
      </c>
      <c r="U1264">
        <v>11</v>
      </c>
      <c r="V1264" t="s">
        <v>37</v>
      </c>
      <c r="W1264" s="2">
        <v>40150</v>
      </c>
      <c r="Y1264" t="s">
        <v>54</v>
      </c>
      <c r="Z1264" t="s">
        <v>40</v>
      </c>
      <c r="AA1264">
        <v>4</v>
      </c>
      <c r="AB1264">
        <v>2</v>
      </c>
      <c r="AC1264" t="s">
        <v>41</v>
      </c>
      <c r="AD1264" t="s">
        <v>42</v>
      </c>
      <c r="AE1264" t="s">
        <v>43</v>
      </c>
      <c r="AF1264" s="3">
        <v>1708</v>
      </c>
      <c r="AG1264" s="3">
        <v>35</v>
      </c>
      <c r="AH1264">
        <v>80</v>
      </c>
      <c r="AI1264">
        <v>8</v>
      </c>
      <c r="AJ1264">
        <v>0</v>
      </c>
      <c r="AL1264">
        <v>0</v>
      </c>
      <c r="AM1264">
        <v>1</v>
      </c>
      <c r="AN1264" t="s">
        <v>768</v>
      </c>
      <c r="AO1264" t="s">
        <v>41</v>
      </c>
    </row>
    <row r="1265" spans="1:41" x14ac:dyDescent="0.25">
      <c r="A1265">
        <v>46</v>
      </c>
      <c r="B1265" t="s">
        <v>32</v>
      </c>
      <c r="C1265" t="s">
        <v>55</v>
      </c>
      <c r="D1265">
        <v>3</v>
      </c>
      <c r="E1265" t="s">
        <v>34</v>
      </c>
      <c r="F1265">
        <v>3</v>
      </c>
      <c r="G1265">
        <v>4</v>
      </c>
      <c r="H1265" t="s">
        <v>75</v>
      </c>
      <c r="I1265">
        <v>3</v>
      </c>
      <c r="J1265" t="s">
        <v>51</v>
      </c>
      <c r="K1265">
        <v>17465</v>
      </c>
      <c r="L1265">
        <v>3</v>
      </c>
      <c r="M1265" t="s">
        <v>41</v>
      </c>
      <c r="N1265">
        <v>12</v>
      </c>
      <c r="O1265">
        <v>3</v>
      </c>
      <c r="P1265">
        <v>1</v>
      </c>
      <c r="Q1265">
        <v>23</v>
      </c>
      <c r="R1265">
        <v>3</v>
      </c>
      <c r="S1265">
        <v>12</v>
      </c>
      <c r="T1265">
        <v>4</v>
      </c>
      <c r="U1265">
        <v>9</v>
      </c>
      <c r="V1265" t="s">
        <v>37</v>
      </c>
      <c r="W1265" s="1" t="s">
        <v>632</v>
      </c>
      <c r="Y1265" t="s">
        <v>69</v>
      </c>
      <c r="Z1265" t="s">
        <v>40</v>
      </c>
      <c r="AA1265">
        <v>5</v>
      </c>
      <c r="AB1265">
        <v>0</v>
      </c>
      <c r="AC1265" t="s">
        <v>31</v>
      </c>
      <c r="AD1265" t="s">
        <v>48</v>
      </c>
      <c r="AE1265" t="s">
        <v>43</v>
      </c>
      <c r="AF1265" s="3">
        <v>1965</v>
      </c>
      <c r="AG1265" s="3">
        <v>44</v>
      </c>
      <c r="AH1265">
        <v>80</v>
      </c>
      <c r="AI1265">
        <v>7</v>
      </c>
      <c r="AJ1265">
        <v>0</v>
      </c>
      <c r="AL1265">
        <v>0</v>
      </c>
      <c r="AM1265">
        <v>1</v>
      </c>
      <c r="AN1265" t="s">
        <v>768</v>
      </c>
      <c r="AO1265" t="s">
        <v>41</v>
      </c>
    </row>
    <row r="1266" spans="1:41" x14ac:dyDescent="0.25">
      <c r="A1266">
        <v>40</v>
      </c>
      <c r="B1266" t="s">
        <v>32</v>
      </c>
      <c r="C1266" t="s">
        <v>33</v>
      </c>
      <c r="D1266">
        <v>2</v>
      </c>
      <c r="E1266" t="s">
        <v>61</v>
      </c>
      <c r="F1266">
        <v>4</v>
      </c>
      <c r="G1266">
        <v>2</v>
      </c>
      <c r="H1266" t="s">
        <v>89</v>
      </c>
      <c r="I1266">
        <v>3</v>
      </c>
      <c r="J1266" t="s">
        <v>57</v>
      </c>
      <c r="K1266">
        <v>6377</v>
      </c>
      <c r="L1266">
        <v>5</v>
      </c>
      <c r="M1266" t="s">
        <v>41</v>
      </c>
      <c r="N1266">
        <v>20</v>
      </c>
      <c r="O1266">
        <v>4</v>
      </c>
      <c r="P1266">
        <v>3</v>
      </c>
      <c r="Q1266">
        <v>15</v>
      </c>
      <c r="R1266">
        <v>0</v>
      </c>
      <c r="S1266">
        <v>12</v>
      </c>
      <c r="T1266">
        <v>11</v>
      </c>
      <c r="U1266">
        <v>8</v>
      </c>
      <c r="V1266" t="s">
        <v>72</v>
      </c>
      <c r="W1266" s="2">
        <v>39874</v>
      </c>
      <c r="Y1266" t="s">
        <v>69</v>
      </c>
      <c r="Z1266" t="s">
        <v>47</v>
      </c>
      <c r="AA1266">
        <v>5</v>
      </c>
      <c r="AB1266">
        <v>3</v>
      </c>
      <c r="AC1266" t="s">
        <v>41</v>
      </c>
      <c r="AD1266" t="s">
        <v>42</v>
      </c>
      <c r="AE1266" t="s">
        <v>43</v>
      </c>
      <c r="AF1266" s="3">
        <v>1602</v>
      </c>
      <c r="AG1266" s="3">
        <v>56</v>
      </c>
      <c r="AH1266">
        <v>80</v>
      </c>
      <c r="AI1266">
        <v>0</v>
      </c>
      <c r="AJ1266">
        <v>0</v>
      </c>
      <c r="AL1266">
        <v>0</v>
      </c>
      <c r="AM1266">
        <v>1</v>
      </c>
      <c r="AN1266" t="s">
        <v>768</v>
      </c>
      <c r="AO1266" t="s">
        <v>41</v>
      </c>
    </row>
    <row r="1267" spans="1:41" x14ac:dyDescent="0.25">
      <c r="A1267">
        <v>42</v>
      </c>
      <c r="B1267" t="s">
        <v>66</v>
      </c>
      <c r="C1267" t="s">
        <v>33</v>
      </c>
      <c r="D1267">
        <v>9</v>
      </c>
      <c r="E1267" t="s">
        <v>61</v>
      </c>
      <c r="F1267">
        <v>3</v>
      </c>
      <c r="G1267">
        <v>1</v>
      </c>
      <c r="H1267" t="s">
        <v>35</v>
      </c>
      <c r="I1267">
        <v>4</v>
      </c>
      <c r="J1267" t="s">
        <v>36</v>
      </c>
      <c r="K1267">
        <v>3673</v>
      </c>
      <c r="L1267">
        <v>1</v>
      </c>
      <c r="M1267" t="s">
        <v>41</v>
      </c>
      <c r="N1267">
        <v>13</v>
      </c>
      <c r="O1267">
        <v>3</v>
      </c>
      <c r="P1267">
        <v>0</v>
      </c>
      <c r="Q1267">
        <v>12</v>
      </c>
      <c r="R1267">
        <v>3</v>
      </c>
      <c r="S1267">
        <v>12</v>
      </c>
      <c r="T1267">
        <v>5</v>
      </c>
      <c r="U1267">
        <v>8</v>
      </c>
      <c r="V1267" t="s">
        <v>58</v>
      </c>
      <c r="W1267" s="1" t="s">
        <v>632</v>
      </c>
      <c r="Y1267" t="s">
        <v>54</v>
      </c>
      <c r="Z1267" t="s">
        <v>47</v>
      </c>
      <c r="AA1267">
        <v>3</v>
      </c>
      <c r="AB1267">
        <v>2</v>
      </c>
      <c r="AC1267" t="s">
        <v>41</v>
      </c>
      <c r="AD1267" t="s">
        <v>65</v>
      </c>
      <c r="AE1267" t="s">
        <v>49</v>
      </c>
      <c r="AF1267" s="3">
        <v>1605</v>
      </c>
      <c r="AG1267" s="3">
        <v>85</v>
      </c>
      <c r="AH1267">
        <v>80</v>
      </c>
      <c r="AI1267">
        <v>2</v>
      </c>
      <c r="AJ1267">
        <v>0</v>
      </c>
      <c r="AL1267">
        <v>0</v>
      </c>
      <c r="AM1267">
        <v>1</v>
      </c>
      <c r="AN1267" t="s">
        <v>768</v>
      </c>
      <c r="AO1267" t="s">
        <v>41</v>
      </c>
    </row>
    <row r="1268" spans="1:41" x14ac:dyDescent="0.25">
      <c r="A1268">
        <v>57</v>
      </c>
      <c r="B1268" t="s">
        <v>32</v>
      </c>
      <c r="C1268" t="s">
        <v>33</v>
      </c>
      <c r="D1268">
        <v>1</v>
      </c>
      <c r="E1268" t="s">
        <v>34</v>
      </c>
      <c r="F1268">
        <v>4</v>
      </c>
      <c r="G1268">
        <v>2</v>
      </c>
      <c r="H1268" t="s">
        <v>44</v>
      </c>
      <c r="I1268">
        <v>3</v>
      </c>
      <c r="J1268" t="s">
        <v>51</v>
      </c>
      <c r="K1268">
        <v>4900</v>
      </c>
      <c r="L1268">
        <v>0</v>
      </c>
      <c r="M1268" t="s">
        <v>41</v>
      </c>
      <c r="N1268">
        <v>24</v>
      </c>
      <c r="O1268">
        <v>4</v>
      </c>
      <c r="P1268">
        <v>1</v>
      </c>
      <c r="Q1268">
        <v>13</v>
      </c>
      <c r="R1268">
        <v>2</v>
      </c>
      <c r="S1268">
        <v>12</v>
      </c>
      <c r="T1268">
        <v>2</v>
      </c>
      <c r="U1268">
        <v>8</v>
      </c>
      <c r="V1268" t="s">
        <v>37</v>
      </c>
      <c r="W1268" s="2">
        <v>39847</v>
      </c>
      <c r="Y1268" t="s">
        <v>46</v>
      </c>
      <c r="Z1268" t="s">
        <v>40</v>
      </c>
      <c r="AA1268">
        <v>0</v>
      </c>
      <c r="AB1268">
        <v>1</v>
      </c>
      <c r="AC1268" t="s">
        <v>41</v>
      </c>
      <c r="AD1268" t="s">
        <v>67</v>
      </c>
      <c r="AE1268" t="s">
        <v>49</v>
      </c>
      <c r="AF1268" s="3">
        <v>1937</v>
      </c>
      <c r="AG1268" s="3">
        <v>58</v>
      </c>
      <c r="AH1268">
        <v>80</v>
      </c>
      <c r="AI1268">
        <v>11</v>
      </c>
      <c r="AJ1268">
        <v>0</v>
      </c>
      <c r="AL1268">
        <v>0</v>
      </c>
      <c r="AM1268">
        <v>1</v>
      </c>
      <c r="AN1268" t="s">
        <v>768</v>
      </c>
      <c r="AO1268" t="s">
        <v>41</v>
      </c>
    </row>
    <row r="1269" spans="1:41" x14ac:dyDescent="0.25">
      <c r="A1269">
        <v>31</v>
      </c>
      <c r="B1269" t="s">
        <v>32</v>
      </c>
      <c r="C1269" t="s">
        <v>55</v>
      </c>
      <c r="D1269">
        <v>29</v>
      </c>
      <c r="E1269" t="s">
        <v>61</v>
      </c>
      <c r="F1269">
        <v>2</v>
      </c>
      <c r="G1269">
        <v>2</v>
      </c>
      <c r="H1269" t="s">
        <v>70</v>
      </c>
      <c r="I1269">
        <v>4</v>
      </c>
      <c r="J1269" t="s">
        <v>51</v>
      </c>
      <c r="K1269">
        <v>5468</v>
      </c>
      <c r="L1269">
        <v>1</v>
      </c>
      <c r="M1269" t="s">
        <v>41</v>
      </c>
      <c r="N1269">
        <v>14</v>
      </c>
      <c r="O1269">
        <v>3</v>
      </c>
      <c r="P1269">
        <v>2</v>
      </c>
      <c r="Q1269">
        <v>13</v>
      </c>
      <c r="R1269">
        <v>3</v>
      </c>
      <c r="S1269">
        <v>12</v>
      </c>
      <c r="T1269">
        <v>5</v>
      </c>
      <c r="U1269">
        <v>7</v>
      </c>
      <c r="V1269" t="s">
        <v>72</v>
      </c>
      <c r="W1269" s="1" t="s">
        <v>633</v>
      </c>
      <c r="Y1269" t="s">
        <v>46</v>
      </c>
      <c r="Z1269" t="s">
        <v>40</v>
      </c>
      <c r="AA1269">
        <v>2</v>
      </c>
      <c r="AB1269">
        <v>0</v>
      </c>
      <c r="AC1269" t="s">
        <v>41</v>
      </c>
      <c r="AD1269" t="s">
        <v>67</v>
      </c>
      <c r="AE1269" t="s">
        <v>60</v>
      </c>
      <c r="AF1269" s="3">
        <v>1646</v>
      </c>
      <c r="AG1269" s="3">
        <v>32</v>
      </c>
      <c r="AH1269">
        <v>80</v>
      </c>
      <c r="AI1269">
        <v>3</v>
      </c>
      <c r="AJ1269">
        <v>0</v>
      </c>
      <c r="AL1269">
        <v>0</v>
      </c>
      <c r="AM1269">
        <v>1</v>
      </c>
      <c r="AN1269" t="s">
        <v>768</v>
      </c>
      <c r="AO1269" t="s">
        <v>41</v>
      </c>
    </row>
    <row r="1270" spans="1:41" x14ac:dyDescent="0.25">
      <c r="A1270">
        <v>36</v>
      </c>
      <c r="B1270" t="s">
        <v>32</v>
      </c>
      <c r="C1270" t="s">
        <v>33</v>
      </c>
      <c r="D1270">
        <v>10</v>
      </c>
      <c r="E1270" t="s">
        <v>34</v>
      </c>
      <c r="F1270">
        <v>3</v>
      </c>
      <c r="G1270">
        <v>3</v>
      </c>
      <c r="H1270" t="s">
        <v>89</v>
      </c>
      <c r="I1270">
        <v>1</v>
      </c>
      <c r="J1270" t="s">
        <v>51</v>
      </c>
      <c r="K1270">
        <v>8321</v>
      </c>
      <c r="L1270">
        <v>7</v>
      </c>
      <c r="M1270" t="s">
        <v>31</v>
      </c>
      <c r="N1270">
        <v>13</v>
      </c>
      <c r="O1270">
        <v>3</v>
      </c>
      <c r="P1270">
        <v>1</v>
      </c>
      <c r="Q1270">
        <v>15</v>
      </c>
      <c r="R1270">
        <v>1</v>
      </c>
      <c r="S1270">
        <v>12</v>
      </c>
      <c r="T1270">
        <v>5</v>
      </c>
      <c r="U1270">
        <v>7</v>
      </c>
      <c r="V1270" t="s">
        <v>52</v>
      </c>
      <c r="W1270" s="1" t="s">
        <v>634</v>
      </c>
      <c r="Y1270" t="s">
        <v>39</v>
      </c>
      <c r="Z1270" t="s">
        <v>47</v>
      </c>
      <c r="AA1270">
        <v>1</v>
      </c>
      <c r="AB1270">
        <v>0</v>
      </c>
      <c r="AC1270" t="s">
        <v>41</v>
      </c>
      <c r="AD1270" t="s">
        <v>42</v>
      </c>
      <c r="AE1270" t="s">
        <v>49</v>
      </c>
      <c r="AF1270" s="3">
        <v>1850</v>
      </c>
      <c r="AG1270" s="3">
        <v>53</v>
      </c>
      <c r="AH1270">
        <v>80</v>
      </c>
      <c r="AI1270">
        <v>4</v>
      </c>
      <c r="AJ1270">
        <v>0</v>
      </c>
      <c r="AL1270">
        <v>0</v>
      </c>
      <c r="AM1270">
        <v>1</v>
      </c>
      <c r="AN1270" t="s">
        <v>768</v>
      </c>
      <c r="AO1270" t="s">
        <v>41</v>
      </c>
    </row>
    <row r="1271" spans="1:41" x14ac:dyDescent="0.25">
      <c r="A1271">
        <v>30</v>
      </c>
      <c r="B1271" t="s">
        <v>32</v>
      </c>
      <c r="C1271" t="s">
        <v>33</v>
      </c>
      <c r="D1271">
        <v>1</v>
      </c>
      <c r="E1271" t="s">
        <v>34</v>
      </c>
      <c r="F1271">
        <v>3</v>
      </c>
      <c r="G1271">
        <v>1</v>
      </c>
      <c r="H1271" t="s">
        <v>35</v>
      </c>
      <c r="I1271">
        <v>2</v>
      </c>
      <c r="J1271" t="s">
        <v>51</v>
      </c>
      <c r="K1271">
        <v>3748</v>
      </c>
      <c r="L1271">
        <v>1</v>
      </c>
      <c r="M1271" t="s">
        <v>41</v>
      </c>
      <c r="N1271">
        <v>13</v>
      </c>
      <c r="O1271">
        <v>3</v>
      </c>
      <c r="P1271">
        <v>0</v>
      </c>
      <c r="Q1271">
        <v>12</v>
      </c>
      <c r="R1271">
        <v>6</v>
      </c>
      <c r="S1271">
        <v>12</v>
      </c>
      <c r="T1271">
        <v>1</v>
      </c>
      <c r="U1271">
        <v>7</v>
      </c>
      <c r="V1271" t="s">
        <v>37</v>
      </c>
      <c r="W1271" s="2">
        <v>39819</v>
      </c>
      <c r="Y1271" t="s">
        <v>54</v>
      </c>
      <c r="Z1271" t="s">
        <v>47</v>
      </c>
      <c r="AA1271">
        <v>2</v>
      </c>
      <c r="AB1271">
        <v>1</v>
      </c>
      <c r="AC1271" t="s">
        <v>41</v>
      </c>
      <c r="AD1271" t="s">
        <v>48</v>
      </c>
      <c r="AE1271" t="s">
        <v>60</v>
      </c>
      <c r="AF1271" s="3">
        <v>1683</v>
      </c>
      <c r="AG1271" s="3">
        <v>44</v>
      </c>
      <c r="AH1271">
        <v>80</v>
      </c>
      <c r="AI1271">
        <v>2</v>
      </c>
      <c r="AJ1271">
        <v>0</v>
      </c>
      <c r="AL1271">
        <v>0</v>
      </c>
      <c r="AM1271">
        <v>1</v>
      </c>
      <c r="AN1271" t="s">
        <v>768</v>
      </c>
      <c r="AO1271" t="s">
        <v>41</v>
      </c>
    </row>
    <row r="1272" spans="1:41" x14ac:dyDescent="0.25">
      <c r="A1272">
        <v>38</v>
      </c>
      <c r="B1272" t="s">
        <v>81</v>
      </c>
      <c r="C1272" t="s">
        <v>33</v>
      </c>
      <c r="D1272">
        <v>6</v>
      </c>
      <c r="E1272" t="s">
        <v>61</v>
      </c>
      <c r="F1272">
        <v>1</v>
      </c>
      <c r="G1272">
        <v>2</v>
      </c>
      <c r="H1272" t="s">
        <v>44</v>
      </c>
      <c r="I1272">
        <v>4</v>
      </c>
      <c r="J1272" t="s">
        <v>57</v>
      </c>
      <c r="K1272">
        <v>5329</v>
      </c>
      <c r="L1272">
        <v>7</v>
      </c>
      <c r="M1272" t="s">
        <v>31</v>
      </c>
      <c r="N1272">
        <v>12</v>
      </c>
      <c r="O1272">
        <v>3</v>
      </c>
      <c r="P1272">
        <v>3</v>
      </c>
      <c r="Q1272">
        <v>17</v>
      </c>
      <c r="R1272">
        <v>3</v>
      </c>
      <c r="S1272">
        <v>13</v>
      </c>
      <c r="T1272">
        <v>1</v>
      </c>
      <c r="U1272">
        <v>9</v>
      </c>
      <c r="V1272" t="s">
        <v>58</v>
      </c>
      <c r="W1272" s="2">
        <v>39723</v>
      </c>
      <c r="Y1272" t="s">
        <v>39</v>
      </c>
      <c r="Z1272" t="s">
        <v>40</v>
      </c>
      <c r="AA1272">
        <v>2</v>
      </c>
      <c r="AB1272">
        <v>2</v>
      </c>
      <c r="AC1272" t="s">
        <v>31</v>
      </c>
      <c r="AD1272" t="s">
        <v>65</v>
      </c>
      <c r="AE1272" t="s">
        <v>60</v>
      </c>
      <c r="AF1272" s="3">
        <v>2040</v>
      </c>
      <c r="AG1272" s="3">
        <v>31</v>
      </c>
      <c r="AH1272">
        <v>80</v>
      </c>
      <c r="AI1272">
        <v>0</v>
      </c>
      <c r="AJ1272">
        <v>0</v>
      </c>
      <c r="AL1272">
        <v>0</v>
      </c>
      <c r="AM1272">
        <v>1</v>
      </c>
      <c r="AN1272" t="s">
        <v>768</v>
      </c>
      <c r="AO1272" t="s">
        <v>41</v>
      </c>
    </row>
    <row r="1273" spans="1:41" x14ac:dyDescent="0.25">
      <c r="A1273">
        <v>51</v>
      </c>
      <c r="B1273" t="s">
        <v>66</v>
      </c>
      <c r="C1273" t="s">
        <v>33</v>
      </c>
      <c r="D1273">
        <v>1</v>
      </c>
      <c r="E1273" t="s">
        <v>61</v>
      </c>
      <c r="F1273">
        <v>2</v>
      </c>
      <c r="G1273">
        <v>3</v>
      </c>
      <c r="H1273" t="s">
        <v>89</v>
      </c>
      <c r="I1273">
        <v>1</v>
      </c>
      <c r="J1273" t="s">
        <v>36</v>
      </c>
      <c r="K1273">
        <v>7484</v>
      </c>
      <c r="L1273">
        <v>3</v>
      </c>
      <c r="M1273" t="s">
        <v>41</v>
      </c>
      <c r="N1273">
        <v>20</v>
      </c>
      <c r="O1273">
        <v>4</v>
      </c>
      <c r="P1273">
        <v>0</v>
      </c>
      <c r="Q1273">
        <v>23</v>
      </c>
      <c r="R1273">
        <v>1</v>
      </c>
      <c r="S1273">
        <v>13</v>
      </c>
      <c r="T1273">
        <v>12</v>
      </c>
      <c r="U1273">
        <v>8</v>
      </c>
      <c r="V1273" t="s">
        <v>72</v>
      </c>
      <c r="W1273" s="2">
        <v>39724</v>
      </c>
      <c r="Y1273" t="s">
        <v>69</v>
      </c>
      <c r="Z1273" t="s">
        <v>40</v>
      </c>
      <c r="AA1273">
        <v>2</v>
      </c>
      <c r="AB1273">
        <v>3</v>
      </c>
      <c r="AC1273" t="s">
        <v>41</v>
      </c>
      <c r="AD1273" t="s">
        <v>65</v>
      </c>
      <c r="AE1273" t="s">
        <v>43</v>
      </c>
      <c r="AF1273" s="3">
        <v>1608</v>
      </c>
      <c r="AG1273" s="3">
        <v>31</v>
      </c>
      <c r="AH1273">
        <v>80</v>
      </c>
      <c r="AI1273">
        <v>7</v>
      </c>
      <c r="AJ1273">
        <v>0</v>
      </c>
      <c r="AL1273">
        <v>0</v>
      </c>
      <c r="AM1273">
        <v>1</v>
      </c>
      <c r="AN1273" t="s">
        <v>768</v>
      </c>
      <c r="AO1273" t="s">
        <v>41</v>
      </c>
    </row>
    <row r="1274" spans="1:41" x14ac:dyDescent="0.25">
      <c r="A1274">
        <v>36</v>
      </c>
      <c r="B1274" t="s">
        <v>32</v>
      </c>
      <c r="C1274" t="s">
        <v>33</v>
      </c>
      <c r="D1274">
        <v>5</v>
      </c>
      <c r="E1274" t="s">
        <v>34</v>
      </c>
      <c r="F1274">
        <v>3</v>
      </c>
      <c r="G1274">
        <v>2</v>
      </c>
      <c r="H1274" t="s">
        <v>35</v>
      </c>
      <c r="I1274">
        <v>2</v>
      </c>
      <c r="J1274" t="s">
        <v>36</v>
      </c>
      <c r="K1274">
        <v>5914</v>
      </c>
      <c r="L1274">
        <v>8</v>
      </c>
      <c r="M1274" t="s">
        <v>41</v>
      </c>
      <c r="N1274">
        <v>16</v>
      </c>
      <c r="O1274">
        <v>3</v>
      </c>
      <c r="P1274">
        <v>0</v>
      </c>
      <c r="Q1274">
        <v>16</v>
      </c>
      <c r="R1274">
        <v>3</v>
      </c>
      <c r="S1274">
        <v>13</v>
      </c>
      <c r="T1274">
        <v>3</v>
      </c>
      <c r="U1274">
        <v>7</v>
      </c>
      <c r="V1274" t="s">
        <v>37</v>
      </c>
      <c r="W1274" s="2">
        <v>39632</v>
      </c>
      <c r="Y1274" t="s">
        <v>69</v>
      </c>
      <c r="Z1274" t="s">
        <v>47</v>
      </c>
      <c r="AA1274">
        <v>0</v>
      </c>
      <c r="AB1274">
        <v>2</v>
      </c>
      <c r="AC1274" t="s">
        <v>31</v>
      </c>
      <c r="AD1274" t="s">
        <v>65</v>
      </c>
      <c r="AE1274" t="s">
        <v>49</v>
      </c>
      <c r="AF1274" s="3">
        <v>1827</v>
      </c>
      <c r="AG1274" s="3">
        <v>92</v>
      </c>
      <c r="AH1274">
        <v>80</v>
      </c>
      <c r="AI1274">
        <v>11</v>
      </c>
      <c r="AJ1274">
        <v>0</v>
      </c>
      <c r="AL1274">
        <v>0</v>
      </c>
      <c r="AM1274">
        <v>1</v>
      </c>
      <c r="AN1274" t="s">
        <v>768</v>
      </c>
      <c r="AO1274" t="s">
        <v>41</v>
      </c>
    </row>
    <row r="1275" spans="1:41" x14ac:dyDescent="0.25">
      <c r="A1275">
        <v>32</v>
      </c>
      <c r="B1275" t="s">
        <v>32</v>
      </c>
      <c r="C1275" t="s">
        <v>55</v>
      </c>
      <c r="D1275">
        <v>7</v>
      </c>
      <c r="E1275" t="s">
        <v>34</v>
      </c>
      <c r="F1275">
        <v>2</v>
      </c>
      <c r="G1275">
        <v>2</v>
      </c>
      <c r="H1275" t="s">
        <v>70</v>
      </c>
      <c r="I1275">
        <v>3</v>
      </c>
      <c r="J1275" t="s">
        <v>51</v>
      </c>
      <c r="K1275">
        <v>5484</v>
      </c>
      <c r="L1275">
        <v>1</v>
      </c>
      <c r="M1275" t="s">
        <v>41</v>
      </c>
      <c r="N1275">
        <v>14</v>
      </c>
      <c r="O1275">
        <v>3</v>
      </c>
      <c r="P1275">
        <v>1</v>
      </c>
      <c r="Q1275">
        <v>13</v>
      </c>
      <c r="R1275">
        <v>3</v>
      </c>
      <c r="S1275">
        <v>13</v>
      </c>
      <c r="T1275">
        <v>4</v>
      </c>
      <c r="U1275">
        <v>8</v>
      </c>
      <c r="V1275" t="s">
        <v>52</v>
      </c>
      <c r="W1275" s="2">
        <v>39697</v>
      </c>
      <c r="Y1275" t="s">
        <v>54</v>
      </c>
      <c r="Z1275" t="s">
        <v>47</v>
      </c>
      <c r="AA1275">
        <v>1</v>
      </c>
      <c r="AB1275">
        <v>1</v>
      </c>
      <c r="AC1275" t="s">
        <v>41</v>
      </c>
      <c r="AD1275" t="s">
        <v>42</v>
      </c>
      <c r="AE1275" t="s">
        <v>60</v>
      </c>
      <c r="AF1275" s="3">
        <v>1674</v>
      </c>
      <c r="AG1275" s="3">
        <v>74</v>
      </c>
      <c r="AH1275">
        <v>80</v>
      </c>
      <c r="AI1275">
        <v>2</v>
      </c>
      <c r="AJ1275">
        <v>0</v>
      </c>
      <c r="AL1275">
        <v>0</v>
      </c>
      <c r="AM1275">
        <v>1</v>
      </c>
      <c r="AN1275" t="s">
        <v>768</v>
      </c>
      <c r="AO1275" t="s">
        <v>41</v>
      </c>
    </row>
    <row r="1276" spans="1:41" x14ac:dyDescent="0.25">
      <c r="A1276">
        <v>32</v>
      </c>
      <c r="B1276" t="s">
        <v>32</v>
      </c>
      <c r="C1276" t="s">
        <v>55</v>
      </c>
      <c r="D1276">
        <v>8</v>
      </c>
      <c r="E1276" t="s">
        <v>61</v>
      </c>
      <c r="F1276">
        <v>2</v>
      </c>
      <c r="G1276">
        <v>2</v>
      </c>
      <c r="H1276" t="s">
        <v>70</v>
      </c>
      <c r="I1276">
        <v>2</v>
      </c>
      <c r="J1276" t="s">
        <v>51</v>
      </c>
      <c r="K1276">
        <v>5228</v>
      </c>
      <c r="L1276">
        <v>1</v>
      </c>
      <c r="M1276" t="s">
        <v>31</v>
      </c>
      <c r="N1276">
        <v>11</v>
      </c>
      <c r="O1276">
        <v>3</v>
      </c>
      <c r="P1276">
        <v>0</v>
      </c>
      <c r="Q1276">
        <v>13</v>
      </c>
      <c r="R1276">
        <v>2</v>
      </c>
      <c r="S1276">
        <v>13</v>
      </c>
      <c r="T1276">
        <v>11</v>
      </c>
      <c r="U1276">
        <v>9</v>
      </c>
      <c r="V1276" t="s">
        <v>58</v>
      </c>
      <c r="W1276" s="2">
        <v>39695</v>
      </c>
      <c r="Y1276" t="s">
        <v>39</v>
      </c>
      <c r="Z1276" t="s">
        <v>47</v>
      </c>
      <c r="AA1276">
        <v>2</v>
      </c>
      <c r="AB1276">
        <v>0</v>
      </c>
      <c r="AC1276" t="s">
        <v>41</v>
      </c>
      <c r="AD1276" t="s">
        <v>65</v>
      </c>
      <c r="AE1276" t="s">
        <v>43</v>
      </c>
      <c r="AF1276" s="3">
        <v>1974</v>
      </c>
      <c r="AG1276" s="3">
        <v>59</v>
      </c>
      <c r="AH1276">
        <v>80</v>
      </c>
      <c r="AI1276">
        <v>0</v>
      </c>
      <c r="AJ1276">
        <v>0</v>
      </c>
      <c r="AL1276">
        <v>0</v>
      </c>
      <c r="AM1276">
        <v>1</v>
      </c>
      <c r="AN1276" t="s">
        <v>768</v>
      </c>
      <c r="AO1276" t="s">
        <v>41</v>
      </c>
    </row>
    <row r="1277" spans="1:41" x14ac:dyDescent="0.25">
      <c r="A1277">
        <v>36</v>
      </c>
      <c r="B1277" t="s">
        <v>66</v>
      </c>
      <c r="C1277" t="s">
        <v>55</v>
      </c>
      <c r="D1277">
        <v>3</v>
      </c>
      <c r="E1277" t="s">
        <v>34</v>
      </c>
      <c r="F1277">
        <v>2</v>
      </c>
      <c r="G1277">
        <v>3</v>
      </c>
      <c r="H1277" t="s">
        <v>70</v>
      </c>
      <c r="I1277">
        <v>4</v>
      </c>
      <c r="J1277" t="s">
        <v>51</v>
      </c>
      <c r="K1277">
        <v>9699</v>
      </c>
      <c r="L1277">
        <v>4</v>
      </c>
      <c r="M1277" t="s">
        <v>41</v>
      </c>
      <c r="N1277">
        <v>11</v>
      </c>
      <c r="O1277">
        <v>3</v>
      </c>
      <c r="P1277">
        <v>1</v>
      </c>
      <c r="Q1277">
        <v>16</v>
      </c>
      <c r="R1277">
        <v>2</v>
      </c>
      <c r="S1277">
        <v>13</v>
      </c>
      <c r="T1277">
        <v>1</v>
      </c>
      <c r="U1277">
        <v>12</v>
      </c>
      <c r="V1277" t="s">
        <v>72</v>
      </c>
      <c r="W1277" s="2">
        <v>39573</v>
      </c>
      <c r="Y1277" t="s">
        <v>63</v>
      </c>
      <c r="Z1277" t="s">
        <v>47</v>
      </c>
      <c r="AA1277">
        <v>2</v>
      </c>
      <c r="AB1277">
        <v>0</v>
      </c>
      <c r="AC1277" t="s">
        <v>31</v>
      </c>
      <c r="AD1277" t="s">
        <v>67</v>
      </c>
      <c r="AE1277" t="s">
        <v>49</v>
      </c>
      <c r="AF1277" s="3">
        <v>1886</v>
      </c>
      <c r="AG1277" s="3">
        <v>44</v>
      </c>
      <c r="AH1277">
        <v>80</v>
      </c>
      <c r="AI1277">
        <v>2</v>
      </c>
      <c r="AJ1277">
        <v>0</v>
      </c>
      <c r="AL1277">
        <v>0</v>
      </c>
      <c r="AM1277">
        <v>1</v>
      </c>
      <c r="AN1277" t="s">
        <v>768</v>
      </c>
      <c r="AO1277" t="s">
        <v>41</v>
      </c>
    </row>
    <row r="1278" spans="1:41" x14ac:dyDescent="0.25">
      <c r="A1278">
        <v>31</v>
      </c>
      <c r="B1278" t="s">
        <v>32</v>
      </c>
      <c r="C1278" t="s">
        <v>33</v>
      </c>
      <c r="D1278">
        <v>7</v>
      </c>
      <c r="E1278" t="s">
        <v>61</v>
      </c>
      <c r="F1278">
        <v>3</v>
      </c>
      <c r="G1278">
        <v>2</v>
      </c>
      <c r="H1278" t="s">
        <v>78</v>
      </c>
      <c r="I1278">
        <v>1</v>
      </c>
      <c r="J1278" t="s">
        <v>51</v>
      </c>
      <c r="K1278">
        <v>4306</v>
      </c>
      <c r="L1278">
        <v>1</v>
      </c>
      <c r="M1278" t="s">
        <v>41</v>
      </c>
      <c r="N1278">
        <v>12</v>
      </c>
      <c r="O1278">
        <v>3</v>
      </c>
      <c r="P1278">
        <v>1</v>
      </c>
      <c r="Q1278">
        <v>13</v>
      </c>
      <c r="R1278">
        <v>5</v>
      </c>
      <c r="S1278">
        <v>13</v>
      </c>
      <c r="T1278">
        <v>3</v>
      </c>
      <c r="U1278">
        <v>12</v>
      </c>
      <c r="V1278" t="s">
        <v>58</v>
      </c>
      <c r="W1278" s="1" t="s">
        <v>635</v>
      </c>
      <c r="Y1278" t="s">
        <v>39</v>
      </c>
      <c r="Z1278" t="s">
        <v>47</v>
      </c>
      <c r="AA1278">
        <v>4</v>
      </c>
      <c r="AB1278">
        <v>0</v>
      </c>
      <c r="AC1278" t="s">
        <v>31</v>
      </c>
      <c r="AD1278" t="s">
        <v>67</v>
      </c>
      <c r="AE1278" t="s">
        <v>43</v>
      </c>
      <c r="AF1278" s="3">
        <v>1893</v>
      </c>
      <c r="AG1278" s="3">
        <v>90</v>
      </c>
      <c r="AH1278">
        <v>80</v>
      </c>
      <c r="AI1278">
        <v>0</v>
      </c>
      <c r="AJ1278">
        <v>0</v>
      </c>
      <c r="AL1278">
        <v>0</v>
      </c>
      <c r="AM1278">
        <v>1</v>
      </c>
      <c r="AN1278" t="s">
        <v>768</v>
      </c>
      <c r="AO1278" t="s">
        <v>41</v>
      </c>
    </row>
    <row r="1279" spans="1:41" x14ac:dyDescent="0.25">
      <c r="A1279">
        <v>37</v>
      </c>
      <c r="B1279" t="s">
        <v>81</v>
      </c>
      <c r="C1279" t="s">
        <v>33</v>
      </c>
      <c r="D1279">
        <v>25</v>
      </c>
      <c r="E1279" t="s">
        <v>61</v>
      </c>
      <c r="F1279">
        <v>3</v>
      </c>
      <c r="G1279">
        <v>2</v>
      </c>
      <c r="H1279" t="s">
        <v>44</v>
      </c>
      <c r="I1279">
        <v>3</v>
      </c>
      <c r="J1279" t="s">
        <v>51</v>
      </c>
      <c r="K1279">
        <v>4449</v>
      </c>
      <c r="L1279">
        <v>3</v>
      </c>
      <c r="M1279" t="s">
        <v>31</v>
      </c>
      <c r="N1279">
        <v>15</v>
      </c>
      <c r="O1279">
        <v>3</v>
      </c>
      <c r="P1279">
        <v>2</v>
      </c>
      <c r="Q1279">
        <v>15</v>
      </c>
      <c r="R1279">
        <v>2</v>
      </c>
      <c r="S1279">
        <v>13</v>
      </c>
      <c r="T1279">
        <v>10</v>
      </c>
      <c r="U1279">
        <v>7</v>
      </c>
      <c r="V1279" t="s">
        <v>37</v>
      </c>
      <c r="W1279" s="1" t="s">
        <v>636</v>
      </c>
      <c r="Y1279" t="s">
        <v>69</v>
      </c>
      <c r="Z1279" t="s">
        <v>40</v>
      </c>
      <c r="AA1279">
        <v>3</v>
      </c>
      <c r="AB1279">
        <v>1</v>
      </c>
      <c r="AC1279" t="s">
        <v>41</v>
      </c>
      <c r="AD1279" t="s">
        <v>65</v>
      </c>
      <c r="AE1279" t="s">
        <v>49</v>
      </c>
      <c r="AF1279" s="3">
        <v>1724</v>
      </c>
      <c r="AG1279" s="3">
        <v>92</v>
      </c>
      <c r="AH1279">
        <v>80</v>
      </c>
      <c r="AI1279">
        <v>0</v>
      </c>
      <c r="AJ1279">
        <v>0</v>
      </c>
      <c r="AL1279">
        <v>0</v>
      </c>
      <c r="AM1279">
        <v>1</v>
      </c>
      <c r="AN1279" t="s">
        <v>768</v>
      </c>
      <c r="AO1279" t="s">
        <v>41</v>
      </c>
    </row>
    <row r="1280" spans="1:41" x14ac:dyDescent="0.25">
      <c r="A1280">
        <v>31</v>
      </c>
      <c r="B1280" t="s">
        <v>32</v>
      </c>
      <c r="C1280" t="s">
        <v>33</v>
      </c>
      <c r="D1280">
        <v>9</v>
      </c>
      <c r="E1280" t="s">
        <v>34</v>
      </c>
      <c r="F1280">
        <v>3</v>
      </c>
      <c r="G1280">
        <v>3</v>
      </c>
      <c r="H1280" t="s">
        <v>78</v>
      </c>
      <c r="I1280">
        <v>2</v>
      </c>
      <c r="J1280" t="s">
        <v>57</v>
      </c>
      <c r="K1280">
        <v>10648</v>
      </c>
      <c r="L1280">
        <v>1</v>
      </c>
      <c r="M1280" t="s">
        <v>41</v>
      </c>
      <c r="N1280">
        <v>25</v>
      </c>
      <c r="O1280">
        <v>4</v>
      </c>
      <c r="P1280">
        <v>1</v>
      </c>
      <c r="Q1280">
        <v>13</v>
      </c>
      <c r="R1280">
        <v>6</v>
      </c>
      <c r="S1280">
        <v>13</v>
      </c>
      <c r="T1280">
        <v>0</v>
      </c>
      <c r="U1280">
        <v>8</v>
      </c>
      <c r="V1280" t="s">
        <v>58</v>
      </c>
      <c r="W1280" s="1" t="s">
        <v>637</v>
      </c>
      <c r="Y1280" t="s">
        <v>54</v>
      </c>
      <c r="Z1280" t="s">
        <v>47</v>
      </c>
      <c r="AA1280">
        <v>3</v>
      </c>
      <c r="AB1280">
        <v>3</v>
      </c>
      <c r="AC1280" t="s">
        <v>31</v>
      </c>
      <c r="AD1280" t="s">
        <v>65</v>
      </c>
      <c r="AE1280" t="s">
        <v>43</v>
      </c>
      <c r="AF1280" s="3">
        <v>2009</v>
      </c>
      <c r="AG1280" s="3">
        <v>95</v>
      </c>
      <c r="AH1280">
        <v>80</v>
      </c>
      <c r="AI1280">
        <v>7</v>
      </c>
      <c r="AJ1280">
        <v>0</v>
      </c>
      <c r="AL1280">
        <v>0</v>
      </c>
      <c r="AM1280">
        <v>1</v>
      </c>
      <c r="AN1280" t="s">
        <v>768</v>
      </c>
      <c r="AO1280" t="s">
        <v>41</v>
      </c>
    </row>
    <row r="1281" spans="1:41" x14ac:dyDescent="0.25">
      <c r="A1281">
        <v>33</v>
      </c>
      <c r="B1281" t="s">
        <v>66</v>
      </c>
      <c r="C1281" t="s">
        <v>33</v>
      </c>
      <c r="D1281">
        <v>6</v>
      </c>
      <c r="E1281" t="s">
        <v>34</v>
      </c>
      <c r="F1281">
        <v>3</v>
      </c>
      <c r="G1281">
        <v>2</v>
      </c>
      <c r="H1281" t="s">
        <v>89</v>
      </c>
      <c r="I1281">
        <v>4</v>
      </c>
      <c r="J1281" t="s">
        <v>57</v>
      </c>
      <c r="K1281">
        <v>7725</v>
      </c>
      <c r="L1281">
        <v>3</v>
      </c>
      <c r="M1281" t="s">
        <v>41</v>
      </c>
      <c r="N1281">
        <v>23</v>
      </c>
      <c r="O1281">
        <v>4</v>
      </c>
      <c r="P1281">
        <v>1</v>
      </c>
      <c r="Q1281">
        <v>15</v>
      </c>
      <c r="R1281">
        <v>2</v>
      </c>
      <c r="S1281">
        <v>13</v>
      </c>
      <c r="T1281">
        <v>4</v>
      </c>
      <c r="U1281">
        <v>7</v>
      </c>
      <c r="V1281" t="s">
        <v>37</v>
      </c>
      <c r="W1281" s="1" t="s">
        <v>638</v>
      </c>
      <c r="Y1281" t="s">
        <v>69</v>
      </c>
      <c r="Z1281" t="s">
        <v>47</v>
      </c>
      <c r="AA1281">
        <v>2</v>
      </c>
      <c r="AB1281">
        <v>0</v>
      </c>
      <c r="AC1281" t="s">
        <v>31</v>
      </c>
      <c r="AD1281" t="s">
        <v>42</v>
      </c>
      <c r="AE1281" t="s">
        <v>43</v>
      </c>
      <c r="AF1281" s="3">
        <v>1661</v>
      </c>
      <c r="AG1281" s="3">
        <v>41</v>
      </c>
      <c r="AH1281">
        <v>80</v>
      </c>
      <c r="AI1281">
        <v>11</v>
      </c>
      <c r="AJ1281">
        <v>0</v>
      </c>
      <c r="AL1281">
        <v>0</v>
      </c>
      <c r="AM1281">
        <v>1</v>
      </c>
      <c r="AN1281" t="s">
        <v>768</v>
      </c>
      <c r="AO1281" t="s">
        <v>41</v>
      </c>
    </row>
    <row r="1282" spans="1:41" x14ac:dyDescent="0.25">
      <c r="A1282">
        <v>33</v>
      </c>
      <c r="B1282" t="s">
        <v>32</v>
      </c>
      <c r="C1282" t="s">
        <v>33</v>
      </c>
      <c r="D1282">
        <v>7</v>
      </c>
      <c r="E1282" t="s">
        <v>34</v>
      </c>
      <c r="F1282">
        <v>3</v>
      </c>
      <c r="G1282">
        <v>3</v>
      </c>
      <c r="H1282" t="s">
        <v>50</v>
      </c>
      <c r="I1282">
        <v>3</v>
      </c>
      <c r="J1282" t="s">
        <v>51</v>
      </c>
      <c r="K1282">
        <v>11691</v>
      </c>
      <c r="L1282">
        <v>0</v>
      </c>
      <c r="M1282" t="s">
        <v>41</v>
      </c>
      <c r="N1282">
        <v>11</v>
      </c>
      <c r="O1282">
        <v>3</v>
      </c>
      <c r="P1282">
        <v>0</v>
      </c>
      <c r="Q1282">
        <v>14</v>
      </c>
      <c r="R1282">
        <v>3</v>
      </c>
      <c r="S1282">
        <v>13</v>
      </c>
      <c r="T1282">
        <v>3</v>
      </c>
      <c r="U1282">
        <v>7</v>
      </c>
      <c r="V1282" t="s">
        <v>37</v>
      </c>
      <c r="W1282" s="1" t="s">
        <v>639</v>
      </c>
      <c r="Y1282" t="s">
        <v>46</v>
      </c>
      <c r="Z1282" t="s">
        <v>47</v>
      </c>
      <c r="AA1282">
        <v>2</v>
      </c>
      <c r="AB1282">
        <v>3</v>
      </c>
      <c r="AC1282" t="s">
        <v>31</v>
      </c>
      <c r="AD1282" t="s">
        <v>48</v>
      </c>
      <c r="AE1282" t="s">
        <v>60</v>
      </c>
      <c r="AF1282" s="3">
        <v>1703</v>
      </c>
      <c r="AG1282" s="3">
        <v>96</v>
      </c>
      <c r="AH1282">
        <v>80</v>
      </c>
      <c r="AI1282">
        <v>7</v>
      </c>
      <c r="AJ1282">
        <v>0</v>
      </c>
      <c r="AL1282">
        <v>0</v>
      </c>
      <c r="AM1282">
        <v>1</v>
      </c>
      <c r="AN1282" t="s">
        <v>768</v>
      </c>
      <c r="AO1282" t="s">
        <v>41</v>
      </c>
    </row>
    <row r="1283" spans="1:41" x14ac:dyDescent="0.25">
      <c r="A1283">
        <v>35</v>
      </c>
      <c r="B1283" t="s">
        <v>32</v>
      </c>
      <c r="C1283" t="s">
        <v>33</v>
      </c>
      <c r="D1283">
        <v>25</v>
      </c>
      <c r="E1283" t="s">
        <v>34</v>
      </c>
      <c r="F1283">
        <v>2</v>
      </c>
      <c r="G1283">
        <v>3</v>
      </c>
      <c r="H1283" t="s">
        <v>78</v>
      </c>
      <c r="I1283">
        <v>2</v>
      </c>
      <c r="J1283" t="s">
        <v>51</v>
      </c>
      <c r="K1283">
        <v>10903</v>
      </c>
      <c r="L1283">
        <v>3</v>
      </c>
      <c r="M1283" t="s">
        <v>41</v>
      </c>
      <c r="N1283">
        <v>16</v>
      </c>
      <c r="O1283">
        <v>3</v>
      </c>
      <c r="P1283">
        <v>0</v>
      </c>
      <c r="Q1283">
        <v>16</v>
      </c>
      <c r="R1283">
        <v>2</v>
      </c>
      <c r="S1283">
        <v>13</v>
      </c>
      <c r="T1283">
        <v>4</v>
      </c>
      <c r="U1283">
        <v>8</v>
      </c>
      <c r="V1283" t="s">
        <v>52</v>
      </c>
      <c r="W1283" s="1" t="s">
        <v>640</v>
      </c>
      <c r="Y1283" t="s">
        <v>63</v>
      </c>
      <c r="Z1283" t="s">
        <v>40</v>
      </c>
      <c r="AA1283">
        <v>4</v>
      </c>
      <c r="AB1283">
        <v>1</v>
      </c>
      <c r="AC1283" t="s">
        <v>31</v>
      </c>
      <c r="AD1283" t="s">
        <v>67</v>
      </c>
      <c r="AE1283" t="s">
        <v>43</v>
      </c>
      <c r="AF1283" s="3">
        <v>1638</v>
      </c>
      <c r="AG1283" s="3">
        <v>54</v>
      </c>
      <c r="AH1283">
        <v>80</v>
      </c>
      <c r="AI1283">
        <v>4</v>
      </c>
      <c r="AJ1283">
        <v>0</v>
      </c>
      <c r="AL1283">
        <v>0</v>
      </c>
      <c r="AM1283">
        <v>1</v>
      </c>
      <c r="AN1283" t="s">
        <v>768</v>
      </c>
      <c r="AO1283" t="s">
        <v>41</v>
      </c>
    </row>
    <row r="1284" spans="1:41" x14ac:dyDescent="0.25">
      <c r="A1284">
        <v>33</v>
      </c>
      <c r="B1284" t="s">
        <v>66</v>
      </c>
      <c r="C1284" t="s">
        <v>33</v>
      </c>
      <c r="D1284">
        <v>29</v>
      </c>
      <c r="E1284" t="s">
        <v>61</v>
      </c>
      <c r="F1284">
        <v>2</v>
      </c>
      <c r="G1284">
        <v>2</v>
      </c>
      <c r="H1284" t="s">
        <v>44</v>
      </c>
      <c r="I1284">
        <v>3</v>
      </c>
      <c r="J1284" t="s">
        <v>36</v>
      </c>
      <c r="K1284">
        <v>4508</v>
      </c>
      <c r="L1284">
        <v>1</v>
      </c>
      <c r="M1284" t="s">
        <v>41</v>
      </c>
      <c r="N1284">
        <v>22</v>
      </c>
      <c r="O1284">
        <v>4</v>
      </c>
      <c r="P1284">
        <v>0</v>
      </c>
      <c r="Q1284">
        <v>14</v>
      </c>
      <c r="R1284">
        <v>4</v>
      </c>
      <c r="S1284">
        <v>13</v>
      </c>
      <c r="T1284">
        <v>3</v>
      </c>
      <c r="U1284">
        <v>8</v>
      </c>
      <c r="V1284" t="s">
        <v>37</v>
      </c>
      <c r="W1284" s="1" t="s">
        <v>641</v>
      </c>
      <c r="Y1284" t="s">
        <v>39</v>
      </c>
      <c r="Z1284" t="s">
        <v>40</v>
      </c>
      <c r="AA1284">
        <v>1</v>
      </c>
      <c r="AB1284">
        <v>3</v>
      </c>
      <c r="AC1284" t="s">
        <v>31</v>
      </c>
      <c r="AD1284" t="s">
        <v>48</v>
      </c>
      <c r="AE1284" t="s">
        <v>60</v>
      </c>
      <c r="AF1284" s="3">
        <v>1614</v>
      </c>
      <c r="AG1284" s="3">
        <v>76</v>
      </c>
      <c r="AH1284">
        <v>80</v>
      </c>
      <c r="AI1284">
        <v>2</v>
      </c>
      <c r="AJ1284">
        <v>0</v>
      </c>
      <c r="AL1284">
        <v>0</v>
      </c>
      <c r="AM1284">
        <v>1</v>
      </c>
      <c r="AN1284" t="s">
        <v>768</v>
      </c>
      <c r="AO1284" t="s">
        <v>41</v>
      </c>
    </row>
    <row r="1285" spans="1:41" x14ac:dyDescent="0.25">
      <c r="A1285">
        <v>34</v>
      </c>
      <c r="B1285" t="s">
        <v>66</v>
      </c>
      <c r="C1285" t="s">
        <v>33</v>
      </c>
      <c r="D1285">
        <v>1</v>
      </c>
      <c r="E1285" t="s">
        <v>34</v>
      </c>
      <c r="F1285">
        <v>2</v>
      </c>
      <c r="G1285">
        <v>2</v>
      </c>
      <c r="H1285" t="s">
        <v>89</v>
      </c>
      <c r="I1285">
        <v>1</v>
      </c>
      <c r="J1285" t="s">
        <v>36</v>
      </c>
      <c r="K1285">
        <v>5343</v>
      </c>
      <c r="L1285">
        <v>0</v>
      </c>
      <c r="M1285" t="s">
        <v>41</v>
      </c>
      <c r="N1285">
        <v>20</v>
      </c>
      <c r="O1285">
        <v>4</v>
      </c>
      <c r="P1285">
        <v>0</v>
      </c>
      <c r="Q1285">
        <v>14</v>
      </c>
      <c r="R1285">
        <v>3</v>
      </c>
      <c r="S1285">
        <v>13</v>
      </c>
      <c r="T1285">
        <v>4</v>
      </c>
      <c r="U1285">
        <v>9</v>
      </c>
      <c r="V1285" t="s">
        <v>58</v>
      </c>
      <c r="W1285" s="1" t="s">
        <v>640</v>
      </c>
      <c r="Y1285" t="s">
        <v>39</v>
      </c>
      <c r="Z1285" t="s">
        <v>40</v>
      </c>
      <c r="AA1285">
        <v>5</v>
      </c>
      <c r="AB1285">
        <v>1</v>
      </c>
      <c r="AC1285" t="s">
        <v>41</v>
      </c>
      <c r="AD1285" t="s">
        <v>65</v>
      </c>
      <c r="AE1285" t="s">
        <v>43</v>
      </c>
      <c r="AF1285" s="3">
        <v>1587</v>
      </c>
      <c r="AG1285" s="3">
        <v>51</v>
      </c>
      <c r="AH1285">
        <v>80</v>
      </c>
      <c r="AI1285">
        <v>2</v>
      </c>
      <c r="AJ1285">
        <v>0</v>
      </c>
      <c r="AL1285">
        <v>0</v>
      </c>
      <c r="AM1285">
        <v>1</v>
      </c>
      <c r="AN1285" t="s">
        <v>768</v>
      </c>
      <c r="AO1285" t="s">
        <v>41</v>
      </c>
    </row>
    <row r="1286" spans="1:41" x14ac:dyDescent="0.25">
      <c r="A1286">
        <v>35</v>
      </c>
      <c r="B1286" t="s">
        <v>81</v>
      </c>
      <c r="C1286" t="s">
        <v>55</v>
      </c>
      <c r="D1286">
        <v>8</v>
      </c>
      <c r="E1286" t="s">
        <v>61</v>
      </c>
      <c r="F1286">
        <v>2</v>
      </c>
      <c r="G1286">
        <v>3</v>
      </c>
      <c r="H1286" t="s">
        <v>70</v>
      </c>
      <c r="I1286">
        <v>4</v>
      </c>
      <c r="J1286" t="s">
        <v>51</v>
      </c>
      <c r="K1286">
        <v>10377</v>
      </c>
      <c r="L1286">
        <v>4</v>
      </c>
      <c r="M1286" t="s">
        <v>31</v>
      </c>
      <c r="N1286">
        <v>11</v>
      </c>
      <c r="O1286">
        <v>3</v>
      </c>
      <c r="P1286">
        <v>1</v>
      </c>
      <c r="Q1286">
        <v>16</v>
      </c>
      <c r="R1286">
        <v>6</v>
      </c>
      <c r="S1286">
        <v>13</v>
      </c>
      <c r="T1286">
        <v>4</v>
      </c>
      <c r="U1286">
        <v>12</v>
      </c>
      <c r="V1286" t="s">
        <v>58</v>
      </c>
      <c r="W1286" s="1" t="s">
        <v>642</v>
      </c>
      <c r="Y1286" t="s">
        <v>69</v>
      </c>
      <c r="Z1286" t="s">
        <v>40</v>
      </c>
      <c r="AA1286">
        <v>1</v>
      </c>
      <c r="AB1286">
        <v>0</v>
      </c>
      <c r="AC1286" t="s">
        <v>31</v>
      </c>
      <c r="AD1286" t="s">
        <v>42</v>
      </c>
      <c r="AE1286" t="s">
        <v>43</v>
      </c>
      <c r="AF1286" s="3">
        <v>1611</v>
      </c>
      <c r="AG1286" s="3">
        <v>50</v>
      </c>
      <c r="AH1286">
        <v>80</v>
      </c>
      <c r="AI1286">
        <v>7</v>
      </c>
      <c r="AJ1286">
        <v>0</v>
      </c>
      <c r="AL1286">
        <v>0</v>
      </c>
      <c r="AM1286">
        <v>1</v>
      </c>
      <c r="AN1286" t="s">
        <v>768</v>
      </c>
      <c r="AO1286" t="s">
        <v>41</v>
      </c>
    </row>
    <row r="1287" spans="1:41" x14ac:dyDescent="0.25">
      <c r="A1287">
        <v>31</v>
      </c>
      <c r="B1287" t="s">
        <v>32</v>
      </c>
      <c r="C1287" t="s">
        <v>55</v>
      </c>
      <c r="D1287">
        <v>8</v>
      </c>
      <c r="E1287" t="s">
        <v>34</v>
      </c>
      <c r="F1287">
        <v>3</v>
      </c>
      <c r="G1287">
        <v>3</v>
      </c>
      <c r="H1287" t="s">
        <v>70</v>
      </c>
      <c r="I1287">
        <v>4</v>
      </c>
      <c r="J1287" t="s">
        <v>57</v>
      </c>
      <c r="K1287">
        <v>10793</v>
      </c>
      <c r="L1287">
        <v>1</v>
      </c>
      <c r="M1287" t="s">
        <v>41</v>
      </c>
      <c r="N1287">
        <v>18</v>
      </c>
      <c r="O1287">
        <v>3</v>
      </c>
      <c r="P1287">
        <v>1</v>
      </c>
      <c r="Q1287">
        <v>13</v>
      </c>
      <c r="R1287">
        <v>5</v>
      </c>
      <c r="S1287">
        <v>13</v>
      </c>
      <c r="T1287">
        <v>9</v>
      </c>
      <c r="U1287">
        <v>9</v>
      </c>
      <c r="V1287" t="s">
        <v>58</v>
      </c>
      <c r="W1287" s="1" t="s">
        <v>643</v>
      </c>
      <c r="Y1287" t="s">
        <v>63</v>
      </c>
      <c r="Z1287" t="s">
        <v>40</v>
      </c>
      <c r="AA1287">
        <v>1</v>
      </c>
      <c r="AB1287">
        <v>1</v>
      </c>
      <c r="AC1287" t="s">
        <v>41</v>
      </c>
      <c r="AD1287" t="s">
        <v>65</v>
      </c>
      <c r="AE1287" t="s">
        <v>49</v>
      </c>
      <c r="AF1287" s="3">
        <v>1980</v>
      </c>
      <c r="AG1287" s="3">
        <v>77</v>
      </c>
      <c r="AH1287">
        <v>80</v>
      </c>
      <c r="AI1287">
        <v>2</v>
      </c>
      <c r="AJ1287">
        <v>0</v>
      </c>
      <c r="AL1287">
        <v>0</v>
      </c>
      <c r="AM1287">
        <v>1</v>
      </c>
      <c r="AN1287" t="s">
        <v>768</v>
      </c>
      <c r="AO1287" t="s">
        <v>41</v>
      </c>
    </row>
    <row r="1288" spans="1:41" x14ac:dyDescent="0.25">
      <c r="A1288">
        <v>34</v>
      </c>
      <c r="B1288" t="s">
        <v>32</v>
      </c>
      <c r="C1288" t="s">
        <v>55</v>
      </c>
      <c r="D1288">
        <v>3</v>
      </c>
      <c r="E1288" t="s">
        <v>34</v>
      </c>
      <c r="F1288">
        <v>1</v>
      </c>
      <c r="G1288">
        <v>2</v>
      </c>
      <c r="H1288" t="s">
        <v>70</v>
      </c>
      <c r="I1288">
        <v>1</v>
      </c>
      <c r="J1288" t="s">
        <v>36</v>
      </c>
      <c r="K1288">
        <v>4759</v>
      </c>
      <c r="L1288">
        <v>3</v>
      </c>
      <c r="M1288" t="s">
        <v>41</v>
      </c>
      <c r="N1288">
        <v>18</v>
      </c>
      <c r="O1288">
        <v>3</v>
      </c>
      <c r="P1288">
        <v>0</v>
      </c>
      <c r="Q1288">
        <v>15</v>
      </c>
      <c r="R1288">
        <v>2</v>
      </c>
      <c r="S1288">
        <v>13</v>
      </c>
      <c r="T1288">
        <v>3</v>
      </c>
      <c r="U1288">
        <v>12</v>
      </c>
      <c r="V1288" t="s">
        <v>72</v>
      </c>
      <c r="W1288" s="1" t="s">
        <v>644</v>
      </c>
      <c r="Y1288" t="s">
        <v>63</v>
      </c>
      <c r="Z1288" t="s">
        <v>40</v>
      </c>
      <c r="AA1288">
        <v>3</v>
      </c>
      <c r="AB1288">
        <v>3</v>
      </c>
      <c r="AC1288" t="s">
        <v>41</v>
      </c>
      <c r="AD1288" t="s">
        <v>67</v>
      </c>
      <c r="AE1288" t="s">
        <v>49</v>
      </c>
      <c r="AF1288" s="3">
        <v>1641</v>
      </c>
      <c r="AG1288" s="3">
        <v>84</v>
      </c>
      <c r="AH1288">
        <v>80</v>
      </c>
      <c r="AI1288">
        <v>2</v>
      </c>
      <c r="AJ1288">
        <v>0</v>
      </c>
      <c r="AL1288">
        <v>0</v>
      </c>
      <c r="AM1288">
        <v>1</v>
      </c>
      <c r="AN1288" t="s">
        <v>768</v>
      </c>
      <c r="AO1288" t="s">
        <v>41</v>
      </c>
    </row>
    <row r="1289" spans="1:41" x14ac:dyDescent="0.25">
      <c r="A1289">
        <v>46</v>
      </c>
      <c r="B1289" t="s">
        <v>32</v>
      </c>
      <c r="C1289" t="s">
        <v>55</v>
      </c>
      <c r="D1289">
        <v>3</v>
      </c>
      <c r="E1289" t="s">
        <v>61</v>
      </c>
      <c r="F1289">
        <v>3</v>
      </c>
      <c r="G1289">
        <v>4</v>
      </c>
      <c r="H1289" t="s">
        <v>75</v>
      </c>
      <c r="I1289">
        <v>2</v>
      </c>
      <c r="J1289" t="s">
        <v>51</v>
      </c>
      <c r="K1289">
        <v>16606</v>
      </c>
      <c r="L1289">
        <v>8</v>
      </c>
      <c r="M1289" t="s">
        <v>41</v>
      </c>
      <c r="N1289">
        <v>12</v>
      </c>
      <c r="O1289">
        <v>3</v>
      </c>
      <c r="P1289">
        <v>1</v>
      </c>
      <c r="Q1289">
        <v>23</v>
      </c>
      <c r="R1289">
        <v>2</v>
      </c>
      <c r="S1289">
        <v>13</v>
      </c>
      <c r="T1289">
        <v>5</v>
      </c>
      <c r="U1289">
        <v>1</v>
      </c>
      <c r="V1289" t="s">
        <v>58</v>
      </c>
      <c r="W1289" s="2">
        <v>39633</v>
      </c>
      <c r="Y1289" t="s">
        <v>46</v>
      </c>
      <c r="Z1289" t="s">
        <v>47</v>
      </c>
      <c r="AA1289">
        <v>5</v>
      </c>
      <c r="AB1289">
        <v>3</v>
      </c>
      <c r="AC1289" t="s">
        <v>31</v>
      </c>
      <c r="AD1289" t="s">
        <v>67</v>
      </c>
      <c r="AE1289" t="s">
        <v>60</v>
      </c>
      <c r="AF1289" s="3">
        <v>1815</v>
      </c>
      <c r="AG1289" s="3">
        <v>81</v>
      </c>
      <c r="AH1289">
        <v>80</v>
      </c>
      <c r="AI1289">
        <v>14</v>
      </c>
      <c r="AJ1289">
        <v>0</v>
      </c>
      <c r="AL1289">
        <v>0</v>
      </c>
      <c r="AM1289">
        <v>1</v>
      </c>
      <c r="AN1289" t="s">
        <v>768</v>
      </c>
      <c r="AO1289" t="s">
        <v>41</v>
      </c>
    </row>
    <row r="1290" spans="1:41" x14ac:dyDescent="0.25">
      <c r="A1290">
        <v>35</v>
      </c>
      <c r="B1290" t="s">
        <v>32</v>
      </c>
      <c r="C1290" t="s">
        <v>55</v>
      </c>
      <c r="D1290">
        <v>10</v>
      </c>
      <c r="E1290" t="s">
        <v>34</v>
      </c>
      <c r="F1290">
        <v>2</v>
      </c>
      <c r="G1290">
        <v>3</v>
      </c>
      <c r="H1290" t="s">
        <v>70</v>
      </c>
      <c r="I1290">
        <v>1</v>
      </c>
      <c r="J1290" t="s">
        <v>51</v>
      </c>
      <c r="K1290">
        <v>10306</v>
      </c>
      <c r="L1290">
        <v>9</v>
      </c>
      <c r="M1290" t="s">
        <v>41</v>
      </c>
      <c r="N1290">
        <v>17</v>
      </c>
      <c r="O1290">
        <v>3</v>
      </c>
      <c r="P1290">
        <v>0</v>
      </c>
      <c r="Q1290">
        <v>15</v>
      </c>
      <c r="R1290">
        <v>3</v>
      </c>
      <c r="S1290">
        <v>13</v>
      </c>
      <c r="T1290">
        <v>6</v>
      </c>
      <c r="U1290">
        <v>0</v>
      </c>
      <c r="V1290" t="s">
        <v>37</v>
      </c>
      <c r="W1290" s="1" t="s">
        <v>645</v>
      </c>
      <c r="Y1290" t="s">
        <v>46</v>
      </c>
      <c r="Z1290" t="s">
        <v>47</v>
      </c>
      <c r="AA1290">
        <v>4</v>
      </c>
      <c r="AB1290">
        <v>2</v>
      </c>
      <c r="AC1290" t="s">
        <v>31</v>
      </c>
      <c r="AD1290" t="s">
        <v>67</v>
      </c>
      <c r="AE1290" t="s">
        <v>49</v>
      </c>
      <c r="AF1290" s="3">
        <v>1912</v>
      </c>
      <c r="AG1290" s="3">
        <v>86</v>
      </c>
      <c r="AH1290">
        <v>80</v>
      </c>
      <c r="AI1290">
        <v>2</v>
      </c>
      <c r="AJ1290">
        <v>0</v>
      </c>
      <c r="AL1290">
        <v>0</v>
      </c>
      <c r="AM1290">
        <v>1</v>
      </c>
      <c r="AN1290" t="s">
        <v>768</v>
      </c>
      <c r="AO1290" t="s">
        <v>41</v>
      </c>
    </row>
    <row r="1291" spans="1:41" x14ac:dyDescent="0.25">
      <c r="A1291">
        <v>38</v>
      </c>
      <c r="B1291" t="s">
        <v>66</v>
      </c>
      <c r="C1291" t="s">
        <v>33</v>
      </c>
      <c r="D1291">
        <v>1</v>
      </c>
      <c r="E1291" t="s">
        <v>34</v>
      </c>
      <c r="F1291">
        <v>3</v>
      </c>
      <c r="G1291">
        <v>2</v>
      </c>
      <c r="H1291" t="s">
        <v>44</v>
      </c>
      <c r="I1291">
        <v>4</v>
      </c>
      <c r="J1291" t="s">
        <v>51</v>
      </c>
      <c r="K1291">
        <v>4735</v>
      </c>
      <c r="L1291">
        <v>7</v>
      </c>
      <c r="M1291" t="s">
        <v>41</v>
      </c>
      <c r="N1291">
        <v>15</v>
      </c>
      <c r="O1291">
        <v>3</v>
      </c>
      <c r="P1291">
        <v>2</v>
      </c>
      <c r="Q1291">
        <v>19</v>
      </c>
      <c r="R1291">
        <v>4</v>
      </c>
      <c r="S1291">
        <v>13</v>
      </c>
      <c r="T1291">
        <v>2</v>
      </c>
      <c r="U1291">
        <v>9</v>
      </c>
      <c r="V1291" t="s">
        <v>52</v>
      </c>
      <c r="W1291" s="2">
        <v>39509</v>
      </c>
      <c r="Y1291" t="s">
        <v>39</v>
      </c>
      <c r="Z1291" t="s">
        <v>47</v>
      </c>
      <c r="AA1291">
        <v>5</v>
      </c>
      <c r="AB1291">
        <v>3</v>
      </c>
      <c r="AC1291" t="s">
        <v>41</v>
      </c>
      <c r="AD1291" t="s">
        <v>65</v>
      </c>
      <c r="AE1291" t="s">
        <v>60</v>
      </c>
      <c r="AF1291" s="3">
        <v>1962</v>
      </c>
      <c r="AG1291" s="3">
        <v>55</v>
      </c>
      <c r="AH1291">
        <v>80</v>
      </c>
      <c r="AI1291">
        <v>8</v>
      </c>
      <c r="AJ1291">
        <v>0</v>
      </c>
      <c r="AL1291">
        <v>0</v>
      </c>
      <c r="AM1291">
        <v>1</v>
      </c>
      <c r="AN1291" t="s">
        <v>768</v>
      </c>
      <c r="AO1291" t="s">
        <v>41</v>
      </c>
    </row>
    <row r="1292" spans="1:41" x14ac:dyDescent="0.25">
      <c r="A1292">
        <v>36</v>
      </c>
      <c r="B1292" t="s">
        <v>32</v>
      </c>
      <c r="C1292" t="s">
        <v>55</v>
      </c>
      <c r="D1292">
        <v>2</v>
      </c>
      <c r="E1292" t="s">
        <v>61</v>
      </c>
      <c r="F1292">
        <v>3</v>
      </c>
      <c r="G1292">
        <v>2</v>
      </c>
      <c r="H1292" t="s">
        <v>56</v>
      </c>
      <c r="I1292">
        <v>4</v>
      </c>
      <c r="J1292" t="s">
        <v>36</v>
      </c>
      <c r="K1292">
        <v>4502</v>
      </c>
      <c r="L1292">
        <v>3</v>
      </c>
      <c r="M1292" t="s">
        <v>41</v>
      </c>
      <c r="N1292">
        <v>15</v>
      </c>
      <c r="O1292">
        <v>3</v>
      </c>
      <c r="P1292">
        <v>0</v>
      </c>
      <c r="Q1292">
        <v>17</v>
      </c>
      <c r="R1292">
        <v>2</v>
      </c>
      <c r="S1292">
        <v>13</v>
      </c>
      <c r="T1292">
        <v>6</v>
      </c>
      <c r="U1292">
        <v>7</v>
      </c>
      <c r="V1292" t="s">
        <v>58</v>
      </c>
      <c r="W1292" s="2">
        <v>39694</v>
      </c>
      <c r="Y1292" t="s">
        <v>46</v>
      </c>
      <c r="Z1292" t="s">
        <v>47</v>
      </c>
      <c r="AA1292">
        <v>0</v>
      </c>
      <c r="AB1292">
        <v>0</v>
      </c>
      <c r="AC1292" t="s">
        <v>31</v>
      </c>
      <c r="AD1292" t="s">
        <v>65</v>
      </c>
      <c r="AE1292" t="s">
        <v>43</v>
      </c>
      <c r="AF1292" s="3">
        <v>1915</v>
      </c>
      <c r="AG1292" s="3">
        <v>75</v>
      </c>
      <c r="AH1292">
        <v>80</v>
      </c>
      <c r="AI1292">
        <v>2</v>
      </c>
      <c r="AJ1292">
        <v>0</v>
      </c>
      <c r="AL1292">
        <v>0</v>
      </c>
      <c r="AM1292">
        <v>1</v>
      </c>
      <c r="AN1292" t="s">
        <v>768</v>
      </c>
      <c r="AO1292" t="s">
        <v>41</v>
      </c>
    </row>
    <row r="1293" spans="1:41" x14ac:dyDescent="0.25">
      <c r="A1293">
        <v>42</v>
      </c>
      <c r="B1293" t="s">
        <v>32</v>
      </c>
      <c r="C1293" t="s">
        <v>33</v>
      </c>
      <c r="D1293">
        <v>6</v>
      </c>
      <c r="E1293" t="s">
        <v>34</v>
      </c>
      <c r="F1293">
        <v>3</v>
      </c>
      <c r="G1293">
        <v>3</v>
      </c>
      <c r="H1293" t="s">
        <v>50</v>
      </c>
      <c r="I1293">
        <v>1</v>
      </c>
      <c r="J1293" t="s">
        <v>51</v>
      </c>
      <c r="K1293">
        <v>13348</v>
      </c>
      <c r="L1293">
        <v>9</v>
      </c>
      <c r="M1293" t="s">
        <v>41</v>
      </c>
      <c r="N1293">
        <v>13</v>
      </c>
      <c r="O1293">
        <v>3</v>
      </c>
      <c r="P1293">
        <v>1</v>
      </c>
      <c r="Q1293">
        <v>18</v>
      </c>
      <c r="R1293">
        <v>3</v>
      </c>
      <c r="S1293">
        <v>13</v>
      </c>
      <c r="T1293">
        <v>5</v>
      </c>
      <c r="U1293">
        <v>7</v>
      </c>
      <c r="V1293" t="s">
        <v>37</v>
      </c>
      <c r="W1293" s="1" t="s">
        <v>646</v>
      </c>
      <c r="Y1293" t="s">
        <v>63</v>
      </c>
      <c r="Z1293" t="s">
        <v>47</v>
      </c>
      <c r="AA1293">
        <v>2</v>
      </c>
      <c r="AB1293">
        <v>3</v>
      </c>
      <c r="AC1293" t="s">
        <v>31</v>
      </c>
      <c r="AD1293" t="s">
        <v>65</v>
      </c>
      <c r="AE1293" t="s">
        <v>60</v>
      </c>
      <c r="AF1293" s="3">
        <v>1880</v>
      </c>
      <c r="AG1293" s="3">
        <v>63</v>
      </c>
      <c r="AH1293">
        <v>80</v>
      </c>
      <c r="AI1293">
        <v>9</v>
      </c>
      <c r="AJ1293">
        <v>0</v>
      </c>
      <c r="AL1293">
        <v>0</v>
      </c>
      <c r="AM1293">
        <v>1</v>
      </c>
      <c r="AN1293" t="s">
        <v>768</v>
      </c>
      <c r="AO1293" t="s">
        <v>41</v>
      </c>
    </row>
    <row r="1294" spans="1:41" x14ac:dyDescent="0.25">
      <c r="A1294">
        <v>47</v>
      </c>
      <c r="B1294" t="s">
        <v>81</v>
      </c>
      <c r="C1294" t="s">
        <v>33</v>
      </c>
      <c r="D1294">
        <v>1</v>
      </c>
      <c r="E1294" t="s">
        <v>61</v>
      </c>
      <c r="F1294">
        <v>3</v>
      </c>
      <c r="G1294">
        <v>3</v>
      </c>
      <c r="H1294" t="s">
        <v>50</v>
      </c>
      <c r="I1294">
        <v>2</v>
      </c>
      <c r="J1294" t="s">
        <v>51</v>
      </c>
      <c r="K1294">
        <v>11957</v>
      </c>
      <c r="L1294">
        <v>0</v>
      </c>
      <c r="M1294" t="s">
        <v>41</v>
      </c>
      <c r="N1294">
        <v>18</v>
      </c>
      <c r="O1294">
        <v>3</v>
      </c>
      <c r="P1294">
        <v>2</v>
      </c>
      <c r="Q1294">
        <v>14</v>
      </c>
      <c r="R1294">
        <v>3</v>
      </c>
      <c r="S1294">
        <v>13</v>
      </c>
      <c r="T1294">
        <v>5</v>
      </c>
      <c r="U1294">
        <v>12</v>
      </c>
      <c r="V1294" t="s">
        <v>58</v>
      </c>
      <c r="W1294" s="1" t="s">
        <v>647</v>
      </c>
      <c r="Y1294" t="s">
        <v>54</v>
      </c>
      <c r="Z1294" t="s">
        <v>40</v>
      </c>
      <c r="AA1294">
        <v>3</v>
      </c>
      <c r="AB1294">
        <v>1</v>
      </c>
      <c r="AC1294" t="s">
        <v>31</v>
      </c>
      <c r="AD1294" t="s">
        <v>42</v>
      </c>
      <c r="AE1294" t="s">
        <v>49</v>
      </c>
      <c r="AF1294" s="3">
        <v>1503</v>
      </c>
      <c r="AG1294" s="3">
        <v>78</v>
      </c>
      <c r="AH1294">
        <v>80</v>
      </c>
      <c r="AI1294">
        <v>4</v>
      </c>
      <c r="AJ1294">
        <v>0</v>
      </c>
      <c r="AL1294">
        <v>0</v>
      </c>
      <c r="AM1294">
        <v>1</v>
      </c>
      <c r="AN1294" t="s">
        <v>768</v>
      </c>
      <c r="AO1294" t="s">
        <v>41</v>
      </c>
    </row>
    <row r="1295" spans="1:41" x14ac:dyDescent="0.25">
      <c r="A1295">
        <v>56</v>
      </c>
      <c r="B1295" t="s">
        <v>81</v>
      </c>
      <c r="C1295" t="s">
        <v>33</v>
      </c>
      <c r="D1295">
        <v>1</v>
      </c>
      <c r="E1295" t="s">
        <v>34</v>
      </c>
      <c r="F1295">
        <v>3</v>
      </c>
      <c r="G1295">
        <v>2</v>
      </c>
      <c r="H1295" t="s">
        <v>89</v>
      </c>
      <c r="I1295">
        <v>3</v>
      </c>
      <c r="J1295" t="s">
        <v>57</v>
      </c>
      <c r="K1295">
        <v>6306</v>
      </c>
      <c r="L1295">
        <v>1</v>
      </c>
      <c r="M1295" t="s">
        <v>41</v>
      </c>
      <c r="N1295">
        <v>21</v>
      </c>
      <c r="O1295">
        <v>4</v>
      </c>
      <c r="P1295">
        <v>1</v>
      </c>
      <c r="Q1295">
        <v>13</v>
      </c>
      <c r="R1295">
        <v>2</v>
      </c>
      <c r="S1295">
        <v>13</v>
      </c>
      <c r="T1295">
        <v>1</v>
      </c>
      <c r="U1295">
        <v>9</v>
      </c>
      <c r="V1295" t="s">
        <v>58</v>
      </c>
      <c r="W1295" s="1" t="s">
        <v>648</v>
      </c>
      <c r="Y1295" t="s">
        <v>63</v>
      </c>
      <c r="Z1295" t="s">
        <v>40</v>
      </c>
      <c r="AA1295">
        <v>5</v>
      </c>
      <c r="AB1295">
        <v>0</v>
      </c>
      <c r="AC1295" t="s">
        <v>31</v>
      </c>
      <c r="AD1295" t="s">
        <v>65</v>
      </c>
      <c r="AE1295" t="s">
        <v>49</v>
      </c>
      <c r="AF1295" s="3">
        <v>1938</v>
      </c>
      <c r="AG1295" s="3">
        <v>72</v>
      </c>
      <c r="AH1295">
        <v>80</v>
      </c>
      <c r="AI1295">
        <v>0</v>
      </c>
      <c r="AJ1295">
        <v>0</v>
      </c>
      <c r="AL1295">
        <v>0</v>
      </c>
      <c r="AM1295">
        <v>1</v>
      </c>
      <c r="AN1295" t="s">
        <v>768</v>
      </c>
      <c r="AO1295" t="s">
        <v>41</v>
      </c>
    </row>
    <row r="1296" spans="1:41" x14ac:dyDescent="0.25">
      <c r="A1296">
        <v>53</v>
      </c>
      <c r="B1296" t="s">
        <v>32</v>
      </c>
      <c r="C1296" t="s">
        <v>33</v>
      </c>
      <c r="D1296">
        <v>5</v>
      </c>
      <c r="E1296" t="s">
        <v>61</v>
      </c>
      <c r="F1296">
        <v>3</v>
      </c>
      <c r="G1296">
        <v>5</v>
      </c>
      <c r="H1296" t="s">
        <v>75</v>
      </c>
      <c r="I1296">
        <v>3</v>
      </c>
      <c r="J1296" t="s">
        <v>57</v>
      </c>
      <c r="K1296">
        <v>19094</v>
      </c>
      <c r="L1296">
        <v>4</v>
      </c>
      <c r="M1296" t="s">
        <v>41</v>
      </c>
      <c r="N1296">
        <v>11</v>
      </c>
      <c r="O1296">
        <v>3</v>
      </c>
      <c r="P1296">
        <v>1</v>
      </c>
      <c r="Q1296">
        <v>26</v>
      </c>
      <c r="R1296">
        <v>3</v>
      </c>
      <c r="S1296">
        <v>14</v>
      </c>
      <c r="T1296">
        <v>4</v>
      </c>
      <c r="U1296">
        <v>8</v>
      </c>
      <c r="V1296" t="s">
        <v>52</v>
      </c>
      <c r="W1296" s="1" t="s">
        <v>649</v>
      </c>
      <c r="Y1296" t="s">
        <v>69</v>
      </c>
      <c r="Z1296" t="s">
        <v>47</v>
      </c>
      <c r="AA1296">
        <v>5</v>
      </c>
      <c r="AB1296">
        <v>2</v>
      </c>
      <c r="AC1296" t="s">
        <v>31</v>
      </c>
      <c r="AD1296" t="s">
        <v>67</v>
      </c>
      <c r="AE1296" t="s">
        <v>60</v>
      </c>
      <c r="AF1296" s="3">
        <v>1445</v>
      </c>
      <c r="AG1296" s="3">
        <v>42</v>
      </c>
      <c r="AH1296">
        <v>80</v>
      </c>
      <c r="AI1296">
        <v>4</v>
      </c>
      <c r="AJ1296">
        <v>0</v>
      </c>
      <c r="AL1296">
        <v>0</v>
      </c>
      <c r="AM1296">
        <v>1</v>
      </c>
      <c r="AN1296" t="s">
        <v>768</v>
      </c>
      <c r="AO1296" t="s">
        <v>41</v>
      </c>
    </row>
    <row r="1297" spans="1:41" x14ac:dyDescent="0.25">
      <c r="A1297">
        <v>32</v>
      </c>
      <c r="B1297" t="s">
        <v>32</v>
      </c>
      <c r="C1297" t="s">
        <v>55</v>
      </c>
      <c r="D1297">
        <v>4</v>
      </c>
      <c r="E1297" t="s">
        <v>34</v>
      </c>
      <c r="F1297">
        <v>1</v>
      </c>
      <c r="G1297">
        <v>3</v>
      </c>
      <c r="H1297" t="s">
        <v>70</v>
      </c>
      <c r="I1297">
        <v>4</v>
      </c>
      <c r="J1297" t="s">
        <v>51</v>
      </c>
      <c r="K1297">
        <v>10400</v>
      </c>
      <c r="L1297">
        <v>1</v>
      </c>
      <c r="M1297" t="s">
        <v>41</v>
      </c>
      <c r="N1297">
        <v>11</v>
      </c>
      <c r="O1297">
        <v>3</v>
      </c>
      <c r="P1297">
        <v>0</v>
      </c>
      <c r="Q1297">
        <v>14</v>
      </c>
      <c r="R1297">
        <v>2</v>
      </c>
      <c r="S1297">
        <v>14</v>
      </c>
      <c r="T1297">
        <v>9</v>
      </c>
      <c r="U1297">
        <v>8</v>
      </c>
      <c r="V1297" t="s">
        <v>58</v>
      </c>
      <c r="W1297" s="2">
        <v>39417</v>
      </c>
      <c r="Y1297" t="s">
        <v>39</v>
      </c>
      <c r="Z1297" t="s">
        <v>47</v>
      </c>
      <c r="AA1297">
        <v>2</v>
      </c>
      <c r="AB1297">
        <v>3</v>
      </c>
      <c r="AC1297" t="s">
        <v>31</v>
      </c>
      <c r="AD1297" t="s">
        <v>42</v>
      </c>
      <c r="AE1297" t="s">
        <v>49</v>
      </c>
      <c r="AF1297" s="3">
        <v>1425</v>
      </c>
      <c r="AG1297" s="3">
        <v>99</v>
      </c>
      <c r="AH1297">
        <v>80</v>
      </c>
      <c r="AI1297">
        <v>4</v>
      </c>
      <c r="AJ1297">
        <v>0</v>
      </c>
      <c r="AL1297">
        <v>0</v>
      </c>
      <c r="AM1297">
        <v>1</v>
      </c>
      <c r="AN1297" t="s">
        <v>768</v>
      </c>
      <c r="AO1297" t="s">
        <v>41</v>
      </c>
    </row>
    <row r="1298" spans="1:41" x14ac:dyDescent="0.25">
      <c r="A1298">
        <v>41</v>
      </c>
      <c r="B1298" t="s">
        <v>81</v>
      </c>
      <c r="C1298" t="s">
        <v>55</v>
      </c>
      <c r="D1298">
        <v>10</v>
      </c>
      <c r="E1298" t="s">
        <v>34</v>
      </c>
      <c r="F1298">
        <v>3</v>
      </c>
      <c r="G1298">
        <v>2</v>
      </c>
      <c r="H1298" t="s">
        <v>70</v>
      </c>
      <c r="I1298">
        <v>4</v>
      </c>
      <c r="J1298" t="s">
        <v>36</v>
      </c>
      <c r="K1298">
        <v>6230</v>
      </c>
      <c r="L1298">
        <v>7</v>
      </c>
      <c r="M1298" t="s">
        <v>41</v>
      </c>
      <c r="N1298">
        <v>14</v>
      </c>
      <c r="O1298">
        <v>3</v>
      </c>
      <c r="P1298">
        <v>0</v>
      </c>
      <c r="Q1298">
        <v>16</v>
      </c>
      <c r="R1298">
        <v>3</v>
      </c>
      <c r="S1298">
        <v>14</v>
      </c>
      <c r="T1298">
        <v>1</v>
      </c>
      <c r="U1298">
        <v>10</v>
      </c>
      <c r="V1298" t="s">
        <v>52</v>
      </c>
      <c r="W1298" s="1" t="s">
        <v>650</v>
      </c>
      <c r="Y1298" t="s">
        <v>39</v>
      </c>
      <c r="Z1298" t="s">
        <v>40</v>
      </c>
      <c r="AA1298">
        <v>5</v>
      </c>
      <c r="AB1298">
        <v>1</v>
      </c>
      <c r="AC1298" t="s">
        <v>41</v>
      </c>
      <c r="AD1298" t="s">
        <v>65</v>
      </c>
      <c r="AE1298" t="s">
        <v>60</v>
      </c>
      <c r="AF1298" s="3">
        <v>1552</v>
      </c>
      <c r="AG1298" s="3">
        <v>72</v>
      </c>
      <c r="AH1298">
        <v>80</v>
      </c>
      <c r="AI1298">
        <v>2</v>
      </c>
      <c r="AJ1298">
        <v>0</v>
      </c>
      <c r="AL1298">
        <v>0</v>
      </c>
      <c r="AM1298">
        <v>1</v>
      </c>
      <c r="AN1298" t="s">
        <v>768</v>
      </c>
      <c r="AO1298" t="s">
        <v>41</v>
      </c>
    </row>
    <row r="1299" spans="1:41" x14ac:dyDescent="0.25">
      <c r="A1299">
        <v>53</v>
      </c>
      <c r="B1299" t="s">
        <v>32</v>
      </c>
      <c r="C1299" t="s">
        <v>55</v>
      </c>
      <c r="D1299">
        <v>1</v>
      </c>
      <c r="E1299" t="s">
        <v>61</v>
      </c>
      <c r="F1299">
        <v>3</v>
      </c>
      <c r="G1299">
        <v>2</v>
      </c>
      <c r="H1299" t="s">
        <v>70</v>
      </c>
      <c r="I1299">
        <v>1</v>
      </c>
      <c r="J1299" t="s">
        <v>36</v>
      </c>
      <c r="K1299">
        <v>8381</v>
      </c>
      <c r="L1299">
        <v>7</v>
      </c>
      <c r="M1299" t="s">
        <v>41</v>
      </c>
      <c r="N1299">
        <v>20</v>
      </c>
      <c r="O1299">
        <v>4</v>
      </c>
      <c r="P1299">
        <v>0</v>
      </c>
      <c r="Q1299">
        <v>18</v>
      </c>
      <c r="R1299">
        <v>2</v>
      </c>
      <c r="S1299">
        <v>14</v>
      </c>
      <c r="T1299">
        <v>8</v>
      </c>
      <c r="U1299">
        <v>10</v>
      </c>
      <c r="V1299" t="s">
        <v>58</v>
      </c>
      <c r="W1299" s="1" t="s">
        <v>651</v>
      </c>
      <c r="Y1299" t="s">
        <v>46</v>
      </c>
      <c r="Z1299" t="s">
        <v>47</v>
      </c>
      <c r="AA1299">
        <v>4</v>
      </c>
      <c r="AB1299">
        <v>1</v>
      </c>
      <c r="AC1299" t="s">
        <v>41</v>
      </c>
      <c r="AD1299" t="s">
        <v>67</v>
      </c>
      <c r="AE1299" t="s">
        <v>49</v>
      </c>
      <c r="AF1299" s="3">
        <v>1948</v>
      </c>
      <c r="AG1299" s="3">
        <v>48</v>
      </c>
      <c r="AH1299">
        <v>80</v>
      </c>
      <c r="AI1299">
        <v>2</v>
      </c>
      <c r="AJ1299">
        <v>0</v>
      </c>
      <c r="AL1299">
        <v>0</v>
      </c>
      <c r="AM1299">
        <v>1</v>
      </c>
      <c r="AN1299" t="s">
        <v>768</v>
      </c>
      <c r="AO1299" t="s">
        <v>41</v>
      </c>
    </row>
    <row r="1300" spans="1:41" x14ac:dyDescent="0.25">
      <c r="A1300">
        <v>32</v>
      </c>
      <c r="B1300" t="s">
        <v>32</v>
      </c>
      <c r="C1300" t="s">
        <v>33</v>
      </c>
      <c r="D1300">
        <v>4</v>
      </c>
      <c r="E1300" t="s">
        <v>61</v>
      </c>
      <c r="F1300">
        <v>2</v>
      </c>
      <c r="G1300">
        <v>2</v>
      </c>
      <c r="H1300" t="s">
        <v>78</v>
      </c>
      <c r="I1300">
        <v>3</v>
      </c>
      <c r="J1300" t="s">
        <v>51</v>
      </c>
      <c r="K1300">
        <v>6162</v>
      </c>
      <c r="L1300">
        <v>1</v>
      </c>
      <c r="M1300" t="s">
        <v>41</v>
      </c>
      <c r="N1300">
        <v>12</v>
      </c>
      <c r="O1300">
        <v>3</v>
      </c>
      <c r="P1300">
        <v>1</v>
      </c>
      <c r="Q1300">
        <v>14</v>
      </c>
      <c r="R1300">
        <v>3</v>
      </c>
      <c r="S1300">
        <v>14</v>
      </c>
      <c r="T1300">
        <v>6</v>
      </c>
      <c r="U1300">
        <v>8</v>
      </c>
      <c r="V1300" t="s">
        <v>58</v>
      </c>
      <c r="W1300" s="2">
        <v>39143</v>
      </c>
      <c r="Y1300" t="s">
        <v>39</v>
      </c>
      <c r="Z1300" t="s">
        <v>40</v>
      </c>
      <c r="AA1300">
        <v>3</v>
      </c>
      <c r="AB1300">
        <v>0</v>
      </c>
      <c r="AC1300" t="s">
        <v>41</v>
      </c>
      <c r="AD1300" t="s">
        <v>48</v>
      </c>
      <c r="AE1300" t="s">
        <v>49</v>
      </c>
      <c r="AF1300" s="3">
        <v>1737</v>
      </c>
      <c r="AG1300" s="3">
        <v>77</v>
      </c>
      <c r="AH1300">
        <v>80</v>
      </c>
      <c r="AI1300">
        <v>8</v>
      </c>
      <c r="AJ1300">
        <v>0</v>
      </c>
      <c r="AL1300">
        <v>0</v>
      </c>
      <c r="AM1300">
        <v>1</v>
      </c>
      <c r="AN1300" t="s">
        <v>768</v>
      </c>
      <c r="AO1300" t="s">
        <v>41</v>
      </c>
    </row>
    <row r="1301" spans="1:41" x14ac:dyDescent="0.25">
      <c r="A1301">
        <v>37</v>
      </c>
      <c r="B1301" t="s">
        <v>32</v>
      </c>
      <c r="C1301" t="s">
        <v>55</v>
      </c>
      <c r="D1301">
        <v>1</v>
      </c>
      <c r="E1301" t="s">
        <v>34</v>
      </c>
      <c r="F1301">
        <v>2</v>
      </c>
      <c r="G1301">
        <v>3</v>
      </c>
      <c r="H1301" t="s">
        <v>70</v>
      </c>
      <c r="I1301">
        <v>3</v>
      </c>
      <c r="J1301" t="s">
        <v>51</v>
      </c>
      <c r="K1301">
        <v>10609</v>
      </c>
      <c r="L1301">
        <v>5</v>
      </c>
      <c r="M1301" t="s">
        <v>41</v>
      </c>
      <c r="N1301">
        <v>11</v>
      </c>
      <c r="O1301">
        <v>3</v>
      </c>
      <c r="P1301">
        <v>0</v>
      </c>
      <c r="Q1301">
        <v>17</v>
      </c>
      <c r="R1301">
        <v>2</v>
      </c>
      <c r="S1301">
        <v>14</v>
      </c>
      <c r="T1301">
        <v>11</v>
      </c>
      <c r="U1301">
        <v>7</v>
      </c>
      <c r="V1301" t="s">
        <v>52</v>
      </c>
      <c r="W1301" s="1" t="s">
        <v>652</v>
      </c>
      <c r="Y1301" t="s">
        <v>54</v>
      </c>
      <c r="Z1301" t="s">
        <v>40</v>
      </c>
      <c r="AA1301">
        <v>4</v>
      </c>
      <c r="AB1301">
        <v>2</v>
      </c>
      <c r="AC1301" t="s">
        <v>31</v>
      </c>
      <c r="AD1301" t="s">
        <v>42</v>
      </c>
      <c r="AE1301" t="s">
        <v>43</v>
      </c>
      <c r="AF1301" s="3">
        <v>1774</v>
      </c>
      <c r="AG1301" s="3">
        <v>87</v>
      </c>
      <c r="AH1301">
        <v>80</v>
      </c>
      <c r="AI1301">
        <v>14</v>
      </c>
      <c r="AJ1301">
        <v>0</v>
      </c>
      <c r="AL1301">
        <v>0</v>
      </c>
      <c r="AM1301">
        <v>1</v>
      </c>
      <c r="AN1301" t="s">
        <v>768</v>
      </c>
      <c r="AO1301" t="s">
        <v>41</v>
      </c>
    </row>
    <row r="1302" spans="1:41" x14ac:dyDescent="0.25">
      <c r="A1302">
        <v>36</v>
      </c>
      <c r="B1302" t="s">
        <v>32</v>
      </c>
      <c r="C1302" t="s">
        <v>33</v>
      </c>
      <c r="D1302">
        <v>12</v>
      </c>
      <c r="E1302" t="s">
        <v>61</v>
      </c>
      <c r="F1302">
        <v>2</v>
      </c>
      <c r="G1302">
        <v>3</v>
      </c>
      <c r="H1302" t="s">
        <v>78</v>
      </c>
      <c r="I1302">
        <v>4</v>
      </c>
      <c r="J1302" t="s">
        <v>36</v>
      </c>
      <c r="K1302">
        <v>8858</v>
      </c>
      <c r="L1302">
        <v>0</v>
      </c>
      <c r="M1302" t="s">
        <v>41</v>
      </c>
      <c r="N1302">
        <v>11</v>
      </c>
      <c r="O1302">
        <v>3</v>
      </c>
      <c r="P1302">
        <v>0</v>
      </c>
      <c r="Q1302">
        <v>15</v>
      </c>
      <c r="R1302">
        <v>2</v>
      </c>
      <c r="S1302">
        <v>14</v>
      </c>
      <c r="T1302">
        <v>7</v>
      </c>
      <c r="U1302">
        <v>8</v>
      </c>
      <c r="V1302" t="s">
        <v>58</v>
      </c>
      <c r="W1302" s="2">
        <v>39419</v>
      </c>
      <c r="Y1302" t="s">
        <v>46</v>
      </c>
      <c r="Z1302" t="s">
        <v>40</v>
      </c>
      <c r="AA1302">
        <v>0</v>
      </c>
      <c r="AB1302">
        <v>3</v>
      </c>
      <c r="AC1302" t="s">
        <v>41</v>
      </c>
      <c r="AD1302" t="s">
        <v>48</v>
      </c>
      <c r="AE1302" t="s">
        <v>49</v>
      </c>
      <c r="AF1302" s="3">
        <v>1642</v>
      </c>
      <c r="AG1302" s="3">
        <v>37</v>
      </c>
      <c r="AH1302">
        <v>80</v>
      </c>
      <c r="AI1302">
        <v>7</v>
      </c>
      <c r="AJ1302">
        <v>0</v>
      </c>
      <c r="AL1302">
        <v>0</v>
      </c>
      <c r="AM1302">
        <v>1</v>
      </c>
      <c r="AN1302" t="s">
        <v>768</v>
      </c>
      <c r="AO1302" t="s">
        <v>41</v>
      </c>
    </row>
    <row r="1303" spans="1:41" x14ac:dyDescent="0.25">
      <c r="A1303">
        <v>37</v>
      </c>
      <c r="B1303" t="s">
        <v>32</v>
      </c>
      <c r="C1303" t="s">
        <v>33</v>
      </c>
      <c r="D1303">
        <v>1</v>
      </c>
      <c r="E1303" t="s">
        <v>61</v>
      </c>
      <c r="F1303">
        <v>2</v>
      </c>
      <c r="G1303">
        <v>2</v>
      </c>
      <c r="H1303" t="s">
        <v>78</v>
      </c>
      <c r="I1303">
        <v>4</v>
      </c>
      <c r="J1303" t="s">
        <v>51</v>
      </c>
      <c r="K1303">
        <v>6474</v>
      </c>
      <c r="L1303">
        <v>1</v>
      </c>
      <c r="M1303" t="s">
        <v>41</v>
      </c>
      <c r="N1303">
        <v>13</v>
      </c>
      <c r="O1303">
        <v>3</v>
      </c>
      <c r="P1303">
        <v>1</v>
      </c>
      <c r="Q1303">
        <v>14</v>
      </c>
      <c r="R1303">
        <v>2</v>
      </c>
      <c r="S1303">
        <v>14</v>
      </c>
      <c r="T1303">
        <v>3</v>
      </c>
      <c r="U1303">
        <v>11</v>
      </c>
      <c r="V1303" t="s">
        <v>58</v>
      </c>
      <c r="W1303" s="2">
        <v>39239</v>
      </c>
      <c r="Y1303" t="s">
        <v>54</v>
      </c>
      <c r="Z1303" t="s">
        <v>47</v>
      </c>
      <c r="AA1303">
        <v>1</v>
      </c>
      <c r="AB1303">
        <v>3</v>
      </c>
      <c r="AC1303" t="s">
        <v>31</v>
      </c>
      <c r="AD1303" t="s">
        <v>65</v>
      </c>
      <c r="AE1303" t="s">
        <v>49</v>
      </c>
      <c r="AF1303" s="3">
        <v>1972</v>
      </c>
      <c r="AG1303" s="3">
        <v>88</v>
      </c>
      <c r="AH1303">
        <v>80</v>
      </c>
      <c r="AI1303">
        <v>2</v>
      </c>
      <c r="AJ1303">
        <v>0</v>
      </c>
      <c r="AL1303">
        <v>0</v>
      </c>
      <c r="AM1303">
        <v>1</v>
      </c>
      <c r="AN1303" t="s">
        <v>768</v>
      </c>
      <c r="AO1303" t="s">
        <v>41</v>
      </c>
    </row>
    <row r="1304" spans="1:41" x14ac:dyDescent="0.25">
      <c r="A1304">
        <v>33</v>
      </c>
      <c r="B1304" t="s">
        <v>32</v>
      </c>
      <c r="C1304" t="s">
        <v>33</v>
      </c>
      <c r="D1304">
        <v>9</v>
      </c>
      <c r="E1304" t="s">
        <v>34</v>
      </c>
      <c r="F1304">
        <v>3</v>
      </c>
      <c r="G1304">
        <v>1</v>
      </c>
      <c r="H1304" t="s">
        <v>44</v>
      </c>
      <c r="I1304">
        <v>4</v>
      </c>
      <c r="J1304" t="s">
        <v>51</v>
      </c>
      <c r="K1304">
        <v>2781</v>
      </c>
      <c r="L1304">
        <v>0</v>
      </c>
      <c r="M1304" t="s">
        <v>41</v>
      </c>
      <c r="N1304">
        <v>13</v>
      </c>
      <c r="O1304">
        <v>3</v>
      </c>
      <c r="P1304">
        <v>1</v>
      </c>
      <c r="Q1304">
        <v>15</v>
      </c>
      <c r="R1304">
        <v>5</v>
      </c>
      <c r="S1304">
        <v>14</v>
      </c>
      <c r="T1304">
        <v>4</v>
      </c>
      <c r="U1304">
        <v>10</v>
      </c>
      <c r="V1304" t="s">
        <v>58</v>
      </c>
      <c r="W1304" s="2">
        <v>39117</v>
      </c>
      <c r="Y1304" t="s">
        <v>46</v>
      </c>
      <c r="Z1304" t="s">
        <v>40</v>
      </c>
      <c r="AA1304">
        <v>3</v>
      </c>
      <c r="AB1304">
        <v>3</v>
      </c>
      <c r="AC1304" t="s">
        <v>31</v>
      </c>
      <c r="AD1304" t="s">
        <v>67</v>
      </c>
      <c r="AE1304" t="s">
        <v>49</v>
      </c>
      <c r="AF1304" s="3">
        <v>1837</v>
      </c>
      <c r="AG1304" s="3">
        <v>87</v>
      </c>
      <c r="AH1304">
        <v>80</v>
      </c>
      <c r="AI1304">
        <v>2</v>
      </c>
      <c r="AJ1304">
        <v>0</v>
      </c>
      <c r="AL1304">
        <v>0</v>
      </c>
      <c r="AM1304">
        <v>1</v>
      </c>
      <c r="AN1304" t="s">
        <v>768</v>
      </c>
      <c r="AO1304" t="s">
        <v>41</v>
      </c>
    </row>
    <row r="1305" spans="1:41" x14ac:dyDescent="0.25">
      <c r="A1305">
        <v>34</v>
      </c>
      <c r="B1305" t="s">
        <v>32</v>
      </c>
      <c r="C1305" t="s">
        <v>33</v>
      </c>
      <c r="D1305">
        <v>2</v>
      </c>
      <c r="E1305" t="s">
        <v>61</v>
      </c>
      <c r="F1305">
        <v>3</v>
      </c>
      <c r="G1305">
        <v>2</v>
      </c>
      <c r="H1305" t="s">
        <v>89</v>
      </c>
      <c r="I1305">
        <v>4</v>
      </c>
      <c r="J1305" t="s">
        <v>36</v>
      </c>
      <c r="K1305">
        <v>6687</v>
      </c>
      <c r="L1305">
        <v>1</v>
      </c>
      <c r="M1305" t="s">
        <v>41</v>
      </c>
      <c r="N1305">
        <v>11</v>
      </c>
      <c r="O1305">
        <v>3</v>
      </c>
      <c r="P1305">
        <v>0</v>
      </c>
      <c r="Q1305">
        <v>14</v>
      </c>
      <c r="R1305">
        <v>2</v>
      </c>
      <c r="S1305">
        <v>14</v>
      </c>
      <c r="T1305">
        <v>4</v>
      </c>
      <c r="U1305">
        <v>11</v>
      </c>
      <c r="V1305" t="s">
        <v>72</v>
      </c>
      <c r="W1305" s="1" t="s">
        <v>653</v>
      </c>
      <c r="Y1305" t="s">
        <v>69</v>
      </c>
      <c r="Z1305" t="s">
        <v>40</v>
      </c>
      <c r="AA1305">
        <v>3</v>
      </c>
      <c r="AB1305">
        <v>3</v>
      </c>
      <c r="AC1305" t="s">
        <v>41</v>
      </c>
      <c r="AD1305" t="s">
        <v>65</v>
      </c>
      <c r="AE1305" t="s">
        <v>43</v>
      </c>
      <c r="AF1305" s="3">
        <v>1932</v>
      </c>
      <c r="AG1305" s="3">
        <v>86</v>
      </c>
      <c r="AH1305">
        <v>80</v>
      </c>
      <c r="AI1305">
        <v>10</v>
      </c>
      <c r="AJ1305">
        <v>0</v>
      </c>
      <c r="AL1305">
        <v>0</v>
      </c>
      <c r="AM1305">
        <v>1</v>
      </c>
      <c r="AN1305" t="s">
        <v>768</v>
      </c>
      <c r="AO1305" t="s">
        <v>41</v>
      </c>
    </row>
    <row r="1306" spans="1:41" x14ac:dyDescent="0.25">
      <c r="A1306">
        <v>34</v>
      </c>
      <c r="B1306" t="s">
        <v>66</v>
      </c>
      <c r="C1306" t="s">
        <v>33</v>
      </c>
      <c r="D1306">
        <v>15</v>
      </c>
      <c r="E1306" t="s">
        <v>34</v>
      </c>
      <c r="F1306">
        <v>3</v>
      </c>
      <c r="G1306">
        <v>4</v>
      </c>
      <c r="H1306" t="s">
        <v>50</v>
      </c>
      <c r="I1306">
        <v>1</v>
      </c>
      <c r="J1306" t="s">
        <v>57</v>
      </c>
      <c r="K1306">
        <v>17007</v>
      </c>
      <c r="L1306">
        <v>7</v>
      </c>
      <c r="M1306" t="s">
        <v>41</v>
      </c>
      <c r="N1306">
        <v>14</v>
      </c>
      <c r="O1306">
        <v>3</v>
      </c>
      <c r="P1306">
        <v>2</v>
      </c>
      <c r="Q1306">
        <v>16</v>
      </c>
      <c r="R1306">
        <v>3</v>
      </c>
      <c r="S1306">
        <v>14</v>
      </c>
      <c r="T1306">
        <v>6</v>
      </c>
      <c r="U1306">
        <v>9</v>
      </c>
      <c r="V1306" t="s">
        <v>52</v>
      </c>
      <c r="W1306" s="1" t="s">
        <v>654</v>
      </c>
      <c r="Y1306" t="s">
        <v>63</v>
      </c>
      <c r="Z1306" t="s">
        <v>40</v>
      </c>
      <c r="AA1306">
        <v>4</v>
      </c>
      <c r="AB1306">
        <v>3</v>
      </c>
      <c r="AC1306" t="s">
        <v>31</v>
      </c>
      <c r="AD1306" t="s">
        <v>42</v>
      </c>
      <c r="AE1306" t="s">
        <v>49</v>
      </c>
      <c r="AF1306" s="3">
        <v>1594</v>
      </c>
      <c r="AG1306" s="3">
        <v>80</v>
      </c>
      <c r="AH1306">
        <v>80</v>
      </c>
      <c r="AI1306">
        <v>2</v>
      </c>
      <c r="AJ1306">
        <v>0</v>
      </c>
      <c r="AL1306">
        <v>0</v>
      </c>
      <c r="AM1306">
        <v>1</v>
      </c>
      <c r="AN1306" t="s">
        <v>768</v>
      </c>
      <c r="AO1306" t="s">
        <v>41</v>
      </c>
    </row>
    <row r="1307" spans="1:41" x14ac:dyDescent="0.25">
      <c r="A1307">
        <v>54</v>
      </c>
      <c r="B1307" t="s">
        <v>66</v>
      </c>
      <c r="C1307" t="s">
        <v>33</v>
      </c>
      <c r="D1307">
        <v>11</v>
      </c>
      <c r="E1307" t="s">
        <v>61</v>
      </c>
      <c r="F1307">
        <v>3</v>
      </c>
      <c r="G1307">
        <v>4</v>
      </c>
      <c r="H1307" t="s">
        <v>75</v>
      </c>
      <c r="I1307">
        <v>4</v>
      </c>
      <c r="J1307" t="s">
        <v>57</v>
      </c>
      <c r="K1307">
        <v>16032</v>
      </c>
      <c r="L1307">
        <v>3</v>
      </c>
      <c r="M1307" t="s">
        <v>41</v>
      </c>
      <c r="N1307">
        <v>20</v>
      </c>
      <c r="O1307">
        <v>4</v>
      </c>
      <c r="P1307">
        <v>1</v>
      </c>
      <c r="Q1307">
        <v>26</v>
      </c>
      <c r="R1307">
        <v>2</v>
      </c>
      <c r="S1307">
        <v>14</v>
      </c>
      <c r="T1307">
        <v>1</v>
      </c>
      <c r="U1307">
        <v>12</v>
      </c>
      <c r="V1307" t="s">
        <v>72</v>
      </c>
      <c r="W1307" s="2">
        <v>39114</v>
      </c>
      <c r="Y1307" t="s">
        <v>63</v>
      </c>
      <c r="Z1307" t="s">
        <v>40</v>
      </c>
      <c r="AA1307">
        <v>3</v>
      </c>
      <c r="AB1307">
        <v>1</v>
      </c>
      <c r="AC1307" t="s">
        <v>41</v>
      </c>
      <c r="AD1307" t="s">
        <v>42</v>
      </c>
      <c r="AE1307" t="s">
        <v>43</v>
      </c>
      <c r="AF1307" s="3">
        <v>1606</v>
      </c>
      <c r="AG1307" s="3">
        <v>41</v>
      </c>
      <c r="AH1307">
        <v>80</v>
      </c>
      <c r="AI1307">
        <v>8</v>
      </c>
      <c r="AJ1307">
        <v>0</v>
      </c>
      <c r="AL1307">
        <v>0</v>
      </c>
      <c r="AM1307">
        <v>1</v>
      </c>
      <c r="AN1307" t="s">
        <v>768</v>
      </c>
      <c r="AO1307" t="s">
        <v>41</v>
      </c>
    </row>
    <row r="1308" spans="1:41" x14ac:dyDescent="0.25">
      <c r="A1308">
        <v>35</v>
      </c>
      <c r="B1308" t="s">
        <v>81</v>
      </c>
      <c r="C1308" t="s">
        <v>33</v>
      </c>
      <c r="D1308">
        <v>8</v>
      </c>
      <c r="E1308" t="s">
        <v>61</v>
      </c>
      <c r="F1308">
        <v>3</v>
      </c>
      <c r="G1308">
        <v>2</v>
      </c>
      <c r="H1308" t="s">
        <v>89</v>
      </c>
      <c r="I1308">
        <v>3</v>
      </c>
      <c r="J1308" t="s">
        <v>51</v>
      </c>
      <c r="K1308">
        <v>4148</v>
      </c>
      <c r="L1308">
        <v>1</v>
      </c>
      <c r="M1308" t="s">
        <v>41</v>
      </c>
      <c r="N1308">
        <v>12</v>
      </c>
      <c r="O1308">
        <v>3</v>
      </c>
      <c r="P1308">
        <v>1</v>
      </c>
      <c r="Q1308">
        <v>15</v>
      </c>
      <c r="R1308">
        <v>5</v>
      </c>
      <c r="S1308">
        <v>14</v>
      </c>
      <c r="T1308">
        <v>2</v>
      </c>
      <c r="U1308">
        <v>9</v>
      </c>
      <c r="V1308" t="s">
        <v>72</v>
      </c>
      <c r="W1308" s="1" t="s">
        <v>655</v>
      </c>
      <c r="Y1308" t="s">
        <v>39</v>
      </c>
      <c r="Z1308" t="s">
        <v>47</v>
      </c>
      <c r="AA1308">
        <v>3</v>
      </c>
      <c r="AB1308">
        <v>2</v>
      </c>
      <c r="AC1308" t="s">
        <v>31</v>
      </c>
      <c r="AD1308" t="s">
        <v>42</v>
      </c>
      <c r="AE1308" t="s">
        <v>49</v>
      </c>
      <c r="AF1308" s="3">
        <v>1547</v>
      </c>
      <c r="AG1308" s="3">
        <v>40</v>
      </c>
      <c r="AH1308">
        <v>80</v>
      </c>
      <c r="AI1308">
        <v>8</v>
      </c>
      <c r="AJ1308">
        <v>0</v>
      </c>
      <c r="AL1308">
        <v>0</v>
      </c>
      <c r="AM1308">
        <v>1</v>
      </c>
      <c r="AN1308" t="s">
        <v>768</v>
      </c>
      <c r="AO1308" t="s">
        <v>41</v>
      </c>
    </row>
    <row r="1309" spans="1:41" x14ac:dyDescent="0.25">
      <c r="A1309">
        <v>50</v>
      </c>
      <c r="B1309" t="s">
        <v>32</v>
      </c>
      <c r="C1309" t="s">
        <v>33</v>
      </c>
      <c r="D1309">
        <v>17</v>
      </c>
      <c r="E1309" t="s">
        <v>61</v>
      </c>
      <c r="F1309">
        <v>2</v>
      </c>
      <c r="G1309">
        <v>3</v>
      </c>
      <c r="H1309" t="s">
        <v>50</v>
      </c>
      <c r="I1309">
        <v>1</v>
      </c>
      <c r="J1309" t="s">
        <v>57</v>
      </c>
      <c r="K1309">
        <v>13269</v>
      </c>
      <c r="L1309">
        <v>5</v>
      </c>
      <c r="M1309" t="s">
        <v>41</v>
      </c>
      <c r="N1309">
        <v>15</v>
      </c>
      <c r="O1309">
        <v>3</v>
      </c>
      <c r="P1309">
        <v>3</v>
      </c>
      <c r="Q1309">
        <v>19</v>
      </c>
      <c r="R1309">
        <v>3</v>
      </c>
      <c r="S1309">
        <v>14</v>
      </c>
      <c r="T1309">
        <v>1</v>
      </c>
      <c r="U1309">
        <v>11</v>
      </c>
      <c r="V1309" t="s">
        <v>37</v>
      </c>
      <c r="W1309" s="1" t="s">
        <v>656</v>
      </c>
      <c r="Y1309" t="s">
        <v>63</v>
      </c>
      <c r="Z1309" t="s">
        <v>40</v>
      </c>
      <c r="AA1309">
        <v>0</v>
      </c>
      <c r="AB1309">
        <v>3</v>
      </c>
      <c r="AC1309" t="s">
        <v>41</v>
      </c>
      <c r="AD1309" t="s">
        <v>42</v>
      </c>
      <c r="AE1309" t="s">
        <v>49</v>
      </c>
      <c r="AF1309" s="3">
        <v>2049</v>
      </c>
      <c r="AG1309" s="3">
        <v>80</v>
      </c>
      <c r="AH1309">
        <v>80</v>
      </c>
      <c r="AI1309">
        <v>2</v>
      </c>
      <c r="AJ1309">
        <v>0</v>
      </c>
      <c r="AL1309">
        <v>0</v>
      </c>
      <c r="AM1309">
        <v>1</v>
      </c>
      <c r="AN1309" t="s">
        <v>768</v>
      </c>
      <c r="AO1309" t="s">
        <v>41</v>
      </c>
    </row>
    <row r="1310" spans="1:41" x14ac:dyDescent="0.25">
      <c r="A1310">
        <v>43</v>
      </c>
      <c r="B1310" t="s">
        <v>32</v>
      </c>
      <c r="C1310" t="s">
        <v>33</v>
      </c>
      <c r="D1310">
        <v>15</v>
      </c>
      <c r="E1310" t="s">
        <v>34</v>
      </c>
      <c r="F1310">
        <v>2</v>
      </c>
      <c r="G1310">
        <v>4</v>
      </c>
      <c r="H1310" t="s">
        <v>50</v>
      </c>
      <c r="I1310">
        <v>3</v>
      </c>
      <c r="J1310" t="s">
        <v>51</v>
      </c>
      <c r="K1310">
        <v>17603</v>
      </c>
      <c r="L1310">
        <v>1</v>
      </c>
      <c r="M1310" t="s">
        <v>41</v>
      </c>
      <c r="N1310">
        <v>24</v>
      </c>
      <c r="O1310">
        <v>4</v>
      </c>
      <c r="P1310">
        <v>1</v>
      </c>
      <c r="Q1310">
        <v>14</v>
      </c>
      <c r="R1310">
        <v>3</v>
      </c>
      <c r="S1310">
        <v>14</v>
      </c>
      <c r="T1310">
        <v>6</v>
      </c>
      <c r="U1310">
        <v>11</v>
      </c>
      <c r="V1310" t="s">
        <v>72</v>
      </c>
      <c r="W1310" s="2">
        <v>39389</v>
      </c>
      <c r="Y1310" t="s">
        <v>54</v>
      </c>
      <c r="Z1310" t="s">
        <v>47</v>
      </c>
      <c r="AA1310">
        <v>5</v>
      </c>
      <c r="AB1310">
        <v>3</v>
      </c>
      <c r="AC1310" t="s">
        <v>41</v>
      </c>
      <c r="AD1310" t="s">
        <v>67</v>
      </c>
      <c r="AE1310" t="s">
        <v>60</v>
      </c>
      <c r="AF1310" s="3">
        <v>1704</v>
      </c>
      <c r="AG1310" s="3">
        <v>79</v>
      </c>
      <c r="AH1310">
        <v>80</v>
      </c>
      <c r="AI1310">
        <v>4</v>
      </c>
      <c r="AJ1310">
        <v>0</v>
      </c>
      <c r="AL1310">
        <v>0</v>
      </c>
      <c r="AM1310">
        <v>1</v>
      </c>
      <c r="AN1310" t="s">
        <v>768</v>
      </c>
      <c r="AO1310" t="s">
        <v>41</v>
      </c>
    </row>
    <row r="1311" spans="1:41" x14ac:dyDescent="0.25">
      <c r="A1311">
        <v>33</v>
      </c>
      <c r="B1311" t="s">
        <v>32</v>
      </c>
      <c r="C1311" t="s">
        <v>33</v>
      </c>
      <c r="D1311">
        <v>21</v>
      </c>
      <c r="E1311" t="s">
        <v>34</v>
      </c>
      <c r="F1311">
        <v>4</v>
      </c>
      <c r="G1311">
        <v>1</v>
      </c>
      <c r="H1311" t="s">
        <v>35</v>
      </c>
      <c r="I1311">
        <v>2</v>
      </c>
      <c r="J1311" t="s">
        <v>51</v>
      </c>
      <c r="K1311">
        <v>2028</v>
      </c>
      <c r="L1311">
        <v>1</v>
      </c>
      <c r="M1311" t="s">
        <v>41</v>
      </c>
      <c r="N1311">
        <v>18</v>
      </c>
      <c r="O1311">
        <v>3</v>
      </c>
      <c r="P1311">
        <v>3</v>
      </c>
      <c r="Q1311">
        <v>14</v>
      </c>
      <c r="R1311">
        <v>6</v>
      </c>
      <c r="S1311">
        <v>14</v>
      </c>
      <c r="T1311">
        <v>2</v>
      </c>
      <c r="U1311">
        <v>13</v>
      </c>
      <c r="V1311" t="s">
        <v>58</v>
      </c>
      <c r="W1311" s="2">
        <v>39204</v>
      </c>
      <c r="Y1311" t="s">
        <v>69</v>
      </c>
      <c r="Z1311" t="s">
        <v>40</v>
      </c>
      <c r="AA1311">
        <v>3</v>
      </c>
      <c r="AB1311">
        <v>0</v>
      </c>
      <c r="AC1311" t="s">
        <v>41</v>
      </c>
      <c r="AD1311" t="s">
        <v>48</v>
      </c>
      <c r="AE1311" t="s">
        <v>60</v>
      </c>
      <c r="AF1311" s="3">
        <v>1496</v>
      </c>
      <c r="AG1311" s="3">
        <v>86</v>
      </c>
      <c r="AH1311">
        <v>80</v>
      </c>
      <c r="AI1311">
        <v>2</v>
      </c>
      <c r="AJ1311">
        <v>0</v>
      </c>
      <c r="AL1311">
        <v>0</v>
      </c>
      <c r="AM1311">
        <v>1</v>
      </c>
      <c r="AN1311" t="s">
        <v>768</v>
      </c>
      <c r="AO1311" t="s">
        <v>41</v>
      </c>
    </row>
    <row r="1312" spans="1:41" x14ac:dyDescent="0.25">
      <c r="A1312">
        <v>34</v>
      </c>
      <c r="B1312" t="s">
        <v>32</v>
      </c>
      <c r="C1312" t="s">
        <v>55</v>
      </c>
      <c r="D1312">
        <v>1</v>
      </c>
      <c r="E1312" t="s">
        <v>34</v>
      </c>
      <c r="F1312">
        <v>3</v>
      </c>
      <c r="G1312">
        <v>3</v>
      </c>
      <c r="H1312" t="s">
        <v>70</v>
      </c>
      <c r="I1312">
        <v>4</v>
      </c>
      <c r="J1312" t="s">
        <v>36</v>
      </c>
      <c r="K1312">
        <v>9888</v>
      </c>
      <c r="L1312">
        <v>1</v>
      </c>
      <c r="M1312" t="s">
        <v>41</v>
      </c>
      <c r="N1312">
        <v>21</v>
      </c>
      <c r="O1312">
        <v>4</v>
      </c>
      <c r="P1312">
        <v>0</v>
      </c>
      <c r="Q1312">
        <v>14</v>
      </c>
      <c r="R1312">
        <v>3</v>
      </c>
      <c r="S1312">
        <v>14</v>
      </c>
      <c r="T1312">
        <v>2</v>
      </c>
      <c r="U1312">
        <v>1</v>
      </c>
      <c r="V1312" t="s">
        <v>72</v>
      </c>
      <c r="W1312" s="1" t="s">
        <v>657</v>
      </c>
      <c r="Y1312" t="s">
        <v>69</v>
      </c>
      <c r="Z1312" t="s">
        <v>40</v>
      </c>
      <c r="AA1312">
        <v>1</v>
      </c>
      <c r="AB1312">
        <v>3</v>
      </c>
      <c r="AC1312" t="s">
        <v>41</v>
      </c>
      <c r="AD1312" t="s">
        <v>42</v>
      </c>
      <c r="AE1312" t="s">
        <v>60</v>
      </c>
      <c r="AF1312" s="3">
        <v>1539</v>
      </c>
      <c r="AG1312" s="3">
        <v>88</v>
      </c>
      <c r="AH1312">
        <v>80</v>
      </c>
      <c r="AI1312">
        <v>6</v>
      </c>
      <c r="AJ1312">
        <v>0</v>
      </c>
      <c r="AL1312">
        <v>0</v>
      </c>
      <c r="AM1312">
        <v>1</v>
      </c>
      <c r="AN1312" t="s">
        <v>768</v>
      </c>
      <c r="AO1312" t="s">
        <v>41</v>
      </c>
    </row>
    <row r="1313" spans="1:41" x14ac:dyDescent="0.25">
      <c r="A1313">
        <v>32</v>
      </c>
      <c r="B1313" t="s">
        <v>32</v>
      </c>
      <c r="C1313" t="s">
        <v>55</v>
      </c>
      <c r="D1313">
        <v>1</v>
      </c>
      <c r="E1313" t="s">
        <v>61</v>
      </c>
      <c r="F1313">
        <v>3</v>
      </c>
      <c r="G1313">
        <v>3</v>
      </c>
      <c r="H1313" t="s">
        <v>70</v>
      </c>
      <c r="I1313">
        <v>4</v>
      </c>
      <c r="J1313" t="s">
        <v>51</v>
      </c>
      <c r="K1313">
        <v>10422</v>
      </c>
      <c r="L1313">
        <v>1</v>
      </c>
      <c r="M1313" t="s">
        <v>41</v>
      </c>
      <c r="N1313">
        <v>19</v>
      </c>
      <c r="O1313">
        <v>3</v>
      </c>
      <c r="P1313">
        <v>2</v>
      </c>
      <c r="Q1313">
        <v>14</v>
      </c>
      <c r="R1313">
        <v>3</v>
      </c>
      <c r="S1313">
        <v>14</v>
      </c>
      <c r="T1313">
        <v>5</v>
      </c>
      <c r="U1313">
        <v>7</v>
      </c>
      <c r="V1313" t="s">
        <v>52</v>
      </c>
      <c r="W1313" s="1" t="s">
        <v>655</v>
      </c>
      <c r="Y1313" t="s">
        <v>54</v>
      </c>
      <c r="Z1313" t="s">
        <v>47</v>
      </c>
      <c r="AA1313">
        <v>0</v>
      </c>
      <c r="AB1313">
        <v>2</v>
      </c>
      <c r="AC1313" t="s">
        <v>41</v>
      </c>
      <c r="AD1313" t="s">
        <v>67</v>
      </c>
      <c r="AE1313" t="s">
        <v>43</v>
      </c>
      <c r="AF1313" s="3">
        <v>1753</v>
      </c>
      <c r="AG1313" s="3">
        <v>70</v>
      </c>
      <c r="AH1313">
        <v>80</v>
      </c>
      <c r="AI1313">
        <v>2</v>
      </c>
      <c r="AJ1313">
        <v>0</v>
      </c>
      <c r="AL1313">
        <v>0</v>
      </c>
      <c r="AM1313">
        <v>1</v>
      </c>
      <c r="AN1313" t="s">
        <v>768</v>
      </c>
      <c r="AO1313" t="s">
        <v>41</v>
      </c>
    </row>
    <row r="1314" spans="1:41" x14ac:dyDescent="0.25">
      <c r="A1314">
        <v>33</v>
      </c>
      <c r="B1314" t="s">
        <v>66</v>
      </c>
      <c r="C1314" t="s">
        <v>33</v>
      </c>
      <c r="D1314">
        <v>1</v>
      </c>
      <c r="E1314" t="s">
        <v>61</v>
      </c>
      <c r="F1314">
        <v>3</v>
      </c>
      <c r="G1314">
        <v>3</v>
      </c>
      <c r="H1314" t="s">
        <v>50</v>
      </c>
      <c r="I1314">
        <v>4</v>
      </c>
      <c r="J1314" t="s">
        <v>36</v>
      </c>
      <c r="K1314">
        <v>13458</v>
      </c>
      <c r="L1314">
        <v>1</v>
      </c>
      <c r="M1314" t="s">
        <v>31</v>
      </c>
      <c r="N1314">
        <v>12</v>
      </c>
      <c r="O1314">
        <v>3</v>
      </c>
      <c r="P1314">
        <v>0</v>
      </c>
      <c r="Q1314">
        <v>15</v>
      </c>
      <c r="R1314">
        <v>1</v>
      </c>
      <c r="S1314">
        <v>15</v>
      </c>
      <c r="T1314">
        <v>8</v>
      </c>
      <c r="U1314">
        <v>12</v>
      </c>
      <c r="V1314" t="s">
        <v>37</v>
      </c>
      <c r="W1314" s="1" t="s">
        <v>658</v>
      </c>
      <c r="Y1314" t="s">
        <v>63</v>
      </c>
      <c r="Z1314" t="s">
        <v>40</v>
      </c>
      <c r="AA1314">
        <v>0</v>
      </c>
      <c r="AB1314">
        <v>3</v>
      </c>
      <c r="AC1314" t="s">
        <v>31</v>
      </c>
      <c r="AD1314" t="s">
        <v>48</v>
      </c>
      <c r="AE1314" t="s">
        <v>49</v>
      </c>
      <c r="AF1314" s="3">
        <v>1927</v>
      </c>
      <c r="AG1314" s="3">
        <v>42</v>
      </c>
      <c r="AH1314">
        <v>80</v>
      </c>
      <c r="AI1314">
        <v>7</v>
      </c>
      <c r="AJ1314">
        <v>0</v>
      </c>
      <c r="AL1314">
        <v>0</v>
      </c>
      <c r="AM1314">
        <v>1</v>
      </c>
      <c r="AN1314" t="s">
        <v>768</v>
      </c>
      <c r="AO1314" t="s">
        <v>41</v>
      </c>
    </row>
    <row r="1315" spans="1:41" x14ac:dyDescent="0.25">
      <c r="A1315">
        <v>35</v>
      </c>
      <c r="B1315" t="s">
        <v>32</v>
      </c>
      <c r="C1315" t="s">
        <v>55</v>
      </c>
      <c r="D1315">
        <v>1</v>
      </c>
      <c r="E1315" t="s">
        <v>34</v>
      </c>
      <c r="F1315">
        <v>2</v>
      </c>
      <c r="G1315">
        <v>2</v>
      </c>
      <c r="H1315" t="s">
        <v>70</v>
      </c>
      <c r="I1315">
        <v>1</v>
      </c>
      <c r="J1315" t="s">
        <v>36</v>
      </c>
      <c r="K1315">
        <v>4312</v>
      </c>
      <c r="L1315">
        <v>0</v>
      </c>
      <c r="M1315" t="s">
        <v>41</v>
      </c>
      <c r="N1315">
        <v>14</v>
      </c>
      <c r="O1315">
        <v>3</v>
      </c>
      <c r="P1315">
        <v>0</v>
      </c>
      <c r="Q1315">
        <v>16</v>
      </c>
      <c r="R1315">
        <v>2</v>
      </c>
      <c r="S1315">
        <v>15</v>
      </c>
      <c r="T1315">
        <v>2</v>
      </c>
      <c r="U1315">
        <v>8</v>
      </c>
      <c r="V1315" t="s">
        <v>72</v>
      </c>
      <c r="W1315" s="1" t="s">
        <v>659</v>
      </c>
      <c r="Y1315" t="s">
        <v>63</v>
      </c>
      <c r="Z1315" t="s">
        <v>40</v>
      </c>
      <c r="AA1315">
        <v>5</v>
      </c>
      <c r="AB1315">
        <v>2</v>
      </c>
      <c r="AC1315" t="s">
        <v>41</v>
      </c>
      <c r="AD1315" t="s">
        <v>48</v>
      </c>
      <c r="AE1315" t="s">
        <v>60</v>
      </c>
      <c r="AF1315" s="3">
        <v>1973</v>
      </c>
      <c r="AG1315" s="3">
        <v>71</v>
      </c>
      <c r="AH1315">
        <v>80</v>
      </c>
      <c r="AI1315">
        <v>9</v>
      </c>
      <c r="AJ1315">
        <v>0</v>
      </c>
      <c r="AL1315">
        <v>0</v>
      </c>
      <c r="AM1315">
        <v>1</v>
      </c>
      <c r="AN1315" t="s">
        <v>768</v>
      </c>
      <c r="AO1315" t="s">
        <v>41</v>
      </c>
    </row>
    <row r="1316" spans="1:41" x14ac:dyDescent="0.25">
      <c r="A1316">
        <v>49</v>
      </c>
      <c r="B1316" t="s">
        <v>32</v>
      </c>
      <c r="C1316" t="s">
        <v>33</v>
      </c>
      <c r="D1316">
        <v>20</v>
      </c>
      <c r="E1316" t="s">
        <v>61</v>
      </c>
      <c r="F1316">
        <v>3</v>
      </c>
      <c r="G1316">
        <v>2</v>
      </c>
      <c r="H1316" t="s">
        <v>78</v>
      </c>
      <c r="I1316">
        <v>1</v>
      </c>
      <c r="J1316" t="s">
        <v>51</v>
      </c>
      <c r="K1316">
        <v>6567</v>
      </c>
      <c r="L1316">
        <v>1</v>
      </c>
      <c r="M1316" t="s">
        <v>41</v>
      </c>
      <c r="N1316">
        <v>14</v>
      </c>
      <c r="O1316">
        <v>3</v>
      </c>
      <c r="P1316">
        <v>0</v>
      </c>
      <c r="Q1316">
        <v>16</v>
      </c>
      <c r="R1316">
        <v>2</v>
      </c>
      <c r="S1316">
        <v>15</v>
      </c>
      <c r="T1316">
        <v>5</v>
      </c>
      <c r="U1316">
        <v>11</v>
      </c>
      <c r="V1316" t="s">
        <v>72</v>
      </c>
      <c r="W1316" s="2">
        <v>39024</v>
      </c>
      <c r="Y1316" t="s">
        <v>63</v>
      </c>
      <c r="Z1316" t="s">
        <v>47</v>
      </c>
      <c r="AA1316">
        <v>2</v>
      </c>
      <c r="AB1316">
        <v>1</v>
      </c>
      <c r="AC1316" t="s">
        <v>31</v>
      </c>
      <c r="AD1316" t="s">
        <v>65</v>
      </c>
      <c r="AE1316" t="s">
        <v>60</v>
      </c>
      <c r="AF1316" s="3">
        <v>1460</v>
      </c>
      <c r="AG1316" s="3">
        <v>95</v>
      </c>
      <c r="AH1316">
        <v>80</v>
      </c>
      <c r="AI1316">
        <v>7</v>
      </c>
      <c r="AJ1316">
        <v>0</v>
      </c>
      <c r="AL1316">
        <v>0</v>
      </c>
      <c r="AM1316">
        <v>1</v>
      </c>
      <c r="AN1316" t="s">
        <v>768</v>
      </c>
      <c r="AO1316" t="s">
        <v>41</v>
      </c>
    </row>
    <row r="1317" spans="1:41" x14ac:dyDescent="0.25">
      <c r="A1317">
        <v>39</v>
      </c>
      <c r="B1317" t="s">
        <v>32</v>
      </c>
      <c r="C1317" t="s">
        <v>55</v>
      </c>
      <c r="D1317">
        <v>4</v>
      </c>
      <c r="E1317" t="s">
        <v>61</v>
      </c>
      <c r="F1317">
        <v>2</v>
      </c>
      <c r="G1317">
        <v>2</v>
      </c>
      <c r="H1317" t="s">
        <v>70</v>
      </c>
      <c r="I1317">
        <v>3</v>
      </c>
      <c r="J1317" t="s">
        <v>51</v>
      </c>
      <c r="K1317">
        <v>5902</v>
      </c>
      <c r="L1317">
        <v>4</v>
      </c>
      <c r="M1317" t="s">
        <v>41</v>
      </c>
      <c r="N1317">
        <v>14</v>
      </c>
      <c r="O1317">
        <v>3</v>
      </c>
      <c r="P1317">
        <v>1</v>
      </c>
      <c r="Q1317">
        <v>17</v>
      </c>
      <c r="R1317">
        <v>1</v>
      </c>
      <c r="S1317">
        <v>15</v>
      </c>
      <c r="T1317">
        <v>5</v>
      </c>
      <c r="U1317">
        <v>9</v>
      </c>
      <c r="V1317" t="s">
        <v>52</v>
      </c>
      <c r="W1317" s="1" t="s">
        <v>660</v>
      </c>
      <c r="Y1317" t="s">
        <v>69</v>
      </c>
      <c r="Z1317" t="s">
        <v>40</v>
      </c>
      <c r="AA1317">
        <v>4</v>
      </c>
      <c r="AB1317">
        <v>2</v>
      </c>
      <c r="AC1317" t="s">
        <v>31</v>
      </c>
      <c r="AD1317" t="s">
        <v>42</v>
      </c>
      <c r="AE1317" t="s">
        <v>43</v>
      </c>
      <c r="AF1317" s="3">
        <v>1789</v>
      </c>
      <c r="AG1317" s="3">
        <v>46</v>
      </c>
      <c r="AH1317">
        <v>80</v>
      </c>
      <c r="AI1317">
        <v>1</v>
      </c>
      <c r="AJ1317">
        <v>0</v>
      </c>
      <c r="AL1317">
        <v>0</v>
      </c>
      <c r="AM1317">
        <v>1</v>
      </c>
      <c r="AN1317" t="s">
        <v>768</v>
      </c>
      <c r="AO1317" t="s">
        <v>41</v>
      </c>
    </row>
    <row r="1318" spans="1:41" x14ac:dyDescent="0.25">
      <c r="A1318">
        <v>36</v>
      </c>
      <c r="B1318" t="s">
        <v>32</v>
      </c>
      <c r="C1318" t="s">
        <v>33</v>
      </c>
      <c r="D1318">
        <v>6</v>
      </c>
      <c r="E1318" t="s">
        <v>34</v>
      </c>
      <c r="F1318">
        <v>3</v>
      </c>
      <c r="G1318">
        <v>1</v>
      </c>
      <c r="H1318" t="s">
        <v>35</v>
      </c>
      <c r="I1318">
        <v>4</v>
      </c>
      <c r="J1318" t="s">
        <v>51</v>
      </c>
      <c r="K1318">
        <v>3210</v>
      </c>
      <c r="L1318">
        <v>0</v>
      </c>
      <c r="M1318" t="s">
        <v>41</v>
      </c>
      <c r="N1318">
        <v>11</v>
      </c>
      <c r="O1318">
        <v>3</v>
      </c>
      <c r="P1318">
        <v>1</v>
      </c>
      <c r="Q1318">
        <v>16</v>
      </c>
      <c r="R1318">
        <v>4</v>
      </c>
      <c r="S1318">
        <v>15</v>
      </c>
      <c r="T1318">
        <v>10</v>
      </c>
      <c r="U1318">
        <v>11</v>
      </c>
      <c r="V1318" t="s">
        <v>37</v>
      </c>
      <c r="W1318" s="2">
        <v>38809</v>
      </c>
      <c r="Y1318" t="s">
        <v>54</v>
      </c>
      <c r="Z1318" t="s">
        <v>40</v>
      </c>
      <c r="AA1318">
        <v>4</v>
      </c>
      <c r="AB1318">
        <v>3</v>
      </c>
      <c r="AC1318" t="s">
        <v>41</v>
      </c>
      <c r="AD1318" t="s">
        <v>42</v>
      </c>
      <c r="AE1318" t="s">
        <v>49</v>
      </c>
      <c r="AF1318" s="3">
        <v>1998</v>
      </c>
      <c r="AG1318" s="3">
        <v>35</v>
      </c>
      <c r="AH1318">
        <v>80</v>
      </c>
      <c r="AI1318">
        <v>3</v>
      </c>
      <c r="AJ1318">
        <v>0</v>
      </c>
      <c r="AL1318">
        <v>0</v>
      </c>
      <c r="AM1318">
        <v>1</v>
      </c>
      <c r="AN1318" t="s">
        <v>768</v>
      </c>
      <c r="AO1318" t="s">
        <v>41</v>
      </c>
    </row>
    <row r="1319" spans="1:41" x14ac:dyDescent="0.25">
      <c r="A1319">
        <v>38</v>
      </c>
      <c r="B1319" t="s">
        <v>66</v>
      </c>
      <c r="C1319" t="s">
        <v>33</v>
      </c>
      <c r="D1319">
        <v>2</v>
      </c>
      <c r="E1319" t="s">
        <v>61</v>
      </c>
      <c r="F1319">
        <v>4</v>
      </c>
      <c r="G1319">
        <v>2</v>
      </c>
      <c r="H1319" t="s">
        <v>78</v>
      </c>
      <c r="I1319">
        <v>1</v>
      </c>
      <c r="J1319" t="s">
        <v>36</v>
      </c>
      <c r="K1319">
        <v>5980</v>
      </c>
      <c r="L1319">
        <v>6</v>
      </c>
      <c r="M1319" t="s">
        <v>31</v>
      </c>
      <c r="N1319">
        <v>12</v>
      </c>
      <c r="O1319">
        <v>3</v>
      </c>
      <c r="P1319">
        <v>0</v>
      </c>
      <c r="Q1319">
        <v>17</v>
      </c>
      <c r="R1319">
        <v>2</v>
      </c>
      <c r="S1319">
        <v>15</v>
      </c>
      <c r="T1319">
        <v>4</v>
      </c>
      <c r="U1319">
        <v>12</v>
      </c>
      <c r="V1319" t="s">
        <v>72</v>
      </c>
      <c r="W1319" s="2">
        <v>38753</v>
      </c>
      <c r="Y1319" t="s">
        <v>54</v>
      </c>
      <c r="Z1319" t="s">
        <v>47</v>
      </c>
      <c r="AA1319">
        <v>4</v>
      </c>
      <c r="AB1319">
        <v>1</v>
      </c>
      <c r="AC1319" t="s">
        <v>31</v>
      </c>
      <c r="AD1319" t="s">
        <v>48</v>
      </c>
      <c r="AE1319" t="s">
        <v>60</v>
      </c>
      <c r="AF1319" s="3">
        <v>1992</v>
      </c>
      <c r="AG1319" s="3">
        <v>57</v>
      </c>
      <c r="AH1319">
        <v>80</v>
      </c>
      <c r="AI1319">
        <v>2</v>
      </c>
      <c r="AJ1319">
        <v>0</v>
      </c>
      <c r="AL1319">
        <v>0</v>
      </c>
      <c r="AM1319">
        <v>1</v>
      </c>
      <c r="AN1319" t="s">
        <v>768</v>
      </c>
      <c r="AO1319" t="s">
        <v>41</v>
      </c>
    </row>
    <row r="1320" spans="1:41" x14ac:dyDescent="0.25">
      <c r="A1320">
        <v>38</v>
      </c>
      <c r="B1320" t="s">
        <v>32</v>
      </c>
      <c r="C1320" t="s">
        <v>33</v>
      </c>
      <c r="D1320">
        <v>1</v>
      </c>
      <c r="E1320" t="s">
        <v>61</v>
      </c>
      <c r="F1320">
        <v>3</v>
      </c>
      <c r="G1320">
        <v>3</v>
      </c>
      <c r="H1320" t="s">
        <v>50</v>
      </c>
      <c r="I1320">
        <v>1</v>
      </c>
      <c r="J1320" t="s">
        <v>51</v>
      </c>
      <c r="K1320">
        <v>13582</v>
      </c>
      <c r="L1320">
        <v>1</v>
      </c>
      <c r="M1320" t="s">
        <v>41</v>
      </c>
      <c r="N1320">
        <v>13</v>
      </c>
      <c r="O1320">
        <v>3</v>
      </c>
      <c r="P1320">
        <v>1</v>
      </c>
      <c r="Q1320">
        <v>15</v>
      </c>
      <c r="R1320">
        <v>3</v>
      </c>
      <c r="S1320">
        <v>15</v>
      </c>
      <c r="T1320">
        <v>5</v>
      </c>
      <c r="U1320">
        <v>11</v>
      </c>
      <c r="V1320" t="s">
        <v>37</v>
      </c>
      <c r="W1320" s="1" t="s">
        <v>661</v>
      </c>
      <c r="Y1320" t="s">
        <v>63</v>
      </c>
      <c r="Z1320" t="s">
        <v>40</v>
      </c>
      <c r="AA1320">
        <v>2</v>
      </c>
      <c r="AB1320">
        <v>3</v>
      </c>
      <c r="AC1320" t="s">
        <v>31</v>
      </c>
      <c r="AD1320" t="s">
        <v>67</v>
      </c>
      <c r="AE1320" t="s">
        <v>60</v>
      </c>
      <c r="AF1320" s="3">
        <v>1448</v>
      </c>
      <c r="AG1320" s="3">
        <v>90</v>
      </c>
      <c r="AH1320">
        <v>80</v>
      </c>
      <c r="AI1320">
        <v>2</v>
      </c>
      <c r="AJ1320">
        <v>0</v>
      </c>
      <c r="AL1320">
        <v>0</v>
      </c>
      <c r="AM1320">
        <v>1</v>
      </c>
      <c r="AN1320" t="s">
        <v>768</v>
      </c>
      <c r="AO1320" t="s">
        <v>41</v>
      </c>
    </row>
    <row r="1321" spans="1:41" x14ac:dyDescent="0.25">
      <c r="A1321">
        <v>48</v>
      </c>
      <c r="B1321" t="s">
        <v>32</v>
      </c>
      <c r="C1321" t="s">
        <v>33</v>
      </c>
      <c r="D1321">
        <v>4</v>
      </c>
      <c r="E1321" t="s">
        <v>34</v>
      </c>
      <c r="F1321">
        <v>2</v>
      </c>
      <c r="G1321">
        <v>3</v>
      </c>
      <c r="H1321" t="s">
        <v>89</v>
      </c>
      <c r="I1321">
        <v>3</v>
      </c>
      <c r="J1321" t="s">
        <v>36</v>
      </c>
      <c r="K1321">
        <v>10999</v>
      </c>
      <c r="L1321">
        <v>7</v>
      </c>
      <c r="M1321" t="s">
        <v>41</v>
      </c>
      <c r="N1321">
        <v>14</v>
      </c>
      <c r="O1321">
        <v>3</v>
      </c>
      <c r="P1321">
        <v>0</v>
      </c>
      <c r="Q1321">
        <v>27</v>
      </c>
      <c r="R1321">
        <v>3</v>
      </c>
      <c r="S1321">
        <v>15</v>
      </c>
      <c r="T1321">
        <v>4</v>
      </c>
      <c r="U1321">
        <v>8</v>
      </c>
      <c r="V1321" t="s">
        <v>58</v>
      </c>
      <c r="W1321" s="1" t="s">
        <v>662</v>
      </c>
      <c r="Y1321" t="s">
        <v>63</v>
      </c>
      <c r="Z1321" t="s">
        <v>47</v>
      </c>
      <c r="AA1321">
        <v>3</v>
      </c>
      <c r="AB1321">
        <v>1</v>
      </c>
      <c r="AC1321" t="s">
        <v>31</v>
      </c>
      <c r="AD1321" t="s">
        <v>65</v>
      </c>
      <c r="AE1321" t="s">
        <v>43</v>
      </c>
      <c r="AF1321" s="3">
        <v>1501</v>
      </c>
      <c r="AG1321" s="3">
        <v>30</v>
      </c>
      <c r="AH1321">
        <v>80</v>
      </c>
      <c r="AI1321">
        <v>2</v>
      </c>
      <c r="AJ1321">
        <v>0</v>
      </c>
      <c r="AL1321">
        <v>0</v>
      </c>
      <c r="AM1321">
        <v>1</v>
      </c>
      <c r="AN1321" t="s">
        <v>768</v>
      </c>
      <c r="AO1321" t="s">
        <v>41</v>
      </c>
    </row>
    <row r="1322" spans="1:41" x14ac:dyDescent="0.25">
      <c r="A1322">
        <v>34</v>
      </c>
      <c r="B1322" t="s">
        <v>32</v>
      </c>
      <c r="C1322" t="s">
        <v>55</v>
      </c>
      <c r="D1322">
        <v>1</v>
      </c>
      <c r="E1322" t="s">
        <v>34</v>
      </c>
      <c r="F1322">
        <v>4</v>
      </c>
      <c r="G1322">
        <v>2</v>
      </c>
      <c r="H1322" t="s">
        <v>70</v>
      </c>
      <c r="I1322">
        <v>4</v>
      </c>
      <c r="J1322" t="s">
        <v>57</v>
      </c>
      <c r="K1322">
        <v>9725</v>
      </c>
      <c r="L1322">
        <v>0</v>
      </c>
      <c r="M1322" t="s">
        <v>41</v>
      </c>
      <c r="N1322">
        <v>11</v>
      </c>
      <c r="O1322">
        <v>3</v>
      </c>
      <c r="P1322">
        <v>1</v>
      </c>
      <c r="Q1322">
        <v>16</v>
      </c>
      <c r="R1322">
        <v>2</v>
      </c>
      <c r="S1322">
        <v>15</v>
      </c>
      <c r="T1322">
        <v>0</v>
      </c>
      <c r="U1322">
        <v>9</v>
      </c>
      <c r="V1322" t="s">
        <v>52</v>
      </c>
      <c r="W1322" s="1" t="s">
        <v>663</v>
      </c>
      <c r="Y1322" t="s">
        <v>54</v>
      </c>
      <c r="Z1322" t="s">
        <v>47</v>
      </c>
      <c r="AA1322">
        <v>0</v>
      </c>
      <c r="AB1322">
        <v>1</v>
      </c>
      <c r="AC1322" t="s">
        <v>31</v>
      </c>
      <c r="AD1322" t="s">
        <v>42</v>
      </c>
      <c r="AE1322" t="s">
        <v>49</v>
      </c>
      <c r="AF1322" s="3">
        <v>1766</v>
      </c>
      <c r="AG1322" s="3">
        <v>60</v>
      </c>
      <c r="AH1322">
        <v>80</v>
      </c>
      <c r="AI1322">
        <v>0</v>
      </c>
      <c r="AJ1322">
        <v>0</v>
      </c>
      <c r="AL1322">
        <v>0</v>
      </c>
      <c r="AM1322">
        <v>1</v>
      </c>
      <c r="AN1322" t="s">
        <v>768</v>
      </c>
      <c r="AO1322" t="s">
        <v>41</v>
      </c>
    </row>
    <row r="1323" spans="1:41" x14ac:dyDescent="0.25">
      <c r="A1323">
        <v>53</v>
      </c>
      <c r="B1323" t="s">
        <v>66</v>
      </c>
      <c r="C1323" t="s">
        <v>55</v>
      </c>
      <c r="D1323">
        <v>2</v>
      </c>
      <c r="E1323" t="s">
        <v>61</v>
      </c>
      <c r="F1323">
        <v>2</v>
      </c>
      <c r="G1323">
        <v>3</v>
      </c>
      <c r="H1323" t="s">
        <v>70</v>
      </c>
      <c r="I1323">
        <v>2</v>
      </c>
      <c r="J1323" t="s">
        <v>51</v>
      </c>
      <c r="K1323">
        <v>7525</v>
      </c>
      <c r="L1323">
        <v>2</v>
      </c>
      <c r="M1323" t="s">
        <v>41</v>
      </c>
      <c r="N1323">
        <v>12</v>
      </c>
      <c r="O1323">
        <v>3</v>
      </c>
      <c r="P1323">
        <v>1</v>
      </c>
      <c r="Q1323">
        <v>30</v>
      </c>
      <c r="R1323">
        <v>2</v>
      </c>
      <c r="S1323">
        <v>15</v>
      </c>
      <c r="T1323">
        <v>6</v>
      </c>
      <c r="U1323">
        <v>12</v>
      </c>
      <c r="V1323" t="s">
        <v>58</v>
      </c>
      <c r="W1323" s="1" t="s">
        <v>664</v>
      </c>
      <c r="Y1323" t="s">
        <v>69</v>
      </c>
      <c r="Z1323" t="s">
        <v>47</v>
      </c>
      <c r="AA1323">
        <v>5</v>
      </c>
      <c r="AB1323">
        <v>2</v>
      </c>
      <c r="AC1323" t="s">
        <v>31</v>
      </c>
      <c r="AD1323" t="s">
        <v>67</v>
      </c>
      <c r="AE1323" t="s">
        <v>43</v>
      </c>
      <c r="AF1323" s="3">
        <v>1549</v>
      </c>
      <c r="AG1323" s="3">
        <v>79</v>
      </c>
      <c r="AH1323">
        <v>80</v>
      </c>
      <c r="AI1323">
        <v>14</v>
      </c>
      <c r="AJ1323">
        <v>0</v>
      </c>
      <c r="AL1323">
        <v>0</v>
      </c>
      <c r="AM1323">
        <v>1</v>
      </c>
      <c r="AN1323" t="s">
        <v>768</v>
      </c>
      <c r="AO1323" t="s">
        <v>41</v>
      </c>
    </row>
    <row r="1324" spans="1:41" x14ac:dyDescent="0.25">
      <c r="A1324">
        <v>45</v>
      </c>
      <c r="B1324" t="s">
        <v>81</v>
      </c>
      <c r="C1324" t="s">
        <v>55</v>
      </c>
      <c r="D1324">
        <v>9</v>
      </c>
      <c r="E1324" t="s">
        <v>61</v>
      </c>
      <c r="F1324">
        <v>2</v>
      </c>
      <c r="G1324">
        <v>2</v>
      </c>
      <c r="H1324" t="s">
        <v>70</v>
      </c>
      <c r="I1324">
        <v>3</v>
      </c>
      <c r="J1324" t="s">
        <v>51</v>
      </c>
      <c r="K1324">
        <v>5593</v>
      </c>
      <c r="L1324">
        <v>1</v>
      </c>
      <c r="M1324" t="s">
        <v>41</v>
      </c>
      <c r="N1324">
        <v>13</v>
      </c>
      <c r="O1324">
        <v>3</v>
      </c>
      <c r="P1324">
        <v>1</v>
      </c>
      <c r="Q1324">
        <v>15</v>
      </c>
      <c r="R1324">
        <v>2</v>
      </c>
      <c r="S1324">
        <v>15</v>
      </c>
      <c r="T1324">
        <v>4</v>
      </c>
      <c r="U1324">
        <v>12</v>
      </c>
      <c r="V1324" t="s">
        <v>58</v>
      </c>
      <c r="W1324" s="2">
        <v>38753</v>
      </c>
      <c r="Y1324" t="s">
        <v>39</v>
      </c>
      <c r="Z1324" t="s">
        <v>47</v>
      </c>
      <c r="AA1324">
        <v>3</v>
      </c>
      <c r="AB1324">
        <v>1</v>
      </c>
      <c r="AC1324" t="s">
        <v>41</v>
      </c>
      <c r="AD1324" t="s">
        <v>65</v>
      </c>
      <c r="AE1324" t="s">
        <v>43</v>
      </c>
      <c r="AF1324" s="3">
        <v>2053</v>
      </c>
      <c r="AG1324" s="3">
        <v>46</v>
      </c>
      <c r="AH1324">
        <v>80</v>
      </c>
      <c r="AI1324">
        <v>3</v>
      </c>
      <c r="AJ1324">
        <v>0</v>
      </c>
      <c r="AL1324">
        <v>0</v>
      </c>
      <c r="AM1324">
        <v>1</v>
      </c>
      <c r="AN1324" t="s">
        <v>768</v>
      </c>
      <c r="AO1324" t="s">
        <v>41</v>
      </c>
    </row>
    <row r="1325" spans="1:41" x14ac:dyDescent="0.25">
      <c r="A1325">
        <v>36</v>
      </c>
      <c r="B1325" t="s">
        <v>66</v>
      </c>
      <c r="C1325" t="s">
        <v>55</v>
      </c>
      <c r="D1325">
        <v>7</v>
      </c>
      <c r="E1325" t="s">
        <v>61</v>
      </c>
      <c r="F1325">
        <v>4</v>
      </c>
      <c r="G1325">
        <v>2</v>
      </c>
      <c r="H1325" t="s">
        <v>70</v>
      </c>
      <c r="I1325">
        <v>1</v>
      </c>
      <c r="J1325" t="s">
        <v>51</v>
      </c>
      <c r="K1325">
        <v>4639</v>
      </c>
      <c r="L1325">
        <v>2</v>
      </c>
      <c r="M1325" t="s">
        <v>41</v>
      </c>
      <c r="N1325">
        <v>16</v>
      </c>
      <c r="O1325">
        <v>3</v>
      </c>
      <c r="P1325">
        <v>1</v>
      </c>
      <c r="Q1325">
        <v>17</v>
      </c>
      <c r="R1325">
        <v>2</v>
      </c>
      <c r="S1325">
        <v>15</v>
      </c>
      <c r="T1325">
        <v>6</v>
      </c>
      <c r="U1325">
        <v>13</v>
      </c>
      <c r="V1325" t="s">
        <v>58</v>
      </c>
      <c r="W1325" s="1" t="s">
        <v>665</v>
      </c>
      <c r="Y1325" t="s">
        <v>69</v>
      </c>
      <c r="Z1325" t="s">
        <v>40</v>
      </c>
      <c r="AA1325">
        <v>4</v>
      </c>
      <c r="AB1325">
        <v>2</v>
      </c>
      <c r="AC1325" t="s">
        <v>31</v>
      </c>
      <c r="AD1325" t="s">
        <v>42</v>
      </c>
      <c r="AE1325" t="s">
        <v>60</v>
      </c>
      <c r="AF1325" s="3">
        <v>1790</v>
      </c>
      <c r="AG1325" s="3">
        <v>90</v>
      </c>
      <c r="AH1325">
        <v>80</v>
      </c>
      <c r="AI1325">
        <v>8</v>
      </c>
      <c r="AJ1325">
        <v>0</v>
      </c>
      <c r="AL1325">
        <v>0</v>
      </c>
      <c r="AM1325">
        <v>1</v>
      </c>
      <c r="AN1325" t="s">
        <v>768</v>
      </c>
      <c r="AO1325" t="s">
        <v>41</v>
      </c>
    </row>
    <row r="1326" spans="1:41" x14ac:dyDescent="0.25">
      <c r="A1326">
        <v>34</v>
      </c>
      <c r="B1326" t="s">
        <v>32</v>
      </c>
      <c r="C1326" t="s">
        <v>55</v>
      </c>
      <c r="D1326">
        <v>24</v>
      </c>
      <c r="E1326" t="s">
        <v>61</v>
      </c>
      <c r="F1326">
        <v>2</v>
      </c>
      <c r="G1326">
        <v>2</v>
      </c>
      <c r="H1326" t="s">
        <v>70</v>
      </c>
      <c r="I1326">
        <v>2</v>
      </c>
      <c r="J1326" t="s">
        <v>36</v>
      </c>
      <c r="K1326">
        <v>4599</v>
      </c>
      <c r="L1326">
        <v>0</v>
      </c>
      <c r="M1326" t="s">
        <v>31</v>
      </c>
      <c r="N1326">
        <v>23</v>
      </c>
      <c r="O1326">
        <v>4</v>
      </c>
      <c r="P1326">
        <v>0</v>
      </c>
      <c r="Q1326">
        <v>16</v>
      </c>
      <c r="R1326">
        <v>2</v>
      </c>
      <c r="S1326">
        <v>15</v>
      </c>
      <c r="T1326">
        <v>10</v>
      </c>
      <c r="U1326">
        <v>10</v>
      </c>
      <c r="V1326" t="s">
        <v>52</v>
      </c>
      <c r="W1326" s="1" t="s">
        <v>666</v>
      </c>
      <c r="Y1326" t="s">
        <v>63</v>
      </c>
      <c r="Z1326" t="s">
        <v>47</v>
      </c>
      <c r="AA1326">
        <v>0</v>
      </c>
      <c r="AB1326">
        <v>0</v>
      </c>
      <c r="AC1326" t="s">
        <v>41</v>
      </c>
      <c r="AD1326" t="s">
        <v>48</v>
      </c>
      <c r="AE1326" t="s">
        <v>60</v>
      </c>
      <c r="AF1326" s="3">
        <v>2003</v>
      </c>
      <c r="AG1326" s="3">
        <v>43</v>
      </c>
      <c r="AH1326">
        <v>80</v>
      </c>
      <c r="AI1326">
        <v>2</v>
      </c>
      <c r="AJ1326">
        <v>0</v>
      </c>
      <c r="AL1326">
        <v>0</v>
      </c>
      <c r="AM1326">
        <v>1</v>
      </c>
      <c r="AN1326" t="s">
        <v>768</v>
      </c>
      <c r="AO1326" t="s">
        <v>41</v>
      </c>
    </row>
    <row r="1327" spans="1:41" x14ac:dyDescent="0.25">
      <c r="A1327">
        <v>33</v>
      </c>
      <c r="B1327" t="s">
        <v>32</v>
      </c>
      <c r="C1327" t="s">
        <v>33</v>
      </c>
      <c r="D1327">
        <v>28</v>
      </c>
      <c r="E1327" t="s">
        <v>34</v>
      </c>
      <c r="F1327">
        <v>3</v>
      </c>
      <c r="G1327">
        <v>2</v>
      </c>
      <c r="H1327" t="s">
        <v>35</v>
      </c>
      <c r="I1327">
        <v>3</v>
      </c>
      <c r="J1327" t="s">
        <v>51</v>
      </c>
      <c r="K1327">
        <v>5207</v>
      </c>
      <c r="L1327">
        <v>1</v>
      </c>
      <c r="M1327" t="s">
        <v>31</v>
      </c>
      <c r="N1327">
        <v>12</v>
      </c>
      <c r="O1327">
        <v>3</v>
      </c>
      <c r="P1327">
        <v>1</v>
      </c>
      <c r="Q1327">
        <v>15</v>
      </c>
      <c r="R1327">
        <v>3</v>
      </c>
      <c r="S1327">
        <v>15</v>
      </c>
      <c r="T1327">
        <v>5</v>
      </c>
      <c r="U1327">
        <v>7</v>
      </c>
      <c r="V1327" t="s">
        <v>52</v>
      </c>
      <c r="W1327" s="1" t="s">
        <v>667</v>
      </c>
      <c r="Y1327" t="s">
        <v>63</v>
      </c>
      <c r="Z1327" t="s">
        <v>47</v>
      </c>
      <c r="AA1327">
        <v>0</v>
      </c>
      <c r="AB1327">
        <v>2</v>
      </c>
      <c r="AC1327" t="s">
        <v>41</v>
      </c>
      <c r="AD1327" t="s">
        <v>65</v>
      </c>
      <c r="AE1327" t="s">
        <v>49</v>
      </c>
      <c r="AF1327" s="3">
        <v>1465</v>
      </c>
      <c r="AG1327" s="3">
        <v>55</v>
      </c>
      <c r="AH1327">
        <v>80</v>
      </c>
      <c r="AI1327">
        <v>1</v>
      </c>
      <c r="AJ1327">
        <v>0</v>
      </c>
      <c r="AL1327">
        <v>0</v>
      </c>
      <c r="AM1327">
        <v>1</v>
      </c>
      <c r="AN1327" t="s">
        <v>768</v>
      </c>
      <c r="AO1327" t="s">
        <v>41</v>
      </c>
    </row>
    <row r="1328" spans="1:41" x14ac:dyDescent="0.25">
      <c r="A1328">
        <v>49</v>
      </c>
      <c r="B1328" t="s">
        <v>32</v>
      </c>
      <c r="C1328" t="s">
        <v>33</v>
      </c>
      <c r="D1328">
        <v>6</v>
      </c>
      <c r="E1328" t="s">
        <v>61</v>
      </c>
      <c r="F1328">
        <v>2</v>
      </c>
      <c r="G1328">
        <v>4</v>
      </c>
      <c r="H1328" t="s">
        <v>89</v>
      </c>
      <c r="I1328">
        <v>3</v>
      </c>
      <c r="J1328" t="s">
        <v>51</v>
      </c>
      <c r="K1328">
        <v>13966</v>
      </c>
      <c r="L1328">
        <v>2</v>
      </c>
      <c r="M1328" t="s">
        <v>31</v>
      </c>
      <c r="N1328">
        <v>19</v>
      </c>
      <c r="O1328">
        <v>3</v>
      </c>
      <c r="P1328">
        <v>1</v>
      </c>
      <c r="Q1328">
        <v>30</v>
      </c>
      <c r="R1328">
        <v>3</v>
      </c>
      <c r="S1328">
        <v>15</v>
      </c>
      <c r="T1328">
        <v>2</v>
      </c>
      <c r="U1328">
        <v>12</v>
      </c>
      <c r="V1328" t="s">
        <v>58</v>
      </c>
      <c r="W1328" s="2">
        <v>38780</v>
      </c>
      <c r="Y1328" t="s">
        <v>46</v>
      </c>
      <c r="Z1328" t="s">
        <v>47</v>
      </c>
      <c r="AA1328">
        <v>5</v>
      </c>
      <c r="AB1328">
        <v>3</v>
      </c>
      <c r="AC1328" t="s">
        <v>31</v>
      </c>
      <c r="AD1328" t="s">
        <v>42</v>
      </c>
      <c r="AE1328" t="s">
        <v>43</v>
      </c>
      <c r="AF1328" s="3">
        <v>1755</v>
      </c>
      <c r="AG1328" s="3">
        <v>97</v>
      </c>
      <c r="AH1328">
        <v>80</v>
      </c>
      <c r="AI1328">
        <v>0</v>
      </c>
      <c r="AJ1328">
        <v>0</v>
      </c>
      <c r="AL1328">
        <v>0</v>
      </c>
      <c r="AM1328">
        <v>1</v>
      </c>
      <c r="AN1328" t="s">
        <v>768</v>
      </c>
      <c r="AO1328" t="s">
        <v>41</v>
      </c>
    </row>
    <row r="1329" spans="1:41" x14ac:dyDescent="0.25">
      <c r="A1329">
        <v>34</v>
      </c>
      <c r="B1329" t="s">
        <v>32</v>
      </c>
      <c r="C1329" t="s">
        <v>33</v>
      </c>
      <c r="D1329">
        <v>5</v>
      </c>
      <c r="E1329" t="s">
        <v>34</v>
      </c>
      <c r="F1329">
        <v>2</v>
      </c>
      <c r="G1329">
        <v>2</v>
      </c>
      <c r="H1329" t="s">
        <v>35</v>
      </c>
      <c r="I1329">
        <v>4</v>
      </c>
      <c r="J1329" t="s">
        <v>51</v>
      </c>
      <c r="K1329">
        <v>3986</v>
      </c>
      <c r="L1329">
        <v>1</v>
      </c>
      <c r="M1329" t="s">
        <v>41</v>
      </c>
      <c r="N1329">
        <v>14</v>
      </c>
      <c r="O1329">
        <v>3</v>
      </c>
      <c r="P1329">
        <v>1</v>
      </c>
      <c r="Q1329">
        <v>15</v>
      </c>
      <c r="R1329">
        <v>3</v>
      </c>
      <c r="S1329">
        <v>15</v>
      </c>
      <c r="T1329">
        <v>4</v>
      </c>
      <c r="U1329">
        <v>13</v>
      </c>
      <c r="V1329" t="s">
        <v>72</v>
      </c>
      <c r="W1329" s="2">
        <v>38840</v>
      </c>
      <c r="Y1329" t="s">
        <v>46</v>
      </c>
      <c r="Z1329" t="s">
        <v>40</v>
      </c>
      <c r="AA1329">
        <v>3</v>
      </c>
      <c r="AB1329">
        <v>1</v>
      </c>
      <c r="AC1329" t="s">
        <v>41</v>
      </c>
      <c r="AD1329" t="s">
        <v>42</v>
      </c>
      <c r="AE1329" t="s">
        <v>60</v>
      </c>
      <c r="AF1329" s="3">
        <v>1586</v>
      </c>
      <c r="AG1329" s="3">
        <v>87</v>
      </c>
      <c r="AH1329">
        <v>80</v>
      </c>
      <c r="AI1329">
        <v>9</v>
      </c>
      <c r="AJ1329">
        <v>0</v>
      </c>
      <c r="AL1329">
        <v>0</v>
      </c>
      <c r="AM1329">
        <v>1</v>
      </c>
      <c r="AN1329" t="s">
        <v>768</v>
      </c>
      <c r="AO1329" t="s">
        <v>41</v>
      </c>
    </row>
    <row r="1330" spans="1:41" x14ac:dyDescent="0.25">
      <c r="A1330">
        <v>34</v>
      </c>
      <c r="B1330" t="s">
        <v>81</v>
      </c>
      <c r="C1330" t="s">
        <v>55</v>
      </c>
      <c r="D1330">
        <v>10</v>
      </c>
      <c r="E1330" t="s">
        <v>34</v>
      </c>
      <c r="F1330">
        <v>3</v>
      </c>
      <c r="G1330">
        <v>2</v>
      </c>
      <c r="H1330" t="s">
        <v>70</v>
      </c>
      <c r="I1330">
        <v>3</v>
      </c>
      <c r="J1330" t="s">
        <v>57</v>
      </c>
      <c r="K1330">
        <v>4001</v>
      </c>
      <c r="L1330">
        <v>1</v>
      </c>
      <c r="M1330" t="s">
        <v>31</v>
      </c>
      <c r="N1330">
        <v>14</v>
      </c>
      <c r="O1330">
        <v>3</v>
      </c>
      <c r="P1330">
        <v>1</v>
      </c>
      <c r="Q1330">
        <v>15</v>
      </c>
      <c r="R1330">
        <v>3</v>
      </c>
      <c r="S1330">
        <v>15</v>
      </c>
      <c r="T1330">
        <v>0</v>
      </c>
      <c r="U1330">
        <v>7</v>
      </c>
      <c r="V1330" t="s">
        <v>58</v>
      </c>
      <c r="W1330" s="2">
        <v>39027</v>
      </c>
      <c r="Y1330" t="s">
        <v>69</v>
      </c>
      <c r="Z1330" t="s">
        <v>47</v>
      </c>
      <c r="AA1330">
        <v>0</v>
      </c>
      <c r="AB1330">
        <v>2</v>
      </c>
      <c r="AC1330" t="s">
        <v>41</v>
      </c>
      <c r="AD1330" t="s">
        <v>65</v>
      </c>
      <c r="AE1330" t="s">
        <v>49</v>
      </c>
      <c r="AF1330" s="3">
        <v>2020</v>
      </c>
      <c r="AG1330" s="3">
        <v>42</v>
      </c>
      <c r="AH1330">
        <v>80</v>
      </c>
      <c r="AI1330">
        <v>3</v>
      </c>
      <c r="AJ1330">
        <v>0</v>
      </c>
      <c r="AL1330">
        <v>0</v>
      </c>
      <c r="AM1330">
        <v>1</v>
      </c>
      <c r="AN1330" t="s">
        <v>768</v>
      </c>
      <c r="AO1330" t="s">
        <v>41</v>
      </c>
    </row>
    <row r="1331" spans="1:41" x14ac:dyDescent="0.25">
      <c r="A1331">
        <v>34</v>
      </c>
      <c r="B1331" t="s">
        <v>66</v>
      </c>
      <c r="C1331" t="s">
        <v>33</v>
      </c>
      <c r="D1331">
        <v>22</v>
      </c>
      <c r="E1331" t="s">
        <v>34</v>
      </c>
      <c r="F1331">
        <v>2</v>
      </c>
      <c r="G1331">
        <v>2</v>
      </c>
      <c r="H1331" t="s">
        <v>44</v>
      </c>
      <c r="I1331">
        <v>4</v>
      </c>
      <c r="J1331" t="s">
        <v>51</v>
      </c>
      <c r="K1331">
        <v>5747</v>
      </c>
      <c r="L1331">
        <v>1</v>
      </c>
      <c r="M1331" t="s">
        <v>31</v>
      </c>
      <c r="N1331">
        <v>15</v>
      </c>
      <c r="O1331">
        <v>3</v>
      </c>
      <c r="P1331">
        <v>0</v>
      </c>
      <c r="Q1331">
        <v>16</v>
      </c>
      <c r="R1331">
        <v>3</v>
      </c>
      <c r="S1331">
        <v>15</v>
      </c>
      <c r="T1331">
        <v>6</v>
      </c>
      <c r="U1331">
        <v>11</v>
      </c>
      <c r="V1331" t="s">
        <v>37</v>
      </c>
      <c r="W1331" s="1" t="s">
        <v>668</v>
      </c>
      <c r="Y1331" t="s">
        <v>39</v>
      </c>
      <c r="Z1331" t="s">
        <v>40</v>
      </c>
      <c r="AA1331">
        <v>3</v>
      </c>
      <c r="AB1331">
        <v>3</v>
      </c>
      <c r="AC1331" t="s">
        <v>41</v>
      </c>
      <c r="AD1331" t="s">
        <v>42</v>
      </c>
      <c r="AE1331" t="s">
        <v>49</v>
      </c>
      <c r="AF1331" s="3">
        <v>1515</v>
      </c>
      <c r="AG1331" s="3">
        <v>69</v>
      </c>
      <c r="AH1331">
        <v>80</v>
      </c>
      <c r="AI1331">
        <v>0</v>
      </c>
      <c r="AJ1331">
        <v>0</v>
      </c>
      <c r="AL1331">
        <v>0</v>
      </c>
      <c r="AM1331">
        <v>1</v>
      </c>
      <c r="AN1331" t="s">
        <v>768</v>
      </c>
      <c r="AO1331" t="s">
        <v>41</v>
      </c>
    </row>
    <row r="1332" spans="1:41" x14ac:dyDescent="0.25">
      <c r="A1332">
        <v>38</v>
      </c>
      <c r="B1332" t="s">
        <v>32</v>
      </c>
      <c r="C1332" t="s">
        <v>55</v>
      </c>
      <c r="D1332">
        <v>1</v>
      </c>
      <c r="E1332" t="s">
        <v>34</v>
      </c>
      <c r="F1332">
        <v>3</v>
      </c>
      <c r="G1332">
        <v>2</v>
      </c>
      <c r="H1332" t="s">
        <v>70</v>
      </c>
      <c r="I1332">
        <v>2</v>
      </c>
      <c r="J1332" t="s">
        <v>51</v>
      </c>
      <c r="K1332">
        <v>4440</v>
      </c>
      <c r="L1332">
        <v>0</v>
      </c>
      <c r="M1332" t="s">
        <v>41</v>
      </c>
      <c r="N1332">
        <v>15</v>
      </c>
      <c r="O1332">
        <v>3</v>
      </c>
      <c r="P1332">
        <v>2</v>
      </c>
      <c r="Q1332">
        <v>16</v>
      </c>
      <c r="R1332">
        <v>3</v>
      </c>
      <c r="S1332">
        <v>15</v>
      </c>
      <c r="T1332">
        <v>5</v>
      </c>
      <c r="U1332">
        <v>8</v>
      </c>
      <c r="V1332" t="s">
        <v>58</v>
      </c>
      <c r="W1332" s="2">
        <v>39056</v>
      </c>
      <c r="Y1332" t="s">
        <v>54</v>
      </c>
      <c r="Z1332" t="s">
        <v>40</v>
      </c>
      <c r="AA1332">
        <v>1</v>
      </c>
      <c r="AB1332">
        <v>0</v>
      </c>
      <c r="AC1332" t="s">
        <v>31</v>
      </c>
      <c r="AD1332" t="s">
        <v>67</v>
      </c>
      <c r="AE1332" t="s">
        <v>43</v>
      </c>
      <c r="AF1332" s="3">
        <v>1669</v>
      </c>
      <c r="AG1332" s="3">
        <v>43</v>
      </c>
      <c r="AH1332">
        <v>80</v>
      </c>
      <c r="AI1332">
        <v>0</v>
      </c>
      <c r="AJ1332">
        <v>0</v>
      </c>
      <c r="AL1332">
        <v>0</v>
      </c>
      <c r="AM1332">
        <v>1</v>
      </c>
      <c r="AN1332" t="s">
        <v>768</v>
      </c>
      <c r="AO1332" t="s">
        <v>41</v>
      </c>
    </row>
    <row r="1333" spans="1:41" x14ac:dyDescent="0.25">
      <c r="A1333">
        <v>36</v>
      </c>
      <c r="B1333" t="s">
        <v>81</v>
      </c>
      <c r="C1333" t="s">
        <v>55</v>
      </c>
      <c r="D1333">
        <v>15</v>
      </c>
      <c r="E1333" t="s">
        <v>34</v>
      </c>
      <c r="F1333">
        <v>1</v>
      </c>
      <c r="G1333">
        <v>2</v>
      </c>
      <c r="H1333" t="s">
        <v>70</v>
      </c>
      <c r="I1333">
        <v>4</v>
      </c>
      <c r="J1333" t="s">
        <v>57</v>
      </c>
      <c r="K1333">
        <v>5406</v>
      </c>
      <c r="L1333">
        <v>1</v>
      </c>
      <c r="M1333" t="s">
        <v>41</v>
      </c>
      <c r="N1333">
        <v>24</v>
      </c>
      <c r="O1333">
        <v>4</v>
      </c>
      <c r="P1333">
        <v>1</v>
      </c>
      <c r="Q1333">
        <v>15</v>
      </c>
      <c r="R1333">
        <v>4</v>
      </c>
      <c r="S1333">
        <v>15</v>
      </c>
      <c r="T1333">
        <v>11</v>
      </c>
      <c r="U1333">
        <v>11</v>
      </c>
      <c r="V1333" t="s">
        <v>37</v>
      </c>
      <c r="W1333" s="1" t="s">
        <v>669</v>
      </c>
      <c r="Y1333" t="s">
        <v>54</v>
      </c>
      <c r="Z1333" t="s">
        <v>47</v>
      </c>
      <c r="AA1333">
        <v>0</v>
      </c>
      <c r="AB1333">
        <v>2</v>
      </c>
      <c r="AC1333" t="s">
        <v>31</v>
      </c>
      <c r="AD1333" t="s">
        <v>67</v>
      </c>
      <c r="AE1333" t="s">
        <v>49</v>
      </c>
      <c r="AF1333" s="3">
        <v>1732</v>
      </c>
      <c r="AG1333" s="3">
        <v>74</v>
      </c>
      <c r="AH1333">
        <v>80</v>
      </c>
      <c r="AI1333">
        <v>6</v>
      </c>
      <c r="AJ1333">
        <v>0</v>
      </c>
      <c r="AL1333">
        <v>0</v>
      </c>
      <c r="AM1333">
        <v>1</v>
      </c>
      <c r="AN1333" t="s">
        <v>768</v>
      </c>
      <c r="AO1333" t="s">
        <v>41</v>
      </c>
    </row>
    <row r="1334" spans="1:41" x14ac:dyDescent="0.25">
      <c r="A1334">
        <v>34</v>
      </c>
      <c r="B1334" t="s">
        <v>32</v>
      </c>
      <c r="C1334" t="s">
        <v>33</v>
      </c>
      <c r="D1334">
        <v>6</v>
      </c>
      <c r="E1334" t="s">
        <v>61</v>
      </c>
      <c r="F1334">
        <v>3</v>
      </c>
      <c r="G1334">
        <v>2</v>
      </c>
      <c r="H1334" t="s">
        <v>44</v>
      </c>
      <c r="I1334">
        <v>3</v>
      </c>
      <c r="J1334" t="s">
        <v>36</v>
      </c>
      <c r="K1334">
        <v>4809</v>
      </c>
      <c r="L1334">
        <v>1</v>
      </c>
      <c r="M1334" t="s">
        <v>41</v>
      </c>
      <c r="N1334">
        <v>14</v>
      </c>
      <c r="O1334">
        <v>3</v>
      </c>
      <c r="P1334">
        <v>0</v>
      </c>
      <c r="Q1334">
        <v>16</v>
      </c>
      <c r="R1334">
        <v>3</v>
      </c>
      <c r="S1334">
        <v>16</v>
      </c>
      <c r="T1334">
        <v>2</v>
      </c>
      <c r="U1334">
        <v>10</v>
      </c>
      <c r="V1334" t="s">
        <v>72</v>
      </c>
      <c r="W1334" s="1" t="s">
        <v>670</v>
      </c>
      <c r="Y1334" t="s">
        <v>46</v>
      </c>
      <c r="Z1334" t="s">
        <v>40</v>
      </c>
      <c r="AA1334">
        <v>5</v>
      </c>
      <c r="AB1334">
        <v>3</v>
      </c>
      <c r="AC1334" t="s">
        <v>41</v>
      </c>
      <c r="AD1334" t="s">
        <v>42</v>
      </c>
      <c r="AE1334" t="s">
        <v>60</v>
      </c>
      <c r="AF1334" s="3">
        <v>1943</v>
      </c>
      <c r="AG1334" s="3">
        <v>77</v>
      </c>
      <c r="AH1334">
        <v>80</v>
      </c>
      <c r="AI1334">
        <v>0</v>
      </c>
      <c r="AJ1334">
        <v>0</v>
      </c>
      <c r="AL1334">
        <v>0</v>
      </c>
      <c r="AM1334">
        <v>1</v>
      </c>
      <c r="AN1334" t="s">
        <v>768</v>
      </c>
      <c r="AO1334" t="s">
        <v>41</v>
      </c>
    </row>
    <row r="1335" spans="1:41" x14ac:dyDescent="0.25">
      <c r="A1335">
        <v>38</v>
      </c>
      <c r="B1335" t="s">
        <v>32</v>
      </c>
      <c r="C1335" t="s">
        <v>55</v>
      </c>
      <c r="D1335">
        <v>3</v>
      </c>
      <c r="E1335" t="s">
        <v>34</v>
      </c>
      <c r="F1335">
        <v>3</v>
      </c>
      <c r="G1335">
        <v>3</v>
      </c>
      <c r="H1335" t="s">
        <v>70</v>
      </c>
      <c r="I1335">
        <v>3</v>
      </c>
      <c r="J1335" t="s">
        <v>57</v>
      </c>
      <c r="K1335">
        <v>10609</v>
      </c>
      <c r="L1335">
        <v>0</v>
      </c>
      <c r="M1335" t="s">
        <v>41</v>
      </c>
      <c r="N1335">
        <v>12</v>
      </c>
      <c r="O1335">
        <v>3</v>
      </c>
      <c r="P1335">
        <v>2</v>
      </c>
      <c r="Q1335">
        <v>17</v>
      </c>
      <c r="R1335">
        <v>6</v>
      </c>
      <c r="S1335">
        <v>16</v>
      </c>
      <c r="T1335">
        <v>5</v>
      </c>
      <c r="U1335">
        <v>13</v>
      </c>
      <c r="V1335" t="s">
        <v>52</v>
      </c>
      <c r="W1335" s="1" t="s">
        <v>671</v>
      </c>
      <c r="Y1335" t="s">
        <v>39</v>
      </c>
      <c r="Z1335" t="s">
        <v>40</v>
      </c>
      <c r="AA1335">
        <v>0</v>
      </c>
      <c r="AB1335">
        <v>0</v>
      </c>
      <c r="AC1335" t="s">
        <v>31</v>
      </c>
      <c r="AD1335" t="s">
        <v>48</v>
      </c>
      <c r="AE1335" t="s">
        <v>43</v>
      </c>
      <c r="AF1335" s="3">
        <v>1535</v>
      </c>
      <c r="AG1335" s="3">
        <v>64</v>
      </c>
      <c r="AH1335">
        <v>80</v>
      </c>
      <c r="AI1335">
        <v>9</v>
      </c>
      <c r="AJ1335">
        <v>0</v>
      </c>
      <c r="AL1335">
        <v>0</v>
      </c>
      <c r="AM1335">
        <v>1</v>
      </c>
      <c r="AN1335" t="s">
        <v>768</v>
      </c>
      <c r="AO1335" t="s">
        <v>41</v>
      </c>
    </row>
    <row r="1336" spans="1:41" x14ac:dyDescent="0.25">
      <c r="A1336">
        <v>35</v>
      </c>
      <c r="B1336" t="s">
        <v>32</v>
      </c>
      <c r="C1336" t="s">
        <v>33</v>
      </c>
      <c r="D1336">
        <v>5</v>
      </c>
      <c r="E1336" t="s">
        <v>34</v>
      </c>
      <c r="F1336">
        <v>3</v>
      </c>
      <c r="G1336">
        <v>3</v>
      </c>
      <c r="H1336" t="s">
        <v>78</v>
      </c>
      <c r="I1336">
        <v>2</v>
      </c>
      <c r="J1336" t="s">
        <v>36</v>
      </c>
      <c r="K1336">
        <v>8095</v>
      </c>
      <c r="L1336">
        <v>0</v>
      </c>
      <c r="M1336" t="s">
        <v>41</v>
      </c>
      <c r="N1336">
        <v>13</v>
      </c>
      <c r="O1336">
        <v>3</v>
      </c>
      <c r="P1336">
        <v>0</v>
      </c>
      <c r="Q1336">
        <v>17</v>
      </c>
      <c r="R1336">
        <v>5</v>
      </c>
      <c r="S1336">
        <v>16</v>
      </c>
      <c r="T1336">
        <v>0</v>
      </c>
      <c r="U1336">
        <v>13</v>
      </c>
      <c r="V1336" t="s">
        <v>58</v>
      </c>
      <c r="W1336" s="1" t="s">
        <v>672</v>
      </c>
      <c r="Y1336" t="s">
        <v>54</v>
      </c>
      <c r="Z1336" t="s">
        <v>47</v>
      </c>
      <c r="AA1336">
        <v>5</v>
      </c>
      <c r="AB1336">
        <v>1</v>
      </c>
      <c r="AC1336" t="s">
        <v>41</v>
      </c>
      <c r="AD1336" t="s">
        <v>42</v>
      </c>
      <c r="AE1336" t="s">
        <v>43</v>
      </c>
      <c r="AF1336" s="3">
        <v>1591</v>
      </c>
      <c r="AG1336" s="3">
        <v>59</v>
      </c>
      <c r="AH1336">
        <v>80</v>
      </c>
      <c r="AI1336">
        <v>0</v>
      </c>
      <c r="AJ1336">
        <v>0</v>
      </c>
      <c r="AL1336">
        <v>0</v>
      </c>
      <c r="AM1336">
        <v>1</v>
      </c>
      <c r="AN1336" t="s">
        <v>768</v>
      </c>
      <c r="AO1336" t="s">
        <v>41</v>
      </c>
    </row>
    <row r="1337" spans="1:41" x14ac:dyDescent="0.25">
      <c r="A1337">
        <v>36</v>
      </c>
      <c r="B1337" t="s">
        <v>32</v>
      </c>
      <c r="C1337" t="s">
        <v>33</v>
      </c>
      <c r="D1337">
        <v>14</v>
      </c>
      <c r="E1337" t="s">
        <v>34</v>
      </c>
      <c r="F1337">
        <v>3</v>
      </c>
      <c r="G1337">
        <v>2</v>
      </c>
      <c r="H1337" t="s">
        <v>89</v>
      </c>
      <c r="I1337">
        <v>4</v>
      </c>
      <c r="J1337" t="s">
        <v>51</v>
      </c>
      <c r="K1337">
        <v>6586</v>
      </c>
      <c r="L1337">
        <v>0</v>
      </c>
      <c r="M1337" t="s">
        <v>31</v>
      </c>
      <c r="N1337">
        <v>17</v>
      </c>
      <c r="O1337">
        <v>3</v>
      </c>
      <c r="P1337">
        <v>1</v>
      </c>
      <c r="Q1337">
        <v>17</v>
      </c>
      <c r="R1337">
        <v>2</v>
      </c>
      <c r="S1337">
        <v>16</v>
      </c>
      <c r="T1337">
        <v>4</v>
      </c>
      <c r="U1337">
        <v>11</v>
      </c>
      <c r="V1337" t="s">
        <v>52</v>
      </c>
      <c r="W1337" s="2">
        <v>38661</v>
      </c>
      <c r="Y1337" t="s">
        <v>63</v>
      </c>
      <c r="Z1337" t="s">
        <v>40</v>
      </c>
      <c r="AA1337">
        <v>5</v>
      </c>
      <c r="AB1337">
        <v>2</v>
      </c>
      <c r="AC1337" t="s">
        <v>31</v>
      </c>
      <c r="AD1337" t="s">
        <v>42</v>
      </c>
      <c r="AE1337" t="s">
        <v>43</v>
      </c>
      <c r="AF1337" s="3">
        <v>1706</v>
      </c>
      <c r="AG1337" s="3">
        <v>73</v>
      </c>
      <c r="AH1337">
        <v>80</v>
      </c>
      <c r="AI1337">
        <v>9</v>
      </c>
      <c r="AJ1337">
        <v>0</v>
      </c>
      <c r="AL1337">
        <v>0</v>
      </c>
      <c r="AM1337">
        <v>1</v>
      </c>
      <c r="AN1337" t="s">
        <v>768</v>
      </c>
      <c r="AO1337" t="s">
        <v>41</v>
      </c>
    </row>
    <row r="1338" spans="1:41" x14ac:dyDescent="0.25">
      <c r="A1338">
        <v>36</v>
      </c>
      <c r="B1338" t="s">
        <v>32</v>
      </c>
      <c r="C1338" t="s">
        <v>55</v>
      </c>
      <c r="D1338">
        <v>3</v>
      </c>
      <c r="E1338" t="s">
        <v>34</v>
      </c>
      <c r="F1338">
        <v>2</v>
      </c>
      <c r="G1338">
        <v>3</v>
      </c>
      <c r="H1338" t="s">
        <v>70</v>
      </c>
      <c r="I1338">
        <v>4</v>
      </c>
      <c r="J1338" t="s">
        <v>51</v>
      </c>
      <c r="K1338">
        <v>10325</v>
      </c>
      <c r="L1338">
        <v>1</v>
      </c>
      <c r="M1338" t="s">
        <v>31</v>
      </c>
      <c r="N1338">
        <v>11</v>
      </c>
      <c r="O1338">
        <v>3</v>
      </c>
      <c r="P1338">
        <v>1</v>
      </c>
      <c r="Q1338">
        <v>16</v>
      </c>
      <c r="R1338">
        <v>6</v>
      </c>
      <c r="S1338">
        <v>16</v>
      </c>
      <c r="T1338">
        <v>3</v>
      </c>
      <c r="U1338">
        <v>7</v>
      </c>
      <c r="V1338" t="s">
        <v>52</v>
      </c>
      <c r="W1338" s="1" t="s">
        <v>673</v>
      </c>
      <c r="Y1338" t="s">
        <v>63</v>
      </c>
      <c r="Z1338" t="s">
        <v>47</v>
      </c>
      <c r="AA1338">
        <v>0</v>
      </c>
      <c r="AB1338">
        <v>0</v>
      </c>
      <c r="AC1338" t="s">
        <v>41</v>
      </c>
      <c r="AD1338" t="s">
        <v>65</v>
      </c>
      <c r="AE1338" t="s">
        <v>43</v>
      </c>
      <c r="AF1338" s="3">
        <v>1882</v>
      </c>
      <c r="AG1338" s="3">
        <v>64</v>
      </c>
      <c r="AH1338">
        <v>80</v>
      </c>
      <c r="AI1338">
        <v>3</v>
      </c>
      <c r="AJ1338">
        <v>0</v>
      </c>
      <c r="AL1338">
        <v>0</v>
      </c>
      <c r="AM1338">
        <v>1</v>
      </c>
      <c r="AN1338" t="s">
        <v>768</v>
      </c>
      <c r="AO1338" t="s">
        <v>41</v>
      </c>
    </row>
    <row r="1339" spans="1:41" x14ac:dyDescent="0.25">
      <c r="A1339">
        <v>35</v>
      </c>
      <c r="B1339" t="s">
        <v>32</v>
      </c>
      <c r="C1339" t="s">
        <v>33</v>
      </c>
      <c r="D1339">
        <v>25</v>
      </c>
      <c r="E1339" t="s">
        <v>61</v>
      </c>
      <c r="F1339">
        <v>3</v>
      </c>
      <c r="G1339">
        <v>3</v>
      </c>
      <c r="H1339" t="s">
        <v>89</v>
      </c>
      <c r="I1339">
        <v>3</v>
      </c>
      <c r="J1339" t="s">
        <v>57</v>
      </c>
      <c r="K1339">
        <v>10388</v>
      </c>
      <c r="L1339">
        <v>1</v>
      </c>
      <c r="M1339" t="s">
        <v>31</v>
      </c>
      <c r="N1339">
        <v>11</v>
      </c>
      <c r="O1339">
        <v>3</v>
      </c>
      <c r="P1339">
        <v>1</v>
      </c>
      <c r="Q1339">
        <v>16</v>
      </c>
      <c r="R1339">
        <v>3</v>
      </c>
      <c r="S1339">
        <v>16</v>
      </c>
      <c r="T1339">
        <v>10</v>
      </c>
      <c r="U1339">
        <v>1</v>
      </c>
      <c r="V1339" t="s">
        <v>52</v>
      </c>
      <c r="W1339" s="1" t="s">
        <v>674</v>
      </c>
      <c r="Y1339" t="s">
        <v>39</v>
      </c>
      <c r="Z1339" t="s">
        <v>47</v>
      </c>
      <c r="AA1339">
        <v>0</v>
      </c>
      <c r="AB1339">
        <v>3</v>
      </c>
      <c r="AC1339" t="s">
        <v>31</v>
      </c>
      <c r="AD1339" t="s">
        <v>67</v>
      </c>
      <c r="AE1339" t="s">
        <v>49</v>
      </c>
      <c r="AF1339" s="3">
        <v>2021</v>
      </c>
      <c r="AG1339" s="3">
        <v>58</v>
      </c>
      <c r="AH1339">
        <v>80</v>
      </c>
      <c r="AI1339">
        <v>2</v>
      </c>
      <c r="AJ1339">
        <v>0</v>
      </c>
      <c r="AL1339">
        <v>0</v>
      </c>
      <c r="AM1339">
        <v>1</v>
      </c>
      <c r="AN1339" t="s">
        <v>768</v>
      </c>
      <c r="AO1339" t="s">
        <v>41</v>
      </c>
    </row>
    <row r="1340" spans="1:41" x14ac:dyDescent="0.25">
      <c r="A1340">
        <v>46</v>
      </c>
      <c r="B1340" t="s">
        <v>32</v>
      </c>
      <c r="C1340" t="s">
        <v>33</v>
      </c>
      <c r="D1340">
        <v>8</v>
      </c>
      <c r="E1340" t="s">
        <v>61</v>
      </c>
      <c r="F1340">
        <v>2</v>
      </c>
      <c r="G1340">
        <v>2</v>
      </c>
      <c r="H1340" t="s">
        <v>44</v>
      </c>
      <c r="I1340">
        <v>1</v>
      </c>
      <c r="J1340" t="s">
        <v>57</v>
      </c>
      <c r="K1340">
        <v>4615</v>
      </c>
      <c r="L1340">
        <v>8</v>
      </c>
      <c r="M1340" t="s">
        <v>31</v>
      </c>
      <c r="N1340">
        <v>23</v>
      </c>
      <c r="O1340">
        <v>4</v>
      </c>
      <c r="P1340">
        <v>3</v>
      </c>
      <c r="Q1340">
        <v>19</v>
      </c>
      <c r="R1340">
        <v>2</v>
      </c>
      <c r="S1340">
        <v>16</v>
      </c>
      <c r="T1340">
        <v>1</v>
      </c>
      <c r="U1340">
        <v>7</v>
      </c>
      <c r="V1340" t="s">
        <v>72</v>
      </c>
      <c r="W1340" s="1" t="s">
        <v>675</v>
      </c>
      <c r="Y1340" t="s">
        <v>69</v>
      </c>
      <c r="Z1340" t="s">
        <v>47</v>
      </c>
      <c r="AA1340">
        <v>5</v>
      </c>
      <c r="AB1340">
        <v>0</v>
      </c>
      <c r="AC1340" t="s">
        <v>31</v>
      </c>
      <c r="AD1340" t="s">
        <v>67</v>
      </c>
      <c r="AE1340" t="s">
        <v>43</v>
      </c>
      <c r="AF1340" s="3">
        <v>1678</v>
      </c>
      <c r="AG1340" s="3">
        <v>80</v>
      </c>
      <c r="AH1340">
        <v>80</v>
      </c>
      <c r="AI1340">
        <v>0</v>
      </c>
      <c r="AJ1340">
        <v>0</v>
      </c>
      <c r="AL1340">
        <v>0</v>
      </c>
      <c r="AM1340">
        <v>1</v>
      </c>
      <c r="AN1340" t="s">
        <v>768</v>
      </c>
      <c r="AO1340" t="s">
        <v>41</v>
      </c>
    </row>
    <row r="1341" spans="1:41" x14ac:dyDescent="0.25">
      <c r="A1341">
        <v>36</v>
      </c>
      <c r="B1341" t="s">
        <v>32</v>
      </c>
      <c r="C1341" t="s">
        <v>33</v>
      </c>
      <c r="D1341">
        <v>2</v>
      </c>
      <c r="E1341" t="s">
        <v>61</v>
      </c>
      <c r="F1341">
        <v>3</v>
      </c>
      <c r="G1341">
        <v>2</v>
      </c>
      <c r="H1341" t="s">
        <v>78</v>
      </c>
      <c r="I1341">
        <v>2</v>
      </c>
      <c r="J1341" t="s">
        <v>36</v>
      </c>
      <c r="K1341">
        <v>5410</v>
      </c>
      <c r="L1341">
        <v>9</v>
      </c>
      <c r="M1341" t="s">
        <v>31</v>
      </c>
      <c r="N1341">
        <v>11</v>
      </c>
      <c r="O1341">
        <v>3</v>
      </c>
      <c r="P1341">
        <v>0</v>
      </c>
      <c r="Q1341">
        <v>18</v>
      </c>
      <c r="R1341">
        <v>2</v>
      </c>
      <c r="S1341">
        <v>16</v>
      </c>
      <c r="T1341">
        <v>5</v>
      </c>
      <c r="U1341">
        <v>12</v>
      </c>
      <c r="V1341" t="s">
        <v>72</v>
      </c>
      <c r="W1341" s="1" t="s">
        <v>676</v>
      </c>
      <c r="Y1341" t="s">
        <v>39</v>
      </c>
      <c r="Z1341" t="s">
        <v>40</v>
      </c>
      <c r="AA1341">
        <v>4</v>
      </c>
      <c r="AB1341">
        <v>2</v>
      </c>
      <c r="AC1341" t="s">
        <v>31</v>
      </c>
      <c r="AD1341" t="s">
        <v>67</v>
      </c>
      <c r="AE1341" t="s">
        <v>60</v>
      </c>
      <c r="AF1341" s="3">
        <v>1979</v>
      </c>
      <c r="AG1341" s="3">
        <v>40</v>
      </c>
      <c r="AH1341">
        <v>80</v>
      </c>
      <c r="AI1341">
        <v>7</v>
      </c>
      <c r="AJ1341">
        <v>0</v>
      </c>
      <c r="AL1341">
        <v>0</v>
      </c>
      <c r="AM1341">
        <v>1</v>
      </c>
      <c r="AN1341" t="s">
        <v>768</v>
      </c>
      <c r="AO1341" t="s">
        <v>41</v>
      </c>
    </row>
    <row r="1342" spans="1:41" x14ac:dyDescent="0.25">
      <c r="A1342">
        <v>35</v>
      </c>
      <c r="B1342" t="s">
        <v>32</v>
      </c>
      <c r="C1342" t="s">
        <v>33</v>
      </c>
      <c r="D1342">
        <v>18</v>
      </c>
      <c r="E1342" t="s">
        <v>34</v>
      </c>
      <c r="F1342">
        <v>4</v>
      </c>
      <c r="G1342">
        <v>2</v>
      </c>
      <c r="H1342" t="s">
        <v>44</v>
      </c>
      <c r="I1342">
        <v>1</v>
      </c>
      <c r="J1342" t="s">
        <v>51</v>
      </c>
      <c r="K1342">
        <v>5208</v>
      </c>
      <c r="L1342">
        <v>1</v>
      </c>
      <c r="M1342" t="s">
        <v>41</v>
      </c>
      <c r="N1342">
        <v>11</v>
      </c>
      <c r="O1342">
        <v>3</v>
      </c>
      <c r="P1342">
        <v>0</v>
      </c>
      <c r="Q1342">
        <v>16</v>
      </c>
      <c r="R1342">
        <v>2</v>
      </c>
      <c r="S1342">
        <v>16</v>
      </c>
      <c r="T1342">
        <v>1</v>
      </c>
      <c r="U1342">
        <v>10</v>
      </c>
      <c r="V1342" t="s">
        <v>52</v>
      </c>
      <c r="W1342" s="1" t="s">
        <v>677</v>
      </c>
      <c r="Y1342" t="s">
        <v>69</v>
      </c>
      <c r="Z1342" t="s">
        <v>40</v>
      </c>
      <c r="AA1342">
        <v>5</v>
      </c>
      <c r="AB1342">
        <v>1</v>
      </c>
      <c r="AC1342" t="s">
        <v>41</v>
      </c>
      <c r="AD1342" t="s">
        <v>42</v>
      </c>
      <c r="AE1342" t="s">
        <v>49</v>
      </c>
      <c r="AF1342" s="3">
        <v>1845</v>
      </c>
      <c r="AG1342" s="3">
        <v>67</v>
      </c>
      <c r="AH1342">
        <v>80</v>
      </c>
      <c r="AI1342">
        <v>7</v>
      </c>
      <c r="AJ1342">
        <v>0</v>
      </c>
      <c r="AL1342">
        <v>0</v>
      </c>
      <c r="AM1342">
        <v>1</v>
      </c>
      <c r="AN1342" t="s">
        <v>768</v>
      </c>
      <c r="AO1342" t="s">
        <v>41</v>
      </c>
    </row>
    <row r="1343" spans="1:41" x14ac:dyDescent="0.25">
      <c r="A1343">
        <v>58</v>
      </c>
      <c r="B1343" t="s">
        <v>81</v>
      </c>
      <c r="C1343" t="s">
        <v>55</v>
      </c>
      <c r="D1343">
        <v>2</v>
      </c>
      <c r="E1343" t="s">
        <v>34</v>
      </c>
      <c r="F1343">
        <v>3</v>
      </c>
      <c r="G1343">
        <v>4</v>
      </c>
      <c r="H1343" t="s">
        <v>75</v>
      </c>
      <c r="I1343">
        <v>2</v>
      </c>
      <c r="J1343" t="s">
        <v>57</v>
      </c>
      <c r="K1343">
        <v>16291</v>
      </c>
      <c r="L1343">
        <v>4</v>
      </c>
      <c r="M1343" t="s">
        <v>41</v>
      </c>
      <c r="N1343">
        <v>22</v>
      </c>
      <c r="O1343">
        <v>4</v>
      </c>
      <c r="P1343">
        <v>1</v>
      </c>
      <c r="Q1343">
        <v>37</v>
      </c>
      <c r="R1343">
        <v>0</v>
      </c>
      <c r="S1343">
        <v>16</v>
      </c>
      <c r="T1343">
        <v>14</v>
      </c>
      <c r="U1343">
        <v>14</v>
      </c>
      <c r="V1343" t="s">
        <v>72</v>
      </c>
      <c r="W1343" s="2">
        <v>38601</v>
      </c>
      <c r="Y1343" t="s">
        <v>46</v>
      </c>
      <c r="Z1343" t="s">
        <v>47</v>
      </c>
      <c r="AA1343">
        <v>4</v>
      </c>
      <c r="AB1343">
        <v>0</v>
      </c>
      <c r="AC1343" t="s">
        <v>41</v>
      </c>
      <c r="AD1343" t="s">
        <v>67</v>
      </c>
      <c r="AE1343" t="s">
        <v>43</v>
      </c>
      <c r="AF1343" s="3">
        <v>1520</v>
      </c>
      <c r="AG1343" s="3">
        <v>87</v>
      </c>
      <c r="AH1343">
        <v>80</v>
      </c>
      <c r="AI1343">
        <v>9</v>
      </c>
      <c r="AJ1343">
        <v>0</v>
      </c>
      <c r="AL1343">
        <v>0</v>
      </c>
      <c r="AM1343">
        <v>1</v>
      </c>
      <c r="AN1343" t="s">
        <v>768</v>
      </c>
      <c r="AO1343" t="s">
        <v>41</v>
      </c>
    </row>
    <row r="1344" spans="1:41" x14ac:dyDescent="0.25">
      <c r="A1344">
        <v>43</v>
      </c>
      <c r="B1344" t="s">
        <v>32</v>
      </c>
      <c r="C1344" t="s">
        <v>33</v>
      </c>
      <c r="D1344">
        <v>6</v>
      </c>
      <c r="E1344" t="s">
        <v>61</v>
      </c>
      <c r="F1344">
        <v>2</v>
      </c>
      <c r="G1344">
        <v>5</v>
      </c>
      <c r="H1344" t="s">
        <v>75</v>
      </c>
      <c r="I1344">
        <v>3</v>
      </c>
      <c r="J1344" t="s">
        <v>51</v>
      </c>
      <c r="K1344">
        <v>19392</v>
      </c>
      <c r="L1344">
        <v>7</v>
      </c>
      <c r="M1344" t="s">
        <v>41</v>
      </c>
      <c r="N1344">
        <v>13</v>
      </c>
      <c r="O1344">
        <v>3</v>
      </c>
      <c r="P1344">
        <v>0</v>
      </c>
      <c r="Q1344">
        <v>21</v>
      </c>
      <c r="R1344">
        <v>2</v>
      </c>
      <c r="S1344">
        <v>16</v>
      </c>
      <c r="T1344">
        <v>6</v>
      </c>
      <c r="U1344">
        <v>14</v>
      </c>
      <c r="V1344" t="s">
        <v>37</v>
      </c>
      <c r="W1344" s="1" t="s">
        <v>678</v>
      </c>
      <c r="Y1344" t="s">
        <v>54</v>
      </c>
      <c r="Z1344" t="s">
        <v>47</v>
      </c>
      <c r="AA1344">
        <v>2</v>
      </c>
      <c r="AB1344">
        <v>1</v>
      </c>
      <c r="AC1344" t="s">
        <v>31</v>
      </c>
      <c r="AD1344" t="s">
        <v>67</v>
      </c>
      <c r="AE1344" t="s">
        <v>49</v>
      </c>
      <c r="AF1344" s="3">
        <v>1675</v>
      </c>
      <c r="AG1344" s="3">
        <v>42</v>
      </c>
      <c r="AH1344">
        <v>80</v>
      </c>
      <c r="AI1344">
        <v>3</v>
      </c>
      <c r="AJ1344">
        <v>0</v>
      </c>
      <c r="AL1344">
        <v>0</v>
      </c>
      <c r="AM1344">
        <v>1</v>
      </c>
      <c r="AN1344" t="s">
        <v>768</v>
      </c>
      <c r="AO1344" t="s">
        <v>41</v>
      </c>
    </row>
    <row r="1345" spans="1:41" x14ac:dyDescent="0.25">
      <c r="A1345">
        <v>37</v>
      </c>
      <c r="B1345" t="s">
        <v>32</v>
      </c>
      <c r="C1345" t="s">
        <v>33</v>
      </c>
      <c r="D1345">
        <v>10</v>
      </c>
      <c r="E1345" t="s">
        <v>61</v>
      </c>
      <c r="F1345">
        <v>4</v>
      </c>
      <c r="G1345">
        <v>3</v>
      </c>
      <c r="H1345" t="s">
        <v>50</v>
      </c>
      <c r="I1345">
        <v>4</v>
      </c>
      <c r="J1345" t="s">
        <v>51</v>
      </c>
      <c r="K1345">
        <v>13744</v>
      </c>
      <c r="L1345">
        <v>1</v>
      </c>
      <c r="M1345" t="s">
        <v>31</v>
      </c>
      <c r="N1345">
        <v>25</v>
      </c>
      <c r="O1345">
        <v>4</v>
      </c>
      <c r="P1345">
        <v>1</v>
      </c>
      <c r="Q1345">
        <v>16</v>
      </c>
      <c r="R1345">
        <v>2</v>
      </c>
      <c r="S1345">
        <v>16</v>
      </c>
      <c r="T1345">
        <v>6</v>
      </c>
      <c r="U1345">
        <v>8</v>
      </c>
      <c r="V1345" t="s">
        <v>52</v>
      </c>
      <c r="W1345" s="1" t="s">
        <v>679</v>
      </c>
      <c r="Y1345" t="s">
        <v>54</v>
      </c>
      <c r="Z1345" t="s">
        <v>47</v>
      </c>
      <c r="AA1345">
        <v>5</v>
      </c>
      <c r="AB1345">
        <v>2</v>
      </c>
      <c r="AC1345" t="s">
        <v>41</v>
      </c>
      <c r="AD1345" t="s">
        <v>67</v>
      </c>
      <c r="AE1345" t="s">
        <v>60</v>
      </c>
      <c r="AF1345" s="3">
        <v>1736</v>
      </c>
      <c r="AG1345" s="3">
        <v>30</v>
      </c>
      <c r="AH1345">
        <v>80</v>
      </c>
      <c r="AI1345">
        <v>4</v>
      </c>
      <c r="AJ1345">
        <v>0</v>
      </c>
      <c r="AL1345">
        <v>0</v>
      </c>
      <c r="AM1345">
        <v>1</v>
      </c>
      <c r="AN1345" t="s">
        <v>768</v>
      </c>
      <c r="AO1345" t="s">
        <v>41</v>
      </c>
    </row>
    <row r="1346" spans="1:41" x14ac:dyDescent="0.25">
      <c r="A1346">
        <v>36</v>
      </c>
      <c r="B1346" t="s">
        <v>32</v>
      </c>
      <c r="C1346" t="s">
        <v>33</v>
      </c>
      <c r="D1346">
        <v>8</v>
      </c>
      <c r="E1346" t="s">
        <v>61</v>
      </c>
      <c r="F1346">
        <v>3</v>
      </c>
      <c r="G1346">
        <v>3</v>
      </c>
      <c r="H1346" t="s">
        <v>89</v>
      </c>
      <c r="I1346">
        <v>3</v>
      </c>
      <c r="J1346" t="s">
        <v>57</v>
      </c>
      <c r="K1346">
        <v>10096</v>
      </c>
      <c r="L1346">
        <v>1</v>
      </c>
      <c r="M1346" t="s">
        <v>41</v>
      </c>
      <c r="N1346">
        <v>13</v>
      </c>
      <c r="O1346">
        <v>3</v>
      </c>
      <c r="P1346">
        <v>3</v>
      </c>
      <c r="Q1346">
        <v>17</v>
      </c>
      <c r="R1346">
        <v>2</v>
      </c>
      <c r="S1346">
        <v>17</v>
      </c>
      <c r="T1346">
        <v>12</v>
      </c>
      <c r="U1346">
        <v>8</v>
      </c>
      <c r="V1346" t="s">
        <v>58</v>
      </c>
      <c r="W1346" s="2">
        <v>38201</v>
      </c>
      <c r="Y1346" t="s">
        <v>39</v>
      </c>
      <c r="Z1346" t="s">
        <v>47</v>
      </c>
      <c r="AA1346">
        <v>4</v>
      </c>
      <c r="AB1346">
        <v>1</v>
      </c>
      <c r="AC1346" t="s">
        <v>31</v>
      </c>
      <c r="AD1346" t="s">
        <v>65</v>
      </c>
      <c r="AE1346" t="s">
        <v>43</v>
      </c>
      <c r="AF1346" s="3">
        <v>1744</v>
      </c>
      <c r="AG1346" s="3">
        <v>56</v>
      </c>
      <c r="AH1346">
        <v>80</v>
      </c>
      <c r="AI1346">
        <v>0</v>
      </c>
      <c r="AJ1346">
        <v>0</v>
      </c>
      <c r="AL1346">
        <v>0</v>
      </c>
      <c r="AM1346">
        <v>1</v>
      </c>
      <c r="AN1346" t="s">
        <v>768</v>
      </c>
      <c r="AO1346" t="s">
        <v>41</v>
      </c>
    </row>
    <row r="1347" spans="1:41" x14ac:dyDescent="0.25">
      <c r="A1347">
        <v>45</v>
      </c>
      <c r="B1347" t="s">
        <v>32</v>
      </c>
      <c r="C1347" t="s">
        <v>33</v>
      </c>
      <c r="D1347">
        <v>9</v>
      </c>
      <c r="E1347" t="s">
        <v>34</v>
      </c>
      <c r="F1347">
        <v>3</v>
      </c>
      <c r="G1347">
        <v>2</v>
      </c>
      <c r="H1347" t="s">
        <v>35</v>
      </c>
      <c r="I1347">
        <v>2</v>
      </c>
      <c r="J1347" t="s">
        <v>57</v>
      </c>
      <c r="K1347">
        <v>2348</v>
      </c>
      <c r="L1347">
        <v>8</v>
      </c>
      <c r="M1347" t="s">
        <v>41</v>
      </c>
      <c r="N1347">
        <v>18</v>
      </c>
      <c r="O1347">
        <v>3</v>
      </c>
      <c r="P1347">
        <v>1</v>
      </c>
      <c r="Q1347">
        <v>20</v>
      </c>
      <c r="R1347">
        <v>2</v>
      </c>
      <c r="S1347">
        <v>17</v>
      </c>
      <c r="T1347">
        <v>0</v>
      </c>
      <c r="U1347">
        <v>15</v>
      </c>
      <c r="V1347" t="s">
        <v>52</v>
      </c>
      <c r="W1347" s="1" t="s">
        <v>680</v>
      </c>
      <c r="Y1347" t="s">
        <v>63</v>
      </c>
      <c r="Z1347" t="s">
        <v>47</v>
      </c>
      <c r="AA1347">
        <v>4</v>
      </c>
      <c r="AB1347">
        <v>3</v>
      </c>
      <c r="AC1347" t="s">
        <v>41</v>
      </c>
      <c r="AD1347" t="s">
        <v>42</v>
      </c>
      <c r="AE1347" t="s">
        <v>49</v>
      </c>
      <c r="AF1347" s="3">
        <v>1622</v>
      </c>
      <c r="AG1347" s="3">
        <v>39</v>
      </c>
      <c r="AH1347">
        <v>80</v>
      </c>
      <c r="AI1347">
        <v>3</v>
      </c>
      <c r="AJ1347">
        <v>0</v>
      </c>
      <c r="AL1347">
        <v>0</v>
      </c>
      <c r="AM1347">
        <v>1</v>
      </c>
      <c r="AN1347" t="s">
        <v>768</v>
      </c>
      <c r="AO1347" t="s">
        <v>41</v>
      </c>
    </row>
    <row r="1348" spans="1:41" x14ac:dyDescent="0.25">
      <c r="A1348">
        <v>43</v>
      </c>
      <c r="B1348" t="s">
        <v>32</v>
      </c>
      <c r="C1348" t="s">
        <v>55</v>
      </c>
      <c r="D1348">
        <v>16</v>
      </c>
      <c r="E1348" t="s">
        <v>61</v>
      </c>
      <c r="F1348">
        <v>3</v>
      </c>
      <c r="G1348">
        <v>4</v>
      </c>
      <c r="H1348" t="s">
        <v>75</v>
      </c>
      <c r="I1348">
        <v>4</v>
      </c>
      <c r="J1348" t="s">
        <v>51</v>
      </c>
      <c r="K1348">
        <v>16064</v>
      </c>
      <c r="L1348">
        <v>5</v>
      </c>
      <c r="M1348" t="s">
        <v>31</v>
      </c>
      <c r="N1348">
        <v>22</v>
      </c>
      <c r="O1348">
        <v>4</v>
      </c>
      <c r="P1348">
        <v>1</v>
      </c>
      <c r="Q1348">
        <v>22</v>
      </c>
      <c r="R1348">
        <v>3</v>
      </c>
      <c r="S1348">
        <v>17</v>
      </c>
      <c r="T1348">
        <v>1</v>
      </c>
      <c r="U1348">
        <v>9</v>
      </c>
      <c r="V1348" t="s">
        <v>52</v>
      </c>
      <c r="W1348" s="2">
        <v>38295</v>
      </c>
      <c r="Y1348" t="s">
        <v>54</v>
      </c>
      <c r="Z1348" t="s">
        <v>40</v>
      </c>
      <c r="AA1348">
        <v>1</v>
      </c>
      <c r="AB1348">
        <v>0</v>
      </c>
      <c r="AC1348" t="s">
        <v>41</v>
      </c>
      <c r="AD1348" t="s">
        <v>42</v>
      </c>
      <c r="AE1348" t="s">
        <v>43</v>
      </c>
      <c r="AF1348" s="3">
        <v>1581</v>
      </c>
      <c r="AG1348" s="3">
        <v>89</v>
      </c>
      <c r="AH1348">
        <v>80</v>
      </c>
      <c r="AI1348">
        <v>0</v>
      </c>
      <c r="AJ1348">
        <v>0</v>
      </c>
      <c r="AL1348">
        <v>0</v>
      </c>
      <c r="AM1348">
        <v>1</v>
      </c>
      <c r="AN1348" t="s">
        <v>768</v>
      </c>
      <c r="AO1348" t="s">
        <v>41</v>
      </c>
    </row>
    <row r="1349" spans="1:41" x14ac:dyDescent="0.25">
      <c r="A1349">
        <v>37</v>
      </c>
      <c r="B1349" t="s">
        <v>32</v>
      </c>
      <c r="C1349" t="s">
        <v>33</v>
      </c>
      <c r="D1349">
        <v>1</v>
      </c>
      <c r="E1349" t="s">
        <v>61</v>
      </c>
      <c r="F1349">
        <v>3</v>
      </c>
      <c r="G1349">
        <v>1</v>
      </c>
      <c r="H1349" t="s">
        <v>44</v>
      </c>
      <c r="I1349">
        <v>4</v>
      </c>
      <c r="J1349" t="s">
        <v>36</v>
      </c>
      <c r="K1349">
        <v>2115</v>
      </c>
      <c r="L1349">
        <v>1</v>
      </c>
      <c r="M1349" t="s">
        <v>41</v>
      </c>
      <c r="N1349">
        <v>12</v>
      </c>
      <c r="O1349">
        <v>3</v>
      </c>
      <c r="P1349">
        <v>0</v>
      </c>
      <c r="Q1349">
        <v>17</v>
      </c>
      <c r="R1349">
        <v>3</v>
      </c>
      <c r="S1349">
        <v>17</v>
      </c>
      <c r="T1349">
        <v>5</v>
      </c>
      <c r="U1349">
        <v>7</v>
      </c>
      <c r="V1349" t="s">
        <v>52</v>
      </c>
      <c r="W1349" s="1" t="s">
        <v>681</v>
      </c>
      <c r="Y1349" t="s">
        <v>39</v>
      </c>
      <c r="Z1349" t="s">
        <v>40</v>
      </c>
      <c r="AA1349">
        <v>3</v>
      </c>
      <c r="AB1349">
        <v>0</v>
      </c>
      <c r="AC1349" t="s">
        <v>41</v>
      </c>
      <c r="AD1349" t="s">
        <v>67</v>
      </c>
      <c r="AE1349" t="s">
        <v>60</v>
      </c>
      <c r="AF1349" s="3">
        <v>2034</v>
      </c>
      <c r="AG1349" s="3">
        <v>60</v>
      </c>
      <c r="AH1349">
        <v>80</v>
      </c>
      <c r="AI1349">
        <v>7</v>
      </c>
      <c r="AJ1349">
        <v>0</v>
      </c>
      <c r="AL1349">
        <v>0</v>
      </c>
      <c r="AM1349">
        <v>1</v>
      </c>
      <c r="AN1349" t="s">
        <v>768</v>
      </c>
      <c r="AO1349" t="s">
        <v>41</v>
      </c>
    </row>
    <row r="1350" spans="1:41" x14ac:dyDescent="0.25">
      <c r="A1350">
        <v>35</v>
      </c>
      <c r="B1350" t="s">
        <v>32</v>
      </c>
      <c r="C1350" t="s">
        <v>33</v>
      </c>
      <c r="D1350">
        <v>6</v>
      </c>
      <c r="E1350" t="s">
        <v>34</v>
      </c>
      <c r="F1350">
        <v>1</v>
      </c>
      <c r="G1350">
        <v>2</v>
      </c>
      <c r="H1350" t="s">
        <v>44</v>
      </c>
      <c r="I1350">
        <v>4</v>
      </c>
      <c r="J1350" t="s">
        <v>36</v>
      </c>
      <c r="K1350">
        <v>6646</v>
      </c>
      <c r="L1350">
        <v>1</v>
      </c>
      <c r="M1350" t="s">
        <v>41</v>
      </c>
      <c r="N1350">
        <v>13</v>
      </c>
      <c r="O1350">
        <v>3</v>
      </c>
      <c r="P1350">
        <v>0</v>
      </c>
      <c r="Q1350">
        <v>17</v>
      </c>
      <c r="R1350">
        <v>3</v>
      </c>
      <c r="S1350">
        <v>17</v>
      </c>
      <c r="T1350">
        <v>11</v>
      </c>
      <c r="U1350">
        <v>8</v>
      </c>
      <c r="V1350" t="s">
        <v>52</v>
      </c>
      <c r="W1350" s="1" t="s">
        <v>682</v>
      </c>
      <c r="Y1350" t="s">
        <v>69</v>
      </c>
      <c r="Z1350" t="s">
        <v>47</v>
      </c>
      <c r="AA1350">
        <v>0</v>
      </c>
      <c r="AB1350">
        <v>1</v>
      </c>
      <c r="AC1350" t="s">
        <v>31</v>
      </c>
      <c r="AD1350" t="s">
        <v>65</v>
      </c>
      <c r="AE1350" t="s">
        <v>43</v>
      </c>
      <c r="AF1350" s="3">
        <v>1441</v>
      </c>
      <c r="AG1350" s="3">
        <v>90</v>
      </c>
      <c r="AH1350">
        <v>80</v>
      </c>
      <c r="AI1350">
        <v>2</v>
      </c>
      <c r="AJ1350">
        <v>0</v>
      </c>
      <c r="AL1350">
        <v>0</v>
      </c>
      <c r="AM1350">
        <v>1</v>
      </c>
      <c r="AN1350" t="s">
        <v>768</v>
      </c>
      <c r="AO1350" t="s">
        <v>41</v>
      </c>
    </row>
    <row r="1351" spans="1:41" x14ac:dyDescent="0.25">
      <c r="A1351">
        <v>35</v>
      </c>
      <c r="B1351" t="s">
        <v>32</v>
      </c>
      <c r="C1351" t="s">
        <v>33</v>
      </c>
      <c r="D1351">
        <v>9</v>
      </c>
      <c r="E1351" t="s">
        <v>61</v>
      </c>
      <c r="F1351">
        <v>2</v>
      </c>
      <c r="G1351">
        <v>3</v>
      </c>
      <c r="H1351" t="s">
        <v>78</v>
      </c>
      <c r="I1351">
        <v>3</v>
      </c>
      <c r="J1351" t="s">
        <v>51</v>
      </c>
      <c r="K1351">
        <v>10685</v>
      </c>
      <c r="L1351">
        <v>1</v>
      </c>
      <c r="M1351" t="s">
        <v>31</v>
      </c>
      <c r="N1351">
        <v>20</v>
      </c>
      <c r="O1351">
        <v>4</v>
      </c>
      <c r="P1351">
        <v>1</v>
      </c>
      <c r="Q1351">
        <v>17</v>
      </c>
      <c r="R1351">
        <v>2</v>
      </c>
      <c r="S1351">
        <v>17</v>
      </c>
      <c r="T1351">
        <v>5</v>
      </c>
      <c r="U1351">
        <v>15</v>
      </c>
      <c r="V1351" t="s">
        <v>58</v>
      </c>
      <c r="W1351" s="2">
        <v>38326</v>
      </c>
      <c r="Y1351" t="s">
        <v>69</v>
      </c>
      <c r="Z1351" t="s">
        <v>40</v>
      </c>
      <c r="AA1351">
        <v>5</v>
      </c>
      <c r="AB1351">
        <v>1</v>
      </c>
      <c r="AC1351" t="s">
        <v>41</v>
      </c>
      <c r="AD1351" t="s">
        <v>42</v>
      </c>
      <c r="AE1351" t="s">
        <v>49</v>
      </c>
      <c r="AF1351" s="3">
        <v>1665</v>
      </c>
      <c r="AG1351" s="3">
        <v>91</v>
      </c>
      <c r="AH1351">
        <v>80</v>
      </c>
      <c r="AI1351">
        <v>8</v>
      </c>
      <c r="AJ1351">
        <v>0</v>
      </c>
      <c r="AL1351">
        <v>0</v>
      </c>
      <c r="AM1351">
        <v>1</v>
      </c>
      <c r="AN1351" t="s">
        <v>768</v>
      </c>
      <c r="AO1351" t="s">
        <v>41</v>
      </c>
    </row>
    <row r="1352" spans="1:41" x14ac:dyDescent="0.25">
      <c r="A1352">
        <v>53</v>
      </c>
      <c r="B1352" t="s">
        <v>32</v>
      </c>
      <c r="C1352" t="s">
        <v>55</v>
      </c>
      <c r="D1352">
        <v>2</v>
      </c>
      <c r="E1352" t="s">
        <v>34</v>
      </c>
      <c r="F1352">
        <v>3</v>
      </c>
      <c r="G1352">
        <v>4</v>
      </c>
      <c r="H1352" t="s">
        <v>75</v>
      </c>
      <c r="I1352">
        <v>3</v>
      </c>
      <c r="J1352" t="s">
        <v>57</v>
      </c>
      <c r="K1352">
        <v>14852</v>
      </c>
      <c r="L1352">
        <v>6</v>
      </c>
      <c r="M1352" t="s">
        <v>41</v>
      </c>
      <c r="N1352">
        <v>13</v>
      </c>
      <c r="O1352">
        <v>3</v>
      </c>
      <c r="P1352">
        <v>1</v>
      </c>
      <c r="Q1352">
        <v>22</v>
      </c>
      <c r="R1352">
        <v>3</v>
      </c>
      <c r="S1352">
        <v>17</v>
      </c>
      <c r="T1352">
        <v>15</v>
      </c>
      <c r="U1352">
        <v>2</v>
      </c>
      <c r="V1352" t="s">
        <v>72</v>
      </c>
      <c r="W1352" s="1" t="s">
        <v>683</v>
      </c>
      <c r="Y1352" t="s">
        <v>69</v>
      </c>
      <c r="Z1352" t="s">
        <v>47</v>
      </c>
      <c r="AA1352">
        <v>3</v>
      </c>
      <c r="AB1352">
        <v>3</v>
      </c>
      <c r="AC1352" t="s">
        <v>41</v>
      </c>
      <c r="AD1352" t="s">
        <v>42</v>
      </c>
      <c r="AE1352" t="s">
        <v>43</v>
      </c>
      <c r="AF1352" s="3">
        <v>1509</v>
      </c>
      <c r="AG1352" s="3">
        <v>43</v>
      </c>
      <c r="AH1352">
        <v>80</v>
      </c>
      <c r="AI1352">
        <v>2</v>
      </c>
      <c r="AJ1352">
        <v>0</v>
      </c>
      <c r="AL1352">
        <v>0</v>
      </c>
      <c r="AM1352">
        <v>1</v>
      </c>
      <c r="AN1352" t="s">
        <v>768</v>
      </c>
      <c r="AO1352" t="s">
        <v>41</v>
      </c>
    </row>
    <row r="1353" spans="1:41" x14ac:dyDescent="0.25">
      <c r="A1353">
        <v>36</v>
      </c>
      <c r="B1353" t="s">
        <v>32</v>
      </c>
      <c r="C1353" t="s">
        <v>33</v>
      </c>
      <c r="D1353">
        <v>16</v>
      </c>
      <c r="E1353" t="s">
        <v>61</v>
      </c>
      <c r="F1353">
        <v>4</v>
      </c>
      <c r="G1353">
        <v>1</v>
      </c>
      <c r="H1353" t="s">
        <v>35</v>
      </c>
      <c r="I1353">
        <v>1</v>
      </c>
      <c r="J1353" t="s">
        <v>36</v>
      </c>
      <c r="K1353">
        <v>2743</v>
      </c>
      <c r="L1353">
        <v>1</v>
      </c>
      <c r="M1353" t="s">
        <v>41</v>
      </c>
      <c r="N1353">
        <v>16</v>
      </c>
      <c r="O1353">
        <v>3</v>
      </c>
      <c r="P1353">
        <v>0</v>
      </c>
      <c r="Q1353">
        <v>18</v>
      </c>
      <c r="R1353">
        <v>1</v>
      </c>
      <c r="S1353">
        <v>17</v>
      </c>
      <c r="T1353">
        <v>15</v>
      </c>
      <c r="U1353">
        <v>14</v>
      </c>
      <c r="V1353" t="s">
        <v>52</v>
      </c>
      <c r="W1353" s="1" t="s">
        <v>684</v>
      </c>
      <c r="Y1353" t="s">
        <v>69</v>
      </c>
      <c r="Z1353" t="s">
        <v>47</v>
      </c>
      <c r="AA1353">
        <v>2</v>
      </c>
      <c r="AB1353">
        <v>1</v>
      </c>
      <c r="AC1353" t="s">
        <v>31</v>
      </c>
      <c r="AD1353" t="s">
        <v>48</v>
      </c>
      <c r="AE1353" t="s">
        <v>60</v>
      </c>
      <c r="AF1353" s="3">
        <v>1834</v>
      </c>
      <c r="AG1353" s="3">
        <v>67</v>
      </c>
      <c r="AH1353">
        <v>80</v>
      </c>
      <c r="AI1353">
        <v>2</v>
      </c>
      <c r="AJ1353">
        <v>0</v>
      </c>
      <c r="AL1353">
        <v>0</v>
      </c>
      <c r="AM1353">
        <v>1</v>
      </c>
      <c r="AN1353" t="s">
        <v>768</v>
      </c>
      <c r="AO1353" t="s">
        <v>41</v>
      </c>
    </row>
    <row r="1354" spans="1:41" x14ac:dyDescent="0.25">
      <c r="A1354">
        <v>47</v>
      </c>
      <c r="B1354" t="s">
        <v>32</v>
      </c>
      <c r="C1354" t="s">
        <v>33</v>
      </c>
      <c r="D1354">
        <v>25</v>
      </c>
      <c r="E1354" t="s">
        <v>34</v>
      </c>
      <c r="F1354">
        <v>3</v>
      </c>
      <c r="G1354">
        <v>3</v>
      </c>
      <c r="H1354" t="s">
        <v>89</v>
      </c>
      <c r="I1354">
        <v>3</v>
      </c>
      <c r="J1354" t="s">
        <v>36</v>
      </c>
      <c r="K1354">
        <v>8633</v>
      </c>
      <c r="L1354">
        <v>2</v>
      </c>
      <c r="M1354" t="s">
        <v>41</v>
      </c>
      <c r="N1354">
        <v>23</v>
      </c>
      <c r="O1354">
        <v>4</v>
      </c>
      <c r="P1354">
        <v>0</v>
      </c>
      <c r="Q1354">
        <v>25</v>
      </c>
      <c r="R1354">
        <v>3</v>
      </c>
      <c r="S1354">
        <v>17</v>
      </c>
      <c r="T1354">
        <v>12</v>
      </c>
      <c r="U1354">
        <v>11</v>
      </c>
      <c r="V1354" t="s">
        <v>72</v>
      </c>
      <c r="W1354" s="1" t="s">
        <v>685</v>
      </c>
      <c r="Y1354" t="s">
        <v>39</v>
      </c>
      <c r="Z1354" t="s">
        <v>40</v>
      </c>
      <c r="AA1354">
        <v>0</v>
      </c>
      <c r="AB1354">
        <v>2</v>
      </c>
      <c r="AC1354" t="s">
        <v>31</v>
      </c>
      <c r="AD1354" t="s">
        <v>67</v>
      </c>
      <c r="AE1354" t="s">
        <v>49</v>
      </c>
      <c r="AF1354" s="3">
        <v>1864</v>
      </c>
      <c r="AG1354" s="3">
        <v>36</v>
      </c>
      <c r="AH1354">
        <v>80</v>
      </c>
      <c r="AI1354">
        <v>8</v>
      </c>
      <c r="AJ1354">
        <v>0</v>
      </c>
      <c r="AL1354">
        <v>0</v>
      </c>
      <c r="AM1354">
        <v>1</v>
      </c>
      <c r="AN1354" t="s">
        <v>768</v>
      </c>
      <c r="AO1354" t="s">
        <v>41</v>
      </c>
    </row>
    <row r="1355" spans="1:41" x14ac:dyDescent="0.25">
      <c r="A1355">
        <v>39</v>
      </c>
      <c r="B1355" t="s">
        <v>32</v>
      </c>
      <c r="C1355" t="s">
        <v>33</v>
      </c>
      <c r="D1355">
        <v>1</v>
      </c>
      <c r="E1355" t="s">
        <v>34</v>
      </c>
      <c r="F1355">
        <v>4</v>
      </c>
      <c r="G1355">
        <v>3</v>
      </c>
      <c r="H1355" t="s">
        <v>89</v>
      </c>
      <c r="I1355">
        <v>4</v>
      </c>
      <c r="J1355" t="s">
        <v>57</v>
      </c>
      <c r="K1355">
        <v>9613</v>
      </c>
      <c r="L1355">
        <v>0</v>
      </c>
      <c r="M1355" t="s">
        <v>41</v>
      </c>
      <c r="N1355">
        <v>17</v>
      </c>
      <c r="O1355">
        <v>3</v>
      </c>
      <c r="P1355">
        <v>3</v>
      </c>
      <c r="Q1355">
        <v>19</v>
      </c>
      <c r="R1355">
        <v>5</v>
      </c>
      <c r="S1355">
        <v>18</v>
      </c>
      <c r="T1355">
        <v>3</v>
      </c>
      <c r="U1355">
        <v>7</v>
      </c>
      <c r="V1355" t="s">
        <v>72</v>
      </c>
      <c r="W1355" s="2">
        <v>37658</v>
      </c>
      <c r="Y1355" t="s">
        <v>39</v>
      </c>
      <c r="Z1355" t="s">
        <v>47</v>
      </c>
      <c r="AA1355">
        <v>4</v>
      </c>
      <c r="AB1355">
        <v>3</v>
      </c>
      <c r="AC1355" t="s">
        <v>31</v>
      </c>
      <c r="AD1355" t="s">
        <v>67</v>
      </c>
      <c r="AE1355" t="s">
        <v>43</v>
      </c>
      <c r="AF1355" s="3">
        <v>1909</v>
      </c>
      <c r="AG1355" s="3">
        <v>54</v>
      </c>
      <c r="AH1355">
        <v>80</v>
      </c>
      <c r="AI1355">
        <v>4</v>
      </c>
      <c r="AJ1355">
        <v>0</v>
      </c>
      <c r="AL1355">
        <v>0</v>
      </c>
      <c r="AM1355">
        <v>1</v>
      </c>
      <c r="AN1355" t="s">
        <v>768</v>
      </c>
      <c r="AO1355" t="s">
        <v>41</v>
      </c>
    </row>
    <row r="1356" spans="1:41" x14ac:dyDescent="0.25">
      <c r="A1356">
        <v>37</v>
      </c>
      <c r="B1356" t="s">
        <v>32</v>
      </c>
      <c r="C1356" t="s">
        <v>33</v>
      </c>
      <c r="D1356">
        <v>14</v>
      </c>
      <c r="E1356" t="s">
        <v>61</v>
      </c>
      <c r="F1356">
        <v>3</v>
      </c>
      <c r="G1356">
        <v>1</v>
      </c>
      <c r="H1356" t="s">
        <v>35</v>
      </c>
      <c r="I1356">
        <v>1</v>
      </c>
      <c r="J1356" t="s">
        <v>57</v>
      </c>
      <c r="K1356">
        <v>3034</v>
      </c>
      <c r="L1356">
        <v>1</v>
      </c>
      <c r="M1356" t="s">
        <v>41</v>
      </c>
      <c r="N1356">
        <v>12</v>
      </c>
      <c r="O1356">
        <v>3</v>
      </c>
      <c r="P1356">
        <v>1</v>
      </c>
      <c r="Q1356">
        <v>18</v>
      </c>
      <c r="R1356">
        <v>2</v>
      </c>
      <c r="S1356">
        <v>18</v>
      </c>
      <c r="T1356">
        <v>12</v>
      </c>
      <c r="U1356">
        <v>17</v>
      </c>
      <c r="V1356" t="s">
        <v>37</v>
      </c>
      <c r="W1356" s="2">
        <v>37744</v>
      </c>
      <c r="Y1356" t="s">
        <v>46</v>
      </c>
      <c r="Z1356" t="s">
        <v>40</v>
      </c>
      <c r="AA1356">
        <v>1</v>
      </c>
      <c r="AB1356">
        <v>3</v>
      </c>
      <c r="AC1356" t="s">
        <v>41</v>
      </c>
      <c r="AD1356" t="s">
        <v>42</v>
      </c>
      <c r="AE1356" t="s">
        <v>60</v>
      </c>
      <c r="AF1356" s="3">
        <v>1554</v>
      </c>
      <c r="AG1356" s="3">
        <v>98</v>
      </c>
      <c r="AH1356">
        <v>80</v>
      </c>
      <c r="AI1356">
        <v>3</v>
      </c>
      <c r="AJ1356">
        <v>0</v>
      </c>
      <c r="AL1356">
        <v>0</v>
      </c>
      <c r="AM1356">
        <v>1</v>
      </c>
      <c r="AN1356" t="s">
        <v>768</v>
      </c>
      <c r="AO1356" t="s">
        <v>41</v>
      </c>
    </row>
    <row r="1357" spans="1:41" x14ac:dyDescent="0.25">
      <c r="A1357">
        <v>60</v>
      </c>
      <c r="B1357" t="s">
        <v>66</v>
      </c>
      <c r="C1357" t="s">
        <v>55</v>
      </c>
      <c r="D1357">
        <v>28</v>
      </c>
      <c r="E1357" t="s">
        <v>61</v>
      </c>
      <c r="F1357">
        <v>2</v>
      </c>
      <c r="G1357">
        <v>3</v>
      </c>
      <c r="H1357" t="s">
        <v>70</v>
      </c>
      <c r="I1357">
        <v>1</v>
      </c>
      <c r="J1357" t="s">
        <v>51</v>
      </c>
      <c r="K1357">
        <v>10266</v>
      </c>
      <c r="L1357">
        <v>4</v>
      </c>
      <c r="M1357" t="s">
        <v>41</v>
      </c>
      <c r="N1357">
        <v>19</v>
      </c>
      <c r="O1357">
        <v>3</v>
      </c>
      <c r="P1357">
        <v>0</v>
      </c>
      <c r="Q1357">
        <v>22</v>
      </c>
      <c r="R1357">
        <v>5</v>
      </c>
      <c r="S1357">
        <v>18</v>
      </c>
      <c r="T1357">
        <v>13</v>
      </c>
      <c r="U1357">
        <v>11</v>
      </c>
      <c r="V1357" t="s">
        <v>72</v>
      </c>
      <c r="W1357" s="2">
        <v>37895</v>
      </c>
      <c r="Y1357" t="s">
        <v>63</v>
      </c>
      <c r="Z1357" t="s">
        <v>40</v>
      </c>
      <c r="AA1357">
        <v>3</v>
      </c>
      <c r="AB1357">
        <v>1</v>
      </c>
      <c r="AC1357" t="s">
        <v>41</v>
      </c>
      <c r="AD1357" t="s">
        <v>65</v>
      </c>
      <c r="AE1357" t="s">
        <v>60</v>
      </c>
      <c r="AF1357" s="3">
        <v>2035</v>
      </c>
      <c r="AG1357" s="3">
        <v>95</v>
      </c>
      <c r="AH1357">
        <v>80</v>
      </c>
      <c r="AI1357">
        <v>7</v>
      </c>
      <c r="AJ1357">
        <v>0</v>
      </c>
      <c r="AL1357">
        <v>0</v>
      </c>
      <c r="AM1357">
        <v>1</v>
      </c>
      <c r="AN1357" t="s">
        <v>768</v>
      </c>
      <c r="AO1357" t="s">
        <v>41</v>
      </c>
    </row>
    <row r="1358" spans="1:41" x14ac:dyDescent="0.25">
      <c r="A1358">
        <v>41</v>
      </c>
      <c r="B1358" t="s">
        <v>32</v>
      </c>
      <c r="C1358" t="s">
        <v>55</v>
      </c>
      <c r="D1358">
        <v>2</v>
      </c>
      <c r="E1358" t="s">
        <v>61</v>
      </c>
      <c r="F1358">
        <v>3</v>
      </c>
      <c r="G1358">
        <v>4</v>
      </c>
      <c r="H1358" t="s">
        <v>75</v>
      </c>
      <c r="I1358">
        <v>1</v>
      </c>
      <c r="J1358" t="s">
        <v>51</v>
      </c>
      <c r="K1358">
        <v>16595</v>
      </c>
      <c r="L1358">
        <v>7</v>
      </c>
      <c r="M1358" t="s">
        <v>41</v>
      </c>
      <c r="N1358">
        <v>16</v>
      </c>
      <c r="O1358">
        <v>3</v>
      </c>
      <c r="P1358">
        <v>1</v>
      </c>
      <c r="Q1358">
        <v>22</v>
      </c>
      <c r="R1358">
        <v>2</v>
      </c>
      <c r="S1358">
        <v>18</v>
      </c>
      <c r="T1358">
        <v>11</v>
      </c>
      <c r="U1358">
        <v>8</v>
      </c>
      <c r="V1358" t="s">
        <v>52</v>
      </c>
      <c r="W1358" s="2">
        <v>37957</v>
      </c>
      <c r="Y1358" t="s">
        <v>69</v>
      </c>
      <c r="Z1358" t="s">
        <v>47</v>
      </c>
      <c r="AA1358">
        <v>1</v>
      </c>
      <c r="AB1358">
        <v>3</v>
      </c>
      <c r="AC1358" t="s">
        <v>41</v>
      </c>
      <c r="AD1358" t="s">
        <v>42</v>
      </c>
      <c r="AE1358" t="s">
        <v>43</v>
      </c>
      <c r="AF1358" s="3">
        <v>2026</v>
      </c>
      <c r="AG1358" s="3">
        <v>57</v>
      </c>
      <c r="AH1358">
        <v>80</v>
      </c>
      <c r="AI1358">
        <v>12</v>
      </c>
      <c r="AJ1358">
        <v>0</v>
      </c>
      <c r="AL1358">
        <v>0</v>
      </c>
      <c r="AM1358">
        <v>1</v>
      </c>
      <c r="AN1358" t="s">
        <v>768</v>
      </c>
      <c r="AO1358" t="s">
        <v>41</v>
      </c>
    </row>
    <row r="1359" spans="1:41" x14ac:dyDescent="0.25">
      <c r="A1359">
        <v>40</v>
      </c>
      <c r="B1359" t="s">
        <v>66</v>
      </c>
      <c r="C1359" t="s">
        <v>55</v>
      </c>
      <c r="D1359">
        <v>5</v>
      </c>
      <c r="E1359" t="s">
        <v>34</v>
      </c>
      <c r="F1359">
        <v>2</v>
      </c>
      <c r="G1359">
        <v>3</v>
      </c>
      <c r="H1359" t="s">
        <v>70</v>
      </c>
      <c r="I1359">
        <v>1</v>
      </c>
      <c r="J1359" t="s">
        <v>51</v>
      </c>
      <c r="K1359">
        <v>10475</v>
      </c>
      <c r="L1359">
        <v>5</v>
      </c>
      <c r="M1359" t="s">
        <v>31</v>
      </c>
      <c r="N1359">
        <v>21</v>
      </c>
      <c r="O1359">
        <v>4</v>
      </c>
      <c r="P1359">
        <v>1</v>
      </c>
      <c r="Q1359">
        <v>20</v>
      </c>
      <c r="R1359">
        <v>2</v>
      </c>
      <c r="S1359">
        <v>18</v>
      </c>
      <c r="T1359">
        <v>1</v>
      </c>
      <c r="U1359">
        <v>12</v>
      </c>
      <c r="V1359" t="s">
        <v>37</v>
      </c>
      <c r="W1359" s="1" t="s">
        <v>686</v>
      </c>
      <c r="Y1359" t="s">
        <v>54</v>
      </c>
      <c r="Z1359" t="s">
        <v>40</v>
      </c>
      <c r="AA1359">
        <v>0</v>
      </c>
      <c r="AB1359">
        <v>2</v>
      </c>
      <c r="AC1359" t="s">
        <v>31</v>
      </c>
      <c r="AD1359" t="s">
        <v>67</v>
      </c>
      <c r="AE1359" t="s">
        <v>49</v>
      </c>
      <c r="AF1359" s="3">
        <v>1949</v>
      </c>
      <c r="AG1359" s="3">
        <v>66</v>
      </c>
      <c r="AH1359">
        <v>80</v>
      </c>
      <c r="AI1359">
        <v>4</v>
      </c>
      <c r="AJ1359">
        <v>0</v>
      </c>
      <c r="AL1359">
        <v>0</v>
      </c>
      <c r="AM1359">
        <v>1</v>
      </c>
      <c r="AN1359" t="s">
        <v>768</v>
      </c>
      <c r="AO1359" t="s">
        <v>41</v>
      </c>
    </row>
    <row r="1360" spans="1:41" x14ac:dyDescent="0.25">
      <c r="A1360">
        <v>36</v>
      </c>
      <c r="B1360" t="s">
        <v>32</v>
      </c>
      <c r="C1360" t="s">
        <v>55</v>
      </c>
      <c r="D1360">
        <v>1</v>
      </c>
      <c r="E1360" t="s">
        <v>34</v>
      </c>
      <c r="F1360">
        <v>3</v>
      </c>
      <c r="G1360">
        <v>2</v>
      </c>
      <c r="H1360" t="s">
        <v>70</v>
      </c>
      <c r="I1360">
        <v>4</v>
      </c>
      <c r="J1360" t="s">
        <v>51</v>
      </c>
      <c r="K1360">
        <v>6201</v>
      </c>
      <c r="L1360">
        <v>1</v>
      </c>
      <c r="M1360" t="s">
        <v>31</v>
      </c>
      <c r="N1360">
        <v>14</v>
      </c>
      <c r="O1360">
        <v>3</v>
      </c>
      <c r="P1360">
        <v>1</v>
      </c>
      <c r="Q1360">
        <v>18</v>
      </c>
      <c r="R1360">
        <v>1</v>
      </c>
      <c r="S1360">
        <v>18</v>
      </c>
      <c r="T1360">
        <v>4</v>
      </c>
      <c r="U1360">
        <v>11</v>
      </c>
      <c r="V1360" t="s">
        <v>72</v>
      </c>
      <c r="W1360" s="1" t="s">
        <v>687</v>
      </c>
      <c r="Y1360" t="s">
        <v>54</v>
      </c>
      <c r="Z1360" t="s">
        <v>47</v>
      </c>
      <c r="AA1360">
        <v>2</v>
      </c>
      <c r="AB1360">
        <v>0</v>
      </c>
      <c r="AC1360" t="s">
        <v>41</v>
      </c>
      <c r="AD1360" t="s">
        <v>42</v>
      </c>
      <c r="AE1360" t="s">
        <v>43</v>
      </c>
      <c r="AF1360" s="3">
        <v>1712</v>
      </c>
      <c r="AG1360" s="3">
        <v>74</v>
      </c>
      <c r="AH1360">
        <v>80</v>
      </c>
      <c r="AI1360">
        <v>15</v>
      </c>
      <c r="AJ1360">
        <v>0</v>
      </c>
      <c r="AL1360">
        <v>0</v>
      </c>
      <c r="AM1360">
        <v>1</v>
      </c>
      <c r="AN1360" t="s">
        <v>768</v>
      </c>
      <c r="AO1360" t="s">
        <v>41</v>
      </c>
    </row>
    <row r="1361" spans="1:41" x14ac:dyDescent="0.25">
      <c r="A1361">
        <v>41</v>
      </c>
      <c r="B1361" t="s">
        <v>32</v>
      </c>
      <c r="C1361" t="s">
        <v>33</v>
      </c>
      <c r="D1361">
        <v>6</v>
      </c>
      <c r="E1361" t="s">
        <v>34</v>
      </c>
      <c r="F1361">
        <v>3</v>
      </c>
      <c r="G1361">
        <v>1</v>
      </c>
      <c r="H1361" t="s">
        <v>35</v>
      </c>
      <c r="I1361">
        <v>1</v>
      </c>
      <c r="J1361" t="s">
        <v>36</v>
      </c>
      <c r="K1361">
        <v>4721</v>
      </c>
      <c r="L1361">
        <v>2</v>
      </c>
      <c r="M1361" t="s">
        <v>31</v>
      </c>
      <c r="N1361">
        <v>13</v>
      </c>
      <c r="O1361">
        <v>3</v>
      </c>
      <c r="P1361">
        <v>0</v>
      </c>
      <c r="Q1361">
        <v>20</v>
      </c>
      <c r="R1361">
        <v>3</v>
      </c>
      <c r="S1361">
        <v>18</v>
      </c>
      <c r="T1361">
        <v>2</v>
      </c>
      <c r="U1361">
        <v>17</v>
      </c>
      <c r="V1361" t="s">
        <v>72</v>
      </c>
      <c r="W1361" s="1" t="s">
        <v>688</v>
      </c>
      <c r="Y1361" t="s">
        <v>69</v>
      </c>
      <c r="Z1361" t="s">
        <v>47</v>
      </c>
      <c r="AA1361">
        <v>0</v>
      </c>
      <c r="AB1361">
        <v>0</v>
      </c>
      <c r="AC1361" t="s">
        <v>31</v>
      </c>
      <c r="AD1361" t="s">
        <v>67</v>
      </c>
      <c r="AE1361" t="s">
        <v>43</v>
      </c>
      <c r="AF1361" s="3">
        <v>1854</v>
      </c>
      <c r="AG1361" s="3">
        <v>38</v>
      </c>
      <c r="AH1361">
        <v>80</v>
      </c>
      <c r="AI1361">
        <v>3</v>
      </c>
      <c r="AJ1361">
        <v>0</v>
      </c>
      <c r="AL1361">
        <v>0</v>
      </c>
      <c r="AM1361">
        <v>1</v>
      </c>
      <c r="AN1361" t="s">
        <v>768</v>
      </c>
      <c r="AO1361" t="s">
        <v>41</v>
      </c>
    </row>
    <row r="1362" spans="1:41" x14ac:dyDescent="0.25">
      <c r="A1362">
        <v>41</v>
      </c>
      <c r="B1362" t="s">
        <v>66</v>
      </c>
      <c r="C1362" t="s">
        <v>33</v>
      </c>
      <c r="D1362">
        <v>9</v>
      </c>
      <c r="E1362" t="s">
        <v>34</v>
      </c>
      <c r="F1362">
        <v>3</v>
      </c>
      <c r="G1362">
        <v>5</v>
      </c>
      <c r="H1362" t="s">
        <v>50</v>
      </c>
      <c r="I1362">
        <v>3</v>
      </c>
      <c r="J1362" t="s">
        <v>57</v>
      </c>
      <c r="K1362">
        <v>19419</v>
      </c>
      <c r="L1362">
        <v>2</v>
      </c>
      <c r="M1362" t="s">
        <v>41</v>
      </c>
      <c r="N1362">
        <v>17</v>
      </c>
      <c r="O1362">
        <v>3</v>
      </c>
      <c r="P1362">
        <v>1</v>
      </c>
      <c r="Q1362">
        <v>21</v>
      </c>
      <c r="R1362">
        <v>2</v>
      </c>
      <c r="S1362">
        <v>18</v>
      </c>
      <c r="T1362">
        <v>0</v>
      </c>
      <c r="U1362">
        <v>11</v>
      </c>
      <c r="V1362" t="s">
        <v>58</v>
      </c>
      <c r="W1362" s="1" t="s">
        <v>689</v>
      </c>
      <c r="Y1362" t="s">
        <v>63</v>
      </c>
      <c r="Z1362" t="s">
        <v>47</v>
      </c>
      <c r="AA1362">
        <v>2</v>
      </c>
      <c r="AB1362">
        <v>2</v>
      </c>
      <c r="AC1362" t="s">
        <v>31</v>
      </c>
      <c r="AD1362" t="s">
        <v>67</v>
      </c>
      <c r="AE1362" t="s">
        <v>43</v>
      </c>
      <c r="AF1362" s="3">
        <v>1693</v>
      </c>
      <c r="AG1362" s="3">
        <v>76</v>
      </c>
      <c r="AH1362">
        <v>80</v>
      </c>
      <c r="AI1362">
        <v>7</v>
      </c>
      <c r="AJ1362">
        <v>0</v>
      </c>
      <c r="AL1362">
        <v>0</v>
      </c>
      <c r="AM1362">
        <v>1</v>
      </c>
      <c r="AN1362" t="s">
        <v>768</v>
      </c>
      <c r="AO1362" t="s">
        <v>41</v>
      </c>
    </row>
    <row r="1363" spans="1:41" x14ac:dyDescent="0.25">
      <c r="A1363">
        <v>50</v>
      </c>
      <c r="B1363" t="s">
        <v>81</v>
      </c>
      <c r="C1363" t="s">
        <v>55</v>
      </c>
      <c r="D1363">
        <v>1</v>
      </c>
      <c r="E1363" t="s">
        <v>61</v>
      </c>
      <c r="F1363">
        <v>3</v>
      </c>
      <c r="G1363">
        <v>2</v>
      </c>
      <c r="H1363" t="s">
        <v>70</v>
      </c>
      <c r="I1363">
        <v>3</v>
      </c>
      <c r="J1363" t="s">
        <v>51</v>
      </c>
      <c r="K1363">
        <v>6347</v>
      </c>
      <c r="L1363">
        <v>0</v>
      </c>
      <c r="M1363" t="s">
        <v>41</v>
      </c>
      <c r="N1363">
        <v>12</v>
      </c>
      <c r="O1363">
        <v>3</v>
      </c>
      <c r="P1363">
        <v>1</v>
      </c>
      <c r="Q1363">
        <v>19</v>
      </c>
      <c r="R1363">
        <v>3</v>
      </c>
      <c r="S1363">
        <v>18</v>
      </c>
      <c r="T1363">
        <v>0</v>
      </c>
      <c r="U1363">
        <v>13</v>
      </c>
      <c r="V1363" t="s">
        <v>72</v>
      </c>
      <c r="W1363" s="1" t="s">
        <v>690</v>
      </c>
      <c r="Y1363" t="s">
        <v>63</v>
      </c>
      <c r="Z1363" t="s">
        <v>47</v>
      </c>
      <c r="AA1363">
        <v>2</v>
      </c>
      <c r="AB1363">
        <v>2</v>
      </c>
      <c r="AC1363" t="s">
        <v>41</v>
      </c>
      <c r="AD1363" t="s">
        <v>42</v>
      </c>
      <c r="AE1363" t="s">
        <v>49</v>
      </c>
      <c r="AF1363" s="3">
        <v>1824</v>
      </c>
      <c r="AG1363" s="3">
        <v>52</v>
      </c>
      <c r="AH1363">
        <v>80</v>
      </c>
      <c r="AI1363">
        <v>9</v>
      </c>
      <c r="AJ1363">
        <v>0</v>
      </c>
      <c r="AL1363">
        <v>0</v>
      </c>
      <c r="AM1363">
        <v>1</v>
      </c>
      <c r="AN1363" t="s">
        <v>768</v>
      </c>
      <c r="AO1363" t="s">
        <v>41</v>
      </c>
    </row>
    <row r="1364" spans="1:41" x14ac:dyDescent="0.25">
      <c r="A1364">
        <v>39</v>
      </c>
      <c r="B1364" t="s">
        <v>66</v>
      </c>
      <c r="C1364" t="s">
        <v>33</v>
      </c>
      <c r="D1364">
        <v>2</v>
      </c>
      <c r="E1364" t="s">
        <v>34</v>
      </c>
      <c r="F1364">
        <v>3</v>
      </c>
      <c r="G1364">
        <v>4</v>
      </c>
      <c r="H1364" t="s">
        <v>89</v>
      </c>
      <c r="I1364">
        <v>4</v>
      </c>
      <c r="J1364" t="s">
        <v>57</v>
      </c>
      <c r="K1364">
        <v>12169</v>
      </c>
      <c r="L1364">
        <v>7</v>
      </c>
      <c r="M1364" t="s">
        <v>41</v>
      </c>
      <c r="N1364">
        <v>11</v>
      </c>
      <c r="O1364">
        <v>3</v>
      </c>
      <c r="P1364">
        <v>3</v>
      </c>
      <c r="Q1364">
        <v>21</v>
      </c>
      <c r="R1364">
        <v>4</v>
      </c>
      <c r="S1364">
        <v>18</v>
      </c>
      <c r="T1364">
        <v>11</v>
      </c>
      <c r="U1364">
        <v>5</v>
      </c>
      <c r="V1364" t="s">
        <v>52</v>
      </c>
      <c r="W1364" s="2">
        <v>37930</v>
      </c>
      <c r="Y1364" t="s">
        <v>69</v>
      </c>
      <c r="Z1364" t="s">
        <v>40</v>
      </c>
      <c r="AA1364">
        <v>4</v>
      </c>
      <c r="AB1364">
        <v>1</v>
      </c>
      <c r="AC1364" t="s">
        <v>31</v>
      </c>
      <c r="AD1364" t="s">
        <v>67</v>
      </c>
      <c r="AE1364" t="s">
        <v>43</v>
      </c>
      <c r="AF1364" s="3">
        <v>2036</v>
      </c>
      <c r="AG1364" s="3">
        <v>88</v>
      </c>
      <c r="AH1364">
        <v>80</v>
      </c>
      <c r="AI1364">
        <v>12</v>
      </c>
      <c r="AJ1364">
        <v>0</v>
      </c>
      <c r="AL1364">
        <v>0</v>
      </c>
      <c r="AM1364">
        <v>1</v>
      </c>
      <c r="AN1364" t="s">
        <v>768</v>
      </c>
      <c r="AO1364" t="s">
        <v>41</v>
      </c>
    </row>
    <row r="1365" spans="1:41" x14ac:dyDescent="0.25">
      <c r="A1365">
        <v>40</v>
      </c>
      <c r="B1365" t="s">
        <v>66</v>
      </c>
      <c r="C1365" t="s">
        <v>33</v>
      </c>
      <c r="D1365">
        <v>9</v>
      </c>
      <c r="E1365" t="s">
        <v>61</v>
      </c>
      <c r="F1365">
        <v>3</v>
      </c>
      <c r="G1365">
        <v>3</v>
      </c>
      <c r="H1365" t="s">
        <v>50</v>
      </c>
      <c r="I1365">
        <v>3</v>
      </c>
      <c r="J1365" t="s">
        <v>36</v>
      </c>
      <c r="K1365">
        <v>13499</v>
      </c>
      <c r="L1365">
        <v>9</v>
      </c>
      <c r="M1365" t="s">
        <v>41</v>
      </c>
      <c r="N1365">
        <v>17</v>
      </c>
      <c r="O1365">
        <v>3</v>
      </c>
      <c r="P1365">
        <v>0</v>
      </c>
      <c r="Q1365">
        <v>20</v>
      </c>
      <c r="R1365">
        <v>3</v>
      </c>
      <c r="S1365">
        <v>18</v>
      </c>
      <c r="T1365">
        <v>2</v>
      </c>
      <c r="U1365">
        <v>13</v>
      </c>
      <c r="V1365" t="s">
        <v>37</v>
      </c>
      <c r="W1365" s="1" t="s">
        <v>691</v>
      </c>
      <c r="Y1365" t="s">
        <v>63</v>
      </c>
      <c r="Z1365" t="s">
        <v>47</v>
      </c>
      <c r="AA1365">
        <v>0</v>
      </c>
      <c r="AB1365">
        <v>0</v>
      </c>
      <c r="AC1365" t="s">
        <v>41</v>
      </c>
      <c r="AD1365" t="s">
        <v>65</v>
      </c>
      <c r="AE1365" t="s">
        <v>43</v>
      </c>
      <c r="AF1365" s="3">
        <v>1890</v>
      </c>
      <c r="AG1365" s="3">
        <v>94</v>
      </c>
      <c r="AH1365">
        <v>80</v>
      </c>
      <c r="AI1365">
        <v>1</v>
      </c>
      <c r="AJ1365">
        <v>0</v>
      </c>
      <c r="AL1365">
        <v>0</v>
      </c>
      <c r="AM1365">
        <v>1</v>
      </c>
      <c r="AN1365" t="s">
        <v>768</v>
      </c>
      <c r="AO1365" t="s">
        <v>41</v>
      </c>
    </row>
    <row r="1366" spans="1:41" x14ac:dyDescent="0.25">
      <c r="A1366">
        <v>40</v>
      </c>
      <c r="B1366" t="s">
        <v>32</v>
      </c>
      <c r="C1366" t="s">
        <v>33</v>
      </c>
      <c r="D1366">
        <v>15</v>
      </c>
      <c r="E1366" t="s">
        <v>61</v>
      </c>
      <c r="F1366">
        <v>2</v>
      </c>
      <c r="G1366">
        <v>3</v>
      </c>
      <c r="H1366" t="s">
        <v>78</v>
      </c>
      <c r="I1366">
        <v>3</v>
      </c>
      <c r="J1366" t="s">
        <v>51</v>
      </c>
      <c r="K1366">
        <v>10435</v>
      </c>
      <c r="L1366">
        <v>1</v>
      </c>
      <c r="M1366" t="s">
        <v>41</v>
      </c>
      <c r="N1366">
        <v>13</v>
      </c>
      <c r="O1366">
        <v>3</v>
      </c>
      <c r="P1366">
        <v>2</v>
      </c>
      <c r="Q1366">
        <v>18</v>
      </c>
      <c r="R1366">
        <v>2</v>
      </c>
      <c r="S1366">
        <v>18</v>
      </c>
      <c r="T1366">
        <v>14</v>
      </c>
      <c r="U1366">
        <v>12</v>
      </c>
      <c r="V1366" t="s">
        <v>52</v>
      </c>
      <c r="W1366" s="1" t="s">
        <v>692</v>
      </c>
      <c r="Y1366" t="s">
        <v>54</v>
      </c>
      <c r="Z1366" t="s">
        <v>47</v>
      </c>
      <c r="AA1366">
        <v>4</v>
      </c>
      <c r="AB1366">
        <v>0</v>
      </c>
      <c r="AC1366" t="s">
        <v>41</v>
      </c>
      <c r="AD1366" t="s">
        <v>67</v>
      </c>
      <c r="AE1366" t="s">
        <v>60</v>
      </c>
      <c r="AF1366" s="3">
        <v>1970</v>
      </c>
      <c r="AG1366" s="3">
        <v>36</v>
      </c>
      <c r="AH1366">
        <v>80</v>
      </c>
      <c r="AI1366">
        <v>7</v>
      </c>
      <c r="AJ1366">
        <v>0</v>
      </c>
      <c r="AL1366">
        <v>0</v>
      </c>
      <c r="AM1366">
        <v>1</v>
      </c>
      <c r="AN1366" t="s">
        <v>768</v>
      </c>
      <c r="AO1366" t="s">
        <v>41</v>
      </c>
    </row>
    <row r="1367" spans="1:41" x14ac:dyDescent="0.25">
      <c r="A1367">
        <v>38</v>
      </c>
      <c r="B1367" t="s">
        <v>32</v>
      </c>
      <c r="C1367" t="s">
        <v>33</v>
      </c>
      <c r="D1367">
        <v>10</v>
      </c>
      <c r="E1367" t="s">
        <v>61</v>
      </c>
      <c r="F1367">
        <v>1</v>
      </c>
      <c r="G1367">
        <v>3</v>
      </c>
      <c r="H1367" t="s">
        <v>50</v>
      </c>
      <c r="I1367">
        <v>3</v>
      </c>
      <c r="J1367" t="s">
        <v>51</v>
      </c>
      <c r="K1367">
        <v>13206</v>
      </c>
      <c r="L1367">
        <v>3</v>
      </c>
      <c r="M1367" t="s">
        <v>41</v>
      </c>
      <c r="N1367">
        <v>12</v>
      </c>
      <c r="O1367">
        <v>3</v>
      </c>
      <c r="P1367">
        <v>1</v>
      </c>
      <c r="Q1367">
        <v>20</v>
      </c>
      <c r="R1367">
        <v>3</v>
      </c>
      <c r="S1367">
        <v>18</v>
      </c>
      <c r="T1367">
        <v>1</v>
      </c>
      <c r="U1367">
        <v>11</v>
      </c>
      <c r="V1367" t="s">
        <v>37</v>
      </c>
      <c r="W1367" s="2">
        <v>37807</v>
      </c>
      <c r="Y1367" t="s">
        <v>63</v>
      </c>
      <c r="Z1367" t="s">
        <v>47</v>
      </c>
      <c r="AA1367">
        <v>3</v>
      </c>
      <c r="AB1367">
        <v>1</v>
      </c>
      <c r="AC1367" t="s">
        <v>31</v>
      </c>
      <c r="AD1367" t="s">
        <v>48</v>
      </c>
      <c r="AE1367" t="s">
        <v>60</v>
      </c>
      <c r="AF1367" s="3">
        <v>1956</v>
      </c>
      <c r="AG1367" s="3">
        <v>48</v>
      </c>
      <c r="AH1367">
        <v>80</v>
      </c>
      <c r="AI1367">
        <v>8</v>
      </c>
      <c r="AJ1367">
        <v>0</v>
      </c>
      <c r="AL1367">
        <v>0</v>
      </c>
      <c r="AM1367">
        <v>1</v>
      </c>
      <c r="AN1367" t="s">
        <v>768</v>
      </c>
      <c r="AO1367" t="s">
        <v>41</v>
      </c>
    </row>
    <row r="1368" spans="1:41" x14ac:dyDescent="0.25">
      <c r="A1368">
        <v>45</v>
      </c>
      <c r="B1368" t="s">
        <v>81</v>
      </c>
      <c r="C1368" t="s">
        <v>55</v>
      </c>
      <c r="D1368">
        <v>6</v>
      </c>
      <c r="E1368" t="s">
        <v>61</v>
      </c>
      <c r="F1368">
        <v>2</v>
      </c>
      <c r="G1368">
        <v>3</v>
      </c>
      <c r="H1368" t="s">
        <v>70</v>
      </c>
      <c r="I1368">
        <v>4</v>
      </c>
      <c r="J1368" t="s">
        <v>36</v>
      </c>
      <c r="K1368">
        <v>8865</v>
      </c>
      <c r="L1368">
        <v>6</v>
      </c>
      <c r="M1368" t="s">
        <v>41</v>
      </c>
      <c r="N1368">
        <v>12</v>
      </c>
      <c r="O1368">
        <v>3</v>
      </c>
      <c r="P1368">
        <v>0</v>
      </c>
      <c r="Q1368">
        <v>23</v>
      </c>
      <c r="R1368">
        <v>2</v>
      </c>
      <c r="S1368">
        <v>19</v>
      </c>
      <c r="T1368">
        <v>12</v>
      </c>
      <c r="U1368">
        <v>8</v>
      </c>
      <c r="V1368" t="s">
        <v>37</v>
      </c>
      <c r="W1368" s="2">
        <v>37410</v>
      </c>
      <c r="Y1368" t="s">
        <v>69</v>
      </c>
      <c r="Z1368" t="s">
        <v>47</v>
      </c>
      <c r="AA1368">
        <v>3</v>
      </c>
      <c r="AB1368">
        <v>3</v>
      </c>
      <c r="AC1368" t="s">
        <v>31</v>
      </c>
      <c r="AD1368" t="s">
        <v>42</v>
      </c>
      <c r="AE1368" t="s">
        <v>43</v>
      </c>
      <c r="AF1368" s="3">
        <v>1644</v>
      </c>
      <c r="AG1368" s="3">
        <v>89</v>
      </c>
      <c r="AH1368">
        <v>80</v>
      </c>
      <c r="AI1368">
        <v>2</v>
      </c>
      <c r="AJ1368">
        <v>0</v>
      </c>
      <c r="AL1368">
        <v>0</v>
      </c>
      <c r="AM1368">
        <v>1</v>
      </c>
      <c r="AN1368" t="s">
        <v>768</v>
      </c>
      <c r="AO1368" t="s">
        <v>41</v>
      </c>
    </row>
    <row r="1369" spans="1:41" x14ac:dyDescent="0.25">
      <c r="A1369">
        <v>39</v>
      </c>
      <c r="B1369" t="s">
        <v>66</v>
      </c>
      <c r="C1369" t="s">
        <v>33</v>
      </c>
      <c r="D1369">
        <v>2</v>
      </c>
      <c r="E1369" t="s">
        <v>61</v>
      </c>
      <c r="F1369">
        <v>3</v>
      </c>
      <c r="G1369">
        <v>3</v>
      </c>
      <c r="H1369" t="s">
        <v>89</v>
      </c>
      <c r="I1369">
        <v>3</v>
      </c>
      <c r="J1369" t="s">
        <v>36</v>
      </c>
      <c r="K1369">
        <v>10938</v>
      </c>
      <c r="L1369">
        <v>0</v>
      </c>
      <c r="M1369" t="s">
        <v>41</v>
      </c>
      <c r="N1369">
        <v>25</v>
      </c>
      <c r="O1369">
        <v>4</v>
      </c>
      <c r="P1369">
        <v>0</v>
      </c>
      <c r="Q1369">
        <v>20</v>
      </c>
      <c r="R1369">
        <v>1</v>
      </c>
      <c r="S1369">
        <v>19</v>
      </c>
      <c r="T1369">
        <v>11</v>
      </c>
      <c r="U1369">
        <v>8</v>
      </c>
      <c r="V1369" t="s">
        <v>72</v>
      </c>
      <c r="W1369" s="1" t="s">
        <v>693</v>
      </c>
      <c r="Y1369" t="s">
        <v>54</v>
      </c>
      <c r="Z1369" t="s">
        <v>47</v>
      </c>
      <c r="AA1369">
        <v>2</v>
      </c>
      <c r="AB1369">
        <v>3</v>
      </c>
      <c r="AC1369" t="s">
        <v>31</v>
      </c>
      <c r="AD1369" t="s">
        <v>67</v>
      </c>
      <c r="AE1369" t="s">
        <v>43</v>
      </c>
      <c r="AF1369" s="3">
        <v>1849</v>
      </c>
      <c r="AG1369" s="3">
        <v>92</v>
      </c>
      <c r="AH1369">
        <v>80</v>
      </c>
      <c r="AI1369">
        <v>7</v>
      </c>
      <c r="AJ1369">
        <v>0</v>
      </c>
      <c r="AL1369">
        <v>0</v>
      </c>
      <c r="AM1369">
        <v>1</v>
      </c>
      <c r="AN1369" t="s">
        <v>768</v>
      </c>
      <c r="AO1369" t="s">
        <v>41</v>
      </c>
    </row>
    <row r="1370" spans="1:41" x14ac:dyDescent="0.25">
      <c r="A1370">
        <v>47</v>
      </c>
      <c r="B1370" t="s">
        <v>66</v>
      </c>
      <c r="C1370" t="s">
        <v>33</v>
      </c>
      <c r="D1370">
        <v>16</v>
      </c>
      <c r="E1370" t="s">
        <v>34</v>
      </c>
      <c r="F1370">
        <v>4</v>
      </c>
      <c r="G1370">
        <v>2</v>
      </c>
      <c r="H1370" t="s">
        <v>78</v>
      </c>
      <c r="I1370">
        <v>3</v>
      </c>
      <c r="J1370" t="s">
        <v>57</v>
      </c>
      <c r="K1370">
        <v>5067</v>
      </c>
      <c r="L1370">
        <v>1</v>
      </c>
      <c r="M1370" t="s">
        <v>31</v>
      </c>
      <c r="N1370">
        <v>19</v>
      </c>
      <c r="O1370">
        <v>3</v>
      </c>
      <c r="P1370">
        <v>0</v>
      </c>
      <c r="Q1370">
        <v>20</v>
      </c>
      <c r="R1370">
        <v>3</v>
      </c>
      <c r="S1370">
        <v>19</v>
      </c>
      <c r="T1370">
        <v>2</v>
      </c>
      <c r="U1370">
        <v>7</v>
      </c>
      <c r="V1370" t="s">
        <v>52</v>
      </c>
      <c r="W1370" s="2">
        <v>37350</v>
      </c>
      <c r="Y1370" t="s">
        <v>39</v>
      </c>
      <c r="Z1370" t="s">
        <v>40</v>
      </c>
      <c r="AA1370">
        <v>5</v>
      </c>
      <c r="AB1370">
        <v>3</v>
      </c>
      <c r="AC1370" t="s">
        <v>31</v>
      </c>
      <c r="AD1370" t="s">
        <v>67</v>
      </c>
      <c r="AE1370" t="s">
        <v>60</v>
      </c>
      <c r="AF1370" s="3">
        <v>1499</v>
      </c>
      <c r="AG1370" s="3">
        <v>46</v>
      </c>
      <c r="AH1370">
        <v>80</v>
      </c>
      <c r="AI1370">
        <v>3</v>
      </c>
      <c r="AJ1370">
        <v>0</v>
      </c>
      <c r="AL1370">
        <v>0</v>
      </c>
      <c r="AM1370">
        <v>1</v>
      </c>
      <c r="AN1370" t="s">
        <v>768</v>
      </c>
      <c r="AO1370" t="s">
        <v>41</v>
      </c>
    </row>
    <row r="1371" spans="1:41" x14ac:dyDescent="0.25">
      <c r="A1371">
        <v>38</v>
      </c>
      <c r="B1371" t="s">
        <v>32</v>
      </c>
      <c r="C1371" t="s">
        <v>33</v>
      </c>
      <c r="D1371">
        <v>17</v>
      </c>
      <c r="E1371" t="s">
        <v>61</v>
      </c>
      <c r="F1371">
        <v>2</v>
      </c>
      <c r="G1371">
        <v>3</v>
      </c>
      <c r="H1371" t="s">
        <v>89</v>
      </c>
      <c r="I1371">
        <v>3</v>
      </c>
      <c r="J1371" t="s">
        <v>51</v>
      </c>
      <c r="K1371">
        <v>8823</v>
      </c>
      <c r="L1371">
        <v>0</v>
      </c>
      <c r="M1371" t="s">
        <v>41</v>
      </c>
      <c r="N1371">
        <v>18</v>
      </c>
      <c r="O1371">
        <v>3</v>
      </c>
      <c r="P1371">
        <v>1</v>
      </c>
      <c r="Q1371">
        <v>20</v>
      </c>
      <c r="R1371">
        <v>4</v>
      </c>
      <c r="S1371">
        <v>19</v>
      </c>
      <c r="T1371">
        <v>1</v>
      </c>
      <c r="U1371">
        <v>9</v>
      </c>
      <c r="V1371" t="s">
        <v>58</v>
      </c>
      <c r="W1371" s="2">
        <v>37532</v>
      </c>
      <c r="Y1371" t="s">
        <v>63</v>
      </c>
      <c r="Z1371" t="s">
        <v>40</v>
      </c>
      <c r="AA1371">
        <v>4</v>
      </c>
      <c r="AB1371">
        <v>1</v>
      </c>
      <c r="AC1371" t="s">
        <v>31</v>
      </c>
      <c r="AD1371" t="s">
        <v>65</v>
      </c>
      <c r="AE1371" t="s">
        <v>60</v>
      </c>
      <c r="AF1371" s="3">
        <v>1697</v>
      </c>
      <c r="AG1371" s="3">
        <v>92</v>
      </c>
      <c r="AH1371">
        <v>80</v>
      </c>
      <c r="AI1371">
        <v>0</v>
      </c>
      <c r="AJ1371">
        <v>0</v>
      </c>
      <c r="AL1371">
        <v>0</v>
      </c>
      <c r="AM1371">
        <v>1</v>
      </c>
      <c r="AN1371" t="s">
        <v>768</v>
      </c>
      <c r="AO1371" t="s">
        <v>41</v>
      </c>
    </row>
    <row r="1372" spans="1:41" x14ac:dyDescent="0.25">
      <c r="A1372">
        <v>39</v>
      </c>
      <c r="B1372" t="s">
        <v>32</v>
      </c>
      <c r="C1372" t="s">
        <v>33</v>
      </c>
      <c r="D1372">
        <v>13</v>
      </c>
      <c r="E1372" t="s">
        <v>61</v>
      </c>
      <c r="F1372">
        <v>2</v>
      </c>
      <c r="G1372">
        <v>4</v>
      </c>
      <c r="H1372" t="s">
        <v>75</v>
      </c>
      <c r="I1372">
        <v>2</v>
      </c>
      <c r="J1372" t="s">
        <v>57</v>
      </c>
      <c r="K1372">
        <v>17123</v>
      </c>
      <c r="L1372">
        <v>6</v>
      </c>
      <c r="M1372" t="s">
        <v>31</v>
      </c>
      <c r="N1372">
        <v>13</v>
      </c>
      <c r="O1372">
        <v>3</v>
      </c>
      <c r="P1372">
        <v>2</v>
      </c>
      <c r="Q1372">
        <v>21</v>
      </c>
      <c r="R1372">
        <v>4</v>
      </c>
      <c r="S1372">
        <v>19</v>
      </c>
      <c r="T1372">
        <v>15</v>
      </c>
      <c r="U1372">
        <v>2</v>
      </c>
      <c r="V1372" t="s">
        <v>72</v>
      </c>
      <c r="W1372" s="1" t="s">
        <v>694</v>
      </c>
      <c r="Y1372" t="s">
        <v>54</v>
      </c>
      <c r="Z1372" t="s">
        <v>47</v>
      </c>
      <c r="AA1372">
        <v>0</v>
      </c>
      <c r="AB1372">
        <v>1</v>
      </c>
      <c r="AC1372" t="s">
        <v>31</v>
      </c>
      <c r="AD1372" t="s">
        <v>67</v>
      </c>
      <c r="AE1372" t="s">
        <v>60</v>
      </c>
      <c r="AF1372" s="3">
        <v>1664</v>
      </c>
      <c r="AG1372" s="3">
        <v>79</v>
      </c>
      <c r="AH1372">
        <v>80</v>
      </c>
      <c r="AI1372">
        <v>4</v>
      </c>
      <c r="AJ1372">
        <v>0</v>
      </c>
      <c r="AL1372">
        <v>0</v>
      </c>
      <c r="AM1372">
        <v>1</v>
      </c>
      <c r="AN1372" t="s">
        <v>768</v>
      </c>
      <c r="AO1372" t="s">
        <v>41</v>
      </c>
    </row>
    <row r="1373" spans="1:41" x14ac:dyDescent="0.25">
      <c r="A1373">
        <v>41</v>
      </c>
      <c r="B1373" t="s">
        <v>81</v>
      </c>
      <c r="C1373" t="s">
        <v>55</v>
      </c>
      <c r="D1373">
        <v>10</v>
      </c>
      <c r="E1373" t="s">
        <v>34</v>
      </c>
      <c r="F1373">
        <v>1</v>
      </c>
      <c r="G1373">
        <v>2</v>
      </c>
      <c r="H1373" t="s">
        <v>70</v>
      </c>
      <c r="I1373">
        <v>2</v>
      </c>
      <c r="J1373" t="s">
        <v>36</v>
      </c>
      <c r="K1373">
        <v>6151</v>
      </c>
      <c r="L1373">
        <v>1</v>
      </c>
      <c r="M1373" t="s">
        <v>41</v>
      </c>
      <c r="N1373">
        <v>13</v>
      </c>
      <c r="O1373">
        <v>3</v>
      </c>
      <c r="P1373">
        <v>0</v>
      </c>
      <c r="Q1373">
        <v>19</v>
      </c>
      <c r="R1373">
        <v>4</v>
      </c>
      <c r="S1373">
        <v>19</v>
      </c>
      <c r="T1373">
        <v>11</v>
      </c>
      <c r="U1373">
        <v>9</v>
      </c>
      <c r="V1373" t="s">
        <v>72</v>
      </c>
      <c r="W1373" s="1" t="s">
        <v>695</v>
      </c>
      <c r="Y1373" t="s">
        <v>39</v>
      </c>
      <c r="Z1373" t="s">
        <v>47</v>
      </c>
      <c r="AA1373">
        <v>3</v>
      </c>
      <c r="AB1373">
        <v>0</v>
      </c>
      <c r="AC1373" t="s">
        <v>41</v>
      </c>
      <c r="AD1373" t="s">
        <v>42</v>
      </c>
      <c r="AE1373" t="s">
        <v>43</v>
      </c>
      <c r="AF1373" s="3">
        <v>1772</v>
      </c>
      <c r="AG1373" s="3">
        <v>94</v>
      </c>
      <c r="AH1373">
        <v>80</v>
      </c>
      <c r="AI1373">
        <v>3</v>
      </c>
      <c r="AJ1373">
        <v>0</v>
      </c>
      <c r="AL1373">
        <v>0</v>
      </c>
      <c r="AM1373">
        <v>1</v>
      </c>
      <c r="AN1373" t="s">
        <v>768</v>
      </c>
      <c r="AO1373" t="s">
        <v>41</v>
      </c>
    </row>
    <row r="1374" spans="1:41" x14ac:dyDescent="0.25">
      <c r="A1374">
        <v>55</v>
      </c>
      <c r="B1374" t="s">
        <v>32</v>
      </c>
      <c r="C1374" t="s">
        <v>33</v>
      </c>
      <c r="D1374">
        <v>2</v>
      </c>
      <c r="E1374" t="s">
        <v>61</v>
      </c>
      <c r="F1374">
        <v>1</v>
      </c>
      <c r="G1374">
        <v>5</v>
      </c>
      <c r="H1374" t="s">
        <v>75</v>
      </c>
      <c r="I1374">
        <v>3</v>
      </c>
      <c r="J1374" t="s">
        <v>51</v>
      </c>
      <c r="K1374">
        <v>19187</v>
      </c>
      <c r="L1374">
        <v>4</v>
      </c>
      <c r="M1374" t="s">
        <v>41</v>
      </c>
      <c r="N1374">
        <v>14</v>
      </c>
      <c r="O1374">
        <v>3</v>
      </c>
      <c r="P1374">
        <v>1</v>
      </c>
      <c r="Q1374">
        <v>23</v>
      </c>
      <c r="R1374">
        <v>5</v>
      </c>
      <c r="S1374">
        <v>19</v>
      </c>
      <c r="T1374">
        <v>9</v>
      </c>
      <c r="U1374">
        <v>11</v>
      </c>
      <c r="V1374" t="s">
        <v>58</v>
      </c>
      <c r="W1374" s="2">
        <v>37594</v>
      </c>
      <c r="Y1374" t="s">
        <v>54</v>
      </c>
      <c r="Z1374" t="s">
        <v>40</v>
      </c>
      <c r="AA1374">
        <v>3</v>
      </c>
      <c r="AB1374">
        <v>0</v>
      </c>
      <c r="AC1374" t="s">
        <v>31</v>
      </c>
      <c r="AD1374" t="s">
        <v>67</v>
      </c>
      <c r="AE1374" t="s">
        <v>43</v>
      </c>
      <c r="AF1374" s="3">
        <v>1768</v>
      </c>
      <c r="AG1374" s="3">
        <v>57</v>
      </c>
      <c r="AH1374">
        <v>80</v>
      </c>
      <c r="AI1374">
        <v>3</v>
      </c>
      <c r="AJ1374">
        <v>0</v>
      </c>
      <c r="AL1374">
        <v>0</v>
      </c>
      <c r="AM1374">
        <v>1</v>
      </c>
      <c r="AN1374" t="s">
        <v>768</v>
      </c>
      <c r="AO1374" t="s">
        <v>41</v>
      </c>
    </row>
    <row r="1375" spans="1:41" x14ac:dyDescent="0.25">
      <c r="A1375">
        <v>55</v>
      </c>
      <c r="B1375" t="s">
        <v>32</v>
      </c>
      <c r="C1375" t="s">
        <v>55</v>
      </c>
      <c r="D1375">
        <v>13</v>
      </c>
      <c r="E1375" t="s">
        <v>34</v>
      </c>
      <c r="F1375">
        <v>4</v>
      </c>
      <c r="G1375">
        <v>4</v>
      </c>
      <c r="H1375" t="s">
        <v>70</v>
      </c>
      <c r="I1375">
        <v>3</v>
      </c>
      <c r="J1375" t="s">
        <v>36</v>
      </c>
      <c r="K1375">
        <v>13695</v>
      </c>
      <c r="L1375">
        <v>6</v>
      </c>
      <c r="M1375" t="s">
        <v>31</v>
      </c>
      <c r="N1375">
        <v>17</v>
      </c>
      <c r="O1375">
        <v>3</v>
      </c>
      <c r="P1375">
        <v>0</v>
      </c>
      <c r="Q1375">
        <v>24</v>
      </c>
      <c r="R1375">
        <v>2</v>
      </c>
      <c r="S1375">
        <v>19</v>
      </c>
      <c r="T1375">
        <v>3</v>
      </c>
      <c r="U1375">
        <v>8</v>
      </c>
      <c r="V1375" t="s">
        <v>72</v>
      </c>
      <c r="W1375" s="1" t="s">
        <v>696</v>
      </c>
      <c r="Y1375" t="s">
        <v>46</v>
      </c>
      <c r="Z1375" t="s">
        <v>40</v>
      </c>
      <c r="AA1375">
        <v>2</v>
      </c>
      <c r="AB1375">
        <v>0</v>
      </c>
      <c r="AC1375" t="s">
        <v>41</v>
      </c>
      <c r="AD1375" t="s">
        <v>65</v>
      </c>
      <c r="AE1375" t="s">
        <v>49</v>
      </c>
      <c r="AF1375" s="3">
        <v>1654</v>
      </c>
      <c r="AG1375" s="3">
        <v>66</v>
      </c>
      <c r="AH1375">
        <v>80</v>
      </c>
      <c r="AI1375">
        <v>4</v>
      </c>
      <c r="AJ1375">
        <v>0</v>
      </c>
      <c r="AL1375">
        <v>0</v>
      </c>
      <c r="AM1375">
        <v>1</v>
      </c>
      <c r="AN1375" t="s">
        <v>768</v>
      </c>
      <c r="AO1375" t="s">
        <v>41</v>
      </c>
    </row>
    <row r="1376" spans="1:41" x14ac:dyDescent="0.25">
      <c r="A1376">
        <v>56</v>
      </c>
      <c r="B1376" t="s">
        <v>32</v>
      </c>
      <c r="C1376" t="s">
        <v>33</v>
      </c>
      <c r="D1376">
        <v>23</v>
      </c>
      <c r="E1376" t="s">
        <v>34</v>
      </c>
      <c r="F1376">
        <v>3</v>
      </c>
      <c r="G1376">
        <v>4</v>
      </c>
      <c r="H1376" t="s">
        <v>78</v>
      </c>
      <c r="I1376">
        <v>2</v>
      </c>
      <c r="J1376" t="s">
        <v>51</v>
      </c>
      <c r="K1376">
        <v>13402</v>
      </c>
      <c r="L1376">
        <v>4</v>
      </c>
      <c r="M1376" t="s">
        <v>31</v>
      </c>
      <c r="N1376">
        <v>12</v>
      </c>
      <c r="O1376">
        <v>3</v>
      </c>
      <c r="P1376">
        <v>1</v>
      </c>
      <c r="Q1376">
        <v>33</v>
      </c>
      <c r="R1376">
        <v>0</v>
      </c>
      <c r="S1376">
        <v>19</v>
      </c>
      <c r="T1376">
        <v>15</v>
      </c>
      <c r="U1376">
        <v>9</v>
      </c>
      <c r="V1376" t="s">
        <v>37</v>
      </c>
      <c r="W1376" s="1" t="s">
        <v>697</v>
      </c>
      <c r="Y1376" t="s">
        <v>69</v>
      </c>
      <c r="Z1376" t="s">
        <v>47</v>
      </c>
      <c r="AA1376">
        <v>0</v>
      </c>
      <c r="AB1376">
        <v>3</v>
      </c>
      <c r="AC1376" t="s">
        <v>31</v>
      </c>
      <c r="AD1376" t="s">
        <v>65</v>
      </c>
      <c r="AE1376" t="s">
        <v>43</v>
      </c>
      <c r="AF1376" s="3">
        <v>1936</v>
      </c>
      <c r="AG1376" s="3">
        <v>87</v>
      </c>
      <c r="AH1376">
        <v>80</v>
      </c>
      <c r="AI1376">
        <v>0</v>
      </c>
      <c r="AJ1376">
        <v>0</v>
      </c>
      <c r="AL1376">
        <v>0</v>
      </c>
      <c r="AM1376">
        <v>1</v>
      </c>
      <c r="AN1376" t="s">
        <v>768</v>
      </c>
      <c r="AO1376" t="s">
        <v>41</v>
      </c>
    </row>
    <row r="1377" spans="1:41" x14ac:dyDescent="0.25">
      <c r="A1377">
        <v>46</v>
      </c>
      <c r="B1377" t="s">
        <v>32</v>
      </c>
      <c r="C1377" t="s">
        <v>55</v>
      </c>
      <c r="D1377">
        <v>3</v>
      </c>
      <c r="E1377" t="s">
        <v>61</v>
      </c>
      <c r="F1377">
        <v>4</v>
      </c>
      <c r="G1377">
        <v>4</v>
      </c>
      <c r="H1377" t="s">
        <v>70</v>
      </c>
      <c r="I1377">
        <v>1</v>
      </c>
      <c r="J1377" t="s">
        <v>57</v>
      </c>
      <c r="K1377">
        <v>13225</v>
      </c>
      <c r="L1377">
        <v>2</v>
      </c>
      <c r="M1377" t="s">
        <v>41</v>
      </c>
      <c r="N1377">
        <v>12</v>
      </c>
      <c r="O1377">
        <v>3</v>
      </c>
      <c r="P1377">
        <v>1</v>
      </c>
      <c r="Q1377">
        <v>25</v>
      </c>
      <c r="R1377">
        <v>5</v>
      </c>
      <c r="S1377">
        <v>19</v>
      </c>
      <c r="T1377">
        <v>2</v>
      </c>
      <c r="U1377">
        <v>8</v>
      </c>
      <c r="V1377" t="s">
        <v>52</v>
      </c>
      <c r="W1377" s="1" t="s">
        <v>698</v>
      </c>
      <c r="Y1377" t="s">
        <v>54</v>
      </c>
      <c r="Z1377" t="s">
        <v>47</v>
      </c>
      <c r="AA1377">
        <v>5</v>
      </c>
      <c r="AB1377">
        <v>0</v>
      </c>
      <c r="AC1377" t="s">
        <v>41</v>
      </c>
      <c r="AD1377" t="s">
        <v>67</v>
      </c>
      <c r="AE1377" t="s">
        <v>60</v>
      </c>
      <c r="AF1377" s="3">
        <v>1873</v>
      </c>
      <c r="AG1377" s="3">
        <v>98</v>
      </c>
      <c r="AH1377">
        <v>80</v>
      </c>
      <c r="AI1377">
        <v>2</v>
      </c>
      <c r="AJ1377">
        <v>0</v>
      </c>
      <c r="AL1377">
        <v>0</v>
      </c>
      <c r="AM1377">
        <v>1</v>
      </c>
      <c r="AN1377" t="s">
        <v>768</v>
      </c>
      <c r="AO1377" t="s">
        <v>41</v>
      </c>
    </row>
    <row r="1378" spans="1:41" x14ac:dyDescent="0.25">
      <c r="A1378">
        <v>40</v>
      </c>
      <c r="B1378" t="s">
        <v>32</v>
      </c>
      <c r="C1378" t="s">
        <v>33</v>
      </c>
      <c r="D1378">
        <v>1</v>
      </c>
      <c r="E1378" t="s">
        <v>34</v>
      </c>
      <c r="F1378">
        <v>3</v>
      </c>
      <c r="G1378">
        <v>4</v>
      </c>
      <c r="H1378" t="s">
        <v>75</v>
      </c>
      <c r="I1378">
        <v>1</v>
      </c>
      <c r="J1378" t="s">
        <v>57</v>
      </c>
      <c r="K1378">
        <v>16823</v>
      </c>
      <c r="L1378">
        <v>2</v>
      </c>
      <c r="M1378" t="s">
        <v>41</v>
      </c>
      <c r="N1378">
        <v>11</v>
      </c>
      <c r="O1378">
        <v>3</v>
      </c>
      <c r="P1378">
        <v>1</v>
      </c>
      <c r="Q1378">
        <v>22</v>
      </c>
      <c r="R1378">
        <v>3</v>
      </c>
      <c r="S1378">
        <v>19</v>
      </c>
      <c r="T1378">
        <v>11</v>
      </c>
      <c r="U1378">
        <v>16</v>
      </c>
      <c r="V1378" t="s">
        <v>37</v>
      </c>
      <c r="W1378" s="1" t="s">
        <v>699</v>
      </c>
      <c r="Y1378" t="s">
        <v>69</v>
      </c>
      <c r="Z1378" t="s">
        <v>47</v>
      </c>
      <c r="AA1378">
        <v>4</v>
      </c>
      <c r="AB1378">
        <v>2</v>
      </c>
      <c r="AC1378" t="s">
        <v>41</v>
      </c>
      <c r="AD1378" t="s">
        <v>42</v>
      </c>
      <c r="AE1378" t="s">
        <v>43</v>
      </c>
      <c r="AF1378" s="3">
        <v>1483</v>
      </c>
      <c r="AG1378" s="3">
        <v>93</v>
      </c>
      <c r="AH1378">
        <v>80</v>
      </c>
      <c r="AI1378">
        <v>9</v>
      </c>
      <c r="AJ1378">
        <v>0</v>
      </c>
      <c r="AL1378">
        <v>0</v>
      </c>
      <c r="AM1378">
        <v>1</v>
      </c>
      <c r="AN1378" t="s">
        <v>768</v>
      </c>
      <c r="AO1378" t="s">
        <v>41</v>
      </c>
    </row>
    <row r="1379" spans="1:41" x14ac:dyDescent="0.25">
      <c r="A1379">
        <v>51</v>
      </c>
      <c r="B1379" t="s">
        <v>32</v>
      </c>
      <c r="C1379" t="s">
        <v>33</v>
      </c>
      <c r="D1379">
        <v>6</v>
      </c>
      <c r="E1379" t="s">
        <v>34</v>
      </c>
      <c r="F1379">
        <v>3</v>
      </c>
      <c r="G1379">
        <v>5</v>
      </c>
      <c r="H1379" t="s">
        <v>50</v>
      </c>
      <c r="I1379">
        <v>3</v>
      </c>
      <c r="J1379" t="s">
        <v>36</v>
      </c>
      <c r="K1379">
        <v>19537</v>
      </c>
      <c r="L1379">
        <v>7</v>
      </c>
      <c r="M1379" t="s">
        <v>41</v>
      </c>
      <c r="N1379">
        <v>13</v>
      </c>
      <c r="O1379">
        <v>3</v>
      </c>
      <c r="P1379">
        <v>0</v>
      </c>
      <c r="Q1379">
        <v>23</v>
      </c>
      <c r="R1379">
        <v>5</v>
      </c>
      <c r="S1379">
        <v>20</v>
      </c>
      <c r="T1379">
        <v>15</v>
      </c>
      <c r="U1379">
        <v>15</v>
      </c>
      <c r="V1379" t="s">
        <v>58</v>
      </c>
      <c r="W1379" s="1" t="s">
        <v>700</v>
      </c>
      <c r="Y1379" t="s">
        <v>39</v>
      </c>
      <c r="Z1379" t="s">
        <v>40</v>
      </c>
      <c r="AA1379">
        <v>1</v>
      </c>
      <c r="AB1379">
        <v>1</v>
      </c>
      <c r="AC1379" t="s">
        <v>41</v>
      </c>
      <c r="AD1379" t="s">
        <v>48</v>
      </c>
      <c r="AE1379" t="s">
        <v>49</v>
      </c>
      <c r="AF1379" s="3">
        <v>1666</v>
      </c>
      <c r="AG1379" s="3">
        <v>65</v>
      </c>
      <c r="AH1379">
        <v>80</v>
      </c>
      <c r="AI1379">
        <v>10</v>
      </c>
      <c r="AJ1379">
        <v>0</v>
      </c>
      <c r="AL1379">
        <v>0</v>
      </c>
      <c r="AM1379">
        <v>1</v>
      </c>
      <c r="AN1379" t="s">
        <v>768</v>
      </c>
      <c r="AO1379" t="s">
        <v>41</v>
      </c>
    </row>
    <row r="1380" spans="1:41" x14ac:dyDescent="0.25">
      <c r="A1380">
        <v>40</v>
      </c>
      <c r="B1380" t="s">
        <v>66</v>
      </c>
      <c r="C1380" t="s">
        <v>33</v>
      </c>
      <c r="D1380">
        <v>26</v>
      </c>
      <c r="E1380" t="s">
        <v>61</v>
      </c>
      <c r="F1380">
        <v>3</v>
      </c>
      <c r="G1380">
        <v>2</v>
      </c>
      <c r="H1380" t="s">
        <v>44</v>
      </c>
      <c r="I1380">
        <v>2</v>
      </c>
      <c r="J1380" t="s">
        <v>57</v>
      </c>
      <c r="K1380">
        <v>5605</v>
      </c>
      <c r="L1380">
        <v>1</v>
      </c>
      <c r="M1380" t="s">
        <v>41</v>
      </c>
      <c r="N1380">
        <v>11</v>
      </c>
      <c r="O1380">
        <v>3</v>
      </c>
      <c r="P1380">
        <v>1</v>
      </c>
      <c r="Q1380">
        <v>20</v>
      </c>
      <c r="R1380">
        <v>2</v>
      </c>
      <c r="S1380">
        <v>20</v>
      </c>
      <c r="T1380">
        <v>2</v>
      </c>
      <c r="U1380">
        <v>13</v>
      </c>
      <c r="V1380" t="s">
        <v>52</v>
      </c>
      <c r="W1380" s="1" t="s">
        <v>701</v>
      </c>
      <c r="Y1380" t="s">
        <v>63</v>
      </c>
      <c r="Z1380" t="s">
        <v>40</v>
      </c>
      <c r="AA1380">
        <v>4</v>
      </c>
      <c r="AB1380">
        <v>3</v>
      </c>
      <c r="AC1380" t="s">
        <v>41</v>
      </c>
      <c r="AD1380" t="s">
        <v>42</v>
      </c>
      <c r="AE1380" t="s">
        <v>60</v>
      </c>
      <c r="AF1380" s="3">
        <v>1999</v>
      </c>
      <c r="AG1380" s="3">
        <v>76</v>
      </c>
      <c r="AH1380">
        <v>80</v>
      </c>
      <c r="AI1380">
        <v>3</v>
      </c>
      <c r="AJ1380">
        <v>0</v>
      </c>
      <c r="AL1380">
        <v>0</v>
      </c>
      <c r="AM1380">
        <v>1</v>
      </c>
      <c r="AN1380" t="s">
        <v>768</v>
      </c>
      <c r="AO1380" t="s">
        <v>41</v>
      </c>
    </row>
    <row r="1381" spans="1:41" x14ac:dyDescent="0.25">
      <c r="A1381">
        <v>40</v>
      </c>
      <c r="B1381" t="s">
        <v>32</v>
      </c>
      <c r="C1381" t="s">
        <v>33</v>
      </c>
      <c r="D1381">
        <v>4</v>
      </c>
      <c r="E1381" t="s">
        <v>61</v>
      </c>
      <c r="F1381">
        <v>3</v>
      </c>
      <c r="G1381">
        <v>5</v>
      </c>
      <c r="H1381" t="s">
        <v>75</v>
      </c>
      <c r="I1381">
        <v>3</v>
      </c>
      <c r="J1381" t="s">
        <v>51</v>
      </c>
      <c r="K1381">
        <v>19033</v>
      </c>
      <c r="L1381">
        <v>1</v>
      </c>
      <c r="M1381" t="s">
        <v>41</v>
      </c>
      <c r="N1381">
        <v>14</v>
      </c>
      <c r="O1381">
        <v>3</v>
      </c>
      <c r="P1381">
        <v>1</v>
      </c>
      <c r="Q1381">
        <v>21</v>
      </c>
      <c r="R1381">
        <v>2</v>
      </c>
      <c r="S1381">
        <v>20</v>
      </c>
      <c r="T1381">
        <v>9</v>
      </c>
      <c r="U1381">
        <v>9</v>
      </c>
      <c r="V1381" t="s">
        <v>58</v>
      </c>
      <c r="W1381" s="1" t="s">
        <v>702</v>
      </c>
      <c r="Y1381" t="s">
        <v>39</v>
      </c>
      <c r="Z1381" t="s">
        <v>47</v>
      </c>
      <c r="AA1381">
        <v>2</v>
      </c>
      <c r="AB1381">
        <v>1</v>
      </c>
      <c r="AC1381" t="s">
        <v>41</v>
      </c>
      <c r="AD1381" t="s">
        <v>65</v>
      </c>
      <c r="AE1381" t="s">
        <v>49</v>
      </c>
      <c r="AF1381" s="3">
        <v>1546</v>
      </c>
      <c r="AG1381" s="3">
        <v>97</v>
      </c>
      <c r="AH1381">
        <v>80</v>
      </c>
      <c r="AI1381">
        <v>4</v>
      </c>
      <c r="AJ1381">
        <v>0</v>
      </c>
      <c r="AL1381">
        <v>0</v>
      </c>
      <c r="AM1381">
        <v>1</v>
      </c>
      <c r="AN1381" t="s">
        <v>768</v>
      </c>
      <c r="AO1381" t="s">
        <v>41</v>
      </c>
    </row>
    <row r="1382" spans="1:41" x14ac:dyDescent="0.25">
      <c r="A1382">
        <v>45</v>
      </c>
      <c r="B1382" t="s">
        <v>81</v>
      </c>
      <c r="C1382" t="s">
        <v>33</v>
      </c>
      <c r="D1382">
        <v>2</v>
      </c>
      <c r="E1382" t="s">
        <v>34</v>
      </c>
      <c r="F1382">
        <v>2</v>
      </c>
      <c r="G1382">
        <v>4</v>
      </c>
      <c r="H1382" t="s">
        <v>75</v>
      </c>
      <c r="I1382">
        <v>4</v>
      </c>
      <c r="J1382" t="s">
        <v>51</v>
      </c>
      <c r="K1382">
        <v>16792</v>
      </c>
      <c r="L1382">
        <v>9</v>
      </c>
      <c r="M1382" t="s">
        <v>41</v>
      </c>
      <c r="N1382">
        <v>23</v>
      </c>
      <c r="O1382">
        <v>4</v>
      </c>
      <c r="P1382">
        <v>1</v>
      </c>
      <c r="Q1382">
        <v>22</v>
      </c>
      <c r="R1382">
        <v>1</v>
      </c>
      <c r="S1382">
        <v>20</v>
      </c>
      <c r="T1382">
        <v>11</v>
      </c>
      <c r="U1382">
        <v>8</v>
      </c>
      <c r="V1382" t="s">
        <v>58</v>
      </c>
      <c r="W1382" s="1" t="s">
        <v>701</v>
      </c>
      <c r="Y1382" t="s">
        <v>39</v>
      </c>
      <c r="Z1382" t="s">
        <v>40</v>
      </c>
      <c r="AA1382">
        <v>5</v>
      </c>
      <c r="AB1382">
        <v>2</v>
      </c>
      <c r="AC1382" t="s">
        <v>31</v>
      </c>
      <c r="AD1382" t="s">
        <v>48</v>
      </c>
      <c r="AE1382" t="s">
        <v>60</v>
      </c>
      <c r="AF1382" s="3">
        <v>1993</v>
      </c>
      <c r="AG1382" s="3">
        <v>84</v>
      </c>
      <c r="AH1382">
        <v>80</v>
      </c>
      <c r="AI1382">
        <v>14</v>
      </c>
      <c r="AJ1382">
        <v>0</v>
      </c>
      <c r="AL1382">
        <v>0</v>
      </c>
      <c r="AM1382">
        <v>1</v>
      </c>
      <c r="AN1382" t="s">
        <v>768</v>
      </c>
      <c r="AO1382" t="s">
        <v>41</v>
      </c>
    </row>
    <row r="1383" spans="1:41" x14ac:dyDescent="0.25">
      <c r="A1383">
        <v>45</v>
      </c>
      <c r="B1383" t="s">
        <v>32</v>
      </c>
      <c r="C1383" t="s">
        <v>33</v>
      </c>
      <c r="D1383">
        <v>20</v>
      </c>
      <c r="E1383" t="s">
        <v>34</v>
      </c>
      <c r="F1383">
        <v>3</v>
      </c>
      <c r="G1383">
        <v>4</v>
      </c>
      <c r="H1383" t="s">
        <v>89</v>
      </c>
      <c r="I1383">
        <v>4</v>
      </c>
      <c r="J1383" t="s">
        <v>51</v>
      </c>
      <c r="K1383">
        <v>13496</v>
      </c>
      <c r="L1383">
        <v>0</v>
      </c>
      <c r="M1383" t="s">
        <v>31</v>
      </c>
      <c r="N1383">
        <v>14</v>
      </c>
      <c r="O1383">
        <v>3</v>
      </c>
      <c r="P1383">
        <v>0</v>
      </c>
      <c r="Q1383">
        <v>21</v>
      </c>
      <c r="R1383">
        <v>2</v>
      </c>
      <c r="S1383">
        <v>20</v>
      </c>
      <c r="T1383">
        <v>4</v>
      </c>
      <c r="U1383">
        <v>10</v>
      </c>
      <c r="V1383" t="s">
        <v>58</v>
      </c>
      <c r="W1383" s="1" t="s">
        <v>703</v>
      </c>
      <c r="Y1383" t="s">
        <v>54</v>
      </c>
      <c r="Z1383" t="s">
        <v>47</v>
      </c>
      <c r="AA1383">
        <v>3</v>
      </c>
      <c r="AB1383">
        <v>2</v>
      </c>
      <c r="AC1383" t="s">
        <v>31</v>
      </c>
      <c r="AD1383" t="s">
        <v>42</v>
      </c>
      <c r="AE1383" t="s">
        <v>60</v>
      </c>
      <c r="AF1383" s="3">
        <v>1800</v>
      </c>
      <c r="AG1383" s="3">
        <v>65</v>
      </c>
      <c r="AH1383">
        <v>80</v>
      </c>
      <c r="AI1383">
        <v>3</v>
      </c>
      <c r="AJ1383">
        <v>0</v>
      </c>
      <c r="AL1383">
        <v>0</v>
      </c>
      <c r="AM1383">
        <v>1</v>
      </c>
      <c r="AN1383" t="s">
        <v>768</v>
      </c>
      <c r="AO1383" t="s">
        <v>41</v>
      </c>
    </row>
    <row r="1384" spans="1:41" x14ac:dyDescent="0.25">
      <c r="A1384">
        <v>42</v>
      </c>
      <c r="B1384" t="s">
        <v>32</v>
      </c>
      <c r="C1384" t="s">
        <v>55</v>
      </c>
      <c r="D1384">
        <v>1</v>
      </c>
      <c r="E1384" t="s">
        <v>34</v>
      </c>
      <c r="F1384">
        <v>3</v>
      </c>
      <c r="G1384">
        <v>2</v>
      </c>
      <c r="H1384" t="s">
        <v>70</v>
      </c>
      <c r="I1384">
        <v>3</v>
      </c>
      <c r="J1384" t="s">
        <v>51</v>
      </c>
      <c r="K1384">
        <v>4907</v>
      </c>
      <c r="L1384">
        <v>1</v>
      </c>
      <c r="M1384" t="s">
        <v>41</v>
      </c>
      <c r="N1384">
        <v>25</v>
      </c>
      <c r="O1384">
        <v>4</v>
      </c>
      <c r="P1384">
        <v>0</v>
      </c>
      <c r="Q1384">
        <v>20</v>
      </c>
      <c r="R1384">
        <v>3</v>
      </c>
      <c r="S1384">
        <v>20</v>
      </c>
      <c r="T1384">
        <v>11</v>
      </c>
      <c r="U1384">
        <v>6</v>
      </c>
      <c r="V1384" t="s">
        <v>72</v>
      </c>
      <c r="W1384" s="1" t="s">
        <v>704</v>
      </c>
      <c r="Y1384" t="s">
        <v>39</v>
      </c>
      <c r="Z1384" t="s">
        <v>47</v>
      </c>
      <c r="AA1384">
        <v>5</v>
      </c>
      <c r="AB1384">
        <v>2</v>
      </c>
      <c r="AC1384" t="s">
        <v>41</v>
      </c>
      <c r="AD1384" t="s">
        <v>48</v>
      </c>
      <c r="AE1384" t="s">
        <v>49</v>
      </c>
      <c r="AF1384" s="3">
        <v>1516</v>
      </c>
      <c r="AG1384" s="3">
        <v>64</v>
      </c>
      <c r="AH1384">
        <v>80</v>
      </c>
      <c r="AI1384">
        <v>2</v>
      </c>
      <c r="AJ1384">
        <v>0</v>
      </c>
      <c r="AL1384">
        <v>0</v>
      </c>
      <c r="AM1384">
        <v>1</v>
      </c>
      <c r="AN1384" t="s">
        <v>768</v>
      </c>
      <c r="AO1384" t="s">
        <v>41</v>
      </c>
    </row>
    <row r="1385" spans="1:41" x14ac:dyDescent="0.25">
      <c r="A1385">
        <v>42</v>
      </c>
      <c r="B1385" t="s">
        <v>66</v>
      </c>
      <c r="C1385" t="s">
        <v>55</v>
      </c>
      <c r="D1385">
        <v>26</v>
      </c>
      <c r="E1385" t="s">
        <v>61</v>
      </c>
      <c r="F1385">
        <v>3</v>
      </c>
      <c r="G1385">
        <v>4</v>
      </c>
      <c r="H1385" t="s">
        <v>70</v>
      </c>
      <c r="I1385">
        <v>2</v>
      </c>
      <c r="J1385" t="s">
        <v>51</v>
      </c>
      <c r="K1385">
        <v>13525</v>
      </c>
      <c r="L1385">
        <v>5</v>
      </c>
      <c r="M1385" t="s">
        <v>41</v>
      </c>
      <c r="N1385">
        <v>14</v>
      </c>
      <c r="O1385">
        <v>3</v>
      </c>
      <c r="P1385">
        <v>1</v>
      </c>
      <c r="Q1385">
        <v>23</v>
      </c>
      <c r="R1385">
        <v>2</v>
      </c>
      <c r="S1385">
        <v>20</v>
      </c>
      <c r="T1385">
        <v>4</v>
      </c>
      <c r="U1385">
        <v>8</v>
      </c>
      <c r="V1385" t="s">
        <v>37</v>
      </c>
      <c r="W1385" s="2">
        <v>36985</v>
      </c>
      <c r="Y1385" t="s">
        <v>39</v>
      </c>
      <c r="Z1385" t="s">
        <v>40</v>
      </c>
      <c r="AA1385">
        <v>5</v>
      </c>
      <c r="AB1385">
        <v>3</v>
      </c>
      <c r="AC1385" t="s">
        <v>31</v>
      </c>
      <c r="AD1385" t="s">
        <v>67</v>
      </c>
      <c r="AE1385" t="s">
        <v>43</v>
      </c>
      <c r="AF1385" s="3">
        <v>1966</v>
      </c>
      <c r="AG1385" s="3">
        <v>56</v>
      </c>
      <c r="AH1385">
        <v>80</v>
      </c>
      <c r="AI1385">
        <v>0</v>
      </c>
      <c r="AJ1385">
        <v>0</v>
      </c>
      <c r="AL1385">
        <v>0</v>
      </c>
      <c r="AM1385">
        <v>1</v>
      </c>
      <c r="AN1385" t="s">
        <v>768</v>
      </c>
      <c r="AO1385" t="s">
        <v>41</v>
      </c>
    </row>
    <row r="1386" spans="1:41" x14ac:dyDescent="0.25">
      <c r="A1386">
        <v>40</v>
      </c>
      <c r="B1386" t="s">
        <v>32</v>
      </c>
      <c r="C1386" t="s">
        <v>55</v>
      </c>
      <c r="D1386">
        <v>2</v>
      </c>
      <c r="E1386" t="s">
        <v>61</v>
      </c>
      <c r="F1386">
        <v>3</v>
      </c>
      <c r="G1386">
        <v>5</v>
      </c>
      <c r="H1386" t="s">
        <v>75</v>
      </c>
      <c r="I1386">
        <v>3</v>
      </c>
      <c r="J1386" t="s">
        <v>51</v>
      </c>
      <c r="K1386">
        <v>18041</v>
      </c>
      <c r="L1386">
        <v>0</v>
      </c>
      <c r="M1386" t="s">
        <v>41</v>
      </c>
      <c r="N1386">
        <v>14</v>
      </c>
      <c r="O1386">
        <v>3</v>
      </c>
      <c r="P1386">
        <v>0</v>
      </c>
      <c r="Q1386">
        <v>21</v>
      </c>
      <c r="R1386">
        <v>2</v>
      </c>
      <c r="S1386">
        <v>20</v>
      </c>
      <c r="T1386">
        <v>1</v>
      </c>
      <c r="U1386">
        <v>12</v>
      </c>
      <c r="V1386" t="s">
        <v>52</v>
      </c>
      <c r="W1386" s="1" t="s">
        <v>705</v>
      </c>
      <c r="Y1386" t="s">
        <v>63</v>
      </c>
      <c r="Z1386" t="s">
        <v>40</v>
      </c>
      <c r="AA1386">
        <v>2</v>
      </c>
      <c r="AB1386">
        <v>0</v>
      </c>
      <c r="AC1386" t="s">
        <v>31</v>
      </c>
      <c r="AD1386" t="s">
        <v>42</v>
      </c>
      <c r="AE1386" t="s">
        <v>60</v>
      </c>
      <c r="AF1386" s="3">
        <v>1595</v>
      </c>
      <c r="AG1386" s="3">
        <v>93</v>
      </c>
      <c r="AH1386">
        <v>80</v>
      </c>
      <c r="AI1386">
        <v>0</v>
      </c>
      <c r="AJ1386">
        <v>0</v>
      </c>
      <c r="AL1386">
        <v>0</v>
      </c>
      <c r="AM1386">
        <v>1</v>
      </c>
      <c r="AN1386" t="s">
        <v>768</v>
      </c>
      <c r="AO1386" t="s">
        <v>41</v>
      </c>
    </row>
    <row r="1387" spans="1:41" x14ac:dyDescent="0.25">
      <c r="A1387">
        <v>40</v>
      </c>
      <c r="B1387" t="s">
        <v>32</v>
      </c>
      <c r="C1387" t="s">
        <v>33</v>
      </c>
      <c r="D1387">
        <v>6</v>
      </c>
      <c r="E1387" t="s">
        <v>61</v>
      </c>
      <c r="F1387">
        <v>3</v>
      </c>
      <c r="G1387">
        <v>4</v>
      </c>
      <c r="H1387" t="s">
        <v>78</v>
      </c>
      <c r="I1387">
        <v>3</v>
      </c>
      <c r="J1387" t="s">
        <v>36</v>
      </c>
      <c r="K1387">
        <v>13237</v>
      </c>
      <c r="L1387">
        <v>7</v>
      </c>
      <c r="M1387" t="s">
        <v>41</v>
      </c>
      <c r="N1387">
        <v>15</v>
      </c>
      <c r="O1387">
        <v>3</v>
      </c>
      <c r="P1387">
        <v>0</v>
      </c>
      <c r="Q1387">
        <v>22</v>
      </c>
      <c r="R1387">
        <v>3</v>
      </c>
      <c r="S1387">
        <v>20</v>
      </c>
      <c r="T1387">
        <v>5</v>
      </c>
      <c r="U1387">
        <v>13</v>
      </c>
      <c r="V1387" t="s">
        <v>37</v>
      </c>
      <c r="W1387" s="2">
        <v>37073</v>
      </c>
      <c r="Y1387" t="s">
        <v>69</v>
      </c>
      <c r="Z1387" t="s">
        <v>47</v>
      </c>
      <c r="AA1387">
        <v>3</v>
      </c>
      <c r="AB1387">
        <v>0</v>
      </c>
      <c r="AC1387" t="s">
        <v>41</v>
      </c>
      <c r="AD1387" t="s">
        <v>42</v>
      </c>
      <c r="AE1387" t="s">
        <v>43</v>
      </c>
      <c r="AF1387" s="3">
        <v>1578</v>
      </c>
      <c r="AG1387" s="3">
        <v>60</v>
      </c>
      <c r="AH1387">
        <v>80</v>
      </c>
      <c r="AI1387">
        <v>6</v>
      </c>
      <c r="AJ1387">
        <v>0</v>
      </c>
      <c r="AL1387">
        <v>0</v>
      </c>
      <c r="AM1387">
        <v>1</v>
      </c>
      <c r="AN1387" t="s">
        <v>768</v>
      </c>
      <c r="AO1387" t="s">
        <v>41</v>
      </c>
    </row>
    <row r="1388" spans="1:41" x14ac:dyDescent="0.25">
      <c r="A1388">
        <v>50</v>
      </c>
      <c r="B1388" t="s">
        <v>32</v>
      </c>
      <c r="C1388" t="s">
        <v>33</v>
      </c>
      <c r="D1388">
        <v>28</v>
      </c>
      <c r="E1388" t="s">
        <v>34</v>
      </c>
      <c r="F1388">
        <v>4</v>
      </c>
      <c r="G1388">
        <v>1</v>
      </c>
      <c r="H1388" t="s">
        <v>35</v>
      </c>
      <c r="I1388">
        <v>3</v>
      </c>
      <c r="J1388" t="s">
        <v>51</v>
      </c>
      <c r="K1388">
        <v>3221</v>
      </c>
      <c r="L1388">
        <v>1</v>
      </c>
      <c r="M1388" t="s">
        <v>31</v>
      </c>
      <c r="N1388">
        <v>11</v>
      </c>
      <c r="O1388">
        <v>3</v>
      </c>
      <c r="P1388">
        <v>3</v>
      </c>
      <c r="Q1388">
        <v>20</v>
      </c>
      <c r="R1388">
        <v>3</v>
      </c>
      <c r="S1388">
        <v>20</v>
      </c>
      <c r="T1388">
        <v>3</v>
      </c>
      <c r="U1388">
        <v>8</v>
      </c>
      <c r="V1388" t="s">
        <v>58</v>
      </c>
      <c r="W1388" s="1" t="s">
        <v>706</v>
      </c>
      <c r="Y1388" t="s">
        <v>54</v>
      </c>
      <c r="Z1388" t="s">
        <v>47</v>
      </c>
      <c r="AA1388">
        <v>2</v>
      </c>
      <c r="AB1388">
        <v>2</v>
      </c>
      <c r="AC1388" t="s">
        <v>41</v>
      </c>
      <c r="AD1388" t="s">
        <v>48</v>
      </c>
      <c r="AE1388" t="s">
        <v>60</v>
      </c>
      <c r="AF1388" s="3">
        <v>1823</v>
      </c>
      <c r="AG1388" s="3">
        <v>92</v>
      </c>
      <c r="AH1388">
        <v>80</v>
      </c>
      <c r="AI1388">
        <v>8</v>
      </c>
      <c r="AJ1388">
        <v>0</v>
      </c>
      <c r="AL1388">
        <v>0</v>
      </c>
      <c r="AM1388">
        <v>1</v>
      </c>
      <c r="AN1388" t="s">
        <v>768</v>
      </c>
      <c r="AO1388" t="s">
        <v>41</v>
      </c>
    </row>
    <row r="1389" spans="1:41" x14ac:dyDescent="0.25">
      <c r="A1389">
        <v>39</v>
      </c>
      <c r="B1389" t="s">
        <v>32</v>
      </c>
      <c r="C1389" t="s">
        <v>33</v>
      </c>
      <c r="D1389">
        <v>2</v>
      </c>
      <c r="E1389" t="s">
        <v>61</v>
      </c>
      <c r="F1389">
        <v>2</v>
      </c>
      <c r="G1389">
        <v>2</v>
      </c>
      <c r="H1389" t="s">
        <v>89</v>
      </c>
      <c r="I1389">
        <v>3</v>
      </c>
      <c r="J1389" t="s">
        <v>36</v>
      </c>
      <c r="K1389">
        <v>4553</v>
      </c>
      <c r="L1389">
        <v>1</v>
      </c>
      <c r="M1389" t="s">
        <v>41</v>
      </c>
      <c r="N1389">
        <v>11</v>
      </c>
      <c r="O1389">
        <v>3</v>
      </c>
      <c r="P1389">
        <v>0</v>
      </c>
      <c r="Q1389">
        <v>20</v>
      </c>
      <c r="R1389">
        <v>4</v>
      </c>
      <c r="S1389">
        <v>20</v>
      </c>
      <c r="T1389">
        <v>11</v>
      </c>
      <c r="U1389">
        <v>10</v>
      </c>
      <c r="V1389" t="s">
        <v>72</v>
      </c>
      <c r="W1389" s="2">
        <v>37106</v>
      </c>
      <c r="Y1389" t="s">
        <v>46</v>
      </c>
      <c r="Z1389" t="s">
        <v>40</v>
      </c>
      <c r="AA1389">
        <v>5</v>
      </c>
      <c r="AB1389">
        <v>3</v>
      </c>
      <c r="AC1389" t="s">
        <v>41</v>
      </c>
      <c r="AD1389" t="s">
        <v>65</v>
      </c>
      <c r="AE1389" t="s">
        <v>60</v>
      </c>
      <c r="AF1389" s="3">
        <v>1950</v>
      </c>
      <c r="AG1389" s="3">
        <v>32</v>
      </c>
      <c r="AH1389">
        <v>80</v>
      </c>
      <c r="AI1389">
        <v>8</v>
      </c>
      <c r="AJ1389">
        <v>0</v>
      </c>
      <c r="AL1389">
        <v>0</v>
      </c>
      <c r="AM1389">
        <v>1</v>
      </c>
      <c r="AN1389" t="s">
        <v>768</v>
      </c>
      <c r="AO1389" t="s">
        <v>41</v>
      </c>
    </row>
    <row r="1390" spans="1:41" x14ac:dyDescent="0.25">
      <c r="A1390">
        <v>51</v>
      </c>
      <c r="B1390" t="s">
        <v>32</v>
      </c>
      <c r="C1390" t="s">
        <v>55</v>
      </c>
      <c r="D1390">
        <v>26</v>
      </c>
      <c r="E1390" t="s">
        <v>61</v>
      </c>
      <c r="F1390">
        <v>3</v>
      </c>
      <c r="G1390">
        <v>4</v>
      </c>
      <c r="H1390" t="s">
        <v>75</v>
      </c>
      <c r="I1390">
        <v>3</v>
      </c>
      <c r="J1390" t="s">
        <v>51</v>
      </c>
      <c r="K1390">
        <v>16307</v>
      </c>
      <c r="L1390">
        <v>2</v>
      </c>
      <c r="M1390" t="s">
        <v>41</v>
      </c>
      <c r="N1390">
        <v>14</v>
      </c>
      <c r="O1390">
        <v>3</v>
      </c>
      <c r="P1390">
        <v>1</v>
      </c>
      <c r="Q1390">
        <v>29</v>
      </c>
      <c r="R1390">
        <v>2</v>
      </c>
      <c r="S1390">
        <v>20</v>
      </c>
      <c r="T1390">
        <v>4</v>
      </c>
      <c r="U1390">
        <v>17</v>
      </c>
      <c r="V1390" t="s">
        <v>52</v>
      </c>
      <c r="W1390" s="1" t="s">
        <v>707</v>
      </c>
      <c r="Y1390" t="s">
        <v>63</v>
      </c>
      <c r="Z1390" t="s">
        <v>40</v>
      </c>
      <c r="AA1390">
        <v>0</v>
      </c>
      <c r="AB1390">
        <v>1</v>
      </c>
      <c r="AC1390" t="s">
        <v>31</v>
      </c>
      <c r="AD1390" t="s">
        <v>67</v>
      </c>
      <c r="AE1390" t="s">
        <v>60</v>
      </c>
      <c r="AF1390" s="3">
        <v>1775</v>
      </c>
      <c r="AG1390" s="3">
        <v>60</v>
      </c>
      <c r="AH1390">
        <v>80</v>
      </c>
      <c r="AI1390">
        <v>2</v>
      </c>
      <c r="AJ1390">
        <v>0</v>
      </c>
      <c r="AL1390">
        <v>0</v>
      </c>
      <c r="AM1390">
        <v>1</v>
      </c>
      <c r="AN1390" t="s">
        <v>768</v>
      </c>
      <c r="AO1390" t="s">
        <v>41</v>
      </c>
    </row>
    <row r="1391" spans="1:41" x14ac:dyDescent="0.25">
      <c r="A1391">
        <v>44</v>
      </c>
      <c r="B1391" t="s">
        <v>32</v>
      </c>
      <c r="C1391" t="s">
        <v>120</v>
      </c>
      <c r="D1391">
        <v>1</v>
      </c>
      <c r="E1391" t="s">
        <v>34</v>
      </c>
      <c r="F1391">
        <v>2</v>
      </c>
      <c r="G1391">
        <v>3</v>
      </c>
      <c r="H1391" t="s">
        <v>120</v>
      </c>
      <c r="I1391">
        <v>1</v>
      </c>
      <c r="J1391" t="s">
        <v>51</v>
      </c>
      <c r="K1391">
        <v>10482</v>
      </c>
      <c r="L1391">
        <v>9</v>
      </c>
      <c r="M1391" t="s">
        <v>41</v>
      </c>
      <c r="N1391">
        <v>14</v>
      </c>
      <c r="O1391">
        <v>3</v>
      </c>
      <c r="P1391">
        <v>1</v>
      </c>
      <c r="Q1391">
        <v>24</v>
      </c>
      <c r="R1391">
        <v>1</v>
      </c>
      <c r="S1391">
        <v>20</v>
      </c>
      <c r="T1391">
        <v>3</v>
      </c>
      <c r="U1391">
        <v>6</v>
      </c>
      <c r="V1391" t="s">
        <v>37</v>
      </c>
      <c r="W1391" s="2">
        <v>37013</v>
      </c>
      <c r="Y1391" t="s">
        <v>69</v>
      </c>
      <c r="Z1391" t="s">
        <v>47</v>
      </c>
      <c r="AA1391">
        <v>1</v>
      </c>
      <c r="AB1391">
        <v>2</v>
      </c>
      <c r="AC1391" t="s">
        <v>41</v>
      </c>
      <c r="AD1391" t="s">
        <v>65</v>
      </c>
      <c r="AE1391" t="s">
        <v>43</v>
      </c>
      <c r="AF1391" s="3">
        <v>1681</v>
      </c>
      <c r="AG1391" s="3">
        <v>36</v>
      </c>
      <c r="AH1391">
        <v>80</v>
      </c>
      <c r="AI1391">
        <v>5</v>
      </c>
      <c r="AJ1391">
        <v>0</v>
      </c>
      <c r="AL1391">
        <v>0</v>
      </c>
      <c r="AM1391">
        <v>1</v>
      </c>
      <c r="AN1391" t="s">
        <v>768</v>
      </c>
      <c r="AO1391" t="s">
        <v>41</v>
      </c>
    </row>
    <row r="1392" spans="1:41" x14ac:dyDescent="0.25">
      <c r="A1392">
        <v>40</v>
      </c>
      <c r="B1392" t="s">
        <v>32</v>
      </c>
      <c r="C1392" t="s">
        <v>33</v>
      </c>
      <c r="D1392">
        <v>14</v>
      </c>
      <c r="E1392" t="s">
        <v>34</v>
      </c>
      <c r="F1392">
        <v>2</v>
      </c>
      <c r="G1392">
        <v>5</v>
      </c>
      <c r="H1392" t="s">
        <v>50</v>
      </c>
      <c r="I1392">
        <v>3</v>
      </c>
      <c r="J1392" t="s">
        <v>36</v>
      </c>
      <c r="K1392">
        <v>19626</v>
      </c>
      <c r="L1392">
        <v>1</v>
      </c>
      <c r="M1392" t="s">
        <v>41</v>
      </c>
      <c r="N1392">
        <v>14</v>
      </c>
      <c r="O1392">
        <v>3</v>
      </c>
      <c r="P1392">
        <v>0</v>
      </c>
      <c r="Q1392">
        <v>21</v>
      </c>
      <c r="R1392">
        <v>2</v>
      </c>
      <c r="S1392">
        <v>20</v>
      </c>
      <c r="T1392">
        <v>4</v>
      </c>
      <c r="U1392">
        <v>9</v>
      </c>
      <c r="V1392" t="s">
        <v>72</v>
      </c>
      <c r="W1392" s="1" t="s">
        <v>704</v>
      </c>
      <c r="Y1392" t="s">
        <v>46</v>
      </c>
      <c r="Z1392" t="s">
        <v>47</v>
      </c>
      <c r="AA1392">
        <v>3</v>
      </c>
      <c r="AB1392">
        <v>2</v>
      </c>
      <c r="AC1392" t="s">
        <v>31</v>
      </c>
      <c r="AD1392" t="s">
        <v>65</v>
      </c>
      <c r="AE1392" t="s">
        <v>43</v>
      </c>
      <c r="AF1392" s="3">
        <v>2017</v>
      </c>
      <c r="AG1392" s="3">
        <v>42</v>
      </c>
      <c r="AH1392">
        <v>80</v>
      </c>
      <c r="AI1392">
        <v>11</v>
      </c>
      <c r="AJ1392">
        <v>0</v>
      </c>
      <c r="AL1392">
        <v>0</v>
      </c>
      <c r="AM1392">
        <v>1</v>
      </c>
      <c r="AN1392" t="s">
        <v>768</v>
      </c>
      <c r="AO1392" t="s">
        <v>41</v>
      </c>
    </row>
    <row r="1393" spans="1:41" x14ac:dyDescent="0.25">
      <c r="A1393">
        <v>44</v>
      </c>
      <c r="B1393" t="s">
        <v>32</v>
      </c>
      <c r="C1393" t="s">
        <v>33</v>
      </c>
      <c r="D1393">
        <v>29</v>
      </c>
      <c r="E1393" t="s">
        <v>34</v>
      </c>
      <c r="F1393">
        <v>3</v>
      </c>
      <c r="G1393">
        <v>2</v>
      </c>
      <c r="H1393" t="s">
        <v>44</v>
      </c>
      <c r="I1393">
        <v>4</v>
      </c>
      <c r="J1393" t="s">
        <v>36</v>
      </c>
      <c r="K1393">
        <v>4541</v>
      </c>
      <c r="L1393">
        <v>1</v>
      </c>
      <c r="M1393" t="s">
        <v>41</v>
      </c>
      <c r="N1393">
        <v>25</v>
      </c>
      <c r="O1393">
        <v>4</v>
      </c>
      <c r="P1393">
        <v>0</v>
      </c>
      <c r="Q1393">
        <v>20</v>
      </c>
      <c r="R1393">
        <v>3</v>
      </c>
      <c r="S1393">
        <v>20</v>
      </c>
      <c r="T1393">
        <v>13</v>
      </c>
      <c r="U1393">
        <v>17</v>
      </c>
      <c r="V1393" t="s">
        <v>37</v>
      </c>
      <c r="W1393" s="2">
        <v>36952</v>
      </c>
      <c r="Y1393" t="s">
        <v>39</v>
      </c>
      <c r="Z1393" t="s">
        <v>40</v>
      </c>
      <c r="AA1393">
        <v>3</v>
      </c>
      <c r="AB1393">
        <v>0</v>
      </c>
      <c r="AC1393" t="s">
        <v>31</v>
      </c>
      <c r="AD1393" t="s">
        <v>65</v>
      </c>
      <c r="AE1393" t="s">
        <v>60</v>
      </c>
      <c r="AF1393" s="3">
        <v>1423</v>
      </c>
      <c r="AG1393" s="3">
        <v>76</v>
      </c>
      <c r="AH1393">
        <v>80</v>
      </c>
      <c r="AI1393">
        <v>8</v>
      </c>
      <c r="AJ1393">
        <v>0</v>
      </c>
      <c r="AL1393">
        <v>0</v>
      </c>
      <c r="AM1393">
        <v>1</v>
      </c>
      <c r="AN1393" t="s">
        <v>768</v>
      </c>
      <c r="AO1393" t="s">
        <v>41</v>
      </c>
    </row>
    <row r="1394" spans="1:41" x14ac:dyDescent="0.25">
      <c r="A1394">
        <v>42</v>
      </c>
      <c r="B1394" t="s">
        <v>81</v>
      </c>
      <c r="C1394" t="s">
        <v>33</v>
      </c>
      <c r="D1394">
        <v>2</v>
      </c>
      <c r="E1394" t="s">
        <v>34</v>
      </c>
      <c r="F1394">
        <v>3</v>
      </c>
      <c r="G1394">
        <v>4</v>
      </c>
      <c r="H1394" t="s">
        <v>75</v>
      </c>
      <c r="I1394">
        <v>3</v>
      </c>
      <c r="J1394" t="s">
        <v>51</v>
      </c>
      <c r="K1394">
        <v>17861</v>
      </c>
      <c r="L1394">
        <v>0</v>
      </c>
      <c r="M1394" t="s">
        <v>31</v>
      </c>
      <c r="N1394">
        <v>13</v>
      </c>
      <c r="O1394">
        <v>3</v>
      </c>
      <c r="P1394">
        <v>0</v>
      </c>
      <c r="Q1394">
        <v>21</v>
      </c>
      <c r="R1394">
        <v>3</v>
      </c>
      <c r="S1394">
        <v>20</v>
      </c>
      <c r="T1394">
        <v>2</v>
      </c>
      <c r="U1394">
        <v>10</v>
      </c>
      <c r="V1394" t="s">
        <v>37</v>
      </c>
      <c r="W1394" s="1" t="s">
        <v>708</v>
      </c>
      <c r="Y1394" t="s">
        <v>39</v>
      </c>
      <c r="Z1394" t="s">
        <v>40</v>
      </c>
      <c r="AA1394">
        <v>4</v>
      </c>
      <c r="AB1394">
        <v>2</v>
      </c>
      <c r="AC1394" t="s">
        <v>41</v>
      </c>
      <c r="AD1394" t="s">
        <v>67</v>
      </c>
      <c r="AE1394" t="s">
        <v>43</v>
      </c>
      <c r="AF1394" s="3">
        <v>1847</v>
      </c>
      <c r="AG1394" s="3">
        <v>73</v>
      </c>
      <c r="AH1394">
        <v>80</v>
      </c>
      <c r="AI1394">
        <v>0</v>
      </c>
      <c r="AJ1394">
        <v>0</v>
      </c>
      <c r="AL1394">
        <v>0</v>
      </c>
      <c r="AM1394">
        <v>1</v>
      </c>
      <c r="AN1394" t="s">
        <v>768</v>
      </c>
      <c r="AO1394" t="s">
        <v>41</v>
      </c>
    </row>
    <row r="1395" spans="1:41" x14ac:dyDescent="0.25">
      <c r="A1395">
        <v>43</v>
      </c>
      <c r="B1395" t="s">
        <v>32</v>
      </c>
      <c r="C1395" t="s">
        <v>33</v>
      </c>
      <c r="D1395">
        <v>6</v>
      </c>
      <c r="E1395" t="s">
        <v>61</v>
      </c>
      <c r="F1395">
        <v>2</v>
      </c>
      <c r="G1395">
        <v>2</v>
      </c>
      <c r="H1395" t="s">
        <v>44</v>
      </c>
      <c r="I1395">
        <v>3</v>
      </c>
      <c r="J1395" t="s">
        <v>36</v>
      </c>
      <c r="K1395">
        <v>4081</v>
      </c>
      <c r="L1395">
        <v>1</v>
      </c>
      <c r="M1395" t="s">
        <v>31</v>
      </c>
      <c r="N1395">
        <v>14</v>
      </c>
      <c r="O1395">
        <v>3</v>
      </c>
      <c r="P1395">
        <v>0</v>
      </c>
      <c r="Q1395">
        <v>20</v>
      </c>
      <c r="R1395">
        <v>3</v>
      </c>
      <c r="S1395">
        <v>20</v>
      </c>
      <c r="T1395">
        <v>1</v>
      </c>
      <c r="U1395">
        <v>8</v>
      </c>
      <c r="V1395" t="s">
        <v>37</v>
      </c>
      <c r="W1395" s="2">
        <v>36892</v>
      </c>
      <c r="Y1395" t="s">
        <v>39</v>
      </c>
      <c r="Z1395" t="s">
        <v>40</v>
      </c>
      <c r="AA1395">
        <v>5</v>
      </c>
      <c r="AB1395">
        <v>1</v>
      </c>
      <c r="AC1395" t="s">
        <v>31</v>
      </c>
      <c r="AD1395" t="s">
        <v>42</v>
      </c>
      <c r="AE1395" t="s">
        <v>49</v>
      </c>
      <c r="AF1395" s="3">
        <v>2018</v>
      </c>
      <c r="AG1395" s="3">
        <v>85</v>
      </c>
      <c r="AH1395">
        <v>80</v>
      </c>
      <c r="AI1395">
        <v>3</v>
      </c>
      <c r="AJ1395">
        <v>0</v>
      </c>
      <c r="AL1395">
        <v>0</v>
      </c>
      <c r="AM1395">
        <v>1</v>
      </c>
      <c r="AN1395" t="s">
        <v>768</v>
      </c>
      <c r="AO1395" t="s">
        <v>41</v>
      </c>
    </row>
    <row r="1396" spans="1:41" x14ac:dyDescent="0.25">
      <c r="A1396">
        <v>42</v>
      </c>
      <c r="B1396" t="s">
        <v>32</v>
      </c>
      <c r="C1396" t="s">
        <v>120</v>
      </c>
      <c r="D1396">
        <v>10</v>
      </c>
      <c r="E1396" t="s">
        <v>61</v>
      </c>
      <c r="F1396">
        <v>3</v>
      </c>
      <c r="G1396">
        <v>4</v>
      </c>
      <c r="H1396" t="s">
        <v>75</v>
      </c>
      <c r="I1396">
        <v>1</v>
      </c>
      <c r="J1396" t="s">
        <v>51</v>
      </c>
      <c r="K1396">
        <v>16799</v>
      </c>
      <c r="L1396">
        <v>0</v>
      </c>
      <c r="M1396" t="s">
        <v>41</v>
      </c>
      <c r="N1396">
        <v>14</v>
      </c>
      <c r="O1396">
        <v>3</v>
      </c>
      <c r="P1396">
        <v>1</v>
      </c>
      <c r="Q1396">
        <v>21</v>
      </c>
      <c r="R1396">
        <v>5</v>
      </c>
      <c r="S1396">
        <v>20</v>
      </c>
      <c r="T1396">
        <v>0</v>
      </c>
      <c r="U1396">
        <v>9</v>
      </c>
      <c r="V1396" t="s">
        <v>37</v>
      </c>
      <c r="W1396" s="2">
        <v>37170</v>
      </c>
      <c r="Y1396" t="s">
        <v>46</v>
      </c>
      <c r="Z1396" t="s">
        <v>47</v>
      </c>
      <c r="AA1396">
        <v>4</v>
      </c>
      <c r="AB1396">
        <v>0</v>
      </c>
      <c r="AC1396" t="s">
        <v>31</v>
      </c>
      <c r="AD1396" t="s">
        <v>42</v>
      </c>
      <c r="AE1396" t="s">
        <v>43</v>
      </c>
      <c r="AF1396" s="3">
        <v>1835</v>
      </c>
      <c r="AG1396" s="3">
        <v>77</v>
      </c>
      <c r="AH1396">
        <v>80</v>
      </c>
      <c r="AI1396">
        <v>2</v>
      </c>
      <c r="AJ1396">
        <v>0</v>
      </c>
      <c r="AL1396">
        <v>0</v>
      </c>
      <c r="AM1396">
        <v>1</v>
      </c>
      <c r="AN1396" t="s">
        <v>768</v>
      </c>
      <c r="AO1396" t="s">
        <v>41</v>
      </c>
    </row>
    <row r="1397" spans="1:41" x14ac:dyDescent="0.25">
      <c r="A1397">
        <v>54</v>
      </c>
      <c r="B1397" t="s">
        <v>32</v>
      </c>
      <c r="C1397" t="s">
        <v>33</v>
      </c>
      <c r="D1397">
        <v>1</v>
      </c>
      <c r="E1397" t="s">
        <v>61</v>
      </c>
      <c r="F1397">
        <v>3</v>
      </c>
      <c r="G1397">
        <v>4</v>
      </c>
      <c r="H1397" t="s">
        <v>50</v>
      </c>
      <c r="I1397">
        <v>4</v>
      </c>
      <c r="J1397" t="s">
        <v>36</v>
      </c>
      <c r="K1397">
        <v>17328</v>
      </c>
      <c r="L1397">
        <v>6</v>
      </c>
      <c r="M1397" t="s">
        <v>41</v>
      </c>
      <c r="N1397">
        <v>19</v>
      </c>
      <c r="O1397">
        <v>3</v>
      </c>
      <c r="P1397">
        <v>0</v>
      </c>
      <c r="Q1397">
        <v>29</v>
      </c>
      <c r="R1397">
        <v>3</v>
      </c>
      <c r="S1397">
        <v>20</v>
      </c>
      <c r="T1397">
        <v>12</v>
      </c>
      <c r="U1397">
        <v>7</v>
      </c>
      <c r="V1397" t="s">
        <v>58</v>
      </c>
      <c r="W1397" s="2">
        <v>37170</v>
      </c>
      <c r="Y1397" t="s">
        <v>39</v>
      </c>
      <c r="Z1397" t="s">
        <v>40</v>
      </c>
      <c r="AA1397">
        <v>0</v>
      </c>
      <c r="AB1397">
        <v>2</v>
      </c>
      <c r="AC1397" t="s">
        <v>31</v>
      </c>
      <c r="AD1397" t="s">
        <v>67</v>
      </c>
      <c r="AE1397" t="s">
        <v>60</v>
      </c>
      <c r="AF1397" s="3">
        <v>1550</v>
      </c>
      <c r="AG1397" s="3">
        <v>38</v>
      </c>
      <c r="AH1397">
        <v>80</v>
      </c>
      <c r="AI1397">
        <v>7</v>
      </c>
      <c r="AJ1397">
        <v>0</v>
      </c>
      <c r="AL1397">
        <v>0</v>
      </c>
      <c r="AM1397">
        <v>1</v>
      </c>
      <c r="AN1397" t="s">
        <v>768</v>
      </c>
      <c r="AO1397" t="s">
        <v>41</v>
      </c>
    </row>
    <row r="1398" spans="1:41" x14ac:dyDescent="0.25">
      <c r="A1398">
        <v>47</v>
      </c>
      <c r="B1398" t="s">
        <v>32</v>
      </c>
      <c r="C1398" t="s">
        <v>33</v>
      </c>
      <c r="D1398">
        <v>2</v>
      </c>
      <c r="E1398" t="s">
        <v>61</v>
      </c>
      <c r="F1398">
        <v>3</v>
      </c>
      <c r="G1398">
        <v>4</v>
      </c>
      <c r="H1398" t="s">
        <v>50</v>
      </c>
      <c r="I1398">
        <v>3</v>
      </c>
      <c r="J1398" t="s">
        <v>51</v>
      </c>
      <c r="K1398">
        <v>17169</v>
      </c>
      <c r="L1398">
        <v>3</v>
      </c>
      <c r="M1398" t="s">
        <v>41</v>
      </c>
      <c r="N1398">
        <v>19</v>
      </c>
      <c r="O1398">
        <v>3</v>
      </c>
      <c r="P1398">
        <v>2</v>
      </c>
      <c r="Q1398">
        <v>26</v>
      </c>
      <c r="R1398">
        <v>2</v>
      </c>
      <c r="S1398">
        <v>20</v>
      </c>
      <c r="T1398">
        <v>5</v>
      </c>
      <c r="U1398">
        <v>6</v>
      </c>
      <c r="V1398" t="s">
        <v>58</v>
      </c>
      <c r="W1398" s="1" t="s">
        <v>709</v>
      </c>
      <c r="Y1398" t="s">
        <v>63</v>
      </c>
      <c r="Z1398" t="s">
        <v>40</v>
      </c>
      <c r="AA1398">
        <v>2</v>
      </c>
      <c r="AB1398">
        <v>0</v>
      </c>
      <c r="AC1398" t="s">
        <v>41</v>
      </c>
      <c r="AD1398" t="s">
        <v>67</v>
      </c>
      <c r="AE1398" t="s">
        <v>49</v>
      </c>
      <c r="AF1398" s="3">
        <v>2064</v>
      </c>
      <c r="AG1398" s="3">
        <v>87</v>
      </c>
      <c r="AH1398">
        <v>80</v>
      </c>
      <c r="AI1398">
        <v>2</v>
      </c>
      <c r="AJ1398">
        <v>0</v>
      </c>
      <c r="AL1398">
        <v>0</v>
      </c>
      <c r="AM1398">
        <v>1</v>
      </c>
      <c r="AN1398" t="s">
        <v>768</v>
      </c>
      <c r="AO1398" t="s">
        <v>41</v>
      </c>
    </row>
    <row r="1399" spans="1:41" x14ac:dyDescent="0.25">
      <c r="A1399">
        <v>44</v>
      </c>
      <c r="B1399" t="s">
        <v>32</v>
      </c>
      <c r="C1399" t="s">
        <v>33</v>
      </c>
      <c r="D1399">
        <v>28</v>
      </c>
      <c r="E1399" t="s">
        <v>34</v>
      </c>
      <c r="F1399">
        <v>3</v>
      </c>
      <c r="G1399">
        <v>4</v>
      </c>
      <c r="H1399" t="s">
        <v>50</v>
      </c>
      <c r="I1399">
        <v>1</v>
      </c>
      <c r="J1399" t="s">
        <v>51</v>
      </c>
      <c r="K1399">
        <v>16328</v>
      </c>
      <c r="L1399">
        <v>3</v>
      </c>
      <c r="M1399" t="s">
        <v>41</v>
      </c>
      <c r="N1399">
        <v>13</v>
      </c>
      <c r="O1399">
        <v>3</v>
      </c>
      <c r="P1399">
        <v>1</v>
      </c>
      <c r="Q1399">
        <v>24</v>
      </c>
      <c r="R1399">
        <v>1</v>
      </c>
      <c r="S1399">
        <v>20</v>
      </c>
      <c r="T1399">
        <v>14</v>
      </c>
      <c r="U1399">
        <v>17</v>
      </c>
      <c r="V1399" t="s">
        <v>37</v>
      </c>
      <c r="W1399" s="1" t="s">
        <v>710</v>
      </c>
      <c r="Y1399" t="s">
        <v>39</v>
      </c>
      <c r="Z1399" t="s">
        <v>40</v>
      </c>
      <c r="AA1399">
        <v>1</v>
      </c>
      <c r="AB1399">
        <v>2</v>
      </c>
      <c r="AC1399" t="s">
        <v>31</v>
      </c>
      <c r="AD1399" t="s">
        <v>48</v>
      </c>
      <c r="AE1399" t="s">
        <v>49</v>
      </c>
      <c r="AF1399" s="3">
        <v>1885</v>
      </c>
      <c r="AG1399" s="3">
        <v>78</v>
      </c>
      <c r="AH1399">
        <v>80</v>
      </c>
      <c r="AI1399">
        <v>3</v>
      </c>
      <c r="AJ1399">
        <v>0</v>
      </c>
      <c r="AL1399">
        <v>0</v>
      </c>
      <c r="AM1399">
        <v>1</v>
      </c>
      <c r="AN1399" t="s">
        <v>768</v>
      </c>
      <c r="AO1399" t="s">
        <v>41</v>
      </c>
    </row>
    <row r="1400" spans="1:41" x14ac:dyDescent="0.25">
      <c r="A1400">
        <v>42</v>
      </c>
      <c r="B1400" t="s">
        <v>66</v>
      </c>
      <c r="C1400" t="s">
        <v>33</v>
      </c>
      <c r="D1400">
        <v>2</v>
      </c>
      <c r="E1400" t="s">
        <v>34</v>
      </c>
      <c r="F1400">
        <v>3</v>
      </c>
      <c r="G1400">
        <v>3</v>
      </c>
      <c r="H1400" t="s">
        <v>89</v>
      </c>
      <c r="I1400">
        <v>4</v>
      </c>
      <c r="J1400" t="s">
        <v>51</v>
      </c>
      <c r="K1400">
        <v>10124</v>
      </c>
      <c r="L1400">
        <v>2</v>
      </c>
      <c r="M1400" t="s">
        <v>31</v>
      </c>
      <c r="N1400">
        <v>14</v>
      </c>
      <c r="O1400">
        <v>3</v>
      </c>
      <c r="P1400">
        <v>1</v>
      </c>
      <c r="Q1400">
        <v>24</v>
      </c>
      <c r="R1400">
        <v>3</v>
      </c>
      <c r="S1400">
        <v>20</v>
      </c>
      <c r="T1400">
        <v>13</v>
      </c>
      <c r="U1400">
        <v>9</v>
      </c>
      <c r="V1400" t="s">
        <v>37</v>
      </c>
      <c r="W1400" s="1" t="s">
        <v>711</v>
      </c>
      <c r="Y1400" t="s">
        <v>69</v>
      </c>
      <c r="Z1400" t="s">
        <v>47</v>
      </c>
      <c r="AA1400">
        <v>3</v>
      </c>
      <c r="AB1400">
        <v>2</v>
      </c>
      <c r="AC1400" t="s">
        <v>31</v>
      </c>
      <c r="AD1400" t="s">
        <v>67</v>
      </c>
      <c r="AE1400" t="s">
        <v>43</v>
      </c>
      <c r="AF1400" s="3">
        <v>1541</v>
      </c>
      <c r="AG1400" s="3">
        <v>55</v>
      </c>
      <c r="AH1400">
        <v>80</v>
      </c>
      <c r="AI1400">
        <v>10</v>
      </c>
      <c r="AJ1400">
        <v>0</v>
      </c>
      <c r="AL1400">
        <v>0</v>
      </c>
      <c r="AM1400">
        <v>1</v>
      </c>
      <c r="AN1400" t="s">
        <v>768</v>
      </c>
      <c r="AO1400" t="s">
        <v>41</v>
      </c>
    </row>
    <row r="1401" spans="1:41" x14ac:dyDescent="0.25">
      <c r="A1401">
        <v>38</v>
      </c>
      <c r="B1401" t="s">
        <v>66</v>
      </c>
      <c r="C1401" t="s">
        <v>33</v>
      </c>
      <c r="D1401">
        <v>8</v>
      </c>
      <c r="E1401" t="s">
        <v>61</v>
      </c>
      <c r="F1401">
        <v>2</v>
      </c>
      <c r="G1401">
        <v>2</v>
      </c>
      <c r="H1401" t="s">
        <v>44</v>
      </c>
      <c r="I1401">
        <v>2</v>
      </c>
      <c r="J1401" t="s">
        <v>57</v>
      </c>
      <c r="K1401">
        <v>2133</v>
      </c>
      <c r="L1401">
        <v>1</v>
      </c>
      <c r="M1401" t="s">
        <v>31</v>
      </c>
      <c r="N1401">
        <v>16</v>
      </c>
      <c r="O1401">
        <v>3</v>
      </c>
      <c r="P1401">
        <v>1</v>
      </c>
      <c r="Q1401">
        <v>20</v>
      </c>
      <c r="R1401">
        <v>3</v>
      </c>
      <c r="S1401">
        <v>20</v>
      </c>
      <c r="T1401">
        <v>0</v>
      </c>
      <c r="U1401">
        <v>7</v>
      </c>
      <c r="V1401" t="s">
        <v>52</v>
      </c>
      <c r="W1401" s="1" t="s">
        <v>712</v>
      </c>
      <c r="Y1401" t="s">
        <v>54</v>
      </c>
      <c r="Z1401" t="s">
        <v>40</v>
      </c>
      <c r="AA1401">
        <v>5</v>
      </c>
      <c r="AB1401">
        <v>1</v>
      </c>
      <c r="AC1401" t="s">
        <v>31</v>
      </c>
      <c r="AD1401" t="s">
        <v>48</v>
      </c>
      <c r="AE1401" t="s">
        <v>60</v>
      </c>
      <c r="AF1401" s="3">
        <v>1556</v>
      </c>
      <c r="AG1401" s="3">
        <v>70</v>
      </c>
      <c r="AH1401">
        <v>80</v>
      </c>
      <c r="AI1401">
        <v>2</v>
      </c>
      <c r="AJ1401">
        <v>0</v>
      </c>
      <c r="AL1401">
        <v>0</v>
      </c>
      <c r="AM1401">
        <v>1</v>
      </c>
      <c r="AN1401" t="s">
        <v>768</v>
      </c>
      <c r="AO1401" t="s">
        <v>41</v>
      </c>
    </row>
    <row r="1402" spans="1:41" x14ac:dyDescent="0.25">
      <c r="A1402">
        <v>39</v>
      </c>
      <c r="B1402" t="s">
        <v>32</v>
      </c>
      <c r="C1402" t="s">
        <v>55</v>
      </c>
      <c r="D1402">
        <v>15</v>
      </c>
      <c r="E1402" t="s">
        <v>34</v>
      </c>
      <c r="F1402">
        <v>3</v>
      </c>
      <c r="G1402">
        <v>4</v>
      </c>
      <c r="H1402" t="s">
        <v>70</v>
      </c>
      <c r="I1402">
        <v>1</v>
      </c>
      <c r="J1402" t="s">
        <v>36</v>
      </c>
      <c r="K1402">
        <v>13341</v>
      </c>
      <c r="L1402">
        <v>0</v>
      </c>
      <c r="M1402" t="s">
        <v>41</v>
      </c>
      <c r="N1402">
        <v>12</v>
      </c>
      <c r="O1402">
        <v>3</v>
      </c>
      <c r="P1402">
        <v>0</v>
      </c>
      <c r="Q1402">
        <v>21</v>
      </c>
      <c r="R1402">
        <v>3</v>
      </c>
      <c r="S1402">
        <v>20</v>
      </c>
      <c r="T1402">
        <v>11</v>
      </c>
      <c r="U1402">
        <v>10</v>
      </c>
      <c r="V1402" t="s">
        <v>37</v>
      </c>
      <c r="W1402" s="2">
        <v>37197</v>
      </c>
      <c r="Y1402" t="s">
        <v>46</v>
      </c>
      <c r="Z1402" t="s">
        <v>47</v>
      </c>
      <c r="AA1402">
        <v>2</v>
      </c>
      <c r="AB1402">
        <v>0</v>
      </c>
      <c r="AC1402" t="s">
        <v>31</v>
      </c>
      <c r="AD1402" t="s">
        <v>48</v>
      </c>
      <c r="AE1402" t="s">
        <v>43</v>
      </c>
      <c r="AF1402" s="3">
        <v>1747</v>
      </c>
      <c r="AG1402" s="3">
        <v>66</v>
      </c>
      <c r="AH1402">
        <v>80</v>
      </c>
      <c r="AI1402">
        <v>2</v>
      </c>
      <c r="AJ1402">
        <v>1</v>
      </c>
      <c r="AK1402">
        <v>1</v>
      </c>
      <c r="AL1402">
        <v>1</v>
      </c>
      <c r="AM1402">
        <v>0</v>
      </c>
      <c r="AN1402" t="s">
        <v>767</v>
      </c>
      <c r="AO1402" t="s">
        <v>31</v>
      </c>
    </row>
    <row r="1403" spans="1:41" x14ac:dyDescent="0.25">
      <c r="A1403">
        <v>42</v>
      </c>
      <c r="B1403" t="s">
        <v>81</v>
      </c>
      <c r="C1403" t="s">
        <v>33</v>
      </c>
      <c r="D1403">
        <v>23</v>
      </c>
      <c r="E1403" t="s">
        <v>34</v>
      </c>
      <c r="F1403">
        <v>2</v>
      </c>
      <c r="G1403">
        <v>2</v>
      </c>
      <c r="H1403" t="s">
        <v>44</v>
      </c>
      <c r="I1403">
        <v>3</v>
      </c>
      <c r="J1403" t="s">
        <v>36</v>
      </c>
      <c r="K1403">
        <v>4332</v>
      </c>
      <c r="L1403">
        <v>1</v>
      </c>
      <c r="M1403" t="s">
        <v>41</v>
      </c>
      <c r="N1403">
        <v>12</v>
      </c>
      <c r="O1403">
        <v>3</v>
      </c>
      <c r="P1403">
        <v>0</v>
      </c>
      <c r="Q1403">
        <v>20</v>
      </c>
      <c r="R1403">
        <v>2</v>
      </c>
      <c r="S1403">
        <v>20</v>
      </c>
      <c r="T1403">
        <v>3</v>
      </c>
      <c r="U1403">
        <v>7</v>
      </c>
      <c r="V1403" t="s">
        <v>58</v>
      </c>
      <c r="W1403" s="2">
        <v>36987</v>
      </c>
      <c r="Y1403" t="s">
        <v>63</v>
      </c>
      <c r="Z1403" t="s">
        <v>40</v>
      </c>
      <c r="AA1403">
        <v>1</v>
      </c>
      <c r="AB1403">
        <v>1</v>
      </c>
      <c r="AC1403" t="s">
        <v>31</v>
      </c>
      <c r="AD1403" t="s">
        <v>48</v>
      </c>
      <c r="AE1403" t="s">
        <v>43</v>
      </c>
      <c r="AF1403" s="3">
        <v>1944</v>
      </c>
      <c r="AG1403" s="3">
        <v>58</v>
      </c>
      <c r="AH1403">
        <v>80</v>
      </c>
      <c r="AI1403">
        <v>0</v>
      </c>
      <c r="AJ1403">
        <v>1</v>
      </c>
      <c r="AK1403">
        <v>1</v>
      </c>
      <c r="AL1403">
        <v>1</v>
      </c>
      <c r="AM1403">
        <v>0</v>
      </c>
      <c r="AN1403" t="s">
        <v>767</v>
      </c>
      <c r="AO1403" t="s">
        <v>31</v>
      </c>
    </row>
    <row r="1404" spans="1:41" x14ac:dyDescent="0.25">
      <c r="A1404">
        <v>41</v>
      </c>
      <c r="B1404" t="s">
        <v>32</v>
      </c>
      <c r="C1404" t="s">
        <v>33</v>
      </c>
      <c r="D1404">
        <v>28</v>
      </c>
      <c r="E1404" t="s">
        <v>61</v>
      </c>
      <c r="F1404">
        <v>2</v>
      </c>
      <c r="G1404">
        <v>4</v>
      </c>
      <c r="H1404" t="s">
        <v>78</v>
      </c>
      <c r="I1404">
        <v>2</v>
      </c>
      <c r="J1404" t="s">
        <v>51</v>
      </c>
      <c r="K1404">
        <v>13570</v>
      </c>
      <c r="L1404">
        <v>0</v>
      </c>
      <c r="M1404" t="s">
        <v>41</v>
      </c>
      <c r="N1404">
        <v>23</v>
      </c>
      <c r="O1404">
        <v>4</v>
      </c>
      <c r="P1404">
        <v>1</v>
      </c>
      <c r="Q1404">
        <v>21</v>
      </c>
      <c r="R1404">
        <v>3</v>
      </c>
      <c r="S1404">
        <v>20</v>
      </c>
      <c r="T1404">
        <v>0</v>
      </c>
      <c r="U1404">
        <v>10</v>
      </c>
      <c r="V1404" t="s">
        <v>52</v>
      </c>
      <c r="W1404" s="1" t="s">
        <v>713</v>
      </c>
      <c r="Y1404" t="s">
        <v>39</v>
      </c>
      <c r="Z1404" t="s">
        <v>47</v>
      </c>
      <c r="AA1404">
        <v>0</v>
      </c>
      <c r="AB1404">
        <v>1</v>
      </c>
      <c r="AC1404" t="s">
        <v>41</v>
      </c>
      <c r="AD1404" t="s">
        <v>42</v>
      </c>
      <c r="AE1404" t="s">
        <v>43</v>
      </c>
      <c r="AF1404" s="3">
        <v>1459</v>
      </c>
      <c r="AG1404" s="3">
        <v>100</v>
      </c>
      <c r="AH1404">
        <v>80</v>
      </c>
      <c r="AI1404">
        <v>8</v>
      </c>
      <c r="AJ1404">
        <v>1</v>
      </c>
      <c r="AK1404">
        <v>1</v>
      </c>
      <c r="AL1404">
        <v>1</v>
      </c>
      <c r="AM1404">
        <v>0</v>
      </c>
      <c r="AN1404" t="s">
        <v>767</v>
      </c>
      <c r="AO1404" t="s">
        <v>31</v>
      </c>
    </row>
    <row r="1405" spans="1:41" x14ac:dyDescent="0.25">
      <c r="A1405">
        <v>39</v>
      </c>
      <c r="B1405" t="s">
        <v>32</v>
      </c>
      <c r="C1405" t="s">
        <v>55</v>
      </c>
      <c r="D1405">
        <v>24</v>
      </c>
      <c r="E1405" t="s">
        <v>61</v>
      </c>
      <c r="F1405">
        <v>2</v>
      </c>
      <c r="G1405">
        <v>4</v>
      </c>
      <c r="H1405" t="s">
        <v>70</v>
      </c>
      <c r="I1405">
        <v>4</v>
      </c>
      <c r="J1405" t="s">
        <v>51</v>
      </c>
      <c r="K1405">
        <v>12031</v>
      </c>
      <c r="L1405">
        <v>0</v>
      </c>
      <c r="M1405" t="s">
        <v>41</v>
      </c>
      <c r="N1405">
        <v>11</v>
      </c>
      <c r="O1405">
        <v>3</v>
      </c>
      <c r="P1405">
        <v>1</v>
      </c>
      <c r="Q1405">
        <v>21</v>
      </c>
      <c r="R1405">
        <v>2</v>
      </c>
      <c r="S1405">
        <v>20</v>
      </c>
      <c r="T1405">
        <v>9</v>
      </c>
      <c r="U1405">
        <v>6</v>
      </c>
      <c r="V1405" t="s">
        <v>37</v>
      </c>
      <c r="W1405" s="2">
        <v>36895</v>
      </c>
      <c r="Y1405" t="s">
        <v>69</v>
      </c>
      <c r="Z1405" t="s">
        <v>40</v>
      </c>
      <c r="AA1405">
        <v>0</v>
      </c>
      <c r="AB1405">
        <v>0</v>
      </c>
      <c r="AC1405" t="s">
        <v>31</v>
      </c>
      <c r="AD1405" t="s">
        <v>67</v>
      </c>
      <c r="AE1405" t="s">
        <v>43</v>
      </c>
      <c r="AF1405" s="3">
        <v>1537</v>
      </c>
      <c r="AG1405" s="3">
        <v>33</v>
      </c>
      <c r="AH1405">
        <v>80</v>
      </c>
      <c r="AI1405">
        <v>2</v>
      </c>
      <c r="AJ1405">
        <v>1</v>
      </c>
      <c r="AK1405">
        <v>1</v>
      </c>
      <c r="AL1405">
        <v>1</v>
      </c>
      <c r="AM1405">
        <v>0</v>
      </c>
      <c r="AN1405" t="s">
        <v>767</v>
      </c>
      <c r="AO1405" t="s">
        <v>31</v>
      </c>
    </row>
    <row r="1406" spans="1:41" x14ac:dyDescent="0.25">
      <c r="A1406">
        <v>59</v>
      </c>
      <c r="B1406" t="s">
        <v>32</v>
      </c>
      <c r="C1406" t="s">
        <v>55</v>
      </c>
      <c r="D1406">
        <v>25</v>
      </c>
      <c r="E1406" t="s">
        <v>61</v>
      </c>
      <c r="F1406">
        <v>3</v>
      </c>
      <c r="G1406">
        <v>3</v>
      </c>
      <c r="H1406" t="s">
        <v>70</v>
      </c>
      <c r="I1406">
        <v>1</v>
      </c>
      <c r="J1406" t="s">
        <v>36</v>
      </c>
      <c r="K1406">
        <v>7637</v>
      </c>
      <c r="L1406">
        <v>7</v>
      </c>
      <c r="M1406" t="s">
        <v>41</v>
      </c>
      <c r="N1406">
        <v>11</v>
      </c>
      <c r="O1406">
        <v>3</v>
      </c>
      <c r="P1406">
        <v>0</v>
      </c>
      <c r="Q1406">
        <v>28</v>
      </c>
      <c r="R1406">
        <v>3</v>
      </c>
      <c r="S1406">
        <v>21</v>
      </c>
      <c r="T1406">
        <v>7</v>
      </c>
      <c r="U1406">
        <v>9</v>
      </c>
      <c r="V1406" t="s">
        <v>72</v>
      </c>
      <c r="W1406" s="1" t="s">
        <v>714</v>
      </c>
      <c r="Y1406" t="s">
        <v>63</v>
      </c>
      <c r="Z1406" t="s">
        <v>40</v>
      </c>
      <c r="AA1406">
        <v>2</v>
      </c>
      <c r="AB1406">
        <v>3</v>
      </c>
      <c r="AC1406" t="s">
        <v>31</v>
      </c>
      <c r="AD1406" t="s">
        <v>65</v>
      </c>
      <c r="AE1406" t="s">
        <v>49</v>
      </c>
      <c r="AF1406" s="3">
        <v>1487</v>
      </c>
      <c r="AG1406" s="3">
        <v>51</v>
      </c>
      <c r="AH1406">
        <v>80</v>
      </c>
      <c r="AI1406">
        <v>3</v>
      </c>
      <c r="AJ1406">
        <v>1</v>
      </c>
      <c r="AK1406">
        <v>1</v>
      </c>
      <c r="AL1406">
        <v>1</v>
      </c>
      <c r="AM1406">
        <v>0</v>
      </c>
      <c r="AN1406" t="s">
        <v>767</v>
      </c>
      <c r="AO1406" t="s">
        <v>31</v>
      </c>
    </row>
    <row r="1407" spans="1:41" x14ac:dyDescent="0.25">
      <c r="A1407">
        <v>40</v>
      </c>
      <c r="B1407" t="s">
        <v>32</v>
      </c>
      <c r="C1407" t="s">
        <v>33</v>
      </c>
      <c r="D1407">
        <v>2</v>
      </c>
      <c r="E1407" t="s">
        <v>34</v>
      </c>
      <c r="F1407">
        <v>3</v>
      </c>
      <c r="G1407">
        <v>5</v>
      </c>
      <c r="H1407" t="s">
        <v>50</v>
      </c>
      <c r="I1407">
        <v>3</v>
      </c>
      <c r="J1407" t="s">
        <v>57</v>
      </c>
      <c r="K1407">
        <v>19436</v>
      </c>
      <c r="L1407">
        <v>0</v>
      </c>
      <c r="M1407" t="s">
        <v>41</v>
      </c>
      <c r="N1407">
        <v>19</v>
      </c>
      <c r="O1407">
        <v>3</v>
      </c>
      <c r="P1407">
        <v>1</v>
      </c>
      <c r="Q1407">
        <v>22</v>
      </c>
      <c r="R1407">
        <v>5</v>
      </c>
      <c r="S1407">
        <v>21</v>
      </c>
      <c r="T1407">
        <v>3</v>
      </c>
      <c r="U1407">
        <v>9</v>
      </c>
      <c r="V1407" t="s">
        <v>58</v>
      </c>
      <c r="W1407" s="1" t="s">
        <v>715</v>
      </c>
      <c r="Y1407" t="s">
        <v>54</v>
      </c>
      <c r="Z1407" t="s">
        <v>40</v>
      </c>
      <c r="AA1407">
        <v>3</v>
      </c>
      <c r="AB1407">
        <v>2</v>
      </c>
      <c r="AC1407" t="s">
        <v>41</v>
      </c>
      <c r="AD1407" t="s">
        <v>67</v>
      </c>
      <c r="AE1407" t="s">
        <v>43</v>
      </c>
      <c r="AF1407" s="3">
        <v>1427</v>
      </c>
      <c r="AG1407" s="3">
        <v>50</v>
      </c>
      <c r="AH1407">
        <v>80</v>
      </c>
      <c r="AI1407">
        <v>0</v>
      </c>
      <c r="AJ1407">
        <v>1</v>
      </c>
      <c r="AK1407">
        <v>1</v>
      </c>
      <c r="AL1407">
        <v>1</v>
      </c>
      <c r="AM1407">
        <v>0</v>
      </c>
      <c r="AN1407" t="s">
        <v>767</v>
      </c>
      <c r="AO1407" t="s">
        <v>31</v>
      </c>
    </row>
    <row r="1408" spans="1:41" x14ac:dyDescent="0.25">
      <c r="A1408">
        <v>39</v>
      </c>
      <c r="B1408" t="s">
        <v>32</v>
      </c>
      <c r="C1408" t="s">
        <v>33</v>
      </c>
      <c r="D1408">
        <v>10</v>
      </c>
      <c r="E1408" t="s">
        <v>34</v>
      </c>
      <c r="F1408">
        <v>3</v>
      </c>
      <c r="G1408">
        <v>4</v>
      </c>
      <c r="H1408" t="s">
        <v>75</v>
      </c>
      <c r="I1408">
        <v>1</v>
      </c>
      <c r="J1408" t="s">
        <v>51</v>
      </c>
      <c r="K1408">
        <v>17068</v>
      </c>
      <c r="L1408">
        <v>1</v>
      </c>
      <c r="M1408" t="s">
        <v>31</v>
      </c>
      <c r="N1408">
        <v>14</v>
      </c>
      <c r="O1408">
        <v>3</v>
      </c>
      <c r="P1408">
        <v>0</v>
      </c>
      <c r="Q1408">
        <v>21</v>
      </c>
      <c r="R1408">
        <v>3</v>
      </c>
      <c r="S1408">
        <v>21</v>
      </c>
      <c r="T1408">
        <v>11</v>
      </c>
      <c r="U1408">
        <v>10</v>
      </c>
      <c r="V1408" t="s">
        <v>58</v>
      </c>
      <c r="W1408" s="2">
        <v>36831</v>
      </c>
      <c r="Y1408" t="s">
        <v>39</v>
      </c>
      <c r="Z1408" t="s">
        <v>47</v>
      </c>
      <c r="AA1408">
        <v>4</v>
      </c>
      <c r="AB1408">
        <v>0</v>
      </c>
      <c r="AC1408" t="s">
        <v>31</v>
      </c>
      <c r="AD1408" t="s">
        <v>65</v>
      </c>
      <c r="AE1408" t="s">
        <v>43</v>
      </c>
      <c r="AF1408" s="3">
        <v>1467</v>
      </c>
      <c r="AG1408" s="3">
        <v>52</v>
      </c>
      <c r="AH1408">
        <v>80</v>
      </c>
      <c r="AI1408">
        <v>2</v>
      </c>
      <c r="AJ1408">
        <v>1</v>
      </c>
      <c r="AK1408">
        <v>1</v>
      </c>
      <c r="AL1408">
        <v>1</v>
      </c>
      <c r="AM1408">
        <v>0</v>
      </c>
      <c r="AN1408" t="s">
        <v>767</v>
      </c>
      <c r="AO1408" t="s">
        <v>31</v>
      </c>
    </row>
    <row r="1409" spans="1:41" x14ac:dyDescent="0.25">
      <c r="A1409">
        <v>39</v>
      </c>
      <c r="B1409" t="s">
        <v>66</v>
      </c>
      <c r="C1409" t="s">
        <v>33</v>
      </c>
      <c r="D1409">
        <v>7</v>
      </c>
      <c r="E1409" t="s">
        <v>34</v>
      </c>
      <c r="F1409">
        <v>2</v>
      </c>
      <c r="G1409">
        <v>5</v>
      </c>
      <c r="H1409" t="s">
        <v>75</v>
      </c>
      <c r="I1409">
        <v>4</v>
      </c>
      <c r="J1409" t="s">
        <v>51</v>
      </c>
      <c r="K1409">
        <v>19272</v>
      </c>
      <c r="L1409">
        <v>1</v>
      </c>
      <c r="M1409" t="s">
        <v>41</v>
      </c>
      <c r="N1409">
        <v>15</v>
      </c>
      <c r="O1409">
        <v>3</v>
      </c>
      <c r="P1409">
        <v>1</v>
      </c>
      <c r="Q1409">
        <v>21</v>
      </c>
      <c r="R1409">
        <v>2</v>
      </c>
      <c r="S1409">
        <v>21</v>
      </c>
      <c r="T1409">
        <v>13</v>
      </c>
      <c r="U1409">
        <v>3</v>
      </c>
      <c r="V1409" t="s">
        <v>58</v>
      </c>
      <c r="W1409" s="1" t="s">
        <v>716</v>
      </c>
      <c r="Y1409" t="s">
        <v>54</v>
      </c>
      <c r="Z1409" t="s">
        <v>47</v>
      </c>
      <c r="AA1409">
        <v>3</v>
      </c>
      <c r="AB1409">
        <v>0</v>
      </c>
      <c r="AC1409" t="s">
        <v>41</v>
      </c>
      <c r="AD1409" t="s">
        <v>42</v>
      </c>
      <c r="AE1409" t="s">
        <v>49</v>
      </c>
      <c r="AF1409" s="3">
        <v>1572</v>
      </c>
      <c r="AG1409" s="3">
        <v>78</v>
      </c>
      <c r="AH1409">
        <v>80</v>
      </c>
      <c r="AI1409">
        <v>7</v>
      </c>
      <c r="AJ1409">
        <v>1</v>
      </c>
      <c r="AK1409">
        <v>1</v>
      </c>
      <c r="AL1409">
        <v>1</v>
      </c>
      <c r="AM1409">
        <v>0</v>
      </c>
      <c r="AN1409" t="s">
        <v>767</v>
      </c>
      <c r="AO1409" t="s">
        <v>31</v>
      </c>
    </row>
    <row r="1410" spans="1:41" x14ac:dyDescent="0.25">
      <c r="A1410">
        <v>39</v>
      </c>
      <c r="B1410" t="s">
        <v>66</v>
      </c>
      <c r="C1410" t="s">
        <v>33</v>
      </c>
      <c r="D1410">
        <v>1</v>
      </c>
      <c r="E1410" t="s">
        <v>34</v>
      </c>
      <c r="F1410">
        <v>3</v>
      </c>
      <c r="G1410">
        <v>5</v>
      </c>
      <c r="H1410" t="s">
        <v>75</v>
      </c>
      <c r="I1410">
        <v>3</v>
      </c>
      <c r="J1410" t="s">
        <v>57</v>
      </c>
      <c r="K1410">
        <v>19197</v>
      </c>
      <c r="L1410">
        <v>1</v>
      </c>
      <c r="M1410" t="s">
        <v>31</v>
      </c>
      <c r="N1410">
        <v>14</v>
      </c>
      <c r="O1410">
        <v>3</v>
      </c>
      <c r="P1410">
        <v>1</v>
      </c>
      <c r="Q1410">
        <v>21</v>
      </c>
      <c r="R1410">
        <v>3</v>
      </c>
      <c r="S1410">
        <v>21</v>
      </c>
      <c r="T1410">
        <v>1</v>
      </c>
      <c r="U1410">
        <v>6</v>
      </c>
      <c r="V1410" t="s">
        <v>37</v>
      </c>
      <c r="W1410" s="1" t="s">
        <v>717</v>
      </c>
      <c r="Y1410" t="s">
        <v>63</v>
      </c>
      <c r="Z1410" t="s">
        <v>47</v>
      </c>
      <c r="AA1410">
        <v>2</v>
      </c>
      <c r="AB1410">
        <v>1</v>
      </c>
      <c r="AC1410" t="s">
        <v>31</v>
      </c>
      <c r="AD1410" t="s">
        <v>65</v>
      </c>
      <c r="AE1410" t="s">
        <v>60</v>
      </c>
      <c r="AF1410" s="3">
        <v>1433</v>
      </c>
      <c r="AG1410" s="3">
        <v>34</v>
      </c>
      <c r="AH1410">
        <v>80</v>
      </c>
      <c r="AI1410">
        <v>0</v>
      </c>
      <c r="AJ1410">
        <v>1</v>
      </c>
      <c r="AK1410">
        <v>1</v>
      </c>
      <c r="AL1410">
        <v>1</v>
      </c>
      <c r="AM1410">
        <v>0</v>
      </c>
      <c r="AN1410" t="s">
        <v>767</v>
      </c>
      <c r="AO1410" t="s">
        <v>31</v>
      </c>
    </row>
    <row r="1411" spans="1:41" x14ac:dyDescent="0.25">
      <c r="A1411">
        <v>41</v>
      </c>
      <c r="B1411" t="s">
        <v>32</v>
      </c>
      <c r="C1411" t="s">
        <v>120</v>
      </c>
      <c r="D1411">
        <v>10</v>
      </c>
      <c r="E1411" t="s">
        <v>34</v>
      </c>
      <c r="F1411">
        <v>2</v>
      </c>
      <c r="G1411">
        <v>5</v>
      </c>
      <c r="H1411" t="s">
        <v>75</v>
      </c>
      <c r="I1411">
        <v>4</v>
      </c>
      <c r="J1411" t="s">
        <v>57</v>
      </c>
      <c r="K1411">
        <v>19141</v>
      </c>
      <c r="L1411">
        <v>3</v>
      </c>
      <c r="M1411" t="s">
        <v>41</v>
      </c>
      <c r="N1411">
        <v>15</v>
      </c>
      <c r="O1411">
        <v>3</v>
      </c>
      <c r="P1411">
        <v>3</v>
      </c>
      <c r="Q1411">
        <v>23</v>
      </c>
      <c r="R1411">
        <v>2</v>
      </c>
      <c r="S1411">
        <v>21</v>
      </c>
      <c r="T1411">
        <v>12</v>
      </c>
      <c r="U1411">
        <v>6</v>
      </c>
      <c r="V1411" t="s">
        <v>37</v>
      </c>
      <c r="W1411" s="2">
        <v>36739</v>
      </c>
      <c r="Y1411" t="s">
        <v>54</v>
      </c>
      <c r="Z1411" t="s">
        <v>47</v>
      </c>
      <c r="AA1411">
        <v>2</v>
      </c>
      <c r="AB1411">
        <v>0</v>
      </c>
      <c r="AC1411" t="s">
        <v>41</v>
      </c>
      <c r="AD1411" t="s">
        <v>48</v>
      </c>
      <c r="AE1411" t="s">
        <v>60</v>
      </c>
      <c r="AF1411" s="3">
        <v>1752</v>
      </c>
      <c r="AG1411" s="3">
        <v>52</v>
      </c>
      <c r="AH1411">
        <v>80</v>
      </c>
      <c r="AI1411">
        <v>2</v>
      </c>
      <c r="AJ1411">
        <v>1</v>
      </c>
      <c r="AK1411">
        <v>1</v>
      </c>
      <c r="AL1411">
        <v>1</v>
      </c>
      <c r="AM1411">
        <v>0</v>
      </c>
      <c r="AN1411" t="s">
        <v>767</v>
      </c>
      <c r="AO1411" t="s">
        <v>31</v>
      </c>
    </row>
    <row r="1412" spans="1:41" x14ac:dyDescent="0.25">
      <c r="A1412">
        <v>39</v>
      </c>
      <c r="B1412" t="s">
        <v>32</v>
      </c>
      <c r="C1412" t="s">
        <v>33</v>
      </c>
      <c r="D1412">
        <v>1</v>
      </c>
      <c r="E1412" t="s">
        <v>61</v>
      </c>
      <c r="F1412">
        <v>2</v>
      </c>
      <c r="G1412">
        <v>4</v>
      </c>
      <c r="H1412" t="s">
        <v>78</v>
      </c>
      <c r="I1412">
        <v>4</v>
      </c>
      <c r="J1412" t="s">
        <v>51</v>
      </c>
      <c r="K1412">
        <v>12742</v>
      </c>
      <c r="L1412">
        <v>1</v>
      </c>
      <c r="M1412" t="s">
        <v>41</v>
      </c>
      <c r="N1412">
        <v>16</v>
      </c>
      <c r="O1412">
        <v>3</v>
      </c>
      <c r="P1412">
        <v>1</v>
      </c>
      <c r="Q1412">
        <v>21</v>
      </c>
      <c r="R1412">
        <v>3</v>
      </c>
      <c r="S1412">
        <v>21</v>
      </c>
      <c r="T1412">
        <v>11</v>
      </c>
      <c r="U1412">
        <v>8</v>
      </c>
      <c r="V1412" t="s">
        <v>58</v>
      </c>
      <c r="W1412" s="2">
        <v>36678</v>
      </c>
      <c r="Y1412" t="s">
        <v>54</v>
      </c>
      <c r="Z1412" t="s">
        <v>40</v>
      </c>
      <c r="AA1412">
        <v>3</v>
      </c>
      <c r="AB1412">
        <v>0</v>
      </c>
      <c r="AC1412" t="s">
        <v>41</v>
      </c>
      <c r="AD1412" t="s">
        <v>42</v>
      </c>
      <c r="AE1412" t="s">
        <v>49</v>
      </c>
      <c r="AF1412" s="3">
        <v>1807</v>
      </c>
      <c r="AG1412" s="3">
        <v>93</v>
      </c>
      <c r="AH1412">
        <v>80</v>
      </c>
      <c r="AI1412">
        <v>1</v>
      </c>
      <c r="AJ1412">
        <v>1</v>
      </c>
      <c r="AK1412">
        <v>1</v>
      </c>
      <c r="AL1412">
        <v>1</v>
      </c>
      <c r="AM1412">
        <v>0</v>
      </c>
      <c r="AN1412" t="s">
        <v>767</v>
      </c>
      <c r="AO1412" t="s">
        <v>31</v>
      </c>
    </row>
    <row r="1413" spans="1:41" x14ac:dyDescent="0.25">
      <c r="A1413">
        <v>41</v>
      </c>
      <c r="B1413" t="s">
        <v>81</v>
      </c>
      <c r="C1413" t="s">
        <v>33</v>
      </c>
      <c r="D1413">
        <v>7</v>
      </c>
      <c r="E1413" t="s">
        <v>61</v>
      </c>
      <c r="F1413">
        <v>1</v>
      </c>
      <c r="G1413">
        <v>5</v>
      </c>
      <c r="H1413" t="s">
        <v>50</v>
      </c>
      <c r="I1413">
        <v>3</v>
      </c>
      <c r="J1413" t="s">
        <v>57</v>
      </c>
      <c r="K1413">
        <v>19973</v>
      </c>
      <c r="L1413">
        <v>1</v>
      </c>
      <c r="M1413" t="s">
        <v>41</v>
      </c>
      <c r="N1413">
        <v>22</v>
      </c>
      <c r="O1413">
        <v>4</v>
      </c>
      <c r="P1413">
        <v>2</v>
      </c>
      <c r="Q1413">
        <v>21</v>
      </c>
      <c r="R1413">
        <v>3</v>
      </c>
      <c r="S1413">
        <v>21</v>
      </c>
      <c r="T1413">
        <v>5</v>
      </c>
      <c r="U1413">
        <v>10</v>
      </c>
      <c r="V1413" t="s">
        <v>52</v>
      </c>
      <c r="W1413" s="1" t="s">
        <v>718</v>
      </c>
      <c r="Y1413" t="s">
        <v>69</v>
      </c>
      <c r="Z1413" t="s">
        <v>47</v>
      </c>
      <c r="AA1413">
        <v>3</v>
      </c>
      <c r="AB1413">
        <v>3</v>
      </c>
      <c r="AC1413" t="s">
        <v>41</v>
      </c>
      <c r="AD1413" t="s">
        <v>67</v>
      </c>
      <c r="AE1413" t="s">
        <v>43</v>
      </c>
      <c r="AF1413" s="3">
        <v>1504</v>
      </c>
      <c r="AG1413" s="3">
        <v>38</v>
      </c>
      <c r="AH1413">
        <v>80</v>
      </c>
      <c r="AI1413">
        <v>0</v>
      </c>
      <c r="AJ1413">
        <v>1</v>
      </c>
      <c r="AK1413">
        <v>1</v>
      </c>
      <c r="AL1413">
        <v>1</v>
      </c>
      <c r="AM1413">
        <v>0</v>
      </c>
      <c r="AN1413" t="s">
        <v>767</v>
      </c>
      <c r="AO1413" t="s">
        <v>31</v>
      </c>
    </row>
    <row r="1414" spans="1:41" x14ac:dyDescent="0.25">
      <c r="A1414">
        <v>39</v>
      </c>
      <c r="B1414" t="s">
        <v>66</v>
      </c>
      <c r="C1414" t="s">
        <v>33</v>
      </c>
      <c r="D1414">
        <v>22</v>
      </c>
      <c r="E1414" t="s">
        <v>61</v>
      </c>
      <c r="F1414">
        <v>3</v>
      </c>
      <c r="G1414">
        <v>3</v>
      </c>
      <c r="H1414" t="s">
        <v>78</v>
      </c>
      <c r="I1414">
        <v>1</v>
      </c>
      <c r="J1414" t="s">
        <v>36</v>
      </c>
      <c r="K1414">
        <v>10880</v>
      </c>
      <c r="L1414">
        <v>1</v>
      </c>
      <c r="M1414" t="s">
        <v>31</v>
      </c>
      <c r="N1414">
        <v>13</v>
      </c>
      <c r="O1414">
        <v>3</v>
      </c>
      <c r="P1414">
        <v>0</v>
      </c>
      <c r="Q1414">
        <v>21</v>
      </c>
      <c r="R1414">
        <v>2</v>
      </c>
      <c r="S1414">
        <v>21</v>
      </c>
      <c r="T1414">
        <v>2</v>
      </c>
      <c r="U1414">
        <v>8</v>
      </c>
      <c r="V1414" t="s">
        <v>52</v>
      </c>
      <c r="W1414" s="1" t="s">
        <v>719</v>
      </c>
      <c r="Y1414" t="s">
        <v>69</v>
      </c>
      <c r="Z1414" t="s">
        <v>40</v>
      </c>
      <c r="AA1414">
        <v>2</v>
      </c>
      <c r="AB1414">
        <v>0</v>
      </c>
      <c r="AC1414" t="s">
        <v>31</v>
      </c>
      <c r="AD1414" t="s">
        <v>48</v>
      </c>
      <c r="AE1414" t="s">
        <v>43</v>
      </c>
      <c r="AF1414" s="3">
        <v>2044</v>
      </c>
      <c r="AG1414" s="3">
        <v>94</v>
      </c>
      <c r="AH1414">
        <v>80</v>
      </c>
      <c r="AI1414">
        <v>3</v>
      </c>
      <c r="AJ1414">
        <v>1</v>
      </c>
      <c r="AK1414">
        <v>1</v>
      </c>
      <c r="AL1414">
        <v>1</v>
      </c>
      <c r="AM1414">
        <v>0</v>
      </c>
      <c r="AN1414" t="s">
        <v>767</v>
      </c>
      <c r="AO1414" t="s">
        <v>31</v>
      </c>
    </row>
    <row r="1415" spans="1:41" x14ac:dyDescent="0.25">
      <c r="A1415">
        <v>42</v>
      </c>
      <c r="B1415" t="s">
        <v>66</v>
      </c>
      <c r="C1415" t="s">
        <v>55</v>
      </c>
      <c r="D1415">
        <v>12</v>
      </c>
      <c r="E1415" t="s">
        <v>34</v>
      </c>
      <c r="F1415">
        <v>3</v>
      </c>
      <c r="G1415">
        <v>4</v>
      </c>
      <c r="H1415" t="s">
        <v>70</v>
      </c>
      <c r="I1415">
        <v>1</v>
      </c>
      <c r="J1415" t="s">
        <v>36</v>
      </c>
      <c r="K1415">
        <v>13758</v>
      </c>
      <c r="L1415">
        <v>0</v>
      </c>
      <c r="M1415" t="s">
        <v>31</v>
      </c>
      <c r="N1415">
        <v>12</v>
      </c>
      <c r="O1415">
        <v>3</v>
      </c>
      <c r="P1415">
        <v>0</v>
      </c>
      <c r="Q1415">
        <v>22</v>
      </c>
      <c r="R1415">
        <v>2</v>
      </c>
      <c r="S1415">
        <v>21</v>
      </c>
      <c r="T1415">
        <v>13</v>
      </c>
      <c r="U1415">
        <v>14</v>
      </c>
      <c r="V1415" t="s">
        <v>37</v>
      </c>
      <c r="W1415" s="2">
        <v>36861</v>
      </c>
      <c r="Y1415" t="s">
        <v>69</v>
      </c>
      <c r="Z1415" t="s">
        <v>40</v>
      </c>
      <c r="AA1415">
        <v>4</v>
      </c>
      <c r="AB1415">
        <v>1</v>
      </c>
      <c r="AC1415" t="s">
        <v>41</v>
      </c>
      <c r="AD1415" t="s">
        <v>42</v>
      </c>
      <c r="AE1415" t="s">
        <v>43</v>
      </c>
      <c r="AF1415" s="3">
        <v>1716</v>
      </c>
      <c r="AG1415" s="3">
        <v>82</v>
      </c>
      <c r="AH1415">
        <v>80</v>
      </c>
      <c r="AI1415">
        <v>5</v>
      </c>
      <c r="AJ1415">
        <v>1</v>
      </c>
      <c r="AK1415">
        <v>1</v>
      </c>
      <c r="AL1415">
        <v>1</v>
      </c>
      <c r="AM1415">
        <v>0</v>
      </c>
      <c r="AN1415" t="s">
        <v>767</v>
      </c>
      <c r="AO1415" t="s">
        <v>31</v>
      </c>
    </row>
    <row r="1416" spans="1:41" x14ac:dyDescent="0.25">
      <c r="A1416">
        <v>43</v>
      </c>
      <c r="B1416" t="s">
        <v>32</v>
      </c>
      <c r="C1416" t="s">
        <v>55</v>
      </c>
      <c r="D1416">
        <v>4</v>
      </c>
      <c r="E1416" t="s">
        <v>61</v>
      </c>
      <c r="F1416">
        <v>2</v>
      </c>
      <c r="G1416">
        <v>3</v>
      </c>
      <c r="H1416" t="s">
        <v>70</v>
      </c>
      <c r="I1416">
        <v>4</v>
      </c>
      <c r="J1416" t="s">
        <v>36</v>
      </c>
      <c r="K1416">
        <v>10231</v>
      </c>
      <c r="L1416">
        <v>3</v>
      </c>
      <c r="M1416" t="s">
        <v>41</v>
      </c>
      <c r="N1416">
        <v>14</v>
      </c>
      <c r="O1416">
        <v>3</v>
      </c>
      <c r="P1416">
        <v>0</v>
      </c>
      <c r="Q1416">
        <v>23</v>
      </c>
      <c r="R1416">
        <v>3</v>
      </c>
      <c r="S1416">
        <v>21</v>
      </c>
      <c r="T1416">
        <v>15</v>
      </c>
      <c r="U1416">
        <v>17</v>
      </c>
      <c r="V1416" t="s">
        <v>37</v>
      </c>
      <c r="W1416" s="1" t="s">
        <v>720</v>
      </c>
      <c r="Y1416" t="s">
        <v>39</v>
      </c>
      <c r="Z1416" t="s">
        <v>40</v>
      </c>
      <c r="AA1416">
        <v>3</v>
      </c>
      <c r="AB1416">
        <v>0</v>
      </c>
      <c r="AC1416" t="s">
        <v>41</v>
      </c>
      <c r="AD1416" t="s">
        <v>67</v>
      </c>
      <c r="AE1416" t="s">
        <v>60</v>
      </c>
      <c r="AF1416" s="3">
        <v>1486</v>
      </c>
      <c r="AG1416" s="3">
        <v>92</v>
      </c>
      <c r="AH1416">
        <v>80</v>
      </c>
      <c r="AI1416">
        <v>2</v>
      </c>
      <c r="AJ1416">
        <v>1</v>
      </c>
      <c r="AK1416">
        <v>1</v>
      </c>
      <c r="AL1416">
        <v>1</v>
      </c>
      <c r="AM1416">
        <v>0</v>
      </c>
      <c r="AN1416" t="s">
        <v>767</v>
      </c>
      <c r="AO1416" t="s">
        <v>31</v>
      </c>
    </row>
    <row r="1417" spans="1:41" x14ac:dyDescent="0.25">
      <c r="A1417">
        <v>40</v>
      </c>
      <c r="B1417" t="s">
        <v>32</v>
      </c>
      <c r="C1417" t="s">
        <v>120</v>
      </c>
      <c r="D1417">
        <v>6</v>
      </c>
      <c r="E1417" t="s">
        <v>34</v>
      </c>
      <c r="F1417">
        <v>3</v>
      </c>
      <c r="G1417">
        <v>4</v>
      </c>
      <c r="H1417" t="s">
        <v>75</v>
      </c>
      <c r="I1417">
        <v>4</v>
      </c>
      <c r="J1417" t="s">
        <v>36</v>
      </c>
      <c r="K1417">
        <v>16437</v>
      </c>
      <c r="L1417">
        <v>1</v>
      </c>
      <c r="M1417" t="s">
        <v>31</v>
      </c>
      <c r="N1417">
        <v>21</v>
      </c>
      <c r="O1417">
        <v>4</v>
      </c>
      <c r="P1417">
        <v>0</v>
      </c>
      <c r="Q1417">
        <v>21</v>
      </c>
      <c r="R1417">
        <v>2</v>
      </c>
      <c r="S1417">
        <v>21</v>
      </c>
      <c r="T1417">
        <v>7</v>
      </c>
      <c r="U1417">
        <v>7</v>
      </c>
      <c r="V1417" t="s">
        <v>52</v>
      </c>
      <c r="W1417" s="2">
        <v>36559</v>
      </c>
      <c r="Y1417" t="s">
        <v>69</v>
      </c>
      <c r="Z1417" t="s">
        <v>40</v>
      </c>
      <c r="AA1417">
        <v>4</v>
      </c>
      <c r="AB1417">
        <v>3</v>
      </c>
      <c r="AC1417" t="s">
        <v>41</v>
      </c>
      <c r="AD1417" t="s">
        <v>42</v>
      </c>
      <c r="AE1417" t="s">
        <v>60</v>
      </c>
      <c r="AF1417" s="3">
        <v>2023</v>
      </c>
      <c r="AG1417" s="3">
        <v>33</v>
      </c>
      <c r="AH1417">
        <v>80</v>
      </c>
      <c r="AI1417">
        <v>0</v>
      </c>
      <c r="AJ1417">
        <v>1</v>
      </c>
      <c r="AK1417">
        <v>1</v>
      </c>
      <c r="AL1417">
        <v>1</v>
      </c>
      <c r="AM1417">
        <v>0</v>
      </c>
      <c r="AN1417" t="s">
        <v>767</v>
      </c>
      <c r="AO1417" t="s">
        <v>31</v>
      </c>
    </row>
    <row r="1418" spans="1:41" x14ac:dyDescent="0.25">
      <c r="A1418">
        <v>45</v>
      </c>
      <c r="B1418" t="s">
        <v>32</v>
      </c>
      <c r="C1418" t="s">
        <v>33</v>
      </c>
      <c r="D1418">
        <v>28</v>
      </c>
      <c r="E1418" t="s">
        <v>61</v>
      </c>
      <c r="F1418">
        <v>2</v>
      </c>
      <c r="G1418">
        <v>4</v>
      </c>
      <c r="H1418" t="s">
        <v>50</v>
      </c>
      <c r="I1418">
        <v>2</v>
      </c>
      <c r="J1418" t="s">
        <v>36</v>
      </c>
      <c r="K1418">
        <v>16704</v>
      </c>
      <c r="L1418">
        <v>1</v>
      </c>
      <c r="M1418" t="s">
        <v>41</v>
      </c>
      <c r="N1418">
        <v>11</v>
      </c>
      <c r="O1418">
        <v>3</v>
      </c>
      <c r="P1418">
        <v>0</v>
      </c>
      <c r="Q1418">
        <v>21</v>
      </c>
      <c r="R1418">
        <v>2</v>
      </c>
      <c r="S1418">
        <v>21</v>
      </c>
      <c r="T1418">
        <v>8</v>
      </c>
      <c r="U1418">
        <v>6</v>
      </c>
      <c r="V1418" t="s">
        <v>72</v>
      </c>
      <c r="W1418" s="1" t="s">
        <v>721</v>
      </c>
      <c r="Y1418" t="s">
        <v>69</v>
      </c>
      <c r="Z1418" t="s">
        <v>40</v>
      </c>
      <c r="AA1418">
        <v>4</v>
      </c>
      <c r="AB1418">
        <v>2</v>
      </c>
      <c r="AC1418" t="s">
        <v>31</v>
      </c>
      <c r="AD1418" t="s">
        <v>48</v>
      </c>
      <c r="AE1418" t="s">
        <v>43</v>
      </c>
      <c r="AF1418" s="3">
        <v>1928</v>
      </c>
      <c r="AG1418" s="3">
        <v>45</v>
      </c>
      <c r="AH1418">
        <v>80</v>
      </c>
      <c r="AI1418">
        <v>0</v>
      </c>
      <c r="AJ1418">
        <v>1</v>
      </c>
      <c r="AK1418">
        <v>1</v>
      </c>
      <c r="AL1418">
        <v>1</v>
      </c>
      <c r="AM1418">
        <v>0</v>
      </c>
      <c r="AN1418" t="s">
        <v>767</v>
      </c>
      <c r="AO1418" t="s">
        <v>31</v>
      </c>
    </row>
    <row r="1419" spans="1:41" x14ac:dyDescent="0.25">
      <c r="A1419">
        <v>40</v>
      </c>
      <c r="B1419" t="s">
        <v>32</v>
      </c>
      <c r="C1419" t="s">
        <v>55</v>
      </c>
      <c r="D1419">
        <v>7</v>
      </c>
      <c r="E1419" t="s">
        <v>34</v>
      </c>
      <c r="F1419">
        <v>3</v>
      </c>
      <c r="G1419">
        <v>5</v>
      </c>
      <c r="H1419" t="s">
        <v>75</v>
      </c>
      <c r="I1419">
        <v>2</v>
      </c>
      <c r="J1419" t="s">
        <v>36</v>
      </c>
      <c r="K1419">
        <v>19833</v>
      </c>
      <c r="L1419">
        <v>1</v>
      </c>
      <c r="M1419" t="s">
        <v>41</v>
      </c>
      <c r="N1419">
        <v>14</v>
      </c>
      <c r="O1419">
        <v>3</v>
      </c>
      <c r="P1419">
        <v>0</v>
      </c>
      <c r="Q1419">
        <v>21</v>
      </c>
      <c r="R1419">
        <v>3</v>
      </c>
      <c r="S1419">
        <v>21</v>
      </c>
      <c r="T1419">
        <v>12</v>
      </c>
      <c r="U1419">
        <v>8</v>
      </c>
      <c r="V1419" t="s">
        <v>37</v>
      </c>
      <c r="W1419" s="2">
        <v>36741</v>
      </c>
      <c r="Y1419" t="s">
        <v>69</v>
      </c>
      <c r="Z1419" t="s">
        <v>40</v>
      </c>
      <c r="AA1419">
        <v>0</v>
      </c>
      <c r="AB1419">
        <v>1</v>
      </c>
      <c r="AC1419" t="s">
        <v>41</v>
      </c>
      <c r="AD1419" t="s">
        <v>65</v>
      </c>
      <c r="AE1419" t="s">
        <v>49</v>
      </c>
      <c r="AF1419" s="3">
        <v>1842</v>
      </c>
      <c r="AG1419" s="3">
        <v>89</v>
      </c>
      <c r="AH1419">
        <v>80</v>
      </c>
      <c r="AI1419">
        <v>0</v>
      </c>
      <c r="AJ1419">
        <v>1</v>
      </c>
      <c r="AK1419">
        <v>1</v>
      </c>
      <c r="AL1419">
        <v>1</v>
      </c>
      <c r="AM1419">
        <v>0</v>
      </c>
      <c r="AN1419" t="s">
        <v>767</v>
      </c>
      <c r="AO1419" t="s">
        <v>31</v>
      </c>
    </row>
    <row r="1420" spans="1:41" x14ac:dyDescent="0.25">
      <c r="A1420">
        <v>44</v>
      </c>
      <c r="B1420" t="s">
        <v>32</v>
      </c>
      <c r="C1420" t="s">
        <v>33</v>
      </c>
      <c r="D1420">
        <v>7</v>
      </c>
      <c r="E1420" t="s">
        <v>61</v>
      </c>
      <c r="F1420">
        <v>2</v>
      </c>
      <c r="G1420">
        <v>3</v>
      </c>
      <c r="H1420" t="s">
        <v>89</v>
      </c>
      <c r="I1420">
        <v>4</v>
      </c>
      <c r="J1420" t="s">
        <v>51</v>
      </c>
      <c r="K1420">
        <v>10248</v>
      </c>
      <c r="L1420">
        <v>3</v>
      </c>
      <c r="M1420" t="s">
        <v>41</v>
      </c>
      <c r="N1420">
        <v>14</v>
      </c>
      <c r="O1420">
        <v>3</v>
      </c>
      <c r="P1420">
        <v>1</v>
      </c>
      <c r="Q1420">
        <v>24</v>
      </c>
      <c r="R1420">
        <v>4</v>
      </c>
      <c r="S1420">
        <v>22</v>
      </c>
      <c r="T1420">
        <v>5</v>
      </c>
      <c r="U1420">
        <v>17</v>
      </c>
      <c r="V1420" t="s">
        <v>72</v>
      </c>
      <c r="W1420" s="1" t="s">
        <v>722</v>
      </c>
      <c r="Y1420" t="s">
        <v>46</v>
      </c>
      <c r="Z1420" t="s">
        <v>40</v>
      </c>
      <c r="AA1420">
        <v>4</v>
      </c>
      <c r="AB1420">
        <v>1</v>
      </c>
      <c r="AC1420" t="s">
        <v>41</v>
      </c>
      <c r="AD1420" t="s">
        <v>65</v>
      </c>
      <c r="AE1420" t="s">
        <v>43</v>
      </c>
      <c r="AF1420" s="3">
        <v>1714</v>
      </c>
      <c r="AG1420" s="3">
        <v>58</v>
      </c>
      <c r="AH1420">
        <v>80</v>
      </c>
      <c r="AI1420">
        <v>0</v>
      </c>
      <c r="AJ1420">
        <v>1</v>
      </c>
      <c r="AK1420">
        <v>1</v>
      </c>
      <c r="AL1420">
        <v>1</v>
      </c>
      <c r="AM1420">
        <v>0</v>
      </c>
      <c r="AN1420" t="s">
        <v>767</v>
      </c>
      <c r="AO1420" t="s">
        <v>31</v>
      </c>
    </row>
    <row r="1421" spans="1:41" x14ac:dyDescent="0.25">
      <c r="A1421">
        <v>41</v>
      </c>
      <c r="B1421" t="s">
        <v>32</v>
      </c>
      <c r="C1421" t="s">
        <v>33</v>
      </c>
      <c r="D1421">
        <v>12</v>
      </c>
      <c r="E1421" t="s">
        <v>61</v>
      </c>
      <c r="F1421">
        <v>3</v>
      </c>
      <c r="G1421">
        <v>5</v>
      </c>
      <c r="H1421" t="s">
        <v>50</v>
      </c>
      <c r="I1421">
        <v>3</v>
      </c>
      <c r="J1421" t="s">
        <v>51</v>
      </c>
      <c r="K1421">
        <v>19545</v>
      </c>
      <c r="L1421">
        <v>1</v>
      </c>
      <c r="M1421" t="s">
        <v>41</v>
      </c>
      <c r="N1421">
        <v>12</v>
      </c>
      <c r="O1421">
        <v>3</v>
      </c>
      <c r="P1421">
        <v>0</v>
      </c>
      <c r="Q1421">
        <v>23</v>
      </c>
      <c r="R1421">
        <v>0</v>
      </c>
      <c r="S1421">
        <v>22</v>
      </c>
      <c r="T1421">
        <v>15</v>
      </c>
      <c r="U1421">
        <v>8</v>
      </c>
      <c r="V1421" t="s">
        <v>72</v>
      </c>
      <c r="W1421" s="1" t="s">
        <v>723</v>
      </c>
      <c r="Y1421" t="s">
        <v>39</v>
      </c>
      <c r="Z1421" t="s">
        <v>40</v>
      </c>
      <c r="AA1421">
        <v>4</v>
      </c>
      <c r="AB1421">
        <v>2</v>
      </c>
      <c r="AC1421" t="s">
        <v>31</v>
      </c>
      <c r="AD1421" t="s">
        <v>67</v>
      </c>
      <c r="AE1421" t="s">
        <v>60</v>
      </c>
      <c r="AF1421" s="3">
        <v>1960</v>
      </c>
      <c r="AG1421" s="3">
        <v>32</v>
      </c>
      <c r="AH1421">
        <v>80</v>
      </c>
      <c r="AI1421">
        <v>1</v>
      </c>
      <c r="AJ1421">
        <v>1</v>
      </c>
      <c r="AK1421">
        <v>1</v>
      </c>
      <c r="AL1421">
        <v>1</v>
      </c>
      <c r="AM1421">
        <v>0</v>
      </c>
      <c r="AN1421" t="s">
        <v>767</v>
      </c>
      <c r="AO1421" t="s">
        <v>31</v>
      </c>
    </row>
    <row r="1422" spans="1:41" x14ac:dyDescent="0.25">
      <c r="A1422">
        <v>40</v>
      </c>
      <c r="B1422" t="s">
        <v>66</v>
      </c>
      <c r="C1422" t="s">
        <v>33</v>
      </c>
      <c r="D1422">
        <v>1</v>
      </c>
      <c r="E1422" t="s">
        <v>34</v>
      </c>
      <c r="F1422">
        <v>2</v>
      </c>
      <c r="G1422">
        <v>4</v>
      </c>
      <c r="H1422" t="s">
        <v>89</v>
      </c>
      <c r="I1422">
        <v>2</v>
      </c>
      <c r="J1422" t="s">
        <v>51</v>
      </c>
      <c r="K1422">
        <v>13503</v>
      </c>
      <c r="L1422">
        <v>1</v>
      </c>
      <c r="M1422" t="s">
        <v>41</v>
      </c>
      <c r="N1422">
        <v>22</v>
      </c>
      <c r="O1422">
        <v>4</v>
      </c>
      <c r="P1422">
        <v>1</v>
      </c>
      <c r="Q1422">
        <v>22</v>
      </c>
      <c r="R1422">
        <v>3</v>
      </c>
      <c r="S1422">
        <v>22</v>
      </c>
      <c r="T1422">
        <v>11</v>
      </c>
      <c r="U1422">
        <v>11</v>
      </c>
      <c r="V1422" t="s">
        <v>52</v>
      </c>
      <c r="W1422" s="1" t="s">
        <v>724</v>
      </c>
      <c r="Y1422" t="s">
        <v>39</v>
      </c>
      <c r="Z1422" t="s">
        <v>47</v>
      </c>
      <c r="AA1422">
        <v>2</v>
      </c>
      <c r="AB1422">
        <v>3</v>
      </c>
      <c r="AC1422" t="s">
        <v>41</v>
      </c>
      <c r="AD1422" t="s">
        <v>42</v>
      </c>
      <c r="AE1422" t="s">
        <v>43</v>
      </c>
      <c r="AF1422" s="3">
        <v>2032</v>
      </c>
      <c r="AG1422" s="3">
        <v>72</v>
      </c>
      <c r="AH1422">
        <v>80</v>
      </c>
      <c r="AI1422">
        <v>9</v>
      </c>
      <c r="AJ1422">
        <v>1</v>
      </c>
      <c r="AK1422">
        <v>1</v>
      </c>
      <c r="AL1422">
        <v>1</v>
      </c>
      <c r="AM1422">
        <v>0</v>
      </c>
      <c r="AN1422" t="s">
        <v>767</v>
      </c>
      <c r="AO1422" t="s">
        <v>31</v>
      </c>
    </row>
    <row r="1423" spans="1:41" x14ac:dyDescent="0.25">
      <c r="A1423">
        <v>42</v>
      </c>
      <c r="B1423" t="s">
        <v>32</v>
      </c>
      <c r="C1423" t="s">
        <v>33</v>
      </c>
      <c r="D1423">
        <v>4</v>
      </c>
      <c r="E1423" t="s">
        <v>34</v>
      </c>
      <c r="F1423">
        <v>3</v>
      </c>
      <c r="G1423">
        <v>5</v>
      </c>
      <c r="H1423" t="s">
        <v>75</v>
      </c>
      <c r="I1423">
        <v>4</v>
      </c>
      <c r="J1423" t="s">
        <v>51</v>
      </c>
      <c r="K1423">
        <v>19232</v>
      </c>
      <c r="L1423">
        <v>1</v>
      </c>
      <c r="M1423" t="s">
        <v>41</v>
      </c>
      <c r="N1423">
        <v>11</v>
      </c>
      <c r="O1423">
        <v>3</v>
      </c>
      <c r="P1423">
        <v>0</v>
      </c>
      <c r="Q1423">
        <v>22</v>
      </c>
      <c r="R1423">
        <v>3</v>
      </c>
      <c r="S1423">
        <v>22</v>
      </c>
      <c r="T1423">
        <v>11</v>
      </c>
      <c r="U1423">
        <v>15</v>
      </c>
      <c r="V1423" t="s">
        <v>72</v>
      </c>
      <c r="W1423" s="1" t="s">
        <v>725</v>
      </c>
      <c r="Y1423" t="s">
        <v>46</v>
      </c>
      <c r="Z1423" t="s">
        <v>47</v>
      </c>
      <c r="AA1423">
        <v>3</v>
      </c>
      <c r="AB1423">
        <v>2</v>
      </c>
      <c r="AC1423" t="s">
        <v>41</v>
      </c>
      <c r="AD1423" t="s">
        <v>48</v>
      </c>
      <c r="AE1423" t="s">
        <v>43</v>
      </c>
      <c r="AF1423" s="3">
        <v>1573</v>
      </c>
      <c r="AG1423" s="3">
        <v>81</v>
      </c>
      <c r="AH1423">
        <v>80</v>
      </c>
      <c r="AI1423">
        <v>2</v>
      </c>
      <c r="AJ1423">
        <v>1</v>
      </c>
      <c r="AK1423">
        <v>1</v>
      </c>
      <c r="AL1423">
        <v>1</v>
      </c>
      <c r="AM1423">
        <v>0</v>
      </c>
      <c r="AN1423" t="s">
        <v>767</v>
      </c>
      <c r="AO1423" t="s">
        <v>31</v>
      </c>
    </row>
    <row r="1424" spans="1:41" x14ac:dyDescent="0.25">
      <c r="A1424">
        <v>41</v>
      </c>
      <c r="B1424" t="s">
        <v>32</v>
      </c>
      <c r="C1424" t="s">
        <v>55</v>
      </c>
      <c r="D1424">
        <v>2</v>
      </c>
      <c r="E1424" t="s">
        <v>34</v>
      </c>
      <c r="F1424">
        <v>3</v>
      </c>
      <c r="G1424">
        <v>4</v>
      </c>
      <c r="H1424" t="s">
        <v>75</v>
      </c>
      <c r="I1424">
        <v>2</v>
      </c>
      <c r="J1424" t="s">
        <v>36</v>
      </c>
      <c r="K1424">
        <v>16015</v>
      </c>
      <c r="L1424">
        <v>1</v>
      </c>
      <c r="M1424" t="s">
        <v>41</v>
      </c>
      <c r="N1424">
        <v>19</v>
      </c>
      <c r="O1424">
        <v>3</v>
      </c>
      <c r="P1424">
        <v>0</v>
      </c>
      <c r="Q1424">
        <v>22</v>
      </c>
      <c r="R1424">
        <v>2</v>
      </c>
      <c r="S1424">
        <v>22</v>
      </c>
      <c r="T1424">
        <v>0</v>
      </c>
      <c r="U1424">
        <v>4</v>
      </c>
      <c r="V1424" t="s">
        <v>72</v>
      </c>
      <c r="W1424" s="1" t="s">
        <v>726</v>
      </c>
      <c r="Y1424" t="s">
        <v>54</v>
      </c>
      <c r="Z1424" t="s">
        <v>47</v>
      </c>
      <c r="AA1424">
        <v>1</v>
      </c>
      <c r="AB1424">
        <v>0</v>
      </c>
      <c r="AC1424" t="s">
        <v>31</v>
      </c>
      <c r="AD1424" t="s">
        <v>65</v>
      </c>
      <c r="AE1424" t="s">
        <v>60</v>
      </c>
      <c r="AF1424" s="3">
        <v>1522</v>
      </c>
      <c r="AG1424" s="3">
        <v>100</v>
      </c>
      <c r="AH1424">
        <v>80</v>
      </c>
      <c r="AI1424">
        <v>7</v>
      </c>
      <c r="AJ1424">
        <v>1</v>
      </c>
      <c r="AK1424">
        <v>1</v>
      </c>
      <c r="AL1424">
        <v>1</v>
      </c>
      <c r="AM1424">
        <v>0</v>
      </c>
      <c r="AN1424" t="s">
        <v>767</v>
      </c>
      <c r="AO1424" t="s">
        <v>31</v>
      </c>
    </row>
    <row r="1425" spans="1:41" x14ac:dyDescent="0.25">
      <c r="A1425">
        <v>41</v>
      </c>
      <c r="B1425" t="s">
        <v>32</v>
      </c>
      <c r="C1425" t="s">
        <v>120</v>
      </c>
      <c r="D1425">
        <v>1</v>
      </c>
      <c r="E1425" t="s">
        <v>34</v>
      </c>
      <c r="F1425">
        <v>2</v>
      </c>
      <c r="G1425">
        <v>5</v>
      </c>
      <c r="H1425" t="s">
        <v>75</v>
      </c>
      <c r="I1425">
        <v>3</v>
      </c>
      <c r="J1425" t="s">
        <v>51</v>
      </c>
      <c r="K1425">
        <v>19189</v>
      </c>
      <c r="L1425">
        <v>1</v>
      </c>
      <c r="M1425" t="s">
        <v>41</v>
      </c>
      <c r="N1425">
        <v>12</v>
      </c>
      <c r="O1425">
        <v>3</v>
      </c>
      <c r="P1425">
        <v>1</v>
      </c>
      <c r="Q1425">
        <v>22</v>
      </c>
      <c r="R1425">
        <v>3</v>
      </c>
      <c r="S1425">
        <v>22</v>
      </c>
      <c r="T1425">
        <v>2</v>
      </c>
      <c r="U1425">
        <v>10</v>
      </c>
      <c r="V1425" t="s">
        <v>37</v>
      </c>
      <c r="W1425" s="1" t="s">
        <v>727</v>
      </c>
      <c r="Y1425" t="s">
        <v>54</v>
      </c>
      <c r="Z1425" t="s">
        <v>40</v>
      </c>
      <c r="AA1425">
        <v>4</v>
      </c>
      <c r="AB1425">
        <v>0</v>
      </c>
      <c r="AC1425" t="s">
        <v>31</v>
      </c>
      <c r="AD1425" t="s">
        <v>67</v>
      </c>
      <c r="AE1425" t="s">
        <v>49</v>
      </c>
      <c r="AF1425" s="3">
        <v>1907</v>
      </c>
      <c r="AG1425" s="3">
        <v>97</v>
      </c>
      <c r="AH1425">
        <v>80</v>
      </c>
      <c r="AI1425">
        <v>2</v>
      </c>
      <c r="AJ1425">
        <v>1</v>
      </c>
      <c r="AK1425">
        <v>1</v>
      </c>
      <c r="AL1425">
        <v>1</v>
      </c>
      <c r="AM1425">
        <v>0</v>
      </c>
      <c r="AN1425" t="s">
        <v>767</v>
      </c>
      <c r="AO1425" t="s">
        <v>31</v>
      </c>
    </row>
    <row r="1426" spans="1:41" x14ac:dyDescent="0.25">
      <c r="A1426">
        <v>47</v>
      </c>
      <c r="B1426" t="s">
        <v>66</v>
      </c>
      <c r="C1426" t="s">
        <v>55</v>
      </c>
      <c r="D1426">
        <v>3</v>
      </c>
      <c r="E1426" t="s">
        <v>61</v>
      </c>
      <c r="F1426">
        <v>3</v>
      </c>
      <c r="G1426">
        <v>4</v>
      </c>
      <c r="H1426" t="s">
        <v>70</v>
      </c>
      <c r="I1426">
        <v>3</v>
      </c>
      <c r="J1426" t="s">
        <v>57</v>
      </c>
      <c r="K1426">
        <v>13770</v>
      </c>
      <c r="L1426">
        <v>9</v>
      </c>
      <c r="M1426" t="s">
        <v>31</v>
      </c>
      <c r="N1426">
        <v>12</v>
      </c>
      <c r="O1426">
        <v>3</v>
      </c>
      <c r="P1426">
        <v>2</v>
      </c>
      <c r="Q1426">
        <v>28</v>
      </c>
      <c r="R1426">
        <v>2</v>
      </c>
      <c r="S1426">
        <v>22</v>
      </c>
      <c r="T1426">
        <v>11</v>
      </c>
      <c r="U1426">
        <v>13</v>
      </c>
      <c r="V1426" t="s">
        <v>72</v>
      </c>
      <c r="W1426" s="2">
        <v>36496</v>
      </c>
      <c r="Y1426" t="s">
        <v>63</v>
      </c>
      <c r="Z1426" t="s">
        <v>40</v>
      </c>
      <c r="AA1426">
        <v>4</v>
      </c>
      <c r="AB1426">
        <v>3</v>
      </c>
      <c r="AC1426" t="s">
        <v>41</v>
      </c>
      <c r="AD1426" t="s">
        <v>48</v>
      </c>
      <c r="AE1426" t="s">
        <v>43</v>
      </c>
      <c r="AF1426" s="3">
        <v>1534</v>
      </c>
      <c r="AG1426" s="3">
        <v>86</v>
      </c>
      <c r="AH1426">
        <v>80</v>
      </c>
      <c r="AI1426">
        <v>4</v>
      </c>
      <c r="AJ1426">
        <v>1</v>
      </c>
      <c r="AK1426">
        <v>1</v>
      </c>
      <c r="AL1426">
        <v>1</v>
      </c>
      <c r="AM1426">
        <v>0</v>
      </c>
      <c r="AN1426" t="s">
        <v>767</v>
      </c>
      <c r="AO1426" t="s">
        <v>31</v>
      </c>
    </row>
    <row r="1427" spans="1:41" x14ac:dyDescent="0.25">
      <c r="A1427">
        <v>42</v>
      </c>
      <c r="B1427" t="s">
        <v>32</v>
      </c>
      <c r="C1427" t="s">
        <v>33</v>
      </c>
      <c r="D1427">
        <v>2</v>
      </c>
      <c r="E1427" t="s">
        <v>34</v>
      </c>
      <c r="F1427">
        <v>3</v>
      </c>
      <c r="G1427">
        <v>4</v>
      </c>
      <c r="H1427" t="s">
        <v>75</v>
      </c>
      <c r="I1427">
        <v>1</v>
      </c>
      <c r="J1427" t="s">
        <v>51</v>
      </c>
      <c r="K1427">
        <v>17665</v>
      </c>
      <c r="L1427">
        <v>0</v>
      </c>
      <c r="M1427" t="s">
        <v>41</v>
      </c>
      <c r="N1427">
        <v>17</v>
      </c>
      <c r="O1427">
        <v>3</v>
      </c>
      <c r="P1427">
        <v>1</v>
      </c>
      <c r="Q1427">
        <v>23</v>
      </c>
      <c r="R1427">
        <v>3</v>
      </c>
      <c r="S1427">
        <v>22</v>
      </c>
      <c r="T1427">
        <v>13</v>
      </c>
      <c r="U1427">
        <v>7</v>
      </c>
      <c r="V1427" t="s">
        <v>37</v>
      </c>
      <c r="W1427" s="2">
        <v>36466</v>
      </c>
      <c r="Y1427" t="s">
        <v>54</v>
      </c>
      <c r="Z1427" t="s">
        <v>40</v>
      </c>
      <c r="AA1427">
        <v>0</v>
      </c>
      <c r="AB1427">
        <v>0</v>
      </c>
      <c r="AC1427" t="s">
        <v>31</v>
      </c>
      <c r="AD1427" t="s">
        <v>67</v>
      </c>
      <c r="AE1427" t="s">
        <v>43</v>
      </c>
      <c r="AF1427" s="3">
        <v>1809</v>
      </c>
      <c r="AG1427" s="3">
        <v>58</v>
      </c>
      <c r="AH1427">
        <v>80</v>
      </c>
      <c r="AI1427">
        <v>3</v>
      </c>
      <c r="AJ1427">
        <v>1</v>
      </c>
      <c r="AK1427">
        <v>1</v>
      </c>
      <c r="AL1427">
        <v>1</v>
      </c>
      <c r="AM1427">
        <v>0</v>
      </c>
      <c r="AN1427" t="s">
        <v>767</v>
      </c>
      <c r="AO1427" t="s">
        <v>31</v>
      </c>
    </row>
    <row r="1428" spans="1:41" x14ac:dyDescent="0.25">
      <c r="A1428">
        <v>44</v>
      </c>
      <c r="B1428" t="s">
        <v>32</v>
      </c>
      <c r="C1428" t="s">
        <v>55</v>
      </c>
      <c r="D1428">
        <v>5</v>
      </c>
      <c r="E1428" t="s">
        <v>34</v>
      </c>
      <c r="F1428">
        <v>3</v>
      </c>
      <c r="G1428">
        <v>5</v>
      </c>
      <c r="H1428" t="s">
        <v>75</v>
      </c>
      <c r="I1428">
        <v>2</v>
      </c>
      <c r="J1428" t="s">
        <v>51</v>
      </c>
      <c r="K1428">
        <v>18213</v>
      </c>
      <c r="L1428">
        <v>7</v>
      </c>
      <c r="M1428" t="s">
        <v>41</v>
      </c>
      <c r="N1428">
        <v>11</v>
      </c>
      <c r="O1428">
        <v>3</v>
      </c>
      <c r="P1428">
        <v>1</v>
      </c>
      <c r="Q1428">
        <v>26</v>
      </c>
      <c r="R1428">
        <v>5</v>
      </c>
      <c r="S1428">
        <v>22</v>
      </c>
      <c r="T1428">
        <v>3</v>
      </c>
      <c r="U1428">
        <v>10</v>
      </c>
      <c r="V1428" t="s">
        <v>72</v>
      </c>
      <c r="W1428" s="1" t="s">
        <v>728</v>
      </c>
      <c r="Y1428" t="s">
        <v>46</v>
      </c>
      <c r="Z1428" t="s">
        <v>40</v>
      </c>
      <c r="AA1428">
        <v>4</v>
      </c>
      <c r="AB1428">
        <v>0</v>
      </c>
      <c r="AC1428" t="s">
        <v>31</v>
      </c>
      <c r="AD1428" t="s">
        <v>65</v>
      </c>
      <c r="AE1428" t="s">
        <v>49</v>
      </c>
      <c r="AF1428" s="3">
        <v>1692</v>
      </c>
      <c r="AG1428" s="3">
        <v>95</v>
      </c>
      <c r="AH1428">
        <v>80</v>
      </c>
      <c r="AI1428">
        <v>0</v>
      </c>
      <c r="AJ1428">
        <v>1</v>
      </c>
      <c r="AK1428">
        <v>1</v>
      </c>
      <c r="AL1428">
        <v>1</v>
      </c>
      <c r="AM1428">
        <v>0</v>
      </c>
      <c r="AN1428" t="s">
        <v>767</v>
      </c>
      <c r="AO1428" t="s">
        <v>31</v>
      </c>
    </row>
    <row r="1429" spans="1:41" x14ac:dyDescent="0.25">
      <c r="A1429">
        <v>44</v>
      </c>
      <c r="B1429" t="s">
        <v>32</v>
      </c>
      <c r="C1429" t="s">
        <v>33</v>
      </c>
      <c r="D1429">
        <v>7</v>
      </c>
      <c r="E1429" t="s">
        <v>61</v>
      </c>
      <c r="F1429">
        <v>3</v>
      </c>
      <c r="G1429">
        <v>5</v>
      </c>
      <c r="H1429" t="s">
        <v>50</v>
      </c>
      <c r="I1429">
        <v>4</v>
      </c>
      <c r="J1429" t="s">
        <v>57</v>
      </c>
      <c r="K1429">
        <v>19049</v>
      </c>
      <c r="L1429">
        <v>0</v>
      </c>
      <c r="M1429" t="s">
        <v>31</v>
      </c>
      <c r="N1429">
        <v>14</v>
      </c>
      <c r="O1429">
        <v>3</v>
      </c>
      <c r="P1429">
        <v>1</v>
      </c>
      <c r="Q1429">
        <v>23</v>
      </c>
      <c r="R1429">
        <v>4</v>
      </c>
      <c r="S1429">
        <v>22</v>
      </c>
      <c r="T1429">
        <v>1</v>
      </c>
      <c r="U1429">
        <v>10</v>
      </c>
      <c r="V1429" t="s">
        <v>72</v>
      </c>
      <c r="W1429" s="2">
        <v>36316</v>
      </c>
      <c r="Y1429" t="s">
        <v>63</v>
      </c>
      <c r="Z1429" t="s">
        <v>40</v>
      </c>
      <c r="AA1429">
        <v>5</v>
      </c>
      <c r="AB1429">
        <v>2</v>
      </c>
      <c r="AC1429" t="s">
        <v>41</v>
      </c>
      <c r="AD1429" t="s">
        <v>42</v>
      </c>
      <c r="AE1429" t="s">
        <v>49</v>
      </c>
      <c r="AF1429" s="3">
        <v>1457</v>
      </c>
      <c r="AG1429" s="3">
        <v>52</v>
      </c>
      <c r="AH1429">
        <v>80</v>
      </c>
      <c r="AI1429">
        <v>7</v>
      </c>
      <c r="AJ1429">
        <v>1</v>
      </c>
      <c r="AK1429">
        <v>1</v>
      </c>
      <c r="AL1429">
        <v>1</v>
      </c>
      <c r="AM1429">
        <v>0</v>
      </c>
      <c r="AN1429" t="s">
        <v>767</v>
      </c>
      <c r="AO1429" t="s">
        <v>31</v>
      </c>
    </row>
    <row r="1430" spans="1:41" x14ac:dyDescent="0.25">
      <c r="A1430">
        <v>41</v>
      </c>
      <c r="B1430" t="s">
        <v>32</v>
      </c>
      <c r="C1430" t="s">
        <v>55</v>
      </c>
      <c r="D1430">
        <v>4</v>
      </c>
      <c r="E1430" t="s">
        <v>61</v>
      </c>
      <c r="F1430">
        <v>3</v>
      </c>
      <c r="G1430">
        <v>3</v>
      </c>
      <c r="H1430" t="s">
        <v>70</v>
      </c>
      <c r="I1430">
        <v>3</v>
      </c>
      <c r="J1430" t="s">
        <v>57</v>
      </c>
      <c r="K1430">
        <v>10447</v>
      </c>
      <c r="L1430">
        <v>0</v>
      </c>
      <c r="M1430" t="s">
        <v>31</v>
      </c>
      <c r="N1430">
        <v>13</v>
      </c>
      <c r="O1430">
        <v>3</v>
      </c>
      <c r="P1430">
        <v>1</v>
      </c>
      <c r="Q1430">
        <v>23</v>
      </c>
      <c r="R1430">
        <v>3</v>
      </c>
      <c r="S1430">
        <v>22</v>
      </c>
      <c r="T1430">
        <v>13</v>
      </c>
      <c r="U1430">
        <v>5</v>
      </c>
      <c r="V1430" t="s">
        <v>72</v>
      </c>
      <c r="W1430" s="2">
        <v>36223</v>
      </c>
      <c r="Y1430" t="s">
        <v>54</v>
      </c>
      <c r="Z1430" t="s">
        <v>47</v>
      </c>
      <c r="AA1430">
        <v>3</v>
      </c>
      <c r="AB1430">
        <v>2</v>
      </c>
      <c r="AC1430" t="s">
        <v>31</v>
      </c>
      <c r="AD1430" t="s">
        <v>42</v>
      </c>
      <c r="AE1430" t="s">
        <v>49</v>
      </c>
      <c r="AF1430" s="3">
        <v>1439</v>
      </c>
      <c r="AG1430" s="3">
        <v>68</v>
      </c>
      <c r="AH1430">
        <v>80</v>
      </c>
      <c r="AI1430">
        <v>2</v>
      </c>
      <c r="AJ1430">
        <v>1</v>
      </c>
      <c r="AK1430">
        <v>1</v>
      </c>
      <c r="AL1430">
        <v>1</v>
      </c>
      <c r="AM1430">
        <v>0</v>
      </c>
      <c r="AN1430" t="s">
        <v>767</v>
      </c>
      <c r="AO1430" t="s">
        <v>31</v>
      </c>
    </row>
    <row r="1431" spans="1:41" x14ac:dyDescent="0.25">
      <c r="A1431">
        <v>47</v>
      </c>
      <c r="B1431" t="s">
        <v>32</v>
      </c>
      <c r="C1431" t="s">
        <v>33</v>
      </c>
      <c r="D1431">
        <v>4</v>
      </c>
      <c r="E1431" t="s">
        <v>61</v>
      </c>
      <c r="F1431">
        <v>2</v>
      </c>
      <c r="G1431">
        <v>3</v>
      </c>
      <c r="H1431" t="s">
        <v>78</v>
      </c>
      <c r="I1431">
        <v>2</v>
      </c>
      <c r="J1431" t="s">
        <v>57</v>
      </c>
      <c r="K1431">
        <v>10333</v>
      </c>
      <c r="L1431">
        <v>8</v>
      </c>
      <c r="M1431" t="s">
        <v>31</v>
      </c>
      <c r="N1431">
        <v>12</v>
      </c>
      <c r="O1431">
        <v>3</v>
      </c>
      <c r="P1431">
        <v>1</v>
      </c>
      <c r="Q1431">
        <v>28</v>
      </c>
      <c r="R1431">
        <v>4</v>
      </c>
      <c r="S1431">
        <v>22</v>
      </c>
      <c r="T1431">
        <v>14</v>
      </c>
      <c r="U1431">
        <v>10</v>
      </c>
      <c r="V1431" t="s">
        <v>37</v>
      </c>
      <c r="W1431" s="2">
        <v>36500</v>
      </c>
      <c r="Y1431" t="s">
        <v>63</v>
      </c>
      <c r="Z1431" t="s">
        <v>40</v>
      </c>
      <c r="AA1431">
        <v>3</v>
      </c>
      <c r="AB1431">
        <v>2</v>
      </c>
      <c r="AC1431" t="s">
        <v>41</v>
      </c>
      <c r="AD1431" t="s">
        <v>48</v>
      </c>
      <c r="AE1431" t="s">
        <v>43</v>
      </c>
      <c r="AF1431" s="3">
        <v>1639</v>
      </c>
      <c r="AG1431" s="3">
        <v>55</v>
      </c>
      <c r="AH1431">
        <v>80</v>
      </c>
      <c r="AI1431">
        <v>12</v>
      </c>
      <c r="AJ1431">
        <v>1</v>
      </c>
      <c r="AK1431">
        <v>1</v>
      </c>
      <c r="AL1431">
        <v>1</v>
      </c>
      <c r="AM1431">
        <v>0</v>
      </c>
      <c r="AN1431" t="s">
        <v>767</v>
      </c>
      <c r="AO1431" t="s">
        <v>31</v>
      </c>
    </row>
    <row r="1432" spans="1:41" x14ac:dyDescent="0.25">
      <c r="A1432">
        <v>48</v>
      </c>
      <c r="B1432" t="s">
        <v>32</v>
      </c>
      <c r="C1432" t="s">
        <v>33</v>
      </c>
      <c r="D1432">
        <v>10</v>
      </c>
      <c r="E1432" t="s">
        <v>34</v>
      </c>
      <c r="F1432">
        <v>2</v>
      </c>
      <c r="G1432">
        <v>5</v>
      </c>
      <c r="H1432" t="s">
        <v>50</v>
      </c>
      <c r="I1432">
        <v>2</v>
      </c>
      <c r="J1432" t="s">
        <v>51</v>
      </c>
      <c r="K1432">
        <v>19665</v>
      </c>
      <c r="L1432">
        <v>4</v>
      </c>
      <c r="M1432" t="s">
        <v>41</v>
      </c>
      <c r="N1432">
        <v>12</v>
      </c>
      <c r="O1432">
        <v>3</v>
      </c>
      <c r="P1432">
        <v>0</v>
      </c>
      <c r="Q1432">
        <v>29</v>
      </c>
      <c r="R1432">
        <v>3</v>
      </c>
      <c r="S1432">
        <v>22</v>
      </c>
      <c r="T1432">
        <v>12</v>
      </c>
      <c r="U1432">
        <v>9</v>
      </c>
      <c r="V1432" t="s">
        <v>58</v>
      </c>
      <c r="W1432" s="1" t="s">
        <v>729</v>
      </c>
      <c r="Y1432" t="s">
        <v>63</v>
      </c>
      <c r="Z1432" t="s">
        <v>40</v>
      </c>
      <c r="AA1432">
        <v>1</v>
      </c>
      <c r="AB1432">
        <v>1</v>
      </c>
      <c r="AC1432" t="s">
        <v>31</v>
      </c>
      <c r="AD1432" t="s">
        <v>42</v>
      </c>
      <c r="AE1432" t="s">
        <v>49</v>
      </c>
      <c r="AF1432" s="3">
        <v>1562</v>
      </c>
      <c r="AG1432" s="3">
        <v>64</v>
      </c>
      <c r="AH1432">
        <v>80</v>
      </c>
      <c r="AI1432">
        <v>8</v>
      </c>
      <c r="AJ1432">
        <v>1</v>
      </c>
      <c r="AK1432">
        <v>1</v>
      </c>
      <c r="AL1432">
        <v>1</v>
      </c>
      <c r="AM1432">
        <v>0</v>
      </c>
      <c r="AN1432" t="s">
        <v>767</v>
      </c>
      <c r="AO1432" t="s">
        <v>31</v>
      </c>
    </row>
    <row r="1433" spans="1:41" x14ac:dyDescent="0.25">
      <c r="A1433">
        <v>48</v>
      </c>
      <c r="B1433" t="s">
        <v>66</v>
      </c>
      <c r="C1433" t="s">
        <v>33</v>
      </c>
      <c r="D1433">
        <v>22</v>
      </c>
      <c r="E1433" t="s">
        <v>61</v>
      </c>
      <c r="F1433">
        <v>3</v>
      </c>
      <c r="G1433">
        <v>4</v>
      </c>
      <c r="H1433" t="s">
        <v>75</v>
      </c>
      <c r="I1433">
        <v>4</v>
      </c>
      <c r="J1433" t="s">
        <v>57</v>
      </c>
      <c r="K1433">
        <v>17174</v>
      </c>
      <c r="L1433">
        <v>3</v>
      </c>
      <c r="M1433" t="s">
        <v>41</v>
      </c>
      <c r="N1433">
        <v>11</v>
      </c>
      <c r="O1433">
        <v>3</v>
      </c>
      <c r="P1433">
        <v>1</v>
      </c>
      <c r="Q1433">
        <v>24</v>
      </c>
      <c r="R1433">
        <v>3</v>
      </c>
      <c r="S1433">
        <v>22</v>
      </c>
      <c r="T1433">
        <v>4</v>
      </c>
      <c r="U1433">
        <v>7</v>
      </c>
      <c r="V1433" t="s">
        <v>52</v>
      </c>
      <c r="W1433" s="2">
        <v>36255</v>
      </c>
      <c r="Y1433" t="s">
        <v>39</v>
      </c>
      <c r="Z1433" t="s">
        <v>40</v>
      </c>
      <c r="AA1433">
        <v>3</v>
      </c>
      <c r="AB1433">
        <v>3</v>
      </c>
      <c r="AC1433" t="s">
        <v>41</v>
      </c>
      <c r="AD1433" t="s">
        <v>42</v>
      </c>
      <c r="AE1433" t="s">
        <v>43</v>
      </c>
      <c r="AF1433" s="3">
        <v>1761</v>
      </c>
      <c r="AG1433" s="3">
        <v>70</v>
      </c>
      <c r="AH1433">
        <v>80</v>
      </c>
      <c r="AI1433">
        <v>0</v>
      </c>
      <c r="AJ1433">
        <v>1</v>
      </c>
      <c r="AK1433">
        <v>1</v>
      </c>
      <c r="AL1433">
        <v>1</v>
      </c>
      <c r="AM1433">
        <v>0</v>
      </c>
      <c r="AN1433" t="s">
        <v>767</v>
      </c>
      <c r="AO1433" t="s">
        <v>31</v>
      </c>
    </row>
    <row r="1434" spans="1:41" x14ac:dyDescent="0.25">
      <c r="A1434">
        <v>42</v>
      </c>
      <c r="B1434" t="s">
        <v>32</v>
      </c>
      <c r="C1434" t="s">
        <v>33</v>
      </c>
      <c r="D1434">
        <v>2</v>
      </c>
      <c r="E1434" t="s">
        <v>34</v>
      </c>
      <c r="F1434">
        <v>3</v>
      </c>
      <c r="G1434">
        <v>5</v>
      </c>
      <c r="H1434" t="s">
        <v>75</v>
      </c>
      <c r="I1434">
        <v>3</v>
      </c>
      <c r="J1434" t="s">
        <v>51</v>
      </c>
      <c r="K1434">
        <v>18880</v>
      </c>
      <c r="L1434">
        <v>5</v>
      </c>
      <c r="M1434" t="s">
        <v>41</v>
      </c>
      <c r="N1434">
        <v>11</v>
      </c>
      <c r="O1434">
        <v>3</v>
      </c>
      <c r="P1434">
        <v>0</v>
      </c>
      <c r="Q1434">
        <v>24</v>
      </c>
      <c r="R1434">
        <v>2</v>
      </c>
      <c r="S1434">
        <v>22</v>
      </c>
      <c r="T1434">
        <v>4</v>
      </c>
      <c r="U1434">
        <v>14</v>
      </c>
      <c r="V1434" t="s">
        <v>58</v>
      </c>
      <c r="W1434" s="1" t="s">
        <v>730</v>
      </c>
      <c r="Y1434" t="s">
        <v>39</v>
      </c>
      <c r="Z1434" t="s">
        <v>47</v>
      </c>
      <c r="AA1434">
        <v>4</v>
      </c>
      <c r="AB1434">
        <v>3</v>
      </c>
      <c r="AC1434" t="s">
        <v>31</v>
      </c>
      <c r="AD1434" t="s">
        <v>67</v>
      </c>
      <c r="AE1434" t="s">
        <v>49</v>
      </c>
      <c r="AF1434" s="3">
        <v>1734</v>
      </c>
      <c r="AG1434" s="3">
        <v>34</v>
      </c>
      <c r="AH1434">
        <v>80</v>
      </c>
      <c r="AI1434">
        <v>0</v>
      </c>
      <c r="AJ1434">
        <v>1</v>
      </c>
      <c r="AK1434">
        <v>1</v>
      </c>
      <c r="AL1434">
        <v>1</v>
      </c>
      <c r="AM1434">
        <v>0</v>
      </c>
      <c r="AN1434" t="s">
        <v>767</v>
      </c>
      <c r="AO1434" t="s">
        <v>31</v>
      </c>
    </row>
    <row r="1435" spans="1:41" x14ac:dyDescent="0.25">
      <c r="A1435">
        <v>45</v>
      </c>
      <c r="B1435" t="s">
        <v>81</v>
      </c>
      <c r="C1435" t="s">
        <v>33</v>
      </c>
      <c r="D1435">
        <v>1</v>
      </c>
      <c r="E1435" t="s">
        <v>34</v>
      </c>
      <c r="F1435">
        <v>2</v>
      </c>
      <c r="G1435">
        <v>3</v>
      </c>
      <c r="H1435" t="s">
        <v>89</v>
      </c>
      <c r="I1435">
        <v>3</v>
      </c>
      <c r="J1435" t="s">
        <v>51</v>
      </c>
      <c r="K1435">
        <v>10748</v>
      </c>
      <c r="L1435">
        <v>3</v>
      </c>
      <c r="M1435" t="s">
        <v>41</v>
      </c>
      <c r="N1435">
        <v>23</v>
      </c>
      <c r="O1435">
        <v>4</v>
      </c>
      <c r="P1435">
        <v>1</v>
      </c>
      <c r="Q1435">
        <v>25</v>
      </c>
      <c r="R1435">
        <v>3</v>
      </c>
      <c r="S1435">
        <v>23</v>
      </c>
      <c r="T1435">
        <v>14</v>
      </c>
      <c r="U1435">
        <v>4</v>
      </c>
      <c r="V1435" t="s">
        <v>72</v>
      </c>
      <c r="W1435" s="1" t="s">
        <v>731</v>
      </c>
      <c r="Y1435" t="s">
        <v>63</v>
      </c>
      <c r="Z1435" t="s">
        <v>40</v>
      </c>
      <c r="AA1435">
        <v>1</v>
      </c>
      <c r="AB1435">
        <v>3</v>
      </c>
      <c r="AC1435" t="s">
        <v>31</v>
      </c>
      <c r="AD1435" t="s">
        <v>67</v>
      </c>
      <c r="AE1435" t="s">
        <v>60</v>
      </c>
      <c r="AF1435" s="3">
        <v>1780</v>
      </c>
      <c r="AG1435" s="3">
        <v>31</v>
      </c>
      <c r="AH1435">
        <v>80</v>
      </c>
      <c r="AI1435">
        <v>0</v>
      </c>
      <c r="AJ1435">
        <v>1</v>
      </c>
      <c r="AK1435">
        <v>1</v>
      </c>
      <c r="AL1435">
        <v>1</v>
      </c>
      <c r="AM1435">
        <v>0</v>
      </c>
      <c r="AN1435" t="s">
        <v>767</v>
      </c>
      <c r="AO1435" t="s">
        <v>31</v>
      </c>
    </row>
    <row r="1436" spans="1:41" x14ac:dyDescent="0.25">
      <c r="A1436">
        <v>47</v>
      </c>
      <c r="B1436" t="s">
        <v>66</v>
      </c>
      <c r="C1436" t="s">
        <v>55</v>
      </c>
      <c r="D1436">
        <v>9</v>
      </c>
      <c r="E1436" t="s">
        <v>34</v>
      </c>
      <c r="F1436">
        <v>1</v>
      </c>
      <c r="G1436">
        <v>4</v>
      </c>
      <c r="H1436" t="s">
        <v>70</v>
      </c>
      <c r="I1436">
        <v>3</v>
      </c>
      <c r="J1436" t="s">
        <v>51</v>
      </c>
      <c r="K1436">
        <v>12936</v>
      </c>
      <c r="L1436">
        <v>7</v>
      </c>
      <c r="M1436" t="s">
        <v>41</v>
      </c>
      <c r="N1436">
        <v>11</v>
      </c>
      <c r="O1436">
        <v>3</v>
      </c>
      <c r="P1436">
        <v>0</v>
      </c>
      <c r="Q1436">
        <v>25</v>
      </c>
      <c r="R1436">
        <v>3</v>
      </c>
      <c r="S1436">
        <v>23</v>
      </c>
      <c r="T1436">
        <v>14</v>
      </c>
      <c r="U1436">
        <v>10</v>
      </c>
      <c r="V1436" t="s">
        <v>58</v>
      </c>
      <c r="W1436" s="1" t="s">
        <v>732</v>
      </c>
      <c r="Y1436" t="s">
        <v>39</v>
      </c>
      <c r="Z1436" t="s">
        <v>47</v>
      </c>
      <c r="AA1436">
        <v>1</v>
      </c>
      <c r="AB1436">
        <v>1</v>
      </c>
      <c r="AC1436" t="s">
        <v>41</v>
      </c>
      <c r="AD1436" t="s">
        <v>48</v>
      </c>
      <c r="AE1436" t="s">
        <v>43</v>
      </c>
      <c r="AF1436" s="3">
        <v>1876</v>
      </c>
      <c r="AG1436" s="3">
        <v>89</v>
      </c>
      <c r="AH1436">
        <v>80</v>
      </c>
      <c r="AI1436">
        <v>0</v>
      </c>
      <c r="AJ1436">
        <v>1</v>
      </c>
      <c r="AK1436">
        <v>1</v>
      </c>
      <c r="AL1436">
        <v>1</v>
      </c>
      <c r="AM1436">
        <v>0</v>
      </c>
      <c r="AN1436" t="s">
        <v>767</v>
      </c>
      <c r="AO1436" t="s">
        <v>31</v>
      </c>
    </row>
    <row r="1437" spans="1:41" x14ac:dyDescent="0.25">
      <c r="A1437">
        <v>46</v>
      </c>
      <c r="B1437" t="s">
        <v>32</v>
      </c>
      <c r="C1437" t="s">
        <v>55</v>
      </c>
      <c r="D1437">
        <v>1</v>
      </c>
      <c r="E1437" t="s">
        <v>61</v>
      </c>
      <c r="F1437">
        <v>3</v>
      </c>
      <c r="G1437">
        <v>3</v>
      </c>
      <c r="H1437" t="s">
        <v>70</v>
      </c>
      <c r="I1437">
        <v>1</v>
      </c>
      <c r="J1437" t="s">
        <v>57</v>
      </c>
      <c r="K1437">
        <v>10453</v>
      </c>
      <c r="L1437">
        <v>1</v>
      </c>
      <c r="M1437" t="s">
        <v>41</v>
      </c>
      <c r="N1437">
        <v>25</v>
      </c>
      <c r="O1437">
        <v>4</v>
      </c>
      <c r="P1437">
        <v>3</v>
      </c>
      <c r="Q1437">
        <v>24</v>
      </c>
      <c r="R1437">
        <v>2</v>
      </c>
      <c r="S1437">
        <v>24</v>
      </c>
      <c r="T1437">
        <v>15</v>
      </c>
      <c r="U1437">
        <v>7</v>
      </c>
      <c r="V1437" t="s">
        <v>52</v>
      </c>
      <c r="W1437" s="1" t="s">
        <v>733</v>
      </c>
      <c r="Y1437" t="s">
        <v>63</v>
      </c>
      <c r="Z1437" t="s">
        <v>47</v>
      </c>
      <c r="AA1437">
        <v>0</v>
      </c>
      <c r="AB1437">
        <v>2</v>
      </c>
      <c r="AC1437" t="s">
        <v>31</v>
      </c>
      <c r="AD1437" t="s">
        <v>67</v>
      </c>
      <c r="AE1437" t="s">
        <v>49</v>
      </c>
      <c r="AF1437" s="3">
        <v>1939</v>
      </c>
      <c r="AG1437" s="3">
        <v>47</v>
      </c>
      <c r="AH1437">
        <v>80</v>
      </c>
      <c r="AI1437">
        <v>1</v>
      </c>
      <c r="AJ1437">
        <v>1</v>
      </c>
      <c r="AK1437">
        <v>1</v>
      </c>
      <c r="AL1437">
        <v>1</v>
      </c>
      <c r="AM1437">
        <v>0</v>
      </c>
      <c r="AN1437" t="s">
        <v>767</v>
      </c>
      <c r="AO1437" t="s">
        <v>31</v>
      </c>
    </row>
    <row r="1438" spans="1:41" x14ac:dyDescent="0.25">
      <c r="A1438">
        <v>55</v>
      </c>
      <c r="B1438" t="s">
        <v>32</v>
      </c>
      <c r="C1438" t="s">
        <v>33</v>
      </c>
      <c r="D1438">
        <v>14</v>
      </c>
      <c r="E1438" t="s">
        <v>34</v>
      </c>
      <c r="F1438">
        <v>4</v>
      </c>
      <c r="G1438">
        <v>5</v>
      </c>
      <c r="H1438" t="s">
        <v>50</v>
      </c>
      <c r="I1438">
        <v>2</v>
      </c>
      <c r="J1438" t="s">
        <v>36</v>
      </c>
      <c r="K1438">
        <v>18722</v>
      </c>
      <c r="L1438">
        <v>8</v>
      </c>
      <c r="M1438" t="s">
        <v>41</v>
      </c>
      <c r="N1438">
        <v>11</v>
      </c>
      <c r="O1438">
        <v>3</v>
      </c>
      <c r="P1438">
        <v>0</v>
      </c>
      <c r="Q1438">
        <v>36</v>
      </c>
      <c r="R1438">
        <v>3</v>
      </c>
      <c r="S1438">
        <v>24</v>
      </c>
      <c r="T1438">
        <v>2</v>
      </c>
      <c r="U1438">
        <v>15</v>
      </c>
      <c r="V1438" t="s">
        <v>58</v>
      </c>
      <c r="W1438" s="1" t="s">
        <v>734</v>
      </c>
      <c r="Y1438" t="s">
        <v>69</v>
      </c>
      <c r="Z1438" t="s">
        <v>47</v>
      </c>
      <c r="AA1438">
        <v>0</v>
      </c>
      <c r="AB1438">
        <v>2</v>
      </c>
      <c r="AC1438" t="s">
        <v>31</v>
      </c>
      <c r="AD1438" t="s">
        <v>65</v>
      </c>
      <c r="AE1438" t="s">
        <v>43</v>
      </c>
      <c r="AF1438" s="3">
        <v>1421</v>
      </c>
      <c r="AG1438" s="3">
        <v>84</v>
      </c>
      <c r="AH1438">
        <v>80</v>
      </c>
      <c r="AI1438">
        <v>7</v>
      </c>
      <c r="AJ1438">
        <v>1</v>
      </c>
      <c r="AK1438">
        <v>1</v>
      </c>
      <c r="AL1438">
        <v>1</v>
      </c>
      <c r="AM1438">
        <v>0</v>
      </c>
      <c r="AN1438" t="s">
        <v>767</v>
      </c>
      <c r="AO1438" t="s">
        <v>31</v>
      </c>
    </row>
    <row r="1439" spans="1:41" x14ac:dyDescent="0.25">
      <c r="A1439">
        <v>45</v>
      </c>
      <c r="B1439" t="s">
        <v>32</v>
      </c>
      <c r="C1439" t="s">
        <v>33</v>
      </c>
      <c r="D1439">
        <v>1</v>
      </c>
      <c r="E1439" t="s">
        <v>34</v>
      </c>
      <c r="F1439">
        <v>4</v>
      </c>
      <c r="G1439">
        <v>5</v>
      </c>
      <c r="H1439" t="s">
        <v>75</v>
      </c>
      <c r="I1439">
        <v>4</v>
      </c>
      <c r="J1439" t="s">
        <v>51</v>
      </c>
      <c r="K1439">
        <v>19202</v>
      </c>
      <c r="L1439">
        <v>0</v>
      </c>
      <c r="M1439" t="s">
        <v>41</v>
      </c>
      <c r="N1439">
        <v>11</v>
      </c>
      <c r="O1439">
        <v>3</v>
      </c>
      <c r="P1439">
        <v>1</v>
      </c>
      <c r="Q1439">
        <v>25</v>
      </c>
      <c r="R1439">
        <v>2</v>
      </c>
      <c r="S1439">
        <v>24</v>
      </c>
      <c r="T1439">
        <v>1</v>
      </c>
      <c r="U1439">
        <v>7</v>
      </c>
      <c r="V1439" t="s">
        <v>52</v>
      </c>
      <c r="W1439" s="1" t="s">
        <v>735</v>
      </c>
      <c r="Y1439" t="s">
        <v>63</v>
      </c>
      <c r="Z1439" t="s">
        <v>47</v>
      </c>
      <c r="AA1439">
        <v>3</v>
      </c>
      <c r="AB1439">
        <v>1</v>
      </c>
      <c r="AC1439" t="s">
        <v>31</v>
      </c>
      <c r="AD1439" t="s">
        <v>48</v>
      </c>
      <c r="AE1439" t="s">
        <v>43</v>
      </c>
      <c r="AF1439" s="3">
        <v>1691</v>
      </c>
      <c r="AG1439" s="3">
        <v>95</v>
      </c>
      <c r="AH1439">
        <v>80</v>
      </c>
      <c r="AI1439">
        <v>7</v>
      </c>
      <c r="AJ1439">
        <v>1</v>
      </c>
      <c r="AK1439">
        <v>1</v>
      </c>
      <c r="AL1439">
        <v>1</v>
      </c>
      <c r="AM1439">
        <v>0</v>
      </c>
      <c r="AN1439" t="s">
        <v>767</v>
      </c>
      <c r="AO1439" t="s">
        <v>31</v>
      </c>
    </row>
    <row r="1440" spans="1:41" x14ac:dyDescent="0.25">
      <c r="A1440">
        <v>45</v>
      </c>
      <c r="B1440" t="s">
        <v>66</v>
      </c>
      <c r="C1440" t="s">
        <v>33</v>
      </c>
      <c r="D1440">
        <v>7</v>
      </c>
      <c r="E1440" t="s">
        <v>34</v>
      </c>
      <c r="F1440">
        <v>3</v>
      </c>
      <c r="G1440">
        <v>3</v>
      </c>
      <c r="H1440" t="s">
        <v>35</v>
      </c>
      <c r="I1440">
        <v>1</v>
      </c>
      <c r="J1440" t="s">
        <v>57</v>
      </c>
      <c r="K1440">
        <v>5210</v>
      </c>
      <c r="L1440">
        <v>1</v>
      </c>
      <c r="M1440" t="s">
        <v>41</v>
      </c>
      <c r="N1440">
        <v>18</v>
      </c>
      <c r="O1440">
        <v>3</v>
      </c>
      <c r="P1440">
        <v>1</v>
      </c>
      <c r="Q1440">
        <v>24</v>
      </c>
      <c r="R1440">
        <v>2</v>
      </c>
      <c r="S1440">
        <v>24</v>
      </c>
      <c r="T1440">
        <v>9</v>
      </c>
      <c r="U1440">
        <v>11</v>
      </c>
      <c r="V1440" t="s">
        <v>72</v>
      </c>
      <c r="W1440" s="1" t="s">
        <v>736</v>
      </c>
      <c r="Y1440" t="s">
        <v>54</v>
      </c>
      <c r="Z1440" t="s">
        <v>40</v>
      </c>
      <c r="AA1440">
        <v>5</v>
      </c>
      <c r="AB1440">
        <v>2</v>
      </c>
      <c r="AC1440" t="s">
        <v>41</v>
      </c>
      <c r="AD1440" t="s">
        <v>42</v>
      </c>
      <c r="AE1440" t="s">
        <v>49</v>
      </c>
      <c r="AF1440" s="3">
        <v>1624</v>
      </c>
      <c r="AG1440" s="3">
        <v>70</v>
      </c>
      <c r="AH1440">
        <v>80</v>
      </c>
      <c r="AI1440">
        <v>0</v>
      </c>
      <c r="AJ1440">
        <v>1</v>
      </c>
      <c r="AK1440">
        <v>1</v>
      </c>
      <c r="AL1440">
        <v>1</v>
      </c>
      <c r="AM1440">
        <v>0</v>
      </c>
      <c r="AN1440" t="s">
        <v>767</v>
      </c>
      <c r="AO1440" t="s">
        <v>31</v>
      </c>
    </row>
    <row r="1441" spans="1:41" x14ac:dyDescent="0.25">
      <c r="A1441">
        <v>42</v>
      </c>
      <c r="B1441" t="s">
        <v>66</v>
      </c>
      <c r="C1441" t="s">
        <v>33</v>
      </c>
      <c r="D1441">
        <v>8</v>
      </c>
      <c r="E1441" t="s">
        <v>34</v>
      </c>
      <c r="F1441">
        <v>3</v>
      </c>
      <c r="G1441">
        <v>5</v>
      </c>
      <c r="H1441" t="s">
        <v>75</v>
      </c>
      <c r="I1441">
        <v>4</v>
      </c>
      <c r="J1441" t="s">
        <v>57</v>
      </c>
      <c r="K1441">
        <v>18430</v>
      </c>
      <c r="L1441">
        <v>1</v>
      </c>
      <c r="M1441" t="s">
        <v>41</v>
      </c>
      <c r="N1441">
        <v>13</v>
      </c>
      <c r="O1441">
        <v>3</v>
      </c>
      <c r="P1441">
        <v>1</v>
      </c>
      <c r="Q1441">
        <v>24</v>
      </c>
      <c r="R1441">
        <v>4</v>
      </c>
      <c r="S1441">
        <v>24</v>
      </c>
      <c r="T1441">
        <v>14</v>
      </c>
      <c r="U1441">
        <v>9</v>
      </c>
      <c r="V1441" t="s">
        <v>37</v>
      </c>
      <c r="W1441" s="1" t="s">
        <v>737</v>
      </c>
      <c r="Y1441" t="s">
        <v>63</v>
      </c>
      <c r="Z1441" t="s">
        <v>40</v>
      </c>
      <c r="AA1441">
        <v>1</v>
      </c>
      <c r="AB1441">
        <v>3</v>
      </c>
      <c r="AC1441" t="s">
        <v>31</v>
      </c>
      <c r="AD1441" t="s">
        <v>65</v>
      </c>
      <c r="AE1441" t="s">
        <v>43</v>
      </c>
      <c r="AF1441" s="3">
        <v>1818</v>
      </c>
      <c r="AG1441" s="3">
        <v>69</v>
      </c>
      <c r="AH1441">
        <v>80</v>
      </c>
      <c r="AI1441">
        <v>1</v>
      </c>
      <c r="AJ1441">
        <v>1</v>
      </c>
      <c r="AK1441">
        <v>1</v>
      </c>
      <c r="AL1441">
        <v>1</v>
      </c>
      <c r="AM1441">
        <v>0</v>
      </c>
      <c r="AN1441" t="s">
        <v>767</v>
      </c>
      <c r="AO1441" t="s">
        <v>31</v>
      </c>
    </row>
    <row r="1442" spans="1:41" x14ac:dyDescent="0.25">
      <c r="A1442">
        <v>45</v>
      </c>
      <c r="B1442" t="s">
        <v>32</v>
      </c>
      <c r="C1442" t="s">
        <v>55</v>
      </c>
      <c r="D1442">
        <v>2</v>
      </c>
      <c r="E1442" t="s">
        <v>61</v>
      </c>
      <c r="F1442">
        <v>1</v>
      </c>
      <c r="G1442">
        <v>5</v>
      </c>
      <c r="H1442" t="s">
        <v>75</v>
      </c>
      <c r="I1442">
        <v>2</v>
      </c>
      <c r="J1442" t="s">
        <v>36</v>
      </c>
      <c r="K1442">
        <v>18824</v>
      </c>
      <c r="L1442">
        <v>2</v>
      </c>
      <c r="M1442" t="s">
        <v>31</v>
      </c>
      <c r="N1442">
        <v>16</v>
      </c>
      <c r="O1442">
        <v>3</v>
      </c>
      <c r="P1442">
        <v>0</v>
      </c>
      <c r="Q1442">
        <v>26</v>
      </c>
      <c r="R1442">
        <v>2</v>
      </c>
      <c r="S1442">
        <v>24</v>
      </c>
      <c r="T1442">
        <v>1</v>
      </c>
      <c r="U1442">
        <v>11</v>
      </c>
      <c r="V1442" t="s">
        <v>72</v>
      </c>
      <c r="W1442" s="1" t="s">
        <v>738</v>
      </c>
      <c r="Y1442" t="s">
        <v>63</v>
      </c>
      <c r="Z1442" t="s">
        <v>40</v>
      </c>
      <c r="AA1442">
        <v>2</v>
      </c>
      <c r="AB1442">
        <v>3</v>
      </c>
      <c r="AC1442" t="s">
        <v>31</v>
      </c>
      <c r="AD1442" t="s">
        <v>65</v>
      </c>
      <c r="AE1442" t="s">
        <v>43</v>
      </c>
      <c r="AF1442" s="3">
        <v>1569</v>
      </c>
      <c r="AG1442" s="3">
        <v>69</v>
      </c>
      <c r="AH1442">
        <v>80</v>
      </c>
      <c r="AI1442">
        <v>0</v>
      </c>
      <c r="AJ1442">
        <v>1</v>
      </c>
      <c r="AK1442">
        <v>1</v>
      </c>
      <c r="AL1442">
        <v>1</v>
      </c>
      <c r="AM1442">
        <v>0</v>
      </c>
      <c r="AN1442" t="s">
        <v>767</v>
      </c>
      <c r="AO1442" t="s">
        <v>31</v>
      </c>
    </row>
    <row r="1443" spans="1:41" x14ac:dyDescent="0.25">
      <c r="A1443">
        <v>53</v>
      </c>
      <c r="B1443" t="s">
        <v>32</v>
      </c>
      <c r="C1443" t="s">
        <v>55</v>
      </c>
      <c r="D1443">
        <v>2</v>
      </c>
      <c r="E1443" t="s">
        <v>61</v>
      </c>
      <c r="F1443">
        <v>2</v>
      </c>
      <c r="G1443">
        <v>4</v>
      </c>
      <c r="H1443" t="s">
        <v>75</v>
      </c>
      <c r="I1443">
        <v>4</v>
      </c>
      <c r="J1443" t="s">
        <v>51</v>
      </c>
      <c r="K1443">
        <v>15427</v>
      </c>
      <c r="L1443">
        <v>2</v>
      </c>
      <c r="M1443" t="s">
        <v>41</v>
      </c>
      <c r="N1443">
        <v>16</v>
      </c>
      <c r="O1443">
        <v>3</v>
      </c>
      <c r="P1443">
        <v>0</v>
      </c>
      <c r="Q1443">
        <v>31</v>
      </c>
      <c r="R1443">
        <v>3</v>
      </c>
      <c r="S1443">
        <v>25</v>
      </c>
      <c r="T1443">
        <v>3</v>
      </c>
      <c r="U1443">
        <v>7</v>
      </c>
      <c r="V1443" t="s">
        <v>37</v>
      </c>
      <c r="W1443" s="2">
        <v>35401</v>
      </c>
      <c r="Y1443" t="s">
        <v>63</v>
      </c>
      <c r="Z1443" t="s">
        <v>47</v>
      </c>
      <c r="AA1443">
        <v>5</v>
      </c>
      <c r="AB1443">
        <v>3</v>
      </c>
      <c r="AC1443" t="s">
        <v>31</v>
      </c>
      <c r="AD1443" t="s">
        <v>42</v>
      </c>
      <c r="AE1443" t="s">
        <v>60</v>
      </c>
      <c r="AF1443" s="3">
        <v>1783</v>
      </c>
      <c r="AG1443" s="3">
        <v>79</v>
      </c>
      <c r="AH1443">
        <v>80</v>
      </c>
      <c r="AI1443">
        <v>0</v>
      </c>
      <c r="AJ1443">
        <v>1</v>
      </c>
      <c r="AK1443">
        <v>1</v>
      </c>
      <c r="AL1443">
        <v>1</v>
      </c>
      <c r="AM1443">
        <v>0</v>
      </c>
      <c r="AN1443" t="s">
        <v>767</v>
      </c>
      <c r="AO1443" t="s">
        <v>31</v>
      </c>
    </row>
    <row r="1444" spans="1:41" x14ac:dyDescent="0.25">
      <c r="A1444">
        <v>43</v>
      </c>
      <c r="B1444" t="s">
        <v>66</v>
      </c>
      <c r="C1444" t="s">
        <v>55</v>
      </c>
      <c r="D1444">
        <v>26</v>
      </c>
      <c r="E1444" t="s">
        <v>34</v>
      </c>
      <c r="F1444">
        <v>3</v>
      </c>
      <c r="G1444">
        <v>4</v>
      </c>
      <c r="H1444" t="s">
        <v>75</v>
      </c>
      <c r="I1444">
        <v>4</v>
      </c>
      <c r="J1444" t="s">
        <v>51</v>
      </c>
      <c r="K1444">
        <v>16959</v>
      </c>
      <c r="L1444">
        <v>1</v>
      </c>
      <c r="M1444" t="s">
        <v>31</v>
      </c>
      <c r="N1444">
        <v>12</v>
      </c>
      <c r="O1444">
        <v>3</v>
      </c>
      <c r="P1444">
        <v>2</v>
      </c>
      <c r="Q1444">
        <v>25</v>
      </c>
      <c r="R1444">
        <v>3</v>
      </c>
      <c r="S1444">
        <v>25</v>
      </c>
      <c r="T1444">
        <v>4</v>
      </c>
      <c r="U1444">
        <v>12</v>
      </c>
      <c r="V1444" t="s">
        <v>37</v>
      </c>
      <c r="W1444" s="2">
        <v>35129</v>
      </c>
      <c r="Y1444" t="s">
        <v>63</v>
      </c>
      <c r="Z1444" t="s">
        <v>40</v>
      </c>
      <c r="AA1444">
        <v>2</v>
      </c>
      <c r="AB1444">
        <v>1</v>
      </c>
      <c r="AC1444" t="s">
        <v>31</v>
      </c>
      <c r="AD1444" t="s">
        <v>67</v>
      </c>
      <c r="AE1444" t="s">
        <v>43</v>
      </c>
      <c r="AF1444" s="3">
        <v>1933</v>
      </c>
      <c r="AG1444" s="3">
        <v>84</v>
      </c>
      <c r="AH1444">
        <v>80</v>
      </c>
      <c r="AI1444">
        <v>0</v>
      </c>
      <c r="AJ1444">
        <v>1</v>
      </c>
      <c r="AK1444">
        <v>1</v>
      </c>
      <c r="AL1444">
        <v>1</v>
      </c>
      <c r="AM1444">
        <v>0</v>
      </c>
      <c r="AN1444" t="s">
        <v>767</v>
      </c>
      <c r="AO1444" t="s">
        <v>31</v>
      </c>
    </row>
    <row r="1445" spans="1:41" x14ac:dyDescent="0.25">
      <c r="A1445">
        <v>43</v>
      </c>
      <c r="B1445" t="s">
        <v>32</v>
      </c>
      <c r="C1445" t="s">
        <v>33</v>
      </c>
      <c r="D1445">
        <v>12</v>
      </c>
      <c r="E1445" t="s">
        <v>34</v>
      </c>
      <c r="F1445">
        <v>2</v>
      </c>
      <c r="G1445">
        <v>4</v>
      </c>
      <c r="H1445" t="s">
        <v>50</v>
      </c>
      <c r="I1445">
        <v>2</v>
      </c>
      <c r="J1445" t="s">
        <v>57</v>
      </c>
      <c r="K1445">
        <v>14336</v>
      </c>
      <c r="L1445">
        <v>1</v>
      </c>
      <c r="M1445" t="s">
        <v>41</v>
      </c>
      <c r="N1445">
        <v>11</v>
      </c>
      <c r="O1445">
        <v>3</v>
      </c>
      <c r="P1445">
        <v>1</v>
      </c>
      <c r="Q1445">
        <v>25</v>
      </c>
      <c r="R1445">
        <v>3</v>
      </c>
      <c r="S1445">
        <v>25</v>
      </c>
      <c r="T1445">
        <v>3</v>
      </c>
      <c r="U1445">
        <v>9</v>
      </c>
      <c r="V1445" t="s">
        <v>52</v>
      </c>
      <c r="W1445" s="1" t="s">
        <v>739</v>
      </c>
      <c r="Y1445" t="s">
        <v>63</v>
      </c>
      <c r="Z1445" t="s">
        <v>40</v>
      </c>
      <c r="AA1445">
        <v>2</v>
      </c>
      <c r="AB1445">
        <v>1</v>
      </c>
      <c r="AC1445" t="s">
        <v>31</v>
      </c>
      <c r="AD1445" t="s">
        <v>65</v>
      </c>
      <c r="AE1445" t="s">
        <v>49</v>
      </c>
      <c r="AF1445" s="3">
        <v>1792</v>
      </c>
      <c r="AG1445" s="3">
        <v>99</v>
      </c>
      <c r="AH1445">
        <v>80</v>
      </c>
      <c r="AI1445">
        <v>3</v>
      </c>
      <c r="AJ1445">
        <v>1</v>
      </c>
      <c r="AK1445">
        <v>1</v>
      </c>
      <c r="AL1445">
        <v>1</v>
      </c>
      <c r="AM1445">
        <v>0</v>
      </c>
      <c r="AN1445" t="s">
        <v>767</v>
      </c>
      <c r="AO1445" t="s">
        <v>31</v>
      </c>
    </row>
    <row r="1446" spans="1:41" x14ac:dyDescent="0.25">
      <c r="A1446">
        <v>44</v>
      </c>
      <c r="B1446" t="s">
        <v>32</v>
      </c>
      <c r="C1446" t="s">
        <v>33</v>
      </c>
      <c r="D1446">
        <v>4</v>
      </c>
      <c r="E1446" t="s">
        <v>34</v>
      </c>
      <c r="F1446">
        <v>4</v>
      </c>
      <c r="G1446">
        <v>5</v>
      </c>
      <c r="H1446" t="s">
        <v>75</v>
      </c>
      <c r="I1446">
        <v>1</v>
      </c>
      <c r="J1446" t="s">
        <v>57</v>
      </c>
      <c r="K1446">
        <v>19190</v>
      </c>
      <c r="L1446">
        <v>1</v>
      </c>
      <c r="M1446" t="s">
        <v>41</v>
      </c>
      <c r="N1446">
        <v>14</v>
      </c>
      <c r="O1446">
        <v>3</v>
      </c>
      <c r="P1446">
        <v>2</v>
      </c>
      <c r="Q1446">
        <v>26</v>
      </c>
      <c r="R1446">
        <v>4</v>
      </c>
      <c r="S1446">
        <v>25</v>
      </c>
      <c r="T1446">
        <v>14</v>
      </c>
      <c r="U1446">
        <v>13</v>
      </c>
      <c r="V1446" t="s">
        <v>52</v>
      </c>
      <c r="W1446" s="2">
        <v>35099</v>
      </c>
      <c r="Y1446" t="s">
        <v>39</v>
      </c>
      <c r="Z1446" t="s">
        <v>47</v>
      </c>
      <c r="AA1446">
        <v>4</v>
      </c>
      <c r="AB1446">
        <v>1</v>
      </c>
      <c r="AC1446" t="s">
        <v>31</v>
      </c>
      <c r="AD1446" t="s">
        <v>65</v>
      </c>
      <c r="AE1446" t="s">
        <v>60</v>
      </c>
      <c r="AF1446" s="3">
        <v>1464</v>
      </c>
      <c r="AG1446" s="3">
        <v>94</v>
      </c>
      <c r="AH1446">
        <v>80</v>
      </c>
      <c r="AI1446">
        <v>2</v>
      </c>
      <c r="AJ1446">
        <v>1</v>
      </c>
      <c r="AK1446">
        <v>1</v>
      </c>
      <c r="AL1446">
        <v>1</v>
      </c>
      <c r="AM1446">
        <v>0</v>
      </c>
      <c r="AN1446" t="s">
        <v>767</v>
      </c>
      <c r="AO1446" t="s">
        <v>31</v>
      </c>
    </row>
    <row r="1447" spans="1:41" x14ac:dyDescent="0.25">
      <c r="A1447">
        <v>47</v>
      </c>
      <c r="B1447" t="s">
        <v>32</v>
      </c>
      <c r="C1447" t="s">
        <v>33</v>
      </c>
      <c r="D1447">
        <v>2</v>
      </c>
      <c r="E1447" t="s">
        <v>61</v>
      </c>
      <c r="F1447">
        <v>3</v>
      </c>
      <c r="G1447">
        <v>4</v>
      </c>
      <c r="H1447" t="s">
        <v>75</v>
      </c>
      <c r="I1447">
        <v>4</v>
      </c>
      <c r="J1447" t="s">
        <v>51</v>
      </c>
      <c r="K1447">
        <v>16752</v>
      </c>
      <c r="L1447">
        <v>1</v>
      </c>
      <c r="M1447" t="s">
        <v>31</v>
      </c>
      <c r="N1447">
        <v>11</v>
      </c>
      <c r="O1447">
        <v>3</v>
      </c>
      <c r="P1447">
        <v>1</v>
      </c>
      <c r="Q1447">
        <v>26</v>
      </c>
      <c r="R1447">
        <v>3</v>
      </c>
      <c r="S1447">
        <v>26</v>
      </c>
      <c r="T1447">
        <v>3</v>
      </c>
      <c r="U1447">
        <v>0</v>
      </c>
      <c r="V1447" t="s">
        <v>37</v>
      </c>
      <c r="W1447" s="1" t="s">
        <v>740</v>
      </c>
      <c r="Y1447" t="s">
        <v>69</v>
      </c>
      <c r="Z1447" t="s">
        <v>47</v>
      </c>
      <c r="AA1447">
        <v>3</v>
      </c>
      <c r="AB1447">
        <v>0</v>
      </c>
      <c r="AC1447" t="s">
        <v>41</v>
      </c>
      <c r="AD1447" t="s">
        <v>48</v>
      </c>
      <c r="AE1447" t="s">
        <v>49</v>
      </c>
      <c r="AF1447" s="3">
        <v>1767</v>
      </c>
      <c r="AG1447" s="3">
        <v>38</v>
      </c>
      <c r="AH1447">
        <v>80</v>
      </c>
      <c r="AI1447">
        <v>0</v>
      </c>
      <c r="AJ1447">
        <v>1</v>
      </c>
      <c r="AK1447">
        <v>1</v>
      </c>
      <c r="AL1447">
        <v>1</v>
      </c>
      <c r="AM1447">
        <v>0</v>
      </c>
      <c r="AN1447" t="s">
        <v>767</v>
      </c>
      <c r="AO1447" t="s">
        <v>31</v>
      </c>
    </row>
    <row r="1448" spans="1:41" x14ac:dyDescent="0.25">
      <c r="A1448">
        <v>49</v>
      </c>
      <c r="B1448" t="s">
        <v>32</v>
      </c>
      <c r="C1448" t="s">
        <v>33</v>
      </c>
      <c r="D1448">
        <v>8</v>
      </c>
      <c r="E1448" t="s">
        <v>61</v>
      </c>
      <c r="F1448">
        <v>3</v>
      </c>
      <c r="G1448">
        <v>3</v>
      </c>
      <c r="H1448" t="s">
        <v>35</v>
      </c>
      <c r="I1448">
        <v>2</v>
      </c>
      <c r="J1448" t="s">
        <v>51</v>
      </c>
      <c r="K1448">
        <v>7403</v>
      </c>
      <c r="L1448">
        <v>4</v>
      </c>
      <c r="M1448" t="s">
        <v>41</v>
      </c>
      <c r="N1448">
        <v>11</v>
      </c>
      <c r="O1448">
        <v>3</v>
      </c>
      <c r="P1448">
        <v>1</v>
      </c>
      <c r="Q1448">
        <v>29</v>
      </c>
      <c r="R1448">
        <v>3</v>
      </c>
      <c r="S1448">
        <v>26</v>
      </c>
      <c r="T1448">
        <v>1</v>
      </c>
      <c r="U1448">
        <v>7</v>
      </c>
      <c r="V1448" t="s">
        <v>58</v>
      </c>
      <c r="W1448" s="1" t="s">
        <v>741</v>
      </c>
      <c r="Y1448" t="s">
        <v>63</v>
      </c>
      <c r="Z1448" t="s">
        <v>47</v>
      </c>
      <c r="AA1448">
        <v>4</v>
      </c>
      <c r="AB1448">
        <v>0</v>
      </c>
      <c r="AC1448" t="s">
        <v>31</v>
      </c>
      <c r="AD1448" t="s">
        <v>42</v>
      </c>
      <c r="AE1448" t="s">
        <v>49</v>
      </c>
      <c r="AF1448" s="3">
        <v>1494</v>
      </c>
      <c r="AG1448" s="3">
        <v>89</v>
      </c>
      <c r="AH1448">
        <v>80</v>
      </c>
      <c r="AI1448">
        <v>0</v>
      </c>
      <c r="AJ1448">
        <v>1</v>
      </c>
      <c r="AK1448">
        <v>1</v>
      </c>
      <c r="AL1448">
        <v>1</v>
      </c>
      <c r="AM1448">
        <v>0</v>
      </c>
      <c r="AN1448" t="s">
        <v>767</v>
      </c>
      <c r="AO1448" t="s">
        <v>31</v>
      </c>
    </row>
    <row r="1449" spans="1:41" x14ac:dyDescent="0.25">
      <c r="A1449">
        <v>46</v>
      </c>
      <c r="B1449" t="s">
        <v>32</v>
      </c>
      <c r="C1449" t="s">
        <v>55</v>
      </c>
      <c r="D1449">
        <v>2</v>
      </c>
      <c r="E1449" t="s">
        <v>61</v>
      </c>
      <c r="F1449">
        <v>3</v>
      </c>
      <c r="G1449">
        <v>4</v>
      </c>
      <c r="H1449" t="s">
        <v>75</v>
      </c>
      <c r="I1449">
        <v>1</v>
      </c>
      <c r="J1449" t="s">
        <v>51</v>
      </c>
      <c r="K1449">
        <v>17048</v>
      </c>
      <c r="L1449">
        <v>8</v>
      </c>
      <c r="M1449" t="s">
        <v>41</v>
      </c>
      <c r="N1449">
        <v>23</v>
      </c>
      <c r="O1449">
        <v>4</v>
      </c>
      <c r="P1449">
        <v>0</v>
      </c>
      <c r="Q1449">
        <v>28</v>
      </c>
      <c r="R1449">
        <v>2</v>
      </c>
      <c r="S1449">
        <v>26</v>
      </c>
      <c r="T1449">
        <v>15</v>
      </c>
      <c r="U1449">
        <v>9</v>
      </c>
      <c r="V1449" t="s">
        <v>58</v>
      </c>
      <c r="W1449" s="2">
        <v>34978</v>
      </c>
      <c r="Y1449" t="s">
        <v>46</v>
      </c>
      <c r="Z1449" t="s">
        <v>47</v>
      </c>
      <c r="AA1449">
        <v>4</v>
      </c>
      <c r="AB1449">
        <v>1</v>
      </c>
      <c r="AC1449" t="s">
        <v>31</v>
      </c>
      <c r="AD1449" t="s">
        <v>48</v>
      </c>
      <c r="AE1449" t="s">
        <v>60</v>
      </c>
      <c r="AF1449" s="3">
        <v>1967</v>
      </c>
      <c r="AG1449" s="3">
        <v>63</v>
      </c>
      <c r="AH1449">
        <v>80</v>
      </c>
      <c r="AI1449">
        <v>7</v>
      </c>
      <c r="AJ1449">
        <v>1</v>
      </c>
      <c r="AK1449">
        <v>1</v>
      </c>
      <c r="AL1449">
        <v>1</v>
      </c>
      <c r="AM1449">
        <v>0</v>
      </c>
      <c r="AN1449" t="s">
        <v>767</v>
      </c>
      <c r="AO1449" t="s">
        <v>31</v>
      </c>
    </row>
    <row r="1450" spans="1:41" x14ac:dyDescent="0.25">
      <c r="A1450">
        <v>46</v>
      </c>
      <c r="B1450" t="s">
        <v>32</v>
      </c>
      <c r="C1450" t="s">
        <v>55</v>
      </c>
      <c r="D1450">
        <v>1</v>
      </c>
      <c r="E1450" t="s">
        <v>34</v>
      </c>
      <c r="F1450">
        <v>4</v>
      </c>
      <c r="G1450">
        <v>4</v>
      </c>
      <c r="H1450" t="s">
        <v>75</v>
      </c>
      <c r="I1450">
        <v>1</v>
      </c>
      <c r="J1450" t="s">
        <v>36</v>
      </c>
      <c r="K1450">
        <v>17567</v>
      </c>
      <c r="L1450">
        <v>1</v>
      </c>
      <c r="M1450" t="s">
        <v>41</v>
      </c>
      <c r="N1450">
        <v>15</v>
      </c>
      <c r="O1450">
        <v>3</v>
      </c>
      <c r="P1450">
        <v>0</v>
      </c>
      <c r="Q1450">
        <v>27</v>
      </c>
      <c r="R1450">
        <v>5</v>
      </c>
      <c r="S1450">
        <v>26</v>
      </c>
      <c r="T1450">
        <v>0</v>
      </c>
      <c r="U1450">
        <v>12</v>
      </c>
      <c r="V1450" t="s">
        <v>52</v>
      </c>
      <c r="W1450" s="1" t="s">
        <v>742</v>
      </c>
      <c r="Y1450" t="s">
        <v>39</v>
      </c>
      <c r="Z1450" t="s">
        <v>40</v>
      </c>
      <c r="AA1450">
        <v>3</v>
      </c>
      <c r="AB1450">
        <v>3</v>
      </c>
      <c r="AC1450" t="s">
        <v>31</v>
      </c>
      <c r="AD1450" t="s">
        <v>48</v>
      </c>
      <c r="AE1450" t="s">
        <v>60</v>
      </c>
      <c r="AF1450" s="3">
        <v>1844</v>
      </c>
      <c r="AG1450" s="3">
        <v>56</v>
      </c>
      <c r="AH1450">
        <v>80</v>
      </c>
      <c r="AI1450">
        <v>2</v>
      </c>
      <c r="AJ1450">
        <v>1</v>
      </c>
      <c r="AK1450">
        <v>1</v>
      </c>
      <c r="AL1450">
        <v>1</v>
      </c>
      <c r="AM1450">
        <v>0</v>
      </c>
      <c r="AN1450" t="s">
        <v>767</v>
      </c>
      <c r="AO1450" t="s">
        <v>31</v>
      </c>
    </row>
    <row r="1451" spans="1:41" x14ac:dyDescent="0.25">
      <c r="A1451">
        <v>50</v>
      </c>
      <c r="B1451" t="s">
        <v>32</v>
      </c>
      <c r="C1451" t="s">
        <v>33</v>
      </c>
      <c r="D1451">
        <v>7</v>
      </c>
      <c r="E1451" t="s">
        <v>61</v>
      </c>
      <c r="F1451">
        <v>2</v>
      </c>
      <c r="G1451">
        <v>5</v>
      </c>
      <c r="H1451" t="s">
        <v>50</v>
      </c>
      <c r="I1451">
        <v>3</v>
      </c>
      <c r="J1451" t="s">
        <v>57</v>
      </c>
      <c r="K1451">
        <v>18740</v>
      </c>
      <c r="L1451">
        <v>5</v>
      </c>
      <c r="M1451" t="s">
        <v>31</v>
      </c>
      <c r="N1451">
        <v>12</v>
      </c>
      <c r="O1451">
        <v>3</v>
      </c>
      <c r="P1451">
        <v>1</v>
      </c>
      <c r="Q1451">
        <v>29</v>
      </c>
      <c r="R1451">
        <v>2</v>
      </c>
      <c r="S1451">
        <v>27</v>
      </c>
      <c r="T1451">
        <v>13</v>
      </c>
      <c r="U1451">
        <v>8</v>
      </c>
      <c r="V1451" t="s">
        <v>72</v>
      </c>
      <c r="W1451" s="1" t="s">
        <v>743</v>
      </c>
      <c r="Y1451" t="s">
        <v>39</v>
      </c>
      <c r="Z1451" t="s">
        <v>47</v>
      </c>
      <c r="AA1451">
        <v>2</v>
      </c>
      <c r="AB1451">
        <v>2</v>
      </c>
      <c r="AC1451" t="s">
        <v>31</v>
      </c>
      <c r="AD1451" t="s">
        <v>65</v>
      </c>
      <c r="AE1451" t="s">
        <v>49</v>
      </c>
      <c r="AF1451" s="3">
        <v>2027</v>
      </c>
      <c r="AG1451" s="3">
        <v>36</v>
      </c>
      <c r="AH1451">
        <v>80</v>
      </c>
      <c r="AI1451">
        <v>2</v>
      </c>
      <c r="AJ1451">
        <v>1</v>
      </c>
      <c r="AK1451">
        <v>1</v>
      </c>
      <c r="AL1451">
        <v>1</v>
      </c>
      <c r="AM1451">
        <v>0</v>
      </c>
      <c r="AN1451" t="s">
        <v>767</v>
      </c>
      <c r="AO1451" t="s">
        <v>31</v>
      </c>
    </row>
    <row r="1452" spans="1:41" x14ac:dyDescent="0.25">
      <c r="A1452">
        <v>50</v>
      </c>
      <c r="B1452" t="s">
        <v>32</v>
      </c>
      <c r="C1452" t="s">
        <v>33</v>
      </c>
      <c r="D1452">
        <v>29</v>
      </c>
      <c r="E1452" t="s">
        <v>34</v>
      </c>
      <c r="F1452">
        <v>2</v>
      </c>
      <c r="G1452">
        <v>4</v>
      </c>
      <c r="H1452" t="s">
        <v>75</v>
      </c>
      <c r="I1452">
        <v>3</v>
      </c>
      <c r="J1452" t="s">
        <v>51</v>
      </c>
      <c r="K1452">
        <v>17046</v>
      </c>
      <c r="L1452">
        <v>0</v>
      </c>
      <c r="M1452" t="s">
        <v>41</v>
      </c>
      <c r="N1452">
        <v>15</v>
      </c>
      <c r="O1452">
        <v>3</v>
      </c>
      <c r="P1452">
        <v>1</v>
      </c>
      <c r="Q1452">
        <v>28</v>
      </c>
      <c r="R1452">
        <v>2</v>
      </c>
      <c r="S1452">
        <v>27</v>
      </c>
      <c r="T1452">
        <v>15</v>
      </c>
      <c r="U1452">
        <v>7</v>
      </c>
      <c r="V1452" t="s">
        <v>52</v>
      </c>
      <c r="W1452" s="1" t="s">
        <v>744</v>
      </c>
      <c r="Y1452" t="s">
        <v>39</v>
      </c>
      <c r="Z1452" t="s">
        <v>47</v>
      </c>
      <c r="AA1452">
        <v>4</v>
      </c>
      <c r="AB1452">
        <v>1</v>
      </c>
      <c r="AC1452" t="s">
        <v>31</v>
      </c>
      <c r="AD1452" t="s">
        <v>65</v>
      </c>
      <c r="AE1452" t="s">
        <v>49</v>
      </c>
      <c r="AF1452" s="3">
        <v>1604</v>
      </c>
      <c r="AG1452" s="3">
        <v>51</v>
      </c>
      <c r="AH1452">
        <v>80</v>
      </c>
      <c r="AI1452">
        <v>1</v>
      </c>
      <c r="AJ1452">
        <v>1</v>
      </c>
      <c r="AK1452">
        <v>1</v>
      </c>
      <c r="AL1452">
        <v>1</v>
      </c>
      <c r="AM1452">
        <v>0</v>
      </c>
      <c r="AN1452" t="s">
        <v>767</v>
      </c>
      <c r="AO1452" t="s">
        <v>31</v>
      </c>
    </row>
    <row r="1453" spans="1:41" x14ac:dyDescent="0.25">
      <c r="A1453">
        <v>60</v>
      </c>
      <c r="B1453" t="s">
        <v>32</v>
      </c>
      <c r="C1453" t="s">
        <v>33</v>
      </c>
      <c r="D1453">
        <v>7</v>
      </c>
      <c r="E1453" t="s">
        <v>61</v>
      </c>
      <c r="F1453">
        <v>3</v>
      </c>
      <c r="G1453">
        <v>5</v>
      </c>
      <c r="H1453" t="s">
        <v>75</v>
      </c>
      <c r="I1453">
        <v>1</v>
      </c>
      <c r="J1453" t="s">
        <v>51</v>
      </c>
      <c r="K1453">
        <v>19566</v>
      </c>
      <c r="L1453">
        <v>5</v>
      </c>
      <c r="M1453" t="s">
        <v>41</v>
      </c>
      <c r="N1453">
        <v>11</v>
      </c>
      <c r="O1453">
        <v>3</v>
      </c>
      <c r="P1453">
        <v>0</v>
      </c>
      <c r="Q1453">
        <v>33</v>
      </c>
      <c r="R1453">
        <v>5</v>
      </c>
      <c r="S1453">
        <v>29</v>
      </c>
      <c r="T1453">
        <v>11</v>
      </c>
      <c r="U1453">
        <v>10</v>
      </c>
      <c r="V1453" t="s">
        <v>37</v>
      </c>
      <c r="W1453" s="1" t="s">
        <v>745</v>
      </c>
      <c r="Y1453" t="s">
        <v>69</v>
      </c>
      <c r="Z1453" t="s">
        <v>40</v>
      </c>
      <c r="AA1453">
        <v>2</v>
      </c>
      <c r="AB1453">
        <v>0</v>
      </c>
      <c r="AC1453" t="s">
        <v>41</v>
      </c>
      <c r="AD1453" t="s">
        <v>48</v>
      </c>
      <c r="AE1453" t="s">
        <v>60</v>
      </c>
      <c r="AF1453" s="3">
        <v>1649</v>
      </c>
      <c r="AG1453" s="3">
        <v>73</v>
      </c>
      <c r="AH1453">
        <v>80</v>
      </c>
      <c r="AI1453">
        <v>2</v>
      </c>
      <c r="AJ1453">
        <v>1</v>
      </c>
      <c r="AK1453">
        <v>1</v>
      </c>
      <c r="AL1453">
        <v>1</v>
      </c>
      <c r="AM1453">
        <v>0</v>
      </c>
      <c r="AN1453" t="s">
        <v>767</v>
      </c>
      <c r="AO1453" t="s">
        <v>31</v>
      </c>
    </row>
    <row r="1454" spans="1:41" x14ac:dyDescent="0.25">
      <c r="A1454">
        <v>51</v>
      </c>
      <c r="B1454" t="s">
        <v>66</v>
      </c>
      <c r="C1454" t="s">
        <v>55</v>
      </c>
      <c r="D1454">
        <v>9</v>
      </c>
      <c r="E1454" t="s">
        <v>34</v>
      </c>
      <c r="F1454">
        <v>3</v>
      </c>
      <c r="G1454">
        <v>5</v>
      </c>
      <c r="H1454" t="s">
        <v>75</v>
      </c>
      <c r="I1454">
        <v>2</v>
      </c>
      <c r="J1454" t="s">
        <v>57</v>
      </c>
      <c r="K1454">
        <v>19847</v>
      </c>
      <c r="L1454">
        <v>4</v>
      </c>
      <c r="M1454" t="s">
        <v>31</v>
      </c>
      <c r="N1454">
        <v>24</v>
      </c>
      <c r="O1454">
        <v>4</v>
      </c>
      <c r="P1454">
        <v>1</v>
      </c>
      <c r="Q1454">
        <v>31</v>
      </c>
      <c r="R1454">
        <v>5</v>
      </c>
      <c r="S1454">
        <v>29</v>
      </c>
      <c r="T1454">
        <v>11</v>
      </c>
      <c r="U1454">
        <v>10</v>
      </c>
      <c r="V1454" t="s">
        <v>52</v>
      </c>
      <c r="W1454" s="1" t="s">
        <v>746</v>
      </c>
      <c r="Y1454" t="s">
        <v>54</v>
      </c>
      <c r="Z1454" t="s">
        <v>47</v>
      </c>
      <c r="AA1454">
        <v>0</v>
      </c>
      <c r="AB1454">
        <v>1</v>
      </c>
      <c r="AC1454" t="s">
        <v>41</v>
      </c>
      <c r="AD1454" t="s">
        <v>48</v>
      </c>
      <c r="AE1454" t="s">
        <v>43</v>
      </c>
      <c r="AF1454" s="3">
        <v>1684</v>
      </c>
      <c r="AG1454" s="3">
        <v>93</v>
      </c>
      <c r="AH1454">
        <v>80</v>
      </c>
      <c r="AI1454">
        <v>4</v>
      </c>
      <c r="AJ1454">
        <v>1</v>
      </c>
      <c r="AK1454">
        <v>1</v>
      </c>
      <c r="AL1454">
        <v>1</v>
      </c>
      <c r="AM1454">
        <v>0</v>
      </c>
      <c r="AN1454" t="s">
        <v>767</v>
      </c>
      <c r="AO1454" t="s">
        <v>31</v>
      </c>
    </row>
    <row r="1455" spans="1:41" x14ac:dyDescent="0.25">
      <c r="A1455">
        <v>50</v>
      </c>
      <c r="B1455" t="s">
        <v>66</v>
      </c>
      <c r="C1455" t="s">
        <v>33</v>
      </c>
      <c r="D1455">
        <v>20</v>
      </c>
      <c r="E1455" t="s">
        <v>34</v>
      </c>
      <c r="F1455">
        <v>3</v>
      </c>
      <c r="G1455">
        <v>4</v>
      </c>
      <c r="H1455" t="s">
        <v>89</v>
      </c>
      <c r="I1455">
        <v>3</v>
      </c>
      <c r="J1455" t="s">
        <v>51</v>
      </c>
      <c r="K1455">
        <v>11245</v>
      </c>
      <c r="L1455">
        <v>2</v>
      </c>
      <c r="M1455" t="s">
        <v>31</v>
      </c>
      <c r="N1455">
        <v>15</v>
      </c>
      <c r="O1455">
        <v>3</v>
      </c>
      <c r="P1455">
        <v>1</v>
      </c>
      <c r="Q1455">
        <v>32</v>
      </c>
      <c r="R1455">
        <v>3</v>
      </c>
      <c r="S1455">
        <v>30</v>
      </c>
      <c r="T1455">
        <v>12</v>
      </c>
      <c r="U1455">
        <v>13</v>
      </c>
      <c r="V1455" t="s">
        <v>52</v>
      </c>
      <c r="W1455" s="2">
        <v>33244</v>
      </c>
      <c r="Y1455" t="s">
        <v>63</v>
      </c>
      <c r="Z1455" t="s">
        <v>47</v>
      </c>
      <c r="AA1455">
        <v>1</v>
      </c>
      <c r="AB1455">
        <v>0</v>
      </c>
      <c r="AC1455" t="s">
        <v>31</v>
      </c>
      <c r="AD1455" t="s">
        <v>65</v>
      </c>
      <c r="AE1455" t="s">
        <v>60</v>
      </c>
      <c r="AF1455" s="3">
        <v>2055</v>
      </c>
      <c r="AG1455" s="3">
        <v>39</v>
      </c>
      <c r="AH1455">
        <v>80</v>
      </c>
      <c r="AI1455">
        <v>2</v>
      </c>
      <c r="AJ1455">
        <v>1</v>
      </c>
      <c r="AK1455">
        <v>1</v>
      </c>
      <c r="AL1455">
        <v>1</v>
      </c>
      <c r="AM1455">
        <v>0</v>
      </c>
      <c r="AN1455" t="s">
        <v>767</v>
      </c>
      <c r="AO1455" t="s">
        <v>31</v>
      </c>
    </row>
    <row r="1456" spans="1:41" x14ac:dyDescent="0.25">
      <c r="A1456">
        <v>49</v>
      </c>
      <c r="B1456" t="s">
        <v>32</v>
      </c>
      <c r="C1456" t="s">
        <v>33</v>
      </c>
      <c r="D1456">
        <v>18</v>
      </c>
      <c r="E1456" t="s">
        <v>34</v>
      </c>
      <c r="F1456">
        <v>2</v>
      </c>
      <c r="G1456">
        <v>5</v>
      </c>
      <c r="H1456" t="s">
        <v>50</v>
      </c>
      <c r="I1456">
        <v>3</v>
      </c>
      <c r="J1456" t="s">
        <v>57</v>
      </c>
      <c r="K1456">
        <v>19502</v>
      </c>
      <c r="L1456">
        <v>1</v>
      </c>
      <c r="M1456" t="s">
        <v>31</v>
      </c>
      <c r="N1456">
        <v>17</v>
      </c>
      <c r="O1456">
        <v>3</v>
      </c>
      <c r="P1456">
        <v>1</v>
      </c>
      <c r="Q1456">
        <v>31</v>
      </c>
      <c r="R1456">
        <v>5</v>
      </c>
      <c r="S1456">
        <v>31</v>
      </c>
      <c r="T1456">
        <v>0</v>
      </c>
      <c r="U1456">
        <v>9</v>
      </c>
      <c r="V1456" t="s">
        <v>58</v>
      </c>
      <c r="W1456" s="1" t="s">
        <v>747</v>
      </c>
      <c r="Y1456" t="s">
        <v>46</v>
      </c>
      <c r="Z1456" t="s">
        <v>40</v>
      </c>
      <c r="AA1456">
        <v>3</v>
      </c>
      <c r="AB1456">
        <v>3</v>
      </c>
      <c r="AC1456" t="s">
        <v>31</v>
      </c>
      <c r="AD1456" t="s">
        <v>65</v>
      </c>
      <c r="AE1456" t="s">
        <v>60</v>
      </c>
      <c r="AF1456" s="3">
        <v>1645</v>
      </c>
      <c r="AG1456" s="3">
        <v>59</v>
      </c>
      <c r="AH1456">
        <v>80</v>
      </c>
      <c r="AI1456">
        <v>2</v>
      </c>
      <c r="AJ1456">
        <v>1</v>
      </c>
      <c r="AK1456">
        <v>1</v>
      </c>
      <c r="AL1456">
        <v>1</v>
      </c>
      <c r="AM1456">
        <v>0</v>
      </c>
      <c r="AN1456" t="s">
        <v>767</v>
      </c>
      <c r="AO1456" t="s">
        <v>31</v>
      </c>
    </row>
    <row r="1457" spans="1:41" x14ac:dyDescent="0.25">
      <c r="A1457">
        <v>58</v>
      </c>
      <c r="B1457" t="s">
        <v>32</v>
      </c>
      <c r="C1457" t="s">
        <v>33</v>
      </c>
      <c r="D1457">
        <v>2</v>
      </c>
      <c r="E1457" t="s">
        <v>34</v>
      </c>
      <c r="F1457">
        <v>3</v>
      </c>
      <c r="G1457">
        <v>5</v>
      </c>
      <c r="H1457" t="s">
        <v>50</v>
      </c>
      <c r="I1457">
        <v>2</v>
      </c>
      <c r="J1457" t="s">
        <v>36</v>
      </c>
      <c r="K1457">
        <v>19246</v>
      </c>
      <c r="L1457">
        <v>7</v>
      </c>
      <c r="M1457" t="s">
        <v>31</v>
      </c>
      <c r="N1457">
        <v>12</v>
      </c>
      <c r="O1457">
        <v>3</v>
      </c>
      <c r="P1457">
        <v>0</v>
      </c>
      <c r="Q1457">
        <v>40</v>
      </c>
      <c r="R1457">
        <v>2</v>
      </c>
      <c r="S1457">
        <v>31</v>
      </c>
      <c r="T1457">
        <v>13</v>
      </c>
      <c r="U1457">
        <v>8</v>
      </c>
      <c r="V1457" t="s">
        <v>52</v>
      </c>
      <c r="W1457" s="1" t="s">
        <v>748</v>
      </c>
      <c r="Y1457" t="s">
        <v>69</v>
      </c>
      <c r="Z1457" t="s">
        <v>47</v>
      </c>
      <c r="AA1457">
        <v>3</v>
      </c>
      <c r="AB1457">
        <v>1</v>
      </c>
      <c r="AC1457" t="s">
        <v>41</v>
      </c>
      <c r="AD1457" t="s">
        <v>48</v>
      </c>
      <c r="AE1457" t="s">
        <v>60</v>
      </c>
      <c r="AF1457" s="3">
        <v>1733</v>
      </c>
      <c r="AG1457" s="3">
        <v>96</v>
      </c>
      <c r="AH1457">
        <v>80</v>
      </c>
      <c r="AI1457">
        <v>2</v>
      </c>
      <c r="AJ1457">
        <v>1</v>
      </c>
      <c r="AK1457">
        <v>1</v>
      </c>
      <c r="AL1457">
        <v>1</v>
      </c>
      <c r="AM1457">
        <v>0</v>
      </c>
      <c r="AN1457" t="s">
        <v>767</v>
      </c>
      <c r="AO1457" t="s">
        <v>31</v>
      </c>
    </row>
    <row r="1458" spans="1:41" x14ac:dyDescent="0.25">
      <c r="A1458">
        <v>50</v>
      </c>
      <c r="B1458" t="s">
        <v>81</v>
      </c>
      <c r="C1458" t="s">
        <v>33</v>
      </c>
      <c r="D1458">
        <v>2</v>
      </c>
      <c r="E1458" t="s">
        <v>34</v>
      </c>
      <c r="F1458">
        <v>3</v>
      </c>
      <c r="G1458">
        <v>4</v>
      </c>
      <c r="H1458" t="s">
        <v>75</v>
      </c>
      <c r="I1458">
        <v>1</v>
      </c>
      <c r="J1458" t="s">
        <v>57</v>
      </c>
      <c r="K1458">
        <v>17924</v>
      </c>
      <c r="L1458">
        <v>1</v>
      </c>
      <c r="M1458" t="s">
        <v>41</v>
      </c>
      <c r="N1458">
        <v>11</v>
      </c>
      <c r="O1458">
        <v>3</v>
      </c>
      <c r="P1458">
        <v>1</v>
      </c>
      <c r="Q1458">
        <v>31</v>
      </c>
      <c r="R1458">
        <v>3</v>
      </c>
      <c r="S1458">
        <v>31</v>
      </c>
      <c r="T1458">
        <v>14</v>
      </c>
      <c r="U1458">
        <v>7</v>
      </c>
      <c r="V1458" t="s">
        <v>37</v>
      </c>
      <c r="W1458" s="2">
        <v>33025</v>
      </c>
      <c r="Y1458" t="s">
        <v>54</v>
      </c>
      <c r="Z1458" t="s">
        <v>47</v>
      </c>
      <c r="AA1458">
        <v>4</v>
      </c>
      <c r="AB1458">
        <v>2</v>
      </c>
      <c r="AC1458" t="s">
        <v>41</v>
      </c>
      <c r="AD1458" t="s">
        <v>42</v>
      </c>
      <c r="AE1458" t="s">
        <v>60</v>
      </c>
      <c r="AF1458" s="3">
        <v>1968</v>
      </c>
      <c r="AG1458" s="3">
        <v>66</v>
      </c>
      <c r="AH1458">
        <v>80</v>
      </c>
      <c r="AI1458">
        <v>2</v>
      </c>
      <c r="AJ1458">
        <v>1</v>
      </c>
      <c r="AK1458">
        <v>1</v>
      </c>
      <c r="AL1458">
        <v>1</v>
      </c>
      <c r="AM1458">
        <v>0</v>
      </c>
      <c r="AN1458" t="s">
        <v>767</v>
      </c>
      <c r="AO1458" t="s">
        <v>31</v>
      </c>
    </row>
    <row r="1459" spans="1:41" x14ac:dyDescent="0.25">
      <c r="A1459">
        <v>50</v>
      </c>
      <c r="B1459" t="s">
        <v>66</v>
      </c>
      <c r="C1459" t="s">
        <v>120</v>
      </c>
      <c r="D1459">
        <v>3</v>
      </c>
      <c r="E1459" t="s">
        <v>34</v>
      </c>
      <c r="F1459">
        <v>3</v>
      </c>
      <c r="G1459">
        <v>5</v>
      </c>
      <c r="H1459" t="s">
        <v>75</v>
      </c>
      <c r="I1459">
        <v>2</v>
      </c>
      <c r="J1459" t="s">
        <v>51</v>
      </c>
      <c r="K1459">
        <v>18200</v>
      </c>
      <c r="L1459">
        <v>1</v>
      </c>
      <c r="M1459" t="s">
        <v>41</v>
      </c>
      <c r="N1459">
        <v>11</v>
      </c>
      <c r="O1459">
        <v>3</v>
      </c>
      <c r="P1459">
        <v>1</v>
      </c>
      <c r="Q1459">
        <v>32</v>
      </c>
      <c r="R1459">
        <v>2</v>
      </c>
      <c r="S1459">
        <v>32</v>
      </c>
      <c r="T1459">
        <v>10</v>
      </c>
      <c r="U1459">
        <v>7</v>
      </c>
      <c r="V1459" t="s">
        <v>52</v>
      </c>
      <c r="W1459" s="1" t="s">
        <v>749</v>
      </c>
      <c r="Y1459" t="s">
        <v>39</v>
      </c>
      <c r="Z1459" t="s">
        <v>47</v>
      </c>
      <c r="AA1459">
        <v>4</v>
      </c>
      <c r="AB1459">
        <v>3</v>
      </c>
      <c r="AC1459" t="s">
        <v>31</v>
      </c>
      <c r="AD1459" t="s">
        <v>67</v>
      </c>
      <c r="AE1459" t="s">
        <v>43</v>
      </c>
      <c r="AF1459" s="3">
        <v>1862</v>
      </c>
      <c r="AG1459" s="3">
        <v>82</v>
      </c>
      <c r="AH1459">
        <v>80</v>
      </c>
      <c r="AI1459">
        <v>2</v>
      </c>
      <c r="AJ1459">
        <v>1</v>
      </c>
      <c r="AK1459">
        <v>1</v>
      </c>
      <c r="AL1459">
        <v>1</v>
      </c>
      <c r="AM1459">
        <v>0</v>
      </c>
      <c r="AN1459" t="s">
        <v>767</v>
      </c>
      <c r="AO1459" t="s">
        <v>31</v>
      </c>
    </row>
    <row r="1460" spans="1:41" x14ac:dyDescent="0.25">
      <c r="A1460">
        <v>52</v>
      </c>
      <c r="B1460" t="s">
        <v>32</v>
      </c>
      <c r="C1460" t="s">
        <v>55</v>
      </c>
      <c r="D1460">
        <v>2</v>
      </c>
      <c r="E1460" t="s">
        <v>61</v>
      </c>
      <c r="F1460">
        <v>1</v>
      </c>
      <c r="G1460">
        <v>5</v>
      </c>
      <c r="H1460" t="s">
        <v>75</v>
      </c>
      <c r="I1460">
        <v>4</v>
      </c>
      <c r="J1460" t="s">
        <v>51</v>
      </c>
      <c r="K1460">
        <v>19845</v>
      </c>
      <c r="L1460">
        <v>1</v>
      </c>
      <c r="M1460" t="s">
        <v>41</v>
      </c>
      <c r="N1460">
        <v>15</v>
      </c>
      <c r="O1460">
        <v>3</v>
      </c>
      <c r="P1460">
        <v>1</v>
      </c>
      <c r="Q1460">
        <v>33</v>
      </c>
      <c r="R1460">
        <v>3</v>
      </c>
      <c r="S1460">
        <v>32</v>
      </c>
      <c r="T1460">
        <v>6</v>
      </c>
      <c r="U1460">
        <v>9</v>
      </c>
      <c r="V1460" t="s">
        <v>72</v>
      </c>
      <c r="W1460" s="1" t="s">
        <v>750</v>
      </c>
      <c r="Y1460" t="s">
        <v>63</v>
      </c>
      <c r="Z1460" t="s">
        <v>40</v>
      </c>
      <c r="AA1460">
        <v>3</v>
      </c>
      <c r="AB1460">
        <v>2</v>
      </c>
      <c r="AC1460" t="s">
        <v>41</v>
      </c>
      <c r="AD1460" t="s">
        <v>42</v>
      </c>
      <c r="AE1460" t="s">
        <v>60</v>
      </c>
      <c r="AF1460" s="3">
        <v>1797</v>
      </c>
      <c r="AG1460" s="3">
        <v>84</v>
      </c>
      <c r="AH1460">
        <v>80</v>
      </c>
      <c r="AI1460">
        <v>7</v>
      </c>
      <c r="AJ1460">
        <v>1</v>
      </c>
      <c r="AK1460">
        <v>1</v>
      </c>
      <c r="AL1460">
        <v>1</v>
      </c>
      <c r="AM1460">
        <v>0</v>
      </c>
      <c r="AN1460" t="s">
        <v>767</v>
      </c>
      <c r="AO1460" t="s">
        <v>31</v>
      </c>
    </row>
    <row r="1461" spans="1:41" x14ac:dyDescent="0.25">
      <c r="A1461">
        <v>50</v>
      </c>
      <c r="B1461" t="s">
        <v>66</v>
      </c>
      <c r="C1461" t="s">
        <v>33</v>
      </c>
      <c r="D1461">
        <v>22</v>
      </c>
      <c r="E1461" t="s">
        <v>34</v>
      </c>
      <c r="F1461">
        <v>1</v>
      </c>
      <c r="G1461">
        <v>4</v>
      </c>
      <c r="H1461" t="s">
        <v>50</v>
      </c>
      <c r="I1461">
        <v>4</v>
      </c>
      <c r="J1461" t="s">
        <v>36</v>
      </c>
      <c r="K1461">
        <v>14411</v>
      </c>
      <c r="L1461">
        <v>1</v>
      </c>
      <c r="M1461" t="s">
        <v>31</v>
      </c>
      <c r="N1461">
        <v>13</v>
      </c>
      <c r="O1461">
        <v>3</v>
      </c>
      <c r="P1461">
        <v>0</v>
      </c>
      <c r="Q1461">
        <v>32</v>
      </c>
      <c r="R1461">
        <v>2</v>
      </c>
      <c r="S1461">
        <v>32</v>
      </c>
      <c r="T1461">
        <v>13</v>
      </c>
      <c r="U1461">
        <v>9</v>
      </c>
      <c r="V1461" t="s">
        <v>58</v>
      </c>
      <c r="W1461" s="1" t="s">
        <v>751</v>
      </c>
      <c r="Y1461" t="s">
        <v>54</v>
      </c>
      <c r="Z1461" t="s">
        <v>47</v>
      </c>
      <c r="AA1461">
        <v>2</v>
      </c>
      <c r="AB1461">
        <v>1</v>
      </c>
      <c r="AC1461" t="s">
        <v>31</v>
      </c>
      <c r="AD1461" t="s">
        <v>48</v>
      </c>
      <c r="AE1461" t="s">
        <v>49</v>
      </c>
      <c r="AF1461" s="3">
        <v>1821</v>
      </c>
      <c r="AG1461" s="3">
        <v>66</v>
      </c>
      <c r="AH1461">
        <v>80</v>
      </c>
      <c r="AI1461">
        <v>7</v>
      </c>
      <c r="AJ1461">
        <v>1</v>
      </c>
      <c r="AK1461">
        <v>1</v>
      </c>
      <c r="AL1461">
        <v>1</v>
      </c>
      <c r="AM1461">
        <v>0</v>
      </c>
      <c r="AN1461" t="s">
        <v>767</v>
      </c>
      <c r="AO1461" t="s">
        <v>31</v>
      </c>
    </row>
    <row r="1462" spans="1:41" x14ac:dyDescent="0.25">
      <c r="A1462">
        <v>52</v>
      </c>
      <c r="B1462" t="s">
        <v>32</v>
      </c>
      <c r="C1462" t="s">
        <v>33</v>
      </c>
      <c r="D1462">
        <v>1</v>
      </c>
      <c r="E1462" t="s">
        <v>34</v>
      </c>
      <c r="F1462">
        <v>2</v>
      </c>
      <c r="G1462">
        <v>5</v>
      </c>
      <c r="H1462" t="s">
        <v>75</v>
      </c>
      <c r="I1462">
        <v>3</v>
      </c>
      <c r="J1462" t="s">
        <v>51</v>
      </c>
      <c r="K1462">
        <v>19999</v>
      </c>
      <c r="L1462">
        <v>0</v>
      </c>
      <c r="M1462" t="s">
        <v>41</v>
      </c>
      <c r="N1462">
        <v>14</v>
      </c>
      <c r="O1462">
        <v>3</v>
      </c>
      <c r="P1462">
        <v>1</v>
      </c>
      <c r="Q1462">
        <v>34</v>
      </c>
      <c r="R1462">
        <v>5</v>
      </c>
      <c r="S1462">
        <v>33</v>
      </c>
      <c r="T1462">
        <v>11</v>
      </c>
      <c r="U1462">
        <v>9</v>
      </c>
      <c r="V1462" t="s">
        <v>58</v>
      </c>
      <c r="W1462" s="1" t="s">
        <v>752</v>
      </c>
      <c r="Y1462" t="s">
        <v>63</v>
      </c>
      <c r="Z1462" t="s">
        <v>47</v>
      </c>
      <c r="AA1462">
        <v>5</v>
      </c>
      <c r="AB1462">
        <v>0</v>
      </c>
      <c r="AC1462" t="s">
        <v>41</v>
      </c>
      <c r="AD1462" t="s">
        <v>48</v>
      </c>
      <c r="AE1462" t="s">
        <v>60</v>
      </c>
      <c r="AF1462" s="3">
        <v>1869</v>
      </c>
      <c r="AG1462" s="3">
        <v>64</v>
      </c>
      <c r="AH1462">
        <v>80</v>
      </c>
      <c r="AI1462">
        <v>7</v>
      </c>
      <c r="AJ1462">
        <v>1</v>
      </c>
      <c r="AK1462">
        <v>1</v>
      </c>
      <c r="AL1462">
        <v>1</v>
      </c>
      <c r="AM1462">
        <v>0</v>
      </c>
      <c r="AN1462" t="s">
        <v>767</v>
      </c>
      <c r="AO1462" t="s">
        <v>31</v>
      </c>
    </row>
    <row r="1463" spans="1:41" x14ac:dyDescent="0.25">
      <c r="A1463">
        <v>52</v>
      </c>
      <c r="B1463" t="s">
        <v>81</v>
      </c>
      <c r="C1463" t="s">
        <v>55</v>
      </c>
      <c r="D1463">
        <v>2</v>
      </c>
      <c r="E1463" t="s">
        <v>34</v>
      </c>
      <c r="F1463">
        <v>2</v>
      </c>
      <c r="G1463">
        <v>5</v>
      </c>
      <c r="H1463" t="s">
        <v>75</v>
      </c>
      <c r="I1463">
        <v>3</v>
      </c>
      <c r="J1463" t="s">
        <v>36</v>
      </c>
      <c r="K1463">
        <v>19068</v>
      </c>
      <c r="L1463">
        <v>1</v>
      </c>
      <c r="M1463" t="s">
        <v>31</v>
      </c>
      <c r="N1463">
        <v>18</v>
      </c>
      <c r="O1463">
        <v>3</v>
      </c>
      <c r="P1463">
        <v>0</v>
      </c>
      <c r="Q1463">
        <v>33</v>
      </c>
      <c r="R1463">
        <v>2</v>
      </c>
      <c r="S1463">
        <v>33</v>
      </c>
      <c r="T1463">
        <v>15</v>
      </c>
      <c r="U1463">
        <v>12</v>
      </c>
      <c r="V1463" t="s">
        <v>37</v>
      </c>
      <c r="W1463" s="2">
        <v>32482</v>
      </c>
      <c r="Y1463" t="s">
        <v>39</v>
      </c>
      <c r="Z1463" t="s">
        <v>47</v>
      </c>
      <c r="AA1463">
        <v>4</v>
      </c>
      <c r="AB1463">
        <v>3</v>
      </c>
      <c r="AC1463" t="s">
        <v>31</v>
      </c>
      <c r="AD1463" t="s">
        <v>42</v>
      </c>
      <c r="AE1463" t="s">
        <v>49</v>
      </c>
      <c r="AF1463" s="3">
        <v>1420</v>
      </c>
      <c r="AG1463" s="3">
        <v>97</v>
      </c>
      <c r="AH1463">
        <v>80</v>
      </c>
      <c r="AI1463">
        <v>3</v>
      </c>
      <c r="AJ1463">
        <v>1</v>
      </c>
      <c r="AK1463">
        <v>1</v>
      </c>
      <c r="AL1463">
        <v>1</v>
      </c>
      <c r="AM1463">
        <v>0</v>
      </c>
      <c r="AN1463" t="s">
        <v>767</v>
      </c>
      <c r="AO1463" t="s">
        <v>31</v>
      </c>
    </row>
    <row r="1464" spans="1:41" x14ac:dyDescent="0.25">
      <c r="A1464">
        <v>55</v>
      </c>
      <c r="B1464" t="s">
        <v>81</v>
      </c>
      <c r="C1464" t="s">
        <v>33</v>
      </c>
      <c r="D1464">
        <v>8</v>
      </c>
      <c r="E1464" t="s">
        <v>34</v>
      </c>
      <c r="F1464">
        <v>2</v>
      </c>
      <c r="G1464">
        <v>4</v>
      </c>
      <c r="H1464" t="s">
        <v>89</v>
      </c>
      <c r="I1464">
        <v>2</v>
      </c>
      <c r="J1464" t="s">
        <v>57</v>
      </c>
      <c r="K1464">
        <v>13577</v>
      </c>
      <c r="L1464">
        <v>1</v>
      </c>
      <c r="M1464" t="s">
        <v>31</v>
      </c>
      <c r="N1464">
        <v>15</v>
      </c>
      <c r="O1464">
        <v>3</v>
      </c>
      <c r="P1464">
        <v>1</v>
      </c>
      <c r="Q1464">
        <v>34</v>
      </c>
      <c r="R1464">
        <v>3</v>
      </c>
      <c r="S1464">
        <v>33</v>
      </c>
      <c r="T1464">
        <v>15</v>
      </c>
      <c r="U1464">
        <v>0</v>
      </c>
      <c r="V1464" t="s">
        <v>72</v>
      </c>
      <c r="W1464" s="2">
        <v>32390</v>
      </c>
      <c r="Y1464" t="s">
        <v>39</v>
      </c>
      <c r="Z1464" t="s">
        <v>47</v>
      </c>
      <c r="AA1464">
        <v>3</v>
      </c>
      <c r="AB1464">
        <v>1</v>
      </c>
      <c r="AC1464" t="s">
        <v>41</v>
      </c>
      <c r="AD1464" t="s">
        <v>67</v>
      </c>
      <c r="AE1464" t="s">
        <v>49</v>
      </c>
      <c r="AF1464" s="3">
        <v>1458</v>
      </c>
      <c r="AG1464" s="3">
        <v>54</v>
      </c>
      <c r="AH1464">
        <v>80</v>
      </c>
      <c r="AI1464">
        <v>0</v>
      </c>
      <c r="AJ1464">
        <v>1</v>
      </c>
      <c r="AK1464">
        <v>1</v>
      </c>
      <c r="AL1464">
        <v>1</v>
      </c>
      <c r="AM1464">
        <v>0</v>
      </c>
      <c r="AN1464" t="s">
        <v>767</v>
      </c>
      <c r="AO1464" t="s">
        <v>31</v>
      </c>
    </row>
    <row r="1465" spans="1:41" x14ac:dyDescent="0.25">
      <c r="A1465">
        <v>51</v>
      </c>
      <c r="B1465" t="s">
        <v>32</v>
      </c>
      <c r="C1465" t="s">
        <v>120</v>
      </c>
      <c r="D1465">
        <v>5</v>
      </c>
      <c r="E1465" t="s">
        <v>34</v>
      </c>
      <c r="F1465">
        <v>3</v>
      </c>
      <c r="G1465">
        <v>4</v>
      </c>
      <c r="H1465" t="s">
        <v>75</v>
      </c>
      <c r="I1465">
        <v>2</v>
      </c>
      <c r="J1465" t="s">
        <v>57</v>
      </c>
      <c r="K1465">
        <v>14026</v>
      </c>
      <c r="L1465">
        <v>1</v>
      </c>
      <c r="M1465" t="s">
        <v>31</v>
      </c>
      <c r="N1465">
        <v>11</v>
      </c>
      <c r="O1465">
        <v>3</v>
      </c>
      <c r="P1465">
        <v>1</v>
      </c>
      <c r="Q1465">
        <v>33</v>
      </c>
      <c r="R1465">
        <v>2</v>
      </c>
      <c r="S1465">
        <v>33</v>
      </c>
      <c r="T1465">
        <v>0</v>
      </c>
      <c r="U1465">
        <v>10</v>
      </c>
      <c r="V1465" t="s">
        <v>52</v>
      </c>
      <c r="W1465" s="2">
        <v>32237</v>
      </c>
      <c r="Y1465" t="s">
        <v>63</v>
      </c>
      <c r="Z1465" t="s">
        <v>40</v>
      </c>
      <c r="AA1465">
        <v>4</v>
      </c>
      <c r="AB1465">
        <v>1</v>
      </c>
      <c r="AC1465" t="s">
        <v>31</v>
      </c>
      <c r="AD1465" t="s">
        <v>65</v>
      </c>
      <c r="AE1465" t="s">
        <v>43</v>
      </c>
      <c r="AF1465" s="3">
        <v>1489</v>
      </c>
      <c r="AG1465" s="3">
        <v>40</v>
      </c>
      <c r="AH1465">
        <v>80</v>
      </c>
      <c r="AI1465">
        <v>9</v>
      </c>
      <c r="AJ1465">
        <v>1</v>
      </c>
      <c r="AK1465">
        <v>1</v>
      </c>
      <c r="AL1465">
        <v>1</v>
      </c>
      <c r="AM1465">
        <v>0</v>
      </c>
      <c r="AN1465" t="s">
        <v>767</v>
      </c>
      <c r="AO1465" t="s">
        <v>31</v>
      </c>
    </row>
    <row r="1466" spans="1:41" x14ac:dyDescent="0.25">
      <c r="A1466">
        <v>53</v>
      </c>
      <c r="B1466" t="s">
        <v>32</v>
      </c>
      <c r="C1466" t="s">
        <v>33</v>
      </c>
      <c r="D1466">
        <v>2</v>
      </c>
      <c r="E1466" t="s">
        <v>61</v>
      </c>
      <c r="F1466">
        <v>2</v>
      </c>
      <c r="G1466">
        <v>3</v>
      </c>
      <c r="H1466" t="s">
        <v>78</v>
      </c>
      <c r="I1466">
        <v>4</v>
      </c>
      <c r="J1466" t="s">
        <v>51</v>
      </c>
      <c r="K1466">
        <v>10169</v>
      </c>
      <c r="L1466">
        <v>0</v>
      </c>
      <c r="M1466" t="s">
        <v>41</v>
      </c>
      <c r="N1466">
        <v>16</v>
      </c>
      <c r="O1466">
        <v>3</v>
      </c>
      <c r="P1466">
        <v>1</v>
      </c>
      <c r="Q1466">
        <v>34</v>
      </c>
      <c r="R1466">
        <v>4</v>
      </c>
      <c r="S1466">
        <v>33</v>
      </c>
      <c r="T1466">
        <v>1</v>
      </c>
      <c r="U1466">
        <v>9</v>
      </c>
      <c r="V1466" t="s">
        <v>52</v>
      </c>
      <c r="W1466" s="1" t="s">
        <v>753</v>
      </c>
      <c r="Y1466" t="s">
        <v>46</v>
      </c>
      <c r="Z1466" t="s">
        <v>47</v>
      </c>
      <c r="AA1466">
        <v>4</v>
      </c>
      <c r="AB1466">
        <v>0</v>
      </c>
      <c r="AC1466" t="s">
        <v>31</v>
      </c>
      <c r="AD1466" t="s">
        <v>48</v>
      </c>
      <c r="AE1466" t="s">
        <v>43</v>
      </c>
      <c r="AF1466" s="3">
        <v>1758</v>
      </c>
      <c r="AG1466" s="3">
        <v>74</v>
      </c>
      <c r="AH1466">
        <v>80</v>
      </c>
      <c r="AI1466">
        <v>0</v>
      </c>
      <c r="AJ1466">
        <v>1</v>
      </c>
      <c r="AK1466">
        <v>1</v>
      </c>
      <c r="AL1466">
        <v>1</v>
      </c>
      <c r="AM1466">
        <v>0</v>
      </c>
      <c r="AN1466" t="s">
        <v>767</v>
      </c>
      <c r="AO1466" t="s">
        <v>31</v>
      </c>
    </row>
    <row r="1467" spans="1:41" x14ac:dyDescent="0.25">
      <c r="A1467">
        <v>52</v>
      </c>
      <c r="B1467" t="s">
        <v>32</v>
      </c>
      <c r="C1467" t="s">
        <v>55</v>
      </c>
      <c r="D1467">
        <v>3</v>
      </c>
      <c r="E1467" t="s">
        <v>34</v>
      </c>
      <c r="F1467">
        <v>2</v>
      </c>
      <c r="G1467">
        <v>4</v>
      </c>
      <c r="H1467" t="s">
        <v>75</v>
      </c>
      <c r="I1467">
        <v>1</v>
      </c>
      <c r="J1467" t="s">
        <v>51</v>
      </c>
      <c r="K1467">
        <v>16856</v>
      </c>
      <c r="L1467">
        <v>1</v>
      </c>
      <c r="M1467" t="s">
        <v>41</v>
      </c>
      <c r="N1467">
        <v>11</v>
      </c>
      <c r="O1467">
        <v>3</v>
      </c>
      <c r="P1467">
        <v>0</v>
      </c>
      <c r="Q1467">
        <v>34</v>
      </c>
      <c r="R1467">
        <v>3</v>
      </c>
      <c r="S1467">
        <v>34</v>
      </c>
      <c r="T1467">
        <v>1</v>
      </c>
      <c r="U1467">
        <v>16</v>
      </c>
      <c r="V1467" t="s">
        <v>52</v>
      </c>
      <c r="W1467" s="2">
        <v>31903</v>
      </c>
      <c r="Y1467" t="s">
        <v>39</v>
      </c>
      <c r="Z1467" t="s">
        <v>40</v>
      </c>
      <c r="AA1467">
        <v>3</v>
      </c>
      <c r="AB1467">
        <v>2</v>
      </c>
      <c r="AC1467" t="s">
        <v>41</v>
      </c>
      <c r="AD1467" t="s">
        <v>65</v>
      </c>
      <c r="AE1467" t="s">
        <v>49</v>
      </c>
      <c r="AF1467" s="3">
        <v>1905</v>
      </c>
      <c r="AG1467" s="3">
        <v>85</v>
      </c>
      <c r="AH1467">
        <v>80</v>
      </c>
      <c r="AI1467">
        <v>2</v>
      </c>
      <c r="AJ1467">
        <v>1</v>
      </c>
      <c r="AK1467">
        <v>1</v>
      </c>
      <c r="AL1467">
        <v>1</v>
      </c>
      <c r="AM1467">
        <v>0</v>
      </c>
      <c r="AN1467" t="s">
        <v>767</v>
      </c>
      <c r="AO1467" t="s">
        <v>31</v>
      </c>
    </row>
    <row r="1468" spans="1:41" x14ac:dyDescent="0.25">
      <c r="A1468">
        <v>55</v>
      </c>
      <c r="B1468" t="s">
        <v>32</v>
      </c>
      <c r="C1468" t="s">
        <v>33</v>
      </c>
      <c r="D1468">
        <v>1</v>
      </c>
      <c r="E1468" t="s">
        <v>34</v>
      </c>
      <c r="F1468">
        <v>3</v>
      </c>
      <c r="G1468">
        <v>5</v>
      </c>
      <c r="H1468" t="s">
        <v>75</v>
      </c>
      <c r="I1468">
        <v>1</v>
      </c>
      <c r="J1468" t="s">
        <v>36</v>
      </c>
      <c r="K1468">
        <v>19045</v>
      </c>
      <c r="L1468">
        <v>0</v>
      </c>
      <c r="M1468" t="s">
        <v>31</v>
      </c>
      <c r="N1468">
        <v>14</v>
      </c>
      <c r="O1468">
        <v>3</v>
      </c>
      <c r="P1468">
        <v>0</v>
      </c>
      <c r="Q1468">
        <v>37</v>
      </c>
      <c r="R1468">
        <v>2</v>
      </c>
      <c r="S1468">
        <v>36</v>
      </c>
      <c r="T1468">
        <v>4</v>
      </c>
      <c r="U1468">
        <v>13</v>
      </c>
      <c r="V1468" t="s">
        <v>52</v>
      </c>
      <c r="W1468" s="1" t="s">
        <v>754</v>
      </c>
      <c r="Y1468" t="s">
        <v>46</v>
      </c>
      <c r="Z1468" t="s">
        <v>47</v>
      </c>
      <c r="AA1468">
        <v>1</v>
      </c>
      <c r="AB1468">
        <v>1</v>
      </c>
      <c r="AC1468" t="s">
        <v>41</v>
      </c>
      <c r="AD1468" t="s">
        <v>67</v>
      </c>
      <c r="AE1468" t="s">
        <v>60</v>
      </c>
      <c r="AF1468" s="3">
        <v>1868</v>
      </c>
      <c r="AG1468" s="3">
        <v>73</v>
      </c>
      <c r="AH1468">
        <v>80</v>
      </c>
      <c r="AI1468">
        <v>0</v>
      </c>
      <c r="AJ1468">
        <v>1</v>
      </c>
      <c r="AK1468">
        <v>1</v>
      </c>
      <c r="AL1468">
        <v>1</v>
      </c>
      <c r="AM1468">
        <v>0</v>
      </c>
      <c r="AN1468" t="s">
        <v>767</v>
      </c>
      <c r="AO1468" t="s">
        <v>31</v>
      </c>
    </row>
    <row r="1469" spans="1:41" x14ac:dyDescent="0.25">
      <c r="A1469">
        <v>55</v>
      </c>
      <c r="B1469" t="s">
        <v>32</v>
      </c>
      <c r="C1469" t="s">
        <v>55</v>
      </c>
      <c r="D1469">
        <v>26</v>
      </c>
      <c r="E1469" t="s">
        <v>34</v>
      </c>
      <c r="F1469">
        <v>2</v>
      </c>
      <c r="G1469">
        <v>5</v>
      </c>
      <c r="H1469" t="s">
        <v>75</v>
      </c>
      <c r="I1469">
        <v>4</v>
      </c>
      <c r="J1469" t="s">
        <v>51</v>
      </c>
      <c r="K1469">
        <v>19586</v>
      </c>
      <c r="L1469">
        <v>1</v>
      </c>
      <c r="M1469" t="s">
        <v>41</v>
      </c>
      <c r="N1469">
        <v>21</v>
      </c>
      <c r="O1469">
        <v>4</v>
      </c>
      <c r="P1469">
        <v>1</v>
      </c>
      <c r="Q1469">
        <v>36</v>
      </c>
      <c r="R1469">
        <v>3</v>
      </c>
      <c r="S1469">
        <v>36</v>
      </c>
      <c r="T1469">
        <v>2</v>
      </c>
      <c r="U1469">
        <v>13</v>
      </c>
      <c r="V1469" t="s">
        <v>52</v>
      </c>
      <c r="W1469" s="1" t="s">
        <v>755</v>
      </c>
      <c r="Y1469" t="s">
        <v>46</v>
      </c>
      <c r="Z1469" t="s">
        <v>40</v>
      </c>
      <c r="AA1469">
        <v>2</v>
      </c>
      <c r="AB1469">
        <v>1</v>
      </c>
      <c r="AC1469" t="s">
        <v>41</v>
      </c>
      <c r="AD1469" t="s">
        <v>48</v>
      </c>
      <c r="AE1469" t="s">
        <v>49</v>
      </c>
      <c r="AF1469" s="3">
        <v>1667</v>
      </c>
      <c r="AG1469" s="3">
        <v>36</v>
      </c>
      <c r="AH1469">
        <v>80</v>
      </c>
      <c r="AI1469">
        <v>9</v>
      </c>
      <c r="AJ1469">
        <v>1</v>
      </c>
      <c r="AK1469">
        <v>1</v>
      </c>
      <c r="AL1469">
        <v>1</v>
      </c>
      <c r="AM1469">
        <v>0</v>
      </c>
      <c r="AN1469" t="s">
        <v>767</v>
      </c>
      <c r="AO1469" t="s">
        <v>31</v>
      </c>
    </row>
    <row r="1470" spans="1:41" x14ac:dyDescent="0.25">
      <c r="A1470">
        <v>58</v>
      </c>
      <c r="B1470" t="s">
        <v>32</v>
      </c>
      <c r="C1470" t="s">
        <v>55</v>
      </c>
      <c r="D1470">
        <v>10</v>
      </c>
      <c r="E1470" t="s">
        <v>34</v>
      </c>
      <c r="F1470">
        <v>3</v>
      </c>
      <c r="G1470">
        <v>4</v>
      </c>
      <c r="H1470" t="s">
        <v>70</v>
      </c>
      <c r="I1470">
        <v>3</v>
      </c>
      <c r="J1470" t="s">
        <v>36</v>
      </c>
      <c r="K1470">
        <v>13872</v>
      </c>
      <c r="L1470">
        <v>0</v>
      </c>
      <c r="M1470" t="s">
        <v>41</v>
      </c>
      <c r="N1470">
        <v>13</v>
      </c>
      <c r="O1470">
        <v>3</v>
      </c>
      <c r="P1470">
        <v>0</v>
      </c>
      <c r="Q1470">
        <v>38</v>
      </c>
      <c r="R1470">
        <v>1</v>
      </c>
      <c r="S1470">
        <v>37</v>
      </c>
      <c r="T1470">
        <v>1</v>
      </c>
      <c r="U1470">
        <v>8</v>
      </c>
      <c r="V1470" t="s">
        <v>58</v>
      </c>
      <c r="W1470" s="1" t="s">
        <v>756</v>
      </c>
      <c r="Y1470" t="s">
        <v>69</v>
      </c>
      <c r="Z1470" t="s">
        <v>47</v>
      </c>
      <c r="AA1470">
        <v>2</v>
      </c>
      <c r="AB1470">
        <v>2</v>
      </c>
      <c r="AC1470" t="s">
        <v>31</v>
      </c>
      <c r="AD1470" t="s">
        <v>42</v>
      </c>
      <c r="AE1470" t="s">
        <v>49</v>
      </c>
      <c r="AF1470" s="3">
        <v>1878</v>
      </c>
      <c r="AG1470" s="3">
        <v>75</v>
      </c>
      <c r="AH1470">
        <v>80</v>
      </c>
      <c r="AI1470">
        <v>0</v>
      </c>
      <c r="AJ1470">
        <v>1</v>
      </c>
      <c r="AK1470">
        <v>1</v>
      </c>
      <c r="AL1470">
        <v>1</v>
      </c>
      <c r="AM1470">
        <v>0</v>
      </c>
      <c r="AN1470" t="s">
        <v>767</v>
      </c>
      <c r="AO1470" t="s">
        <v>31</v>
      </c>
    </row>
    <row r="1471" spans="1:41" x14ac:dyDescent="0.25">
      <c r="A1471">
        <v>58</v>
      </c>
      <c r="B1471" t="s">
        <v>32</v>
      </c>
      <c r="C1471" t="s">
        <v>33</v>
      </c>
      <c r="D1471">
        <v>23</v>
      </c>
      <c r="E1471" t="s">
        <v>61</v>
      </c>
      <c r="F1471">
        <v>3</v>
      </c>
      <c r="G1471">
        <v>3</v>
      </c>
      <c r="H1471" t="s">
        <v>89</v>
      </c>
      <c r="I1471">
        <v>4</v>
      </c>
      <c r="J1471" t="s">
        <v>51</v>
      </c>
      <c r="K1471">
        <v>10312</v>
      </c>
      <c r="L1471">
        <v>1</v>
      </c>
      <c r="M1471" t="s">
        <v>41</v>
      </c>
      <c r="N1471">
        <v>12</v>
      </c>
      <c r="O1471">
        <v>3</v>
      </c>
      <c r="P1471">
        <v>1</v>
      </c>
      <c r="Q1471">
        <v>40</v>
      </c>
      <c r="R1471">
        <v>3</v>
      </c>
      <c r="S1471">
        <v>40</v>
      </c>
      <c r="T1471">
        <v>15</v>
      </c>
      <c r="U1471">
        <v>6</v>
      </c>
      <c r="V1471" t="s">
        <v>72</v>
      </c>
      <c r="W1471" s="2">
        <v>29800</v>
      </c>
      <c r="Y1471" t="s">
        <v>69</v>
      </c>
      <c r="Z1471" t="s">
        <v>47</v>
      </c>
      <c r="AA1471">
        <v>4</v>
      </c>
      <c r="AB1471">
        <v>3</v>
      </c>
      <c r="AC1471" t="s">
        <v>31</v>
      </c>
      <c r="AD1471" t="s">
        <v>65</v>
      </c>
      <c r="AE1471" t="s">
        <v>60</v>
      </c>
      <c r="AF1471" s="3">
        <v>1702</v>
      </c>
      <c r="AG1471" s="3">
        <v>99</v>
      </c>
      <c r="AH1471">
        <v>80</v>
      </c>
      <c r="AI1471">
        <v>2</v>
      </c>
      <c r="AJ1471">
        <v>1</v>
      </c>
      <c r="AK1471">
        <v>1</v>
      </c>
      <c r="AL1471">
        <v>1</v>
      </c>
      <c r="AM1471">
        <v>0</v>
      </c>
      <c r="AN1471" t="s">
        <v>767</v>
      </c>
      <c r="AO1471" t="s">
        <v>31</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F503-ABE4-477E-B5AD-57A7A8F50E75}">
  <dimension ref="A1:AO1471"/>
  <sheetViews>
    <sheetView tabSelected="1" workbookViewId="0">
      <selection activeCell="F12" sqref="F12"/>
    </sheetView>
  </sheetViews>
  <sheetFormatPr defaultRowHeight="15" x14ac:dyDescent="0.25"/>
  <sheetData>
    <row r="1" spans="1:4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1" t="s">
        <v>22</v>
      </c>
      <c r="X1" t="s">
        <v>23</v>
      </c>
      <c r="Y1" t="s">
        <v>24</v>
      </c>
      <c r="Z1" t="s">
        <v>25</v>
      </c>
      <c r="AA1" t="s">
        <v>26</v>
      </c>
      <c r="AB1" t="s">
        <v>27</v>
      </c>
      <c r="AC1" t="s">
        <v>28</v>
      </c>
      <c r="AD1" t="s">
        <v>29</v>
      </c>
      <c r="AE1" t="s">
        <v>30</v>
      </c>
      <c r="AF1" s="3" t="s">
        <v>757</v>
      </c>
      <c r="AG1" s="3" t="s">
        <v>758</v>
      </c>
      <c r="AH1" t="s">
        <v>759</v>
      </c>
      <c r="AI1" t="s">
        <v>760</v>
      </c>
      <c r="AJ1" t="s">
        <v>762</v>
      </c>
      <c r="AK1" t="s">
        <v>763</v>
      </c>
      <c r="AL1" t="s">
        <v>764</v>
      </c>
      <c r="AM1" t="s">
        <v>765</v>
      </c>
      <c r="AN1" t="s">
        <v>766</v>
      </c>
      <c r="AO1" t="s">
        <v>769</v>
      </c>
    </row>
    <row r="2" spans="1:41" x14ac:dyDescent="0.25">
      <c r="A2">
        <v>37</v>
      </c>
      <c r="B2" t="s">
        <v>32</v>
      </c>
      <c r="C2" t="s">
        <v>33</v>
      </c>
      <c r="D2">
        <v>2</v>
      </c>
      <c r="E2" t="s">
        <v>34</v>
      </c>
      <c r="F2">
        <v>2</v>
      </c>
      <c r="G2">
        <v>1</v>
      </c>
      <c r="H2" t="s">
        <v>35</v>
      </c>
      <c r="I2">
        <v>3</v>
      </c>
      <c r="J2" t="s">
        <v>36</v>
      </c>
      <c r="K2">
        <v>2090</v>
      </c>
      <c r="L2">
        <v>6</v>
      </c>
      <c r="M2" t="s">
        <v>31</v>
      </c>
      <c r="N2">
        <v>15</v>
      </c>
      <c r="O2">
        <v>3</v>
      </c>
      <c r="P2">
        <v>0</v>
      </c>
      <c r="Q2">
        <v>7</v>
      </c>
      <c r="R2">
        <v>3</v>
      </c>
      <c r="S2">
        <v>0</v>
      </c>
      <c r="T2">
        <v>0</v>
      </c>
      <c r="U2">
        <v>0</v>
      </c>
      <c r="V2" t="s">
        <v>37</v>
      </c>
      <c r="W2" s="1" t="s">
        <v>38</v>
      </c>
      <c r="Y2" t="s">
        <v>39</v>
      </c>
      <c r="Z2" t="s">
        <v>40</v>
      </c>
      <c r="AA2">
        <v>4</v>
      </c>
      <c r="AB2">
        <v>2</v>
      </c>
      <c r="AC2" t="s">
        <v>41</v>
      </c>
      <c r="AD2" t="s">
        <v>42</v>
      </c>
      <c r="AE2" t="s">
        <v>43</v>
      </c>
      <c r="AF2" s="3">
        <v>1</v>
      </c>
      <c r="AG2" s="3">
        <v>94</v>
      </c>
      <c r="AH2">
        <v>80</v>
      </c>
      <c r="AI2">
        <v>4</v>
      </c>
      <c r="AJ2">
        <v>1</v>
      </c>
      <c r="AK2">
        <v>1</v>
      </c>
      <c r="AL2">
        <v>1</v>
      </c>
      <c r="AM2">
        <v>0</v>
      </c>
      <c r="AN2" t="s">
        <v>767</v>
      </c>
      <c r="AO2" t="s">
        <v>31</v>
      </c>
    </row>
    <row r="3" spans="1:41" x14ac:dyDescent="0.25">
      <c r="A3">
        <v>21</v>
      </c>
      <c r="B3" t="s">
        <v>32</v>
      </c>
      <c r="C3" t="s">
        <v>33</v>
      </c>
      <c r="D3">
        <v>15</v>
      </c>
      <c r="E3" t="s">
        <v>34</v>
      </c>
      <c r="F3">
        <v>3</v>
      </c>
      <c r="G3">
        <v>1</v>
      </c>
      <c r="H3" t="s">
        <v>44</v>
      </c>
      <c r="I3">
        <v>4</v>
      </c>
      <c r="J3" t="s">
        <v>36</v>
      </c>
      <c r="K3">
        <v>1232</v>
      </c>
      <c r="L3">
        <v>1</v>
      </c>
      <c r="M3" t="s">
        <v>41</v>
      </c>
      <c r="N3">
        <v>14</v>
      </c>
      <c r="O3">
        <v>3</v>
      </c>
      <c r="P3">
        <v>0</v>
      </c>
      <c r="Q3">
        <v>0</v>
      </c>
      <c r="R3">
        <v>6</v>
      </c>
      <c r="S3">
        <v>0</v>
      </c>
      <c r="T3">
        <v>0</v>
      </c>
      <c r="U3">
        <v>0</v>
      </c>
      <c r="V3" t="s">
        <v>37</v>
      </c>
      <c r="W3" s="1" t="s">
        <v>45</v>
      </c>
      <c r="Y3" t="s">
        <v>46</v>
      </c>
      <c r="Z3" t="s">
        <v>47</v>
      </c>
      <c r="AA3">
        <v>5</v>
      </c>
      <c r="AB3">
        <v>2</v>
      </c>
      <c r="AC3" t="s">
        <v>41</v>
      </c>
      <c r="AD3" t="s">
        <v>48</v>
      </c>
      <c r="AE3" t="s">
        <v>49</v>
      </c>
      <c r="AF3" s="3">
        <v>2</v>
      </c>
      <c r="AG3" s="3">
        <v>61</v>
      </c>
      <c r="AH3">
        <v>80</v>
      </c>
      <c r="AI3">
        <v>7</v>
      </c>
      <c r="AJ3">
        <v>0</v>
      </c>
      <c r="AL3">
        <v>0</v>
      </c>
      <c r="AM3">
        <v>1</v>
      </c>
      <c r="AN3" t="s">
        <v>768</v>
      </c>
      <c r="AO3" t="s">
        <v>41</v>
      </c>
    </row>
    <row r="4" spans="1:41" x14ac:dyDescent="0.25">
      <c r="A4">
        <v>45</v>
      </c>
      <c r="B4" t="s">
        <v>32</v>
      </c>
      <c r="C4" t="s">
        <v>33</v>
      </c>
      <c r="D4">
        <v>6</v>
      </c>
      <c r="E4" t="s">
        <v>34</v>
      </c>
      <c r="F4">
        <v>3</v>
      </c>
      <c r="G4">
        <v>3</v>
      </c>
      <c r="H4" t="s">
        <v>50</v>
      </c>
      <c r="I4">
        <v>1</v>
      </c>
      <c r="J4" t="s">
        <v>51</v>
      </c>
      <c r="K4">
        <v>13245</v>
      </c>
      <c r="L4">
        <v>4</v>
      </c>
      <c r="M4" t="s">
        <v>31</v>
      </c>
      <c r="N4">
        <v>14</v>
      </c>
      <c r="O4">
        <v>3</v>
      </c>
      <c r="P4">
        <v>0</v>
      </c>
      <c r="Q4">
        <v>17</v>
      </c>
      <c r="R4">
        <v>3</v>
      </c>
      <c r="S4">
        <v>0</v>
      </c>
      <c r="T4">
        <v>0</v>
      </c>
      <c r="U4">
        <v>0</v>
      </c>
      <c r="V4" t="s">
        <v>52</v>
      </c>
      <c r="W4" s="1" t="s">
        <v>53</v>
      </c>
      <c r="Y4" t="s">
        <v>54</v>
      </c>
      <c r="Z4" t="s">
        <v>47</v>
      </c>
      <c r="AA4">
        <v>1</v>
      </c>
      <c r="AB4">
        <v>3</v>
      </c>
      <c r="AC4" t="s">
        <v>41</v>
      </c>
      <c r="AD4" t="s">
        <v>42</v>
      </c>
      <c r="AE4" t="s">
        <v>43</v>
      </c>
      <c r="AF4" s="3">
        <v>4</v>
      </c>
      <c r="AG4" s="3">
        <v>92</v>
      </c>
      <c r="AH4">
        <v>80</v>
      </c>
      <c r="AI4">
        <v>0</v>
      </c>
      <c r="AJ4">
        <v>1</v>
      </c>
      <c r="AK4">
        <v>1</v>
      </c>
      <c r="AL4">
        <v>1</v>
      </c>
      <c r="AM4">
        <v>0</v>
      </c>
      <c r="AN4" t="s">
        <v>767</v>
      </c>
      <c r="AO4" t="s">
        <v>31</v>
      </c>
    </row>
    <row r="5" spans="1:41" x14ac:dyDescent="0.25">
      <c r="A5">
        <v>23</v>
      </c>
      <c r="B5" t="s">
        <v>32</v>
      </c>
      <c r="C5" t="s">
        <v>55</v>
      </c>
      <c r="D5">
        <v>2</v>
      </c>
      <c r="E5" t="s">
        <v>34</v>
      </c>
      <c r="F5">
        <v>3</v>
      </c>
      <c r="G5">
        <v>1</v>
      </c>
      <c r="H5" t="s">
        <v>56</v>
      </c>
      <c r="I5">
        <v>1</v>
      </c>
      <c r="J5" t="s">
        <v>57</v>
      </c>
      <c r="K5">
        <v>2322</v>
      </c>
      <c r="L5">
        <v>3</v>
      </c>
      <c r="M5" t="s">
        <v>41</v>
      </c>
      <c r="N5">
        <v>13</v>
      </c>
      <c r="O5">
        <v>3</v>
      </c>
      <c r="P5">
        <v>1</v>
      </c>
      <c r="Q5">
        <v>3</v>
      </c>
      <c r="R5">
        <v>3</v>
      </c>
      <c r="S5">
        <v>0</v>
      </c>
      <c r="T5">
        <v>0</v>
      </c>
      <c r="U5">
        <v>0</v>
      </c>
      <c r="V5" t="s">
        <v>58</v>
      </c>
      <c r="W5" s="1" t="s">
        <v>59</v>
      </c>
      <c r="Y5" t="s">
        <v>46</v>
      </c>
      <c r="Z5" t="s">
        <v>40</v>
      </c>
      <c r="AA5">
        <v>1</v>
      </c>
      <c r="AB5">
        <v>0</v>
      </c>
      <c r="AC5" t="s">
        <v>31</v>
      </c>
      <c r="AD5" t="s">
        <v>48</v>
      </c>
      <c r="AE5" t="s">
        <v>60</v>
      </c>
      <c r="AF5" s="3">
        <v>5</v>
      </c>
      <c r="AG5" s="3">
        <v>56</v>
      </c>
      <c r="AH5">
        <v>80</v>
      </c>
      <c r="AI5">
        <v>7</v>
      </c>
      <c r="AJ5">
        <v>0</v>
      </c>
      <c r="AL5">
        <v>0</v>
      </c>
      <c r="AM5">
        <v>1</v>
      </c>
      <c r="AN5" t="s">
        <v>768</v>
      </c>
      <c r="AO5" t="s">
        <v>41</v>
      </c>
    </row>
    <row r="6" spans="1:41" x14ac:dyDescent="0.25">
      <c r="A6">
        <v>22</v>
      </c>
      <c r="B6" t="s">
        <v>32</v>
      </c>
      <c r="C6" t="s">
        <v>33</v>
      </c>
      <c r="D6">
        <v>15</v>
      </c>
      <c r="E6" t="s">
        <v>61</v>
      </c>
      <c r="F6">
        <v>3</v>
      </c>
      <c r="G6">
        <v>1</v>
      </c>
      <c r="H6" t="s">
        <v>35</v>
      </c>
      <c r="I6">
        <v>4</v>
      </c>
      <c r="J6" t="s">
        <v>36</v>
      </c>
      <c r="K6">
        <v>2871</v>
      </c>
      <c r="L6">
        <v>1</v>
      </c>
      <c r="M6" t="s">
        <v>41</v>
      </c>
      <c r="N6">
        <v>15</v>
      </c>
      <c r="O6">
        <v>3</v>
      </c>
      <c r="P6">
        <v>0</v>
      </c>
      <c r="Q6">
        <v>1</v>
      </c>
      <c r="R6">
        <v>5</v>
      </c>
      <c r="S6">
        <v>0</v>
      </c>
      <c r="T6">
        <v>0</v>
      </c>
      <c r="U6">
        <v>0</v>
      </c>
      <c r="V6" t="s">
        <v>58</v>
      </c>
      <c r="W6" s="1" t="s">
        <v>62</v>
      </c>
      <c r="Y6" t="s">
        <v>63</v>
      </c>
      <c r="Z6" t="s">
        <v>47</v>
      </c>
      <c r="AA6">
        <v>5</v>
      </c>
      <c r="AB6">
        <v>2</v>
      </c>
      <c r="AC6" t="s">
        <v>41</v>
      </c>
      <c r="AD6" t="s">
        <v>42</v>
      </c>
      <c r="AE6" t="s">
        <v>43</v>
      </c>
      <c r="AF6" s="3">
        <v>7</v>
      </c>
      <c r="AG6" s="3">
        <v>40</v>
      </c>
      <c r="AH6">
        <v>80</v>
      </c>
      <c r="AI6">
        <v>2</v>
      </c>
      <c r="AJ6">
        <v>0</v>
      </c>
      <c r="AL6">
        <v>0</v>
      </c>
      <c r="AM6">
        <v>1</v>
      </c>
      <c r="AN6" t="s">
        <v>768</v>
      </c>
      <c r="AO6" t="s">
        <v>41</v>
      </c>
    </row>
    <row r="7" spans="1:41" x14ac:dyDescent="0.25">
      <c r="A7">
        <v>19</v>
      </c>
      <c r="B7" t="s">
        <v>32</v>
      </c>
      <c r="C7" t="s">
        <v>55</v>
      </c>
      <c r="D7">
        <v>22</v>
      </c>
      <c r="E7" t="s">
        <v>34</v>
      </c>
      <c r="F7">
        <v>3</v>
      </c>
      <c r="G7">
        <v>1</v>
      </c>
      <c r="H7" t="s">
        <v>56</v>
      </c>
      <c r="I7">
        <v>3</v>
      </c>
      <c r="J7" t="s">
        <v>36</v>
      </c>
      <c r="K7">
        <v>1675</v>
      </c>
      <c r="L7">
        <v>1</v>
      </c>
      <c r="M7" t="s">
        <v>31</v>
      </c>
      <c r="N7">
        <v>19</v>
      </c>
      <c r="O7">
        <v>3</v>
      </c>
      <c r="P7">
        <v>0</v>
      </c>
      <c r="Q7">
        <v>0</v>
      </c>
      <c r="R7">
        <v>2</v>
      </c>
      <c r="S7">
        <v>0</v>
      </c>
      <c r="T7">
        <v>0</v>
      </c>
      <c r="U7">
        <v>0</v>
      </c>
      <c r="V7" t="s">
        <v>58</v>
      </c>
      <c r="W7" s="1" t="s">
        <v>64</v>
      </c>
      <c r="Y7" t="s">
        <v>46</v>
      </c>
      <c r="Z7" t="s">
        <v>47</v>
      </c>
      <c r="AA7">
        <v>1</v>
      </c>
      <c r="AB7">
        <v>1</v>
      </c>
      <c r="AC7" t="s">
        <v>31</v>
      </c>
      <c r="AD7" t="s">
        <v>65</v>
      </c>
      <c r="AE7" t="s">
        <v>49</v>
      </c>
      <c r="AF7" s="3">
        <v>8</v>
      </c>
      <c r="AG7" s="3">
        <v>79</v>
      </c>
      <c r="AH7">
        <v>80</v>
      </c>
      <c r="AI7">
        <v>7</v>
      </c>
      <c r="AJ7">
        <v>0</v>
      </c>
      <c r="AL7">
        <v>0</v>
      </c>
      <c r="AM7">
        <v>1</v>
      </c>
      <c r="AN7" t="s">
        <v>768</v>
      </c>
      <c r="AO7" t="s">
        <v>41</v>
      </c>
    </row>
    <row r="8" spans="1:41" x14ac:dyDescent="0.25">
      <c r="A8">
        <v>19</v>
      </c>
      <c r="B8" t="s">
        <v>66</v>
      </c>
      <c r="C8" t="s">
        <v>55</v>
      </c>
      <c r="D8">
        <v>1</v>
      </c>
      <c r="E8" t="s">
        <v>61</v>
      </c>
      <c r="F8">
        <v>1</v>
      </c>
      <c r="G8">
        <v>1</v>
      </c>
      <c r="H8" t="s">
        <v>56</v>
      </c>
      <c r="I8">
        <v>1</v>
      </c>
      <c r="J8" t="s">
        <v>36</v>
      </c>
      <c r="K8">
        <v>2325</v>
      </c>
      <c r="L8">
        <v>0</v>
      </c>
      <c r="M8" t="s">
        <v>41</v>
      </c>
      <c r="N8">
        <v>21</v>
      </c>
      <c r="O8">
        <v>4</v>
      </c>
      <c r="P8">
        <v>0</v>
      </c>
      <c r="Q8">
        <v>1</v>
      </c>
      <c r="R8">
        <v>5</v>
      </c>
      <c r="S8">
        <v>0</v>
      </c>
      <c r="T8">
        <v>0</v>
      </c>
      <c r="U8">
        <v>0</v>
      </c>
      <c r="V8" t="s">
        <v>58</v>
      </c>
      <c r="W8" s="2">
        <v>44531</v>
      </c>
      <c r="Y8" t="s">
        <v>46</v>
      </c>
      <c r="Z8" t="s">
        <v>47</v>
      </c>
      <c r="AA8">
        <v>2</v>
      </c>
      <c r="AB8">
        <v>2</v>
      </c>
      <c r="AC8" t="s">
        <v>41</v>
      </c>
      <c r="AD8" t="s">
        <v>67</v>
      </c>
      <c r="AE8" t="s">
        <v>43</v>
      </c>
      <c r="AF8" s="3">
        <v>10</v>
      </c>
      <c r="AG8" s="3">
        <v>81</v>
      </c>
      <c r="AH8">
        <v>80</v>
      </c>
      <c r="AI8">
        <v>0</v>
      </c>
      <c r="AJ8">
        <v>0</v>
      </c>
      <c r="AL8">
        <v>0</v>
      </c>
      <c r="AM8">
        <v>1</v>
      </c>
      <c r="AN8" t="s">
        <v>768</v>
      </c>
      <c r="AO8" t="s">
        <v>41</v>
      </c>
    </row>
    <row r="9" spans="1:41" x14ac:dyDescent="0.25">
      <c r="A9">
        <v>28</v>
      </c>
      <c r="B9" t="s">
        <v>32</v>
      </c>
      <c r="C9" t="s">
        <v>33</v>
      </c>
      <c r="D9">
        <v>2</v>
      </c>
      <c r="E9" t="s">
        <v>34</v>
      </c>
      <c r="F9">
        <v>3</v>
      </c>
      <c r="G9">
        <v>1</v>
      </c>
      <c r="H9" t="s">
        <v>35</v>
      </c>
      <c r="I9">
        <v>3</v>
      </c>
      <c r="J9" t="s">
        <v>36</v>
      </c>
      <c r="K9">
        <v>3485</v>
      </c>
      <c r="L9">
        <v>2</v>
      </c>
      <c r="M9" t="s">
        <v>41</v>
      </c>
      <c r="N9">
        <v>11</v>
      </c>
      <c r="O9">
        <v>3</v>
      </c>
      <c r="P9">
        <v>0</v>
      </c>
      <c r="Q9">
        <v>5</v>
      </c>
      <c r="R9">
        <v>5</v>
      </c>
      <c r="S9">
        <v>0</v>
      </c>
      <c r="T9">
        <v>0</v>
      </c>
      <c r="U9">
        <v>0</v>
      </c>
      <c r="V9" t="s">
        <v>52</v>
      </c>
      <c r="W9" s="1" t="s">
        <v>68</v>
      </c>
      <c r="Y9" t="s">
        <v>69</v>
      </c>
      <c r="Z9" t="s">
        <v>47</v>
      </c>
      <c r="AA9">
        <v>0</v>
      </c>
      <c r="AB9">
        <v>2</v>
      </c>
      <c r="AC9" t="s">
        <v>41</v>
      </c>
      <c r="AD9" t="s">
        <v>67</v>
      </c>
      <c r="AE9" t="s">
        <v>43</v>
      </c>
      <c r="AF9" s="3">
        <v>11</v>
      </c>
      <c r="AG9" s="3">
        <v>67</v>
      </c>
      <c r="AH9">
        <v>80</v>
      </c>
      <c r="AI9">
        <v>0</v>
      </c>
      <c r="AJ9">
        <v>0</v>
      </c>
      <c r="AL9">
        <v>0</v>
      </c>
      <c r="AM9">
        <v>1</v>
      </c>
      <c r="AN9" t="s">
        <v>768</v>
      </c>
      <c r="AO9" t="s">
        <v>41</v>
      </c>
    </row>
    <row r="10" spans="1:41" x14ac:dyDescent="0.25">
      <c r="A10">
        <v>29</v>
      </c>
      <c r="B10" t="s">
        <v>32</v>
      </c>
      <c r="C10" t="s">
        <v>55</v>
      </c>
      <c r="D10">
        <v>2</v>
      </c>
      <c r="E10" t="s">
        <v>34</v>
      </c>
      <c r="F10">
        <v>2</v>
      </c>
      <c r="G10">
        <v>2</v>
      </c>
      <c r="H10" t="s">
        <v>70</v>
      </c>
      <c r="I10">
        <v>2</v>
      </c>
      <c r="J10" t="s">
        <v>51</v>
      </c>
      <c r="K10">
        <v>6644</v>
      </c>
      <c r="L10">
        <v>2</v>
      </c>
      <c r="M10" t="s">
        <v>41</v>
      </c>
      <c r="N10">
        <v>19</v>
      </c>
      <c r="O10">
        <v>3</v>
      </c>
      <c r="P10">
        <v>2</v>
      </c>
      <c r="Q10">
        <v>10</v>
      </c>
      <c r="R10">
        <v>2</v>
      </c>
      <c r="S10">
        <v>0</v>
      </c>
      <c r="T10">
        <v>0</v>
      </c>
      <c r="U10">
        <v>0</v>
      </c>
      <c r="V10" t="s">
        <v>37</v>
      </c>
      <c r="W10" s="1" t="s">
        <v>71</v>
      </c>
      <c r="Y10" t="s">
        <v>63</v>
      </c>
      <c r="Z10" t="s">
        <v>40</v>
      </c>
      <c r="AA10">
        <v>5</v>
      </c>
      <c r="AB10">
        <v>2</v>
      </c>
      <c r="AC10" t="s">
        <v>41</v>
      </c>
      <c r="AD10" t="s">
        <v>67</v>
      </c>
      <c r="AE10" t="s">
        <v>49</v>
      </c>
      <c r="AF10" s="3">
        <v>12</v>
      </c>
      <c r="AG10" s="3">
        <v>44</v>
      </c>
      <c r="AH10">
        <v>80</v>
      </c>
      <c r="AI10">
        <v>7</v>
      </c>
      <c r="AJ10">
        <v>0</v>
      </c>
      <c r="AL10">
        <v>0</v>
      </c>
      <c r="AM10">
        <v>1</v>
      </c>
      <c r="AN10" t="s">
        <v>768</v>
      </c>
      <c r="AO10" t="s">
        <v>41</v>
      </c>
    </row>
    <row r="11" spans="1:41" x14ac:dyDescent="0.25">
      <c r="A11">
        <v>18</v>
      </c>
      <c r="B11" t="s">
        <v>32</v>
      </c>
      <c r="C11" t="s">
        <v>33</v>
      </c>
      <c r="D11">
        <v>3</v>
      </c>
      <c r="E11" t="s">
        <v>34</v>
      </c>
      <c r="F11">
        <v>3</v>
      </c>
      <c r="G11">
        <v>1</v>
      </c>
      <c r="H11" t="s">
        <v>35</v>
      </c>
      <c r="I11">
        <v>3</v>
      </c>
      <c r="J11" t="s">
        <v>36</v>
      </c>
      <c r="K11">
        <v>1420</v>
      </c>
      <c r="L11">
        <v>1</v>
      </c>
      <c r="M11" t="s">
        <v>41</v>
      </c>
      <c r="N11">
        <v>13</v>
      </c>
      <c r="O11">
        <v>3</v>
      </c>
      <c r="P11">
        <v>0</v>
      </c>
      <c r="Q11">
        <v>0</v>
      </c>
      <c r="R11">
        <v>2</v>
      </c>
      <c r="S11">
        <v>0</v>
      </c>
      <c r="T11">
        <v>0</v>
      </c>
      <c r="U11">
        <v>0</v>
      </c>
      <c r="V11" t="s">
        <v>58</v>
      </c>
      <c r="W11" s="2">
        <v>44352</v>
      </c>
      <c r="Y11" t="s">
        <v>69</v>
      </c>
      <c r="Z11" t="s">
        <v>47</v>
      </c>
      <c r="AA11">
        <v>5</v>
      </c>
      <c r="AB11">
        <v>2</v>
      </c>
      <c r="AC11" t="s">
        <v>41</v>
      </c>
      <c r="AD11" t="s">
        <v>67</v>
      </c>
      <c r="AE11" t="s">
        <v>60</v>
      </c>
      <c r="AF11" s="3">
        <v>13</v>
      </c>
      <c r="AG11" s="3">
        <v>94</v>
      </c>
      <c r="AH11">
        <v>80</v>
      </c>
      <c r="AI11">
        <v>7</v>
      </c>
      <c r="AJ11">
        <v>0</v>
      </c>
      <c r="AL11">
        <v>0</v>
      </c>
      <c r="AM11">
        <v>1</v>
      </c>
      <c r="AN11" t="s">
        <v>768</v>
      </c>
      <c r="AO11" t="s">
        <v>41</v>
      </c>
    </row>
    <row r="12" spans="1:41" x14ac:dyDescent="0.25">
      <c r="A12">
        <v>18</v>
      </c>
      <c r="B12" t="s">
        <v>32</v>
      </c>
      <c r="C12" t="s">
        <v>55</v>
      </c>
      <c r="D12">
        <v>10</v>
      </c>
      <c r="E12" t="s">
        <v>61</v>
      </c>
      <c r="F12">
        <v>2</v>
      </c>
      <c r="G12">
        <v>1</v>
      </c>
      <c r="H12" t="s">
        <v>56</v>
      </c>
      <c r="I12">
        <v>3</v>
      </c>
      <c r="J12" t="s">
        <v>36</v>
      </c>
      <c r="K12">
        <v>1200</v>
      </c>
      <c r="L12">
        <v>1</v>
      </c>
      <c r="M12" t="s">
        <v>41</v>
      </c>
      <c r="N12">
        <v>12</v>
      </c>
      <c r="O12">
        <v>3</v>
      </c>
      <c r="P12">
        <v>0</v>
      </c>
      <c r="Q12">
        <v>0</v>
      </c>
      <c r="R12">
        <v>2</v>
      </c>
      <c r="S12">
        <v>0</v>
      </c>
      <c r="T12">
        <v>0</v>
      </c>
      <c r="U12">
        <v>0</v>
      </c>
      <c r="V12" t="s">
        <v>72</v>
      </c>
      <c r="W12" s="1" t="s">
        <v>73</v>
      </c>
      <c r="Y12" t="s">
        <v>69</v>
      </c>
      <c r="Z12" t="s">
        <v>47</v>
      </c>
      <c r="AA12">
        <v>1</v>
      </c>
      <c r="AB12">
        <v>2</v>
      </c>
      <c r="AC12" t="s">
        <v>31</v>
      </c>
      <c r="AD12" t="s">
        <v>65</v>
      </c>
      <c r="AE12" t="s">
        <v>60</v>
      </c>
      <c r="AF12" s="3">
        <v>14</v>
      </c>
      <c r="AG12" s="3">
        <v>84</v>
      </c>
      <c r="AH12">
        <v>80</v>
      </c>
      <c r="AI12">
        <v>4</v>
      </c>
      <c r="AJ12">
        <v>0</v>
      </c>
      <c r="AL12">
        <v>0</v>
      </c>
      <c r="AM12">
        <v>1</v>
      </c>
      <c r="AN12" t="s">
        <v>768</v>
      </c>
      <c r="AO12" t="s">
        <v>41</v>
      </c>
    </row>
    <row r="13" spans="1:41" x14ac:dyDescent="0.25">
      <c r="A13">
        <v>47</v>
      </c>
      <c r="B13" t="s">
        <v>66</v>
      </c>
      <c r="C13" t="s">
        <v>55</v>
      </c>
      <c r="D13">
        <v>4</v>
      </c>
      <c r="E13" t="s">
        <v>34</v>
      </c>
      <c r="F13">
        <v>3</v>
      </c>
      <c r="G13">
        <v>2</v>
      </c>
      <c r="H13" t="s">
        <v>56</v>
      </c>
      <c r="I13">
        <v>3</v>
      </c>
      <c r="J13" t="s">
        <v>36</v>
      </c>
      <c r="K13">
        <v>2976</v>
      </c>
      <c r="L13">
        <v>3</v>
      </c>
      <c r="M13" t="s">
        <v>41</v>
      </c>
      <c r="N13">
        <v>19</v>
      </c>
      <c r="O13">
        <v>3</v>
      </c>
      <c r="P13">
        <v>0</v>
      </c>
      <c r="Q13">
        <v>5</v>
      </c>
      <c r="R13">
        <v>3</v>
      </c>
      <c r="S13">
        <v>0</v>
      </c>
      <c r="T13">
        <v>0</v>
      </c>
      <c r="U13">
        <v>0</v>
      </c>
      <c r="V13" t="s">
        <v>72</v>
      </c>
      <c r="W13" s="1" t="s">
        <v>74</v>
      </c>
      <c r="Y13" t="s">
        <v>69</v>
      </c>
      <c r="Z13" t="s">
        <v>47</v>
      </c>
      <c r="AA13">
        <v>5</v>
      </c>
      <c r="AB13">
        <v>0</v>
      </c>
      <c r="AC13" t="s">
        <v>31</v>
      </c>
      <c r="AD13" t="s">
        <v>67</v>
      </c>
      <c r="AE13" t="s">
        <v>60</v>
      </c>
      <c r="AF13" s="3">
        <v>15</v>
      </c>
      <c r="AG13" s="3">
        <v>49</v>
      </c>
      <c r="AH13">
        <v>80</v>
      </c>
      <c r="AI13">
        <v>5</v>
      </c>
      <c r="AJ13">
        <v>0</v>
      </c>
      <c r="AL13">
        <v>0</v>
      </c>
      <c r="AM13">
        <v>1</v>
      </c>
      <c r="AN13" t="s">
        <v>768</v>
      </c>
      <c r="AO13" t="s">
        <v>41</v>
      </c>
    </row>
    <row r="14" spans="1:41" x14ac:dyDescent="0.25">
      <c r="A14">
        <v>48</v>
      </c>
      <c r="B14" t="s">
        <v>32</v>
      </c>
      <c r="C14" t="s">
        <v>55</v>
      </c>
      <c r="D14">
        <v>29</v>
      </c>
      <c r="E14" t="s">
        <v>61</v>
      </c>
      <c r="F14">
        <v>3</v>
      </c>
      <c r="G14">
        <v>3</v>
      </c>
      <c r="H14" t="s">
        <v>75</v>
      </c>
      <c r="I14">
        <v>3</v>
      </c>
      <c r="J14" t="s">
        <v>51</v>
      </c>
      <c r="K14">
        <v>12504</v>
      </c>
      <c r="L14">
        <v>3</v>
      </c>
      <c r="M14" t="s">
        <v>41</v>
      </c>
      <c r="N14">
        <v>21</v>
      </c>
      <c r="O14">
        <v>4</v>
      </c>
      <c r="P14">
        <v>1</v>
      </c>
      <c r="Q14">
        <v>15</v>
      </c>
      <c r="R14">
        <v>3</v>
      </c>
      <c r="S14">
        <v>0</v>
      </c>
      <c r="T14">
        <v>0</v>
      </c>
      <c r="U14">
        <v>0</v>
      </c>
      <c r="V14" t="s">
        <v>58</v>
      </c>
      <c r="W14" s="2">
        <v>44352</v>
      </c>
      <c r="Y14" t="s">
        <v>46</v>
      </c>
      <c r="Z14" t="s">
        <v>47</v>
      </c>
      <c r="AA14">
        <v>1</v>
      </c>
      <c r="AB14">
        <v>2</v>
      </c>
      <c r="AC14" t="s">
        <v>31</v>
      </c>
      <c r="AD14" t="s">
        <v>42</v>
      </c>
      <c r="AE14" t="s">
        <v>49</v>
      </c>
      <c r="AF14" s="3">
        <v>16</v>
      </c>
      <c r="AG14" s="3">
        <v>31</v>
      </c>
      <c r="AH14">
        <v>80</v>
      </c>
      <c r="AI14">
        <v>2</v>
      </c>
      <c r="AJ14">
        <v>0</v>
      </c>
      <c r="AL14">
        <v>0</v>
      </c>
      <c r="AM14">
        <v>1</v>
      </c>
      <c r="AN14" t="s">
        <v>768</v>
      </c>
      <c r="AO14" t="s">
        <v>41</v>
      </c>
    </row>
    <row r="15" spans="1:41" x14ac:dyDescent="0.25">
      <c r="A15">
        <v>18</v>
      </c>
      <c r="B15" t="s">
        <v>66</v>
      </c>
      <c r="C15" t="s">
        <v>55</v>
      </c>
      <c r="D15">
        <v>5</v>
      </c>
      <c r="E15" t="s">
        <v>34</v>
      </c>
      <c r="F15">
        <v>3</v>
      </c>
      <c r="G15">
        <v>1</v>
      </c>
      <c r="H15" t="s">
        <v>56</v>
      </c>
      <c r="I15">
        <v>2</v>
      </c>
      <c r="J15" t="s">
        <v>36</v>
      </c>
      <c r="K15">
        <v>1878</v>
      </c>
      <c r="L15">
        <v>1</v>
      </c>
      <c r="M15" t="s">
        <v>31</v>
      </c>
      <c r="N15">
        <v>14</v>
      </c>
      <c r="O15">
        <v>3</v>
      </c>
      <c r="P15">
        <v>0</v>
      </c>
      <c r="Q15">
        <v>0</v>
      </c>
      <c r="R15">
        <v>3</v>
      </c>
      <c r="S15">
        <v>0</v>
      </c>
      <c r="T15">
        <v>0</v>
      </c>
      <c r="U15">
        <v>0</v>
      </c>
      <c r="V15" t="s">
        <v>52</v>
      </c>
      <c r="W15" s="2">
        <v>44535</v>
      </c>
      <c r="Y15" t="s">
        <v>69</v>
      </c>
      <c r="Z15" t="s">
        <v>47</v>
      </c>
      <c r="AA15">
        <v>3</v>
      </c>
      <c r="AB15">
        <v>2</v>
      </c>
      <c r="AC15" t="s">
        <v>41</v>
      </c>
      <c r="AD15" t="s">
        <v>65</v>
      </c>
      <c r="AE15" t="s">
        <v>60</v>
      </c>
      <c r="AF15" s="3">
        <v>18</v>
      </c>
      <c r="AG15" s="3">
        <v>93</v>
      </c>
      <c r="AH15">
        <v>80</v>
      </c>
      <c r="AI15">
        <v>2</v>
      </c>
      <c r="AJ15">
        <v>0</v>
      </c>
      <c r="AL15">
        <v>0</v>
      </c>
      <c r="AM15">
        <v>1</v>
      </c>
      <c r="AN15" t="s">
        <v>768</v>
      </c>
      <c r="AO15" t="s">
        <v>41</v>
      </c>
    </row>
    <row r="16" spans="1:41" x14ac:dyDescent="0.25">
      <c r="A16">
        <v>26</v>
      </c>
      <c r="B16" t="s">
        <v>32</v>
      </c>
      <c r="C16" t="s">
        <v>55</v>
      </c>
      <c r="D16">
        <v>29</v>
      </c>
      <c r="E16" t="s">
        <v>34</v>
      </c>
      <c r="F16">
        <v>3</v>
      </c>
      <c r="G16">
        <v>2</v>
      </c>
      <c r="H16" t="s">
        <v>70</v>
      </c>
      <c r="I16">
        <v>3</v>
      </c>
      <c r="J16" t="s">
        <v>57</v>
      </c>
      <c r="K16">
        <v>4306</v>
      </c>
      <c r="L16">
        <v>5</v>
      </c>
      <c r="M16" t="s">
        <v>41</v>
      </c>
      <c r="N16">
        <v>12</v>
      </c>
      <c r="O16">
        <v>3</v>
      </c>
      <c r="P16">
        <v>2</v>
      </c>
      <c r="Q16">
        <v>8</v>
      </c>
      <c r="R16">
        <v>5</v>
      </c>
      <c r="S16">
        <v>0</v>
      </c>
      <c r="T16">
        <v>0</v>
      </c>
      <c r="U16">
        <v>0</v>
      </c>
      <c r="V16" t="s">
        <v>37</v>
      </c>
      <c r="W16" s="1" t="s">
        <v>76</v>
      </c>
      <c r="Y16" t="s">
        <v>54</v>
      </c>
      <c r="Z16" t="s">
        <v>47</v>
      </c>
      <c r="AA16">
        <v>0</v>
      </c>
      <c r="AB16">
        <v>3</v>
      </c>
      <c r="AC16" t="s">
        <v>31</v>
      </c>
      <c r="AD16" t="s">
        <v>42</v>
      </c>
      <c r="AE16" t="s">
        <v>49</v>
      </c>
      <c r="AF16" s="3">
        <v>19</v>
      </c>
      <c r="AG16" s="3">
        <v>50</v>
      </c>
      <c r="AH16">
        <v>80</v>
      </c>
      <c r="AI16">
        <v>2</v>
      </c>
      <c r="AJ16">
        <v>1</v>
      </c>
      <c r="AK16">
        <v>1</v>
      </c>
      <c r="AL16">
        <v>1</v>
      </c>
      <c r="AM16">
        <v>0</v>
      </c>
      <c r="AN16" t="s">
        <v>767</v>
      </c>
      <c r="AO16" t="s">
        <v>31</v>
      </c>
    </row>
    <row r="17" spans="1:41" x14ac:dyDescent="0.25">
      <c r="A17">
        <v>38</v>
      </c>
      <c r="B17" t="s">
        <v>32</v>
      </c>
      <c r="C17" t="s">
        <v>33</v>
      </c>
      <c r="D17">
        <v>1</v>
      </c>
      <c r="E17" t="s">
        <v>61</v>
      </c>
      <c r="F17">
        <v>3</v>
      </c>
      <c r="G17">
        <v>1</v>
      </c>
      <c r="H17" t="s">
        <v>44</v>
      </c>
      <c r="I17">
        <v>1</v>
      </c>
      <c r="J17" t="s">
        <v>36</v>
      </c>
      <c r="K17">
        <v>2619</v>
      </c>
      <c r="L17">
        <v>3</v>
      </c>
      <c r="M17" t="s">
        <v>41</v>
      </c>
      <c r="N17">
        <v>17</v>
      </c>
      <c r="O17">
        <v>3</v>
      </c>
      <c r="P17">
        <v>0</v>
      </c>
      <c r="Q17">
        <v>8</v>
      </c>
      <c r="R17">
        <v>3</v>
      </c>
      <c r="S17">
        <v>0</v>
      </c>
      <c r="T17">
        <v>0</v>
      </c>
      <c r="U17">
        <v>0</v>
      </c>
      <c r="V17" t="s">
        <v>37</v>
      </c>
      <c r="W17" s="1" t="s">
        <v>77</v>
      </c>
      <c r="Y17" t="s">
        <v>54</v>
      </c>
      <c r="Z17" t="s">
        <v>47</v>
      </c>
      <c r="AA17">
        <v>2</v>
      </c>
      <c r="AB17">
        <v>3</v>
      </c>
      <c r="AC17" t="s">
        <v>41</v>
      </c>
      <c r="AD17" t="s">
        <v>67</v>
      </c>
      <c r="AE17" t="s">
        <v>60</v>
      </c>
      <c r="AF17" s="3">
        <v>20</v>
      </c>
      <c r="AG17" s="3">
        <v>51</v>
      </c>
      <c r="AH17">
        <v>80</v>
      </c>
      <c r="AI17">
        <v>9</v>
      </c>
      <c r="AJ17">
        <v>0</v>
      </c>
      <c r="AL17">
        <v>0</v>
      </c>
      <c r="AM17">
        <v>1</v>
      </c>
      <c r="AN17" t="s">
        <v>768</v>
      </c>
      <c r="AO17" t="s">
        <v>41</v>
      </c>
    </row>
    <row r="18" spans="1:41" x14ac:dyDescent="0.25">
      <c r="A18">
        <v>34</v>
      </c>
      <c r="B18" t="s">
        <v>32</v>
      </c>
      <c r="C18" t="s">
        <v>33</v>
      </c>
      <c r="D18">
        <v>8</v>
      </c>
      <c r="E18" t="s">
        <v>61</v>
      </c>
      <c r="F18">
        <v>3</v>
      </c>
      <c r="G18">
        <v>2</v>
      </c>
      <c r="H18" t="s">
        <v>78</v>
      </c>
      <c r="I18">
        <v>1</v>
      </c>
      <c r="J18" t="s">
        <v>57</v>
      </c>
      <c r="K18">
        <v>5121</v>
      </c>
      <c r="L18">
        <v>3</v>
      </c>
      <c r="M18" t="s">
        <v>41</v>
      </c>
      <c r="N18">
        <v>14</v>
      </c>
      <c r="O18">
        <v>3</v>
      </c>
      <c r="P18">
        <v>1</v>
      </c>
      <c r="Q18">
        <v>7</v>
      </c>
      <c r="R18">
        <v>3</v>
      </c>
      <c r="S18">
        <v>0</v>
      </c>
      <c r="T18">
        <v>0</v>
      </c>
      <c r="U18">
        <v>0</v>
      </c>
      <c r="V18" t="s">
        <v>72</v>
      </c>
      <c r="W18" s="1" t="s">
        <v>79</v>
      </c>
      <c r="Y18" t="s">
        <v>39</v>
      </c>
      <c r="Z18" t="s">
        <v>47</v>
      </c>
      <c r="AA18">
        <v>3</v>
      </c>
      <c r="AB18">
        <v>0</v>
      </c>
      <c r="AC18" t="s">
        <v>41</v>
      </c>
      <c r="AD18" t="s">
        <v>65</v>
      </c>
      <c r="AE18" t="s">
        <v>49</v>
      </c>
      <c r="AF18" s="3">
        <v>21</v>
      </c>
      <c r="AG18" s="3">
        <v>80</v>
      </c>
      <c r="AH18">
        <v>80</v>
      </c>
      <c r="AI18">
        <v>2</v>
      </c>
      <c r="AJ18">
        <v>0</v>
      </c>
      <c r="AL18">
        <v>0</v>
      </c>
      <c r="AM18">
        <v>1</v>
      </c>
      <c r="AN18" t="s">
        <v>768</v>
      </c>
      <c r="AO18" t="s">
        <v>41</v>
      </c>
    </row>
    <row r="19" spans="1:41" x14ac:dyDescent="0.25">
      <c r="A19">
        <v>23</v>
      </c>
      <c r="B19" t="s">
        <v>32</v>
      </c>
      <c r="C19" t="s">
        <v>33</v>
      </c>
      <c r="D19">
        <v>6</v>
      </c>
      <c r="E19" t="s">
        <v>34</v>
      </c>
      <c r="F19">
        <v>4</v>
      </c>
      <c r="G19">
        <v>1</v>
      </c>
      <c r="H19" t="s">
        <v>35</v>
      </c>
      <c r="I19">
        <v>1</v>
      </c>
      <c r="J19" t="s">
        <v>51</v>
      </c>
      <c r="K19">
        <v>1601</v>
      </c>
      <c r="L19">
        <v>1</v>
      </c>
      <c r="M19" t="s">
        <v>31</v>
      </c>
      <c r="N19">
        <v>21</v>
      </c>
      <c r="O19">
        <v>4</v>
      </c>
      <c r="P19">
        <v>2</v>
      </c>
      <c r="Q19">
        <v>1</v>
      </c>
      <c r="R19">
        <v>2</v>
      </c>
      <c r="S19">
        <v>0</v>
      </c>
      <c r="T19">
        <v>0</v>
      </c>
      <c r="U19">
        <v>0</v>
      </c>
      <c r="V19" t="s">
        <v>37</v>
      </c>
      <c r="W19" s="2">
        <v>44472</v>
      </c>
      <c r="Y19" t="s">
        <v>54</v>
      </c>
      <c r="Z19" t="s">
        <v>40</v>
      </c>
      <c r="AA19">
        <v>2</v>
      </c>
      <c r="AB19">
        <v>1</v>
      </c>
      <c r="AC19" t="s">
        <v>31</v>
      </c>
      <c r="AD19" t="s">
        <v>42</v>
      </c>
      <c r="AE19" t="s">
        <v>49</v>
      </c>
      <c r="AF19" s="3">
        <v>22</v>
      </c>
      <c r="AG19" s="3">
        <v>96</v>
      </c>
      <c r="AH19">
        <v>80</v>
      </c>
      <c r="AI19">
        <v>0</v>
      </c>
      <c r="AJ19">
        <v>0</v>
      </c>
      <c r="AL19">
        <v>0</v>
      </c>
      <c r="AM19">
        <v>1</v>
      </c>
      <c r="AN19" t="s">
        <v>768</v>
      </c>
      <c r="AO19" t="s">
        <v>41</v>
      </c>
    </row>
    <row r="20" spans="1:41" x14ac:dyDescent="0.25">
      <c r="A20">
        <v>30</v>
      </c>
      <c r="B20" t="s">
        <v>32</v>
      </c>
      <c r="C20" t="s">
        <v>33</v>
      </c>
      <c r="D20">
        <v>2</v>
      </c>
      <c r="E20" t="s">
        <v>61</v>
      </c>
      <c r="F20">
        <v>2</v>
      </c>
      <c r="G20">
        <v>2</v>
      </c>
      <c r="H20" t="s">
        <v>78</v>
      </c>
      <c r="I20">
        <v>4</v>
      </c>
      <c r="J20" t="s">
        <v>36</v>
      </c>
      <c r="K20">
        <v>6877</v>
      </c>
      <c r="L20">
        <v>5</v>
      </c>
      <c r="M20" t="s">
        <v>31</v>
      </c>
      <c r="N20">
        <v>24</v>
      </c>
      <c r="O20">
        <v>4</v>
      </c>
      <c r="P20">
        <v>0</v>
      </c>
      <c r="Q20">
        <v>12</v>
      </c>
      <c r="R20">
        <v>4</v>
      </c>
      <c r="S20">
        <v>0</v>
      </c>
      <c r="T20">
        <v>0</v>
      </c>
      <c r="U20">
        <v>0</v>
      </c>
      <c r="V20" t="s">
        <v>37</v>
      </c>
      <c r="W20" s="1" t="s">
        <v>80</v>
      </c>
      <c r="Y20" t="s">
        <v>69</v>
      </c>
      <c r="Z20" t="s">
        <v>47</v>
      </c>
      <c r="AA20">
        <v>3</v>
      </c>
      <c r="AB20">
        <v>3</v>
      </c>
      <c r="AC20" t="s">
        <v>31</v>
      </c>
      <c r="AD20" t="s">
        <v>42</v>
      </c>
      <c r="AE20" t="s">
        <v>49</v>
      </c>
      <c r="AF20" s="3">
        <v>23</v>
      </c>
      <c r="AG20" s="3">
        <v>78</v>
      </c>
      <c r="AH20">
        <v>80</v>
      </c>
      <c r="AI20">
        <v>8</v>
      </c>
      <c r="AJ20">
        <v>0</v>
      </c>
      <c r="AL20">
        <v>0</v>
      </c>
      <c r="AM20">
        <v>1</v>
      </c>
      <c r="AN20" t="s">
        <v>768</v>
      </c>
      <c r="AO20" t="s">
        <v>41</v>
      </c>
    </row>
    <row r="21" spans="1:41" x14ac:dyDescent="0.25">
      <c r="A21">
        <v>27</v>
      </c>
      <c r="B21" t="s">
        <v>81</v>
      </c>
      <c r="C21" t="s">
        <v>33</v>
      </c>
      <c r="D21">
        <v>3</v>
      </c>
      <c r="E21" t="s">
        <v>34</v>
      </c>
      <c r="F21">
        <v>3</v>
      </c>
      <c r="G21">
        <v>1</v>
      </c>
      <c r="H21" t="s">
        <v>44</v>
      </c>
      <c r="I21">
        <v>4</v>
      </c>
      <c r="J21" t="s">
        <v>51</v>
      </c>
      <c r="K21">
        <v>1706</v>
      </c>
      <c r="L21">
        <v>1</v>
      </c>
      <c r="M21" t="s">
        <v>41</v>
      </c>
      <c r="N21">
        <v>11</v>
      </c>
      <c r="O21">
        <v>3</v>
      </c>
      <c r="P21">
        <v>3</v>
      </c>
      <c r="Q21">
        <v>0</v>
      </c>
      <c r="R21">
        <v>6</v>
      </c>
      <c r="S21">
        <v>0</v>
      </c>
      <c r="T21">
        <v>0</v>
      </c>
      <c r="U21">
        <v>0</v>
      </c>
      <c r="V21" t="s">
        <v>37</v>
      </c>
      <c r="W21" s="2">
        <v>44534</v>
      </c>
      <c r="Y21" t="s">
        <v>54</v>
      </c>
      <c r="Z21" t="s">
        <v>40</v>
      </c>
      <c r="AA21">
        <v>3</v>
      </c>
      <c r="AB21">
        <v>2</v>
      </c>
      <c r="AC21" t="s">
        <v>41</v>
      </c>
      <c r="AD21" t="s">
        <v>65</v>
      </c>
      <c r="AE21" t="s">
        <v>43</v>
      </c>
      <c r="AF21" s="3">
        <v>24</v>
      </c>
      <c r="AG21" s="3">
        <v>45</v>
      </c>
      <c r="AH21">
        <v>80</v>
      </c>
      <c r="AI21">
        <v>2</v>
      </c>
      <c r="AJ21">
        <v>0</v>
      </c>
      <c r="AL21">
        <v>0</v>
      </c>
      <c r="AM21">
        <v>1</v>
      </c>
      <c r="AN21" t="s">
        <v>768</v>
      </c>
      <c r="AO21" t="s">
        <v>41</v>
      </c>
    </row>
    <row r="22" spans="1:41" x14ac:dyDescent="0.25">
      <c r="A22">
        <v>48</v>
      </c>
      <c r="B22" t="s">
        <v>32</v>
      </c>
      <c r="C22" t="s">
        <v>33</v>
      </c>
      <c r="D22">
        <v>20</v>
      </c>
      <c r="E22" t="s">
        <v>34</v>
      </c>
      <c r="F22">
        <v>3</v>
      </c>
      <c r="G22">
        <v>1</v>
      </c>
      <c r="H22" t="s">
        <v>44</v>
      </c>
      <c r="I22">
        <v>3</v>
      </c>
      <c r="J22" t="s">
        <v>51</v>
      </c>
      <c r="K22">
        <v>2259</v>
      </c>
      <c r="L22">
        <v>4</v>
      </c>
      <c r="M22" t="s">
        <v>41</v>
      </c>
      <c r="N22">
        <v>17</v>
      </c>
      <c r="O22">
        <v>3</v>
      </c>
      <c r="P22">
        <v>2</v>
      </c>
      <c r="Q22">
        <v>13</v>
      </c>
      <c r="R22">
        <v>2</v>
      </c>
      <c r="S22">
        <v>0</v>
      </c>
      <c r="T22">
        <v>0</v>
      </c>
      <c r="U22">
        <v>0</v>
      </c>
      <c r="V22" t="s">
        <v>52</v>
      </c>
      <c r="W22" s="1" t="s">
        <v>59</v>
      </c>
      <c r="Y22" t="s">
        <v>54</v>
      </c>
      <c r="Z22" t="s">
        <v>47</v>
      </c>
      <c r="AA22">
        <v>0</v>
      </c>
      <c r="AB22">
        <v>2</v>
      </c>
      <c r="AC22" t="s">
        <v>31</v>
      </c>
      <c r="AD22" t="s">
        <v>67</v>
      </c>
      <c r="AE22" t="s">
        <v>60</v>
      </c>
      <c r="AF22" s="3">
        <v>26</v>
      </c>
      <c r="AG22" s="3">
        <v>96</v>
      </c>
      <c r="AH22">
        <v>80</v>
      </c>
      <c r="AI22">
        <v>2</v>
      </c>
      <c r="AJ22">
        <v>0</v>
      </c>
      <c r="AL22">
        <v>0</v>
      </c>
      <c r="AM22">
        <v>1</v>
      </c>
      <c r="AN22" t="s">
        <v>768</v>
      </c>
      <c r="AO22" t="s">
        <v>41</v>
      </c>
    </row>
    <row r="23" spans="1:41" x14ac:dyDescent="0.25">
      <c r="A23">
        <v>29</v>
      </c>
      <c r="B23" t="s">
        <v>32</v>
      </c>
      <c r="C23" t="s">
        <v>33</v>
      </c>
      <c r="D23">
        <v>10</v>
      </c>
      <c r="E23" t="s">
        <v>61</v>
      </c>
      <c r="F23">
        <v>2</v>
      </c>
      <c r="G23">
        <v>1</v>
      </c>
      <c r="H23" t="s">
        <v>44</v>
      </c>
      <c r="I23">
        <v>1</v>
      </c>
      <c r="J23" t="s">
        <v>36</v>
      </c>
      <c r="K23">
        <v>2404</v>
      </c>
      <c r="L23">
        <v>6</v>
      </c>
      <c r="M23" t="s">
        <v>31</v>
      </c>
      <c r="N23">
        <v>20</v>
      </c>
      <c r="O23">
        <v>4</v>
      </c>
      <c r="P23">
        <v>0</v>
      </c>
      <c r="Q23">
        <v>3</v>
      </c>
      <c r="R23">
        <v>5</v>
      </c>
      <c r="S23">
        <v>0</v>
      </c>
      <c r="T23">
        <v>0</v>
      </c>
      <c r="U23">
        <v>0</v>
      </c>
      <c r="V23" t="s">
        <v>72</v>
      </c>
      <c r="W23" s="2">
        <v>44505</v>
      </c>
      <c r="Y23" t="s">
        <v>39</v>
      </c>
      <c r="Z23" t="s">
        <v>47</v>
      </c>
      <c r="AA23">
        <v>1</v>
      </c>
      <c r="AB23">
        <v>0</v>
      </c>
      <c r="AC23" t="s">
        <v>41</v>
      </c>
      <c r="AD23" t="s">
        <v>65</v>
      </c>
      <c r="AE23" t="s">
        <v>60</v>
      </c>
      <c r="AF23" s="3">
        <v>27</v>
      </c>
      <c r="AG23" s="3">
        <v>82</v>
      </c>
      <c r="AH23">
        <v>80</v>
      </c>
      <c r="AI23">
        <v>3</v>
      </c>
      <c r="AJ23">
        <v>1</v>
      </c>
      <c r="AK23">
        <v>1</v>
      </c>
      <c r="AL23">
        <v>1</v>
      </c>
      <c r="AM23">
        <v>0</v>
      </c>
      <c r="AN23" t="s">
        <v>767</v>
      </c>
      <c r="AO23" t="s">
        <v>31</v>
      </c>
    </row>
    <row r="24" spans="1:41" x14ac:dyDescent="0.25">
      <c r="A24">
        <v>18</v>
      </c>
      <c r="B24" t="s">
        <v>81</v>
      </c>
      <c r="C24" t="s">
        <v>33</v>
      </c>
      <c r="D24">
        <v>5</v>
      </c>
      <c r="E24" t="s">
        <v>34</v>
      </c>
      <c r="F24">
        <v>3</v>
      </c>
      <c r="G24">
        <v>1</v>
      </c>
      <c r="H24" t="s">
        <v>44</v>
      </c>
      <c r="I24">
        <v>4</v>
      </c>
      <c r="J24" t="s">
        <v>36</v>
      </c>
      <c r="K24">
        <v>1051</v>
      </c>
      <c r="L24">
        <v>1</v>
      </c>
      <c r="M24" t="s">
        <v>41</v>
      </c>
      <c r="N24">
        <v>15</v>
      </c>
      <c r="O24">
        <v>3</v>
      </c>
      <c r="P24">
        <v>0</v>
      </c>
      <c r="Q24">
        <v>0</v>
      </c>
      <c r="R24">
        <v>2</v>
      </c>
      <c r="S24">
        <v>0</v>
      </c>
      <c r="T24">
        <v>0</v>
      </c>
      <c r="U24">
        <v>0</v>
      </c>
      <c r="V24" t="s">
        <v>52</v>
      </c>
      <c r="W24" s="1" t="s">
        <v>82</v>
      </c>
      <c r="Y24" t="s">
        <v>54</v>
      </c>
      <c r="Z24" t="s">
        <v>47</v>
      </c>
      <c r="AA24">
        <v>3</v>
      </c>
      <c r="AB24">
        <v>0</v>
      </c>
      <c r="AC24" t="s">
        <v>41</v>
      </c>
      <c r="AD24" t="s">
        <v>65</v>
      </c>
      <c r="AE24" t="s">
        <v>60</v>
      </c>
      <c r="AF24" s="3">
        <v>28</v>
      </c>
      <c r="AG24" s="3">
        <v>53</v>
      </c>
      <c r="AH24">
        <v>80</v>
      </c>
      <c r="AI24">
        <v>6</v>
      </c>
      <c r="AJ24">
        <v>0</v>
      </c>
      <c r="AL24">
        <v>0</v>
      </c>
      <c r="AM24">
        <v>1</v>
      </c>
      <c r="AN24" t="s">
        <v>768</v>
      </c>
      <c r="AO24" t="s">
        <v>41</v>
      </c>
    </row>
    <row r="25" spans="1:41" x14ac:dyDescent="0.25">
      <c r="A25">
        <v>50</v>
      </c>
      <c r="B25" t="s">
        <v>66</v>
      </c>
      <c r="C25" t="s">
        <v>55</v>
      </c>
      <c r="D25">
        <v>1</v>
      </c>
      <c r="E25" t="s">
        <v>34</v>
      </c>
      <c r="F25">
        <v>3</v>
      </c>
      <c r="G25">
        <v>2</v>
      </c>
      <c r="H25" t="s">
        <v>70</v>
      </c>
      <c r="I25">
        <v>3</v>
      </c>
      <c r="J25" t="s">
        <v>36</v>
      </c>
      <c r="K25">
        <v>4728</v>
      </c>
      <c r="L25">
        <v>3</v>
      </c>
      <c r="M25" t="s">
        <v>31</v>
      </c>
      <c r="N25">
        <v>14</v>
      </c>
      <c r="O25">
        <v>3</v>
      </c>
      <c r="P25">
        <v>0</v>
      </c>
      <c r="Q25">
        <v>5</v>
      </c>
      <c r="R25">
        <v>4</v>
      </c>
      <c r="S25">
        <v>0</v>
      </c>
      <c r="T25">
        <v>0</v>
      </c>
      <c r="U25">
        <v>0</v>
      </c>
      <c r="V25" t="s">
        <v>37</v>
      </c>
      <c r="W25" s="1" t="s">
        <v>83</v>
      </c>
      <c r="Y25" t="s">
        <v>54</v>
      </c>
      <c r="Z25" t="s">
        <v>40</v>
      </c>
      <c r="AA25">
        <v>1</v>
      </c>
      <c r="AB25">
        <v>3</v>
      </c>
      <c r="AC25" t="s">
        <v>41</v>
      </c>
      <c r="AD25" t="s">
        <v>48</v>
      </c>
      <c r="AE25" t="s">
        <v>49</v>
      </c>
      <c r="AF25" s="3">
        <v>30</v>
      </c>
      <c r="AG25" s="3">
        <v>96</v>
      </c>
      <c r="AH25">
        <v>80</v>
      </c>
      <c r="AI25">
        <v>0</v>
      </c>
      <c r="AJ25">
        <v>0</v>
      </c>
      <c r="AL25">
        <v>0</v>
      </c>
      <c r="AM25">
        <v>1</v>
      </c>
      <c r="AN25" t="s">
        <v>768</v>
      </c>
      <c r="AO25" t="s">
        <v>41</v>
      </c>
    </row>
    <row r="26" spans="1:41" x14ac:dyDescent="0.25">
      <c r="A26">
        <v>34</v>
      </c>
      <c r="B26" t="s">
        <v>81</v>
      </c>
      <c r="C26" t="s">
        <v>33</v>
      </c>
      <c r="D26">
        <v>3</v>
      </c>
      <c r="E26" t="s">
        <v>34</v>
      </c>
      <c r="F26">
        <v>2</v>
      </c>
      <c r="G26">
        <v>1</v>
      </c>
      <c r="H26" t="s">
        <v>44</v>
      </c>
      <c r="I26">
        <v>4</v>
      </c>
      <c r="J26" t="s">
        <v>51</v>
      </c>
      <c r="K26">
        <v>2979</v>
      </c>
      <c r="L26">
        <v>3</v>
      </c>
      <c r="M26" t="s">
        <v>41</v>
      </c>
      <c r="N26">
        <v>17</v>
      </c>
      <c r="O26">
        <v>3</v>
      </c>
      <c r="P26">
        <v>3</v>
      </c>
      <c r="Q26">
        <v>6</v>
      </c>
      <c r="R26">
        <v>2</v>
      </c>
      <c r="S26">
        <v>0</v>
      </c>
      <c r="T26">
        <v>0</v>
      </c>
      <c r="U26">
        <v>0</v>
      </c>
      <c r="V26" t="s">
        <v>72</v>
      </c>
      <c r="W26" s="1" t="s">
        <v>84</v>
      </c>
      <c r="Y26" t="s">
        <v>69</v>
      </c>
      <c r="Z26" t="s">
        <v>47</v>
      </c>
      <c r="AA26">
        <v>0</v>
      </c>
      <c r="AB26">
        <v>2</v>
      </c>
      <c r="AC26" t="s">
        <v>41</v>
      </c>
      <c r="AD26" t="s">
        <v>48</v>
      </c>
      <c r="AE26" t="s">
        <v>43</v>
      </c>
      <c r="AF26" s="3">
        <v>31</v>
      </c>
      <c r="AG26" s="3">
        <v>83</v>
      </c>
      <c r="AH26">
        <v>80</v>
      </c>
      <c r="AI26">
        <v>2</v>
      </c>
      <c r="AJ26">
        <v>1</v>
      </c>
      <c r="AK26">
        <v>1</v>
      </c>
      <c r="AL26">
        <v>1</v>
      </c>
      <c r="AM26">
        <v>0</v>
      </c>
      <c r="AN26" t="s">
        <v>767</v>
      </c>
      <c r="AO26" t="s">
        <v>31</v>
      </c>
    </row>
    <row r="27" spans="1:41" x14ac:dyDescent="0.25">
      <c r="A27">
        <v>18</v>
      </c>
      <c r="B27" t="s">
        <v>81</v>
      </c>
      <c r="C27" t="s">
        <v>33</v>
      </c>
      <c r="D27">
        <v>8</v>
      </c>
      <c r="E27" t="s">
        <v>34</v>
      </c>
      <c r="F27">
        <v>3</v>
      </c>
      <c r="G27">
        <v>1</v>
      </c>
      <c r="H27" t="s">
        <v>35</v>
      </c>
      <c r="I27">
        <v>3</v>
      </c>
      <c r="J27" t="s">
        <v>36</v>
      </c>
      <c r="K27">
        <v>1904</v>
      </c>
      <c r="L27">
        <v>1</v>
      </c>
      <c r="M27" t="s">
        <v>41</v>
      </c>
      <c r="N27">
        <v>12</v>
      </c>
      <c r="O27">
        <v>3</v>
      </c>
      <c r="P27">
        <v>0</v>
      </c>
      <c r="Q27">
        <v>0</v>
      </c>
      <c r="R27">
        <v>0</v>
      </c>
      <c r="S27">
        <v>0</v>
      </c>
      <c r="T27">
        <v>0</v>
      </c>
      <c r="U27">
        <v>0</v>
      </c>
      <c r="V27" t="s">
        <v>58</v>
      </c>
      <c r="W27" s="2">
        <v>44348</v>
      </c>
      <c r="Y27" t="s">
        <v>46</v>
      </c>
      <c r="Z27" t="s">
        <v>40</v>
      </c>
      <c r="AA27">
        <v>5</v>
      </c>
      <c r="AB27">
        <v>3</v>
      </c>
      <c r="AC27" t="s">
        <v>41</v>
      </c>
      <c r="AD27" t="s">
        <v>48</v>
      </c>
      <c r="AE27" t="s">
        <v>60</v>
      </c>
      <c r="AF27" s="3">
        <v>32</v>
      </c>
      <c r="AG27" s="3">
        <v>58</v>
      </c>
      <c r="AH27">
        <v>80</v>
      </c>
      <c r="AI27">
        <v>13</v>
      </c>
      <c r="AJ27">
        <v>0</v>
      </c>
      <c r="AL27">
        <v>0</v>
      </c>
      <c r="AM27">
        <v>1</v>
      </c>
      <c r="AN27" t="s">
        <v>768</v>
      </c>
      <c r="AO27" t="s">
        <v>41</v>
      </c>
    </row>
    <row r="28" spans="1:41" x14ac:dyDescent="0.25">
      <c r="A28">
        <v>22</v>
      </c>
      <c r="B28" t="s">
        <v>66</v>
      </c>
      <c r="C28" t="s">
        <v>33</v>
      </c>
      <c r="D28">
        <v>3</v>
      </c>
      <c r="E28" t="s">
        <v>34</v>
      </c>
      <c r="F28">
        <v>2</v>
      </c>
      <c r="G28">
        <v>1</v>
      </c>
      <c r="H28" t="s">
        <v>44</v>
      </c>
      <c r="I28">
        <v>4</v>
      </c>
      <c r="J28" t="s">
        <v>51</v>
      </c>
      <c r="K28">
        <v>2853</v>
      </c>
      <c r="L28">
        <v>0</v>
      </c>
      <c r="M28" t="s">
        <v>31</v>
      </c>
      <c r="N28">
        <v>11</v>
      </c>
      <c r="O28">
        <v>3</v>
      </c>
      <c r="P28">
        <v>1</v>
      </c>
      <c r="Q28">
        <v>1</v>
      </c>
      <c r="R28">
        <v>5</v>
      </c>
      <c r="S28">
        <v>0</v>
      </c>
      <c r="T28">
        <v>0</v>
      </c>
      <c r="U28">
        <v>0</v>
      </c>
      <c r="V28" t="s">
        <v>72</v>
      </c>
      <c r="W28" s="1" t="s">
        <v>85</v>
      </c>
      <c r="Y28" t="s">
        <v>54</v>
      </c>
      <c r="Z28" t="s">
        <v>47</v>
      </c>
      <c r="AA28">
        <v>5</v>
      </c>
      <c r="AB28">
        <v>1</v>
      </c>
      <c r="AC28" t="s">
        <v>41</v>
      </c>
      <c r="AD28" t="s">
        <v>67</v>
      </c>
      <c r="AE28" t="s">
        <v>60</v>
      </c>
      <c r="AF28" s="3">
        <v>33</v>
      </c>
      <c r="AG28" s="3">
        <v>72</v>
      </c>
      <c r="AH28">
        <v>80</v>
      </c>
      <c r="AI28">
        <v>2</v>
      </c>
      <c r="AJ28">
        <v>1</v>
      </c>
      <c r="AK28">
        <v>1</v>
      </c>
      <c r="AL28">
        <v>1</v>
      </c>
      <c r="AM28">
        <v>0</v>
      </c>
      <c r="AN28" t="s">
        <v>767</v>
      </c>
      <c r="AO28" t="s">
        <v>31</v>
      </c>
    </row>
    <row r="29" spans="1:41" x14ac:dyDescent="0.25">
      <c r="A29">
        <v>44</v>
      </c>
      <c r="B29" t="s">
        <v>81</v>
      </c>
      <c r="C29" t="s">
        <v>33</v>
      </c>
      <c r="D29">
        <v>17</v>
      </c>
      <c r="E29" t="s">
        <v>34</v>
      </c>
      <c r="F29">
        <v>1</v>
      </c>
      <c r="G29">
        <v>1</v>
      </c>
      <c r="H29" t="s">
        <v>44</v>
      </c>
      <c r="I29">
        <v>3</v>
      </c>
      <c r="J29" t="s">
        <v>36</v>
      </c>
      <c r="K29">
        <v>2290</v>
      </c>
      <c r="L29">
        <v>2</v>
      </c>
      <c r="M29" t="s">
        <v>41</v>
      </c>
      <c r="N29">
        <v>13</v>
      </c>
      <c r="O29">
        <v>3</v>
      </c>
      <c r="P29">
        <v>0</v>
      </c>
      <c r="Q29">
        <v>6</v>
      </c>
      <c r="R29">
        <v>3</v>
      </c>
      <c r="S29">
        <v>0</v>
      </c>
      <c r="T29">
        <v>0</v>
      </c>
      <c r="U29">
        <v>0</v>
      </c>
      <c r="V29" t="s">
        <v>58</v>
      </c>
      <c r="W29" s="2">
        <v>44287</v>
      </c>
      <c r="Y29" t="s">
        <v>46</v>
      </c>
      <c r="Z29" t="s">
        <v>47</v>
      </c>
      <c r="AA29">
        <v>1</v>
      </c>
      <c r="AB29">
        <v>3</v>
      </c>
      <c r="AC29" t="s">
        <v>41</v>
      </c>
      <c r="AD29" t="s">
        <v>48</v>
      </c>
      <c r="AE29" t="s">
        <v>43</v>
      </c>
      <c r="AF29" s="3">
        <v>35</v>
      </c>
      <c r="AG29" s="3">
        <v>48</v>
      </c>
      <c r="AH29">
        <v>80</v>
      </c>
      <c r="AI29">
        <v>7</v>
      </c>
      <c r="AJ29">
        <v>0</v>
      </c>
      <c r="AL29">
        <v>0</v>
      </c>
      <c r="AM29">
        <v>1</v>
      </c>
      <c r="AN29" t="s">
        <v>768</v>
      </c>
      <c r="AO29" t="s">
        <v>41</v>
      </c>
    </row>
    <row r="30" spans="1:41" x14ac:dyDescent="0.25">
      <c r="A30">
        <v>40</v>
      </c>
      <c r="B30" t="s">
        <v>66</v>
      </c>
      <c r="C30" t="s">
        <v>55</v>
      </c>
      <c r="D30">
        <v>2</v>
      </c>
      <c r="E30" t="s">
        <v>34</v>
      </c>
      <c r="F30">
        <v>3</v>
      </c>
      <c r="G30">
        <v>2</v>
      </c>
      <c r="H30" t="s">
        <v>70</v>
      </c>
      <c r="I30">
        <v>2</v>
      </c>
      <c r="J30" t="s">
        <v>51</v>
      </c>
      <c r="K30">
        <v>4327</v>
      </c>
      <c r="L30">
        <v>5</v>
      </c>
      <c r="M30" t="s">
        <v>41</v>
      </c>
      <c r="N30">
        <v>12</v>
      </c>
      <c r="O30">
        <v>3</v>
      </c>
      <c r="P30">
        <v>3</v>
      </c>
      <c r="Q30">
        <v>5</v>
      </c>
      <c r="R30">
        <v>2</v>
      </c>
      <c r="S30">
        <v>0</v>
      </c>
      <c r="T30">
        <v>0</v>
      </c>
      <c r="U30">
        <v>0</v>
      </c>
      <c r="V30" t="s">
        <v>52</v>
      </c>
      <c r="W30" s="2">
        <v>44198</v>
      </c>
      <c r="Y30" t="s">
        <v>39</v>
      </c>
      <c r="Z30" t="s">
        <v>47</v>
      </c>
      <c r="AA30">
        <v>2</v>
      </c>
      <c r="AB30">
        <v>3</v>
      </c>
      <c r="AC30" t="s">
        <v>31</v>
      </c>
      <c r="AD30" t="s">
        <v>67</v>
      </c>
      <c r="AE30" t="s">
        <v>60</v>
      </c>
      <c r="AF30" s="3">
        <v>36</v>
      </c>
      <c r="AG30" s="3">
        <v>42</v>
      </c>
      <c r="AH30">
        <v>80</v>
      </c>
      <c r="AI30">
        <v>6</v>
      </c>
      <c r="AJ30">
        <v>0</v>
      </c>
      <c r="AL30">
        <v>0</v>
      </c>
      <c r="AM30">
        <v>1</v>
      </c>
      <c r="AN30" t="s">
        <v>768</v>
      </c>
      <c r="AO30" t="s">
        <v>41</v>
      </c>
    </row>
    <row r="31" spans="1:41" x14ac:dyDescent="0.25">
      <c r="A31">
        <v>45</v>
      </c>
      <c r="B31" t="s">
        <v>66</v>
      </c>
      <c r="C31" t="s">
        <v>33</v>
      </c>
      <c r="D31">
        <v>25</v>
      </c>
      <c r="E31" t="s">
        <v>61</v>
      </c>
      <c r="F31">
        <v>3</v>
      </c>
      <c r="G31">
        <v>5</v>
      </c>
      <c r="H31" t="s">
        <v>75</v>
      </c>
      <c r="I31">
        <v>2</v>
      </c>
      <c r="J31" t="s">
        <v>36</v>
      </c>
      <c r="K31">
        <v>18061</v>
      </c>
      <c r="L31">
        <v>3</v>
      </c>
      <c r="M31" t="s">
        <v>41</v>
      </c>
      <c r="N31">
        <v>22</v>
      </c>
      <c r="O31">
        <v>4</v>
      </c>
      <c r="P31">
        <v>0</v>
      </c>
      <c r="Q31">
        <v>22</v>
      </c>
      <c r="R31">
        <v>4</v>
      </c>
      <c r="S31">
        <v>0</v>
      </c>
      <c r="T31">
        <v>0</v>
      </c>
      <c r="U31">
        <v>0</v>
      </c>
      <c r="V31" t="s">
        <v>72</v>
      </c>
      <c r="W31" s="1" t="s">
        <v>86</v>
      </c>
      <c r="Y31" t="s">
        <v>46</v>
      </c>
      <c r="Z31" t="s">
        <v>40</v>
      </c>
      <c r="AA31">
        <v>4</v>
      </c>
      <c r="AB31">
        <v>3</v>
      </c>
      <c r="AC31" t="s">
        <v>31</v>
      </c>
      <c r="AD31" t="s">
        <v>65</v>
      </c>
      <c r="AE31" t="s">
        <v>43</v>
      </c>
      <c r="AF31" s="3">
        <v>38</v>
      </c>
      <c r="AG31" s="3">
        <v>83</v>
      </c>
      <c r="AH31">
        <v>80</v>
      </c>
      <c r="AI31">
        <v>2</v>
      </c>
      <c r="AJ31">
        <v>0</v>
      </c>
      <c r="AL31">
        <v>0</v>
      </c>
      <c r="AM31">
        <v>1</v>
      </c>
      <c r="AN31" t="s">
        <v>768</v>
      </c>
      <c r="AO31" t="s">
        <v>41</v>
      </c>
    </row>
    <row r="32" spans="1:41" x14ac:dyDescent="0.25">
      <c r="A32">
        <v>18</v>
      </c>
      <c r="B32" t="s">
        <v>81</v>
      </c>
      <c r="C32" t="s">
        <v>33</v>
      </c>
      <c r="D32">
        <v>1</v>
      </c>
      <c r="E32" t="s">
        <v>61</v>
      </c>
      <c r="F32">
        <v>3</v>
      </c>
      <c r="G32">
        <v>1</v>
      </c>
      <c r="H32" t="s">
        <v>35</v>
      </c>
      <c r="I32">
        <v>4</v>
      </c>
      <c r="J32" t="s">
        <v>36</v>
      </c>
      <c r="K32">
        <v>1611</v>
      </c>
      <c r="L32">
        <v>1</v>
      </c>
      <c r="M32" t="s">
        <v>41</v>
      </c>
      <c r="N32">
        <v>15</v>
      </c>
      <c r="O32">
        <v>3</v>
      </c>
      <c r="P32">
        <v>0</v>
      </c>
      <c r="Q32">
        <v>0</v>
      </c>
      <c r="R32">
        <v>5</v>
      </c>
      <c r="S32">
        <v>0</v>
      </c>
      <c r="T32">
        <v>0</v>
      </c>
      <c r="U32">
        <v>0</v>
      </c>
      <c r="V32" t="s">
        <v>72</v>
      </c>
      <c r="W32" s="2">
        <v>44287</v>
      </c>
      <c r="Y32" t="s">
        <v>39</v>
      </c>
      <c r="Z32" t="s">
        <v>47</v>
      </c>
      <c r="AA32">
        <v>1</v>
      </c>
      <c r="AB32">
        <v>3</v>
      </c>
      <c r="AC32" t="s">
        <v>31</v>
      </c>
      <c r="AD32" t="s">
        <v>42</v>
      </c>
      <c r="AE32" t="s">
        <v>49</v>
      </c>
      <c r="AF32" s="3">
        <v>39</v>
      </c>
      <c r="AG32" s="3">
        <v>78</v>
      </c>
      <c r="AH32">
        <v>80</v>
      </c>
      <c r="AI32">
        <v>1</v>
      </c>
      <c r="AJ32">
        <v>0</v>
      </c>
      <c r="AL32">
        <v>0</v>
      </c>
      <c r="AM32">
        <v>1</v>
      </c>
      <c r="AN32" t="s">
        <v>768</v>
      </c>
      <c r="AO32" t="s">
        <v>41</v>
      </c>
    </row>
    <row r="33" spans="1:41" x14ac:dyDescent="0.25">
      <c r="A33">
        <v>24</v>
      </c>
      <c r="B33" t="s">
        <v>66</v>
      </c>
      <c r="C33" t="s">
        <v>33</v>
      </c>
      <c r="D33">
        <v>9</v>
      </c>
      <c r="E33" t="s">
        <v>34</v>
      </c>
      <c r="F33">
        <v>3</v>
      </c>
      <c r="G33">
        <v>1</v>
      </c>
      <c r="H33" t="s">
        <v>35</v>
      </c>
      <c r="I33">
        <v>1</v>
      </c>
      <c r="J33" t="s">
        <v>36</v>
      </c>
      <c r="K33">
        <v>3172</v>
      </c>
      <c r="L33">
        <v>2</v>
      </c>
      <c r="M33" t="s">
        <v>31</v>
      </c>
      <c r="N33">
        <v>11</v>
      </c>
      <c r="O33">
        <v>3</v>
      </c>
      <c r="P33">
        <v>0</v>
      </c>
      <c r="Q33">
        <v>4</v>
      </c>
      <c r="R33">
        <v>2</v>
      </c>
      <c r="S33">
        <v>0</v>
      </c>
      <c r="T33">
        <v>0</v>
      </c>
      <c r="U33">
        <v>0</v>
      </c>
      <c r="V33" t="s">
        <v>37</v>
      </c>
      <c r="W33" s="1" t="s">
        <v>87</v>
      </c>
      <c r="Y33" t="s">
        <v>69</v>
      </c>
      <c r="Z33" t="s">
        <v>40</v>
      </c>
      <c r="AA33">
        <v>5</v>
      </c>
      <c r="AB33">
        <v>2</v>
      </c>
      <c r="AC33" t="s">
        <v>31</v>
      </c>
      <c r="AD33" t="s">
        <v>42</v>
      </c>
      <c r="AE33" t="s">
        <v>49</v>
      </c>
      <c r="AF33" s="3">
        <v>40</v>
      </c>
      <c r="AG33" s="3">
        <v>41</v>
      </c>
      <c r="AH33">
        <v>80</v>
      </c>
      <c r="AI33">
        <v>2</v>
      </c>
      <c r="AJ33">
        <v>0</v>
      </c>
      <c r="AL33">
        <v>0</v>
      </c>
      <c r="AM33">
        <v>1</v>
      </c>
      <c r="AN33" t="s">
        <v>768</v>
      </c>
      <c r="AO33" t="s">
        <v>41</v>
      </c>
    </row>
    <row r="34" spans="1:41" x14ac:dyDescent="0.25">
      <c r="A34">
        <v>28</v>
      </c>
      <c r="B34" t="s">
        <v>66</v>
      </c>
      <c r="C34" t="s">
        <v>33</v>
      </c>
      <c r="D34">
        <v>2</v>
      </c>
      <c r="E34" t="s">
        <v>34</v>
      </c>
      <c r="F34">
        <v>2</v>
      </c>
      <c r="G34">
        <v>1</v>
      </c>
      <c r="H34" t="s">
        <v>35</v>
      </c>
      <c r="I34">
        <v>1</v>
      </c>
      <c r="J34" t="s">
        <v>36</v>
      </c>
      <c r="K34">
        <v>2561</v>
      </c>
      <c r="L34">
        <v>7</v>
      </c>
      <c r="M34" t="s">
        <v>41</v>
      </c>
      <c r="N34">
        <v>11</v>
      </c>
      <c r="O34">
        <v>3</v>
      </c>
      <c r="P34">
        <v>0</v>
      </c>
      <c r="Q34">
        <v>8</v>
      </c>
      <c r="R34">
        <v>2</v>
      </c>
      <c r="S34">
        <v>0</v>
      </c>
      <c r="T34">
        <v>0</v>
      </c>
      <c r="U34">
        <v>0</v>
      </c>
      <c r="V34" t="s">
        <v>72</v>
      </c>
      <c r="W34" s="1" t="s">
        <v>88</v>
      </c>
      <c r="Y34" t="s">
        <v>54</v>
      </c>
      <c r="Z34" t="s">
        <v>47</v>
      </c>
      <c r="AA34">
        <v>5</v>
      </c>
      <c r="AB34">
        <v>0</v>
      </c>
      <c r="AC34" t="s">
        <v>41</v>
      </c>
      <c r="AD34" t="s">
        <v>42</v>
      </c>
      <c r="AE34" t="s">
        <v>60</v>
      </c>
      <c r="AF34" s="3">
        <v>41</v>
      </c>
      <c r="AG34" s="3">
        <v>83</v>
      </c>
      <c r="AH34">
        <v>80</v>
      </c>
      <c r="AI34">
        <v>0</v>
      </c>
      <c r="AJ34">
        <v>0</v>
      </c>
      <c r="AL34">
        <v>0</v>
      </c>
      <c r="AM34">
        <v>1</v>
      </c>
      <c r="AN34" t="s">
        <v>768</v>
      </c>
      <c r="AO34" t="s">
        <v>41</v>
      </c>
    </row>
    <row r="35" spans="1:41" x14ac:dyDescent="0.25">
      <c r="A35">
        <v>33</v>
      </c>
      <c r="B35" t="s">
        <v>32</v>
      </c>
      <c r="C35" t="s">
        <v>33</v>
      </c>
      <c r="D35">
        <v>8</v>
      </c>
      <c r="E35" t="s">
        <v>34</v>
      </c>
      <c r="F35">
        <v>3</v>
      </c>
      <c r="G35">
        <v>2</v>
      </c>
      <c r="H35" t="s">
        <v>89</v>
      </c>
      <c r="I35">
        <v>3</v>
      </c>
      <c r="J35" t="s">
        <v>36</v>
      </c>
      <c r="K35">
        <v>6388</v>
      </c>
      <c r="L35">
        <v>2</v>
      </c>
      <c r="M35" t="s">
        <v>31</v>
      </c>
      <c r="N35">
        <v>17</v>
      </c>
      <c r="O35">
        <v>3</v>
      </c>
      <c r="P35">
        <v>0</v>
      </c>
      <c r="Q35">
        <v>14</v>
      </c>
      <c r="R35">
        <v>6</v>
      </c>
      <c r="S35">
        <v>0</v>
      </c>
      <c r="T35">
        <v>0</v>
      </c>
      <c r="U35">
        <v>0</v>
      </c>
      <c r="V35" t="s">
        <v>37</v>
      </c>
      <c r="W35" s="2">
        <v>44351</v>
      </c>
      <c r="Y35" t="s">
        <v>46</v>
      </c>
      <c r="Z35" t="s">
        <v>40</v>
      </c>
      <c r="AA35">
        <v>3</v>
      </c>
      <c r="AB35">
        <v>3</v>
      </c>
      <c r="AC35" t="s">
        <v>41</v>
      </c>
      <c r="AD35" t="s">
        <v>65</v>
      </c>
      <c r="AE35" t="s">
        <v>60</v>
      </c>
      <c r="AF35" s="3">
        <v>42</v>
      </c>
      <c r="AG35" s="3">
        <v>56</v>
      </c>
      <c r="AH35">
        <v>80</v>
      </c>
      <c r="AI35">
        <v>0</v>
      </c>
      <c r="AJ35">
        <v>1</v>
      </c>
      <c r="AK35">
        <v>1</v>
      </c>
      <c r="AL35">
        <v>1</v>
      </c>
      <c r="AM35">
        <v>0</v>
      </c>
      <c r="AN35" t="s">
        <v>767</v>
      </c>
      <c r="AO35" t="s">
        <v>31</v>
      </c>
    </row>
    <row r="36" spans="1:41" x14ac:dyDescent="0.25">
      <c r="A36">
        <v>18</v>
      </c>
      <c r="B36" t="s">
        <v>66</v>
      </c>
      <c r="C36" t="s">
        <v>55</v>
      </c>
      <c r="D36">
        <v>3</v>
      </c>
      <c r="E36" t="s">
        <v>61</v>
      </c>
      <c r="F36">
        <v>3</v>
      </c>
      <c r="G36">
        <v>1</v>
      </c>
      <c r="H36" t="s">
        <v>56</v>
      </c>
      <c r="I36">
        <v>4</v>
      </c>
      <c r="J36" t="s">
        <v>36</v>
      </c>
      <c r="K36">
        <v>1569</v>
      </c>
      <c r="L36">
        <v>1</v>
      </c>
      <c r="M36" t="s">
        <v>31</v>
      </c>
      <c r="N36">
        <v>12</v>
      </c>
      <c r="O36">
        <v>3</v>
      </c>
      <c r="P36">
        <v>0</v>
      </c>
      <c r="Q36">
        <v>0</v>
      </c>
      <c r="R36">
        <v>2</v>
      </c>
      <c r="S36">
        <v>0</v>
      </c>
      <c r="T36">
        <v>0</v>
      </c>
      <c r="U36">
        <v>0</v>
      </c>
      <c r="V36" t="s">
        <v>72</v>
      </c>
      <c r="W36" s="1" t="s">
        <v>90</v>
      </c>
      <c r="Y36" t="s">
        <v>54</v>
      </c>
      <c r="Z36" t="s">
        <v>40</v>
      </c>
      <c r="AA36">
        <v>0</v>
      </c>
      <c r="AB36">
        <v>1</v>
      </c>
      <c r="AC36" t="s">
        <v>41</v>
      </c>
      <c r="AD36" t="s">
        <v>48</v>
      </c>
      <c r="AE36" t="s">
        <v>49</v>
      </c>
      <c r="AF36" s="3">
        <v>45</v>
      </c>
      <c r="AG36" s="3">
        <v>61</v>
      </c>
      <c r="AH36">
        <v>80</v>
      </c>
      <c r="AI36">
        <v>0</v>
      </c>
      <c r="AJ36">
        <v>1</v>
      </c>
      <c r="AK36">
        <v>1</v>
      </c>
      <c r="AL36">
        <v>1</v>
      </c>
      <c r="AM36">
        <v>0</v>
      </c>
      <c r="AN36" t="s">
        <v>767</v>
      </c>
      <c r="AO36" t="s">
        <v>31</v>
      </c>
    </row>
    <row r="37" spans="1:41" x14ac:dyDescent="0.25">
      <c r="A37">
        <v>38</v>
      </c>
      <c r="B37" t="s">
        <v>32</v>
      </c>
      <c r="C37" t="s">
        <v>33</v>
      </c>
      <c r="D37">
        <v>4</v>
      </c>
      <c r="E37" t="s">
        <v>61</v>
      </c>
      <c r="F37">
        <v>3</v>
      </c>
      <c r="G37">
        <v>1</v>
      </c>
      <c r="H37" t="s">
        <v>35</v>
      </c>
      <c r="I37">
        <v>3</v>
      </c>
      <c r="J37" t="s">
        <v>51</v>
      </c>
      <c r="K37">
        <v>3306</v>
      </c>
      <c r="L37">
        <v>7</v>
      </c>
      <c r="M37" t="s">
        <v>41</v>
      </c>
      <c r="N37">
        <v>19</v>
      </c>
      <c r="O37">
        <v>3</v>
      </c>
      <c r="P37">
        <v>1</v>
      </c>
      <c r="Q37">
        <v>7</v>
      </c>
      <c r="R37">
        <v>5</v>
      </c>
      <c r="S37">
        <v>0</v>
      </c>
      <c r="T37">
        <v>0</v>
      </c>
      <c r="U37">
        <v>0</v>
      </c>
      <c r="V37" t="s">
        <v>52</v>
      </c>
      <c r="W37" s="1" t="s">
        <v>91</v>
      </c>
      <c r="Y37" t="s">
        <v>54</v>
      </c>
      <c r="Z37" t="s">
        <v>40</v>
      </c>
      <c r="AA37">
        <v>2</v>
      </c>
      <c r="AB37">
        <v>3</v>
      </c>
      <c r="AC37" t="s">
        <v>31</v>
      </c>
      <c r="AD37" t="s">
        <v>67</v>
      </c>
      <c r="AE37" t="s">
        <v>60</v>
      </c>
      <c r="AF37" s="3">
        <v>46</v>
      </c>
      <c r="AG37" s="3">
        <v>72</v>
      </c>
      <c r="AH37">
        <v>80</v>
      </c>
      <c r="AI37">
        <v>3</v>
      </c>
      <c r="AJ37">
        <v>0</v>
      </c>
      <c r="AL37">
        <v>0</v>
      </c>
      <c r="AM37">
        <v>1</v>
      </c>
      <c r="AN37" t="s">
        <v>768</v>
      </c>
      <c r="AO37" t="s">
        <v>41</v>
      </c>
    </row>
    <row r="38" spans="1:41" x14ac:dyDescent="0.25">
      <c r="A38">
        <v>32</v>
      </c>
      <c r="B38" t="s">
        <v>32</v>
      </c>
      <c r="C38" t="s">
        <v>55</v>
      </c>
      <c r="D38">
        <v>1</v>
      </c>
      <c r="E38" t="s">
        <v>34</v>
      </c>
      <c r="F38">
        <v>1</v>
      </c>
      <c r="G38">
        <v>2</v>
      </c>
      <c r="H38" t="s">
        <v>70</v>
      </c>
      <c r="I38">
        <v>2</v>
      </c>
      <c r="J38" t="s">
        <v>36</v>
      </c>
      <c r="K38">
        <v>6735</v>
      </c>
      <c r="L38">
        <v>6</v>
      </c>
      <c r="M38" t="s">
        <v>41</v>
      </c>
      <c r="N38">
        <v>15</v>
      </c>
      <c r="O38">
        <v>3</v>
      </c>
      <c r="P38">
        <v>0</v>
      </c>
      <c r="Q38">
        <v>10</v>
      </c>
      <c r="R38">
        <v>2</v>
      </c>
      <c r="S38">
        <v>0</v>
      </c>
      <c r="T38">
        <v>0</v>
      </c>
      <c r="U38">
        <v>0</v>
      </c>
      <c r="V38" t="s">
        <v>58</v>
      </c>
      <c r="W38" s="1" t="s">
        <v>73</v>
      </c>
      <c r="Y38" t="s">
        <v>69</v>
      </c>
      <c r="Z38" t="s">
        <v>47</v>
      </c>
      <c r="AA38">
        <v>1</v>
      </c>
      <c r="AB38">
        <v>1</v>
      </c>
      <c r="AC38" t="s">
        <v>31</v>
      </c>
      <c r="AD38" t="s">
        <v>48</v>
      </c>
      <c r="AE38" t="s">
        <v>60</v>
      </c>
      <c r="AF38" s="3">
        <v>47</v>
      </c>
      <c r="AG38" s="3">
        <v>86</v>
      </c>
      <c r="AH38">
        <v>80</v>
      </c>
      <c r="AI38">
        <v>2</v>
      </c>
      <c r="AJ38">
        <v>1</v>
      </c>
      <c r="AK38">
        <v>1</v>
      </c>
      <c r="AL38">
        <v>1</v>
      </c>
      <c r="AM38">
        <v>0</v>
      </c>
      <c r="AN38" t="s">
        <v>767</v>
      </c>
      <c r="AO38" t="s">
        <v>31</v>
      </c>
    </row>
    <row r="39" spans="1:41" x14ac:dyDescent="0.25">
      <c r="A39">
        <v>33</v>
      </c>
      <c r="B39" t="s">
        <v>32</v>
      </c>
      <c r="C39" t="s">
        <v>55</v>
      </c>
      <c r="D39">
        <v>16</v>
      </c>
      <c r="E39" t="s">
        <v>61</v>
      </c>
      <c r="F39">
        <v>3</v>
      </c>
      <c r="G39">
        <v>3</v>
      </c>
      <c r="H39" t="s">
        <v>70</v>
      </c>
      <c r="I39">
        <v>1</v>
      </c>
      <c r="J39" t="s">
        <v>36</v>
      </c>
      <c r="K39">
        <v>8564</v>
      </c>
      <c r="L39">
        <v>2</v>
      </c>
      <c r="M39" t="s">
        <v>31</v>
      </c>
      <c r="N39">
        <v>20</v>
      </c>
      <c r="O39">
        <v>4</v>
      </c>
      <c r="P39">
        <v>0</v>
      </c>
      <c r="Q39">
        <v>11</v>
      </c>
      <c r="R39">
        <v>2</v>
      </c>
      <c r="S39">
        <v>0</v>
      </c>
      <c r="T39">
        <v>0</v>
      </c>
      <c r="U39">
        <v>0</v>
      </c>
      <c r="V39" t="s">
        <v>52</v>
      </c>
      <c r="W39" s="2">
        <v>44378</v>
      </c>
      <c r="Y39" t="s">
        <v>39</v>
      </c>
      <c r="Z39" t="s">
        <v>40</v>
      </c>
      <c r="AA39">
        <v>5</v>
      </c>
      <c r="AB39">
        <v>1</v>
      </c>
      <c r="AC39" t="s">
        <v>41</v>
      </c>
      <c r="AD39" t="s">
        <v>48</v>
      </c>
      <c r="AE39" t="s">
        <v>43</v>
      </c>
      <c r="AF39" s="3">
        <v>49</v>
      </c>
      <c r="AG39" s="3">
        <v>97</v>
      </c>
      <c r="AH39">
        <v>80</v>
      </c>
      <c r="AI39">
        <v>2</v>
      </c>
      <c r="AJ39">
        <v>0</v>
      </c>
      <c r="AL39">
        <v>0</v>
      </c>
      <c r="AM39">
        <v>1</v>
      </c>
      <c r="AN39" t="s">
        <v>768</v>
      </c>
      <c r="AO39" t="s">
        <v>41</v>
      </c>
    </row>
    <row r="40" spans="1:41" x14ac:dyDescent="0.25">
      <c r="A40">
        <v>42</v>
      </c>
      <c r="B40" t="s">
        <v>32</v>
      </c>
      <c r="C40" t="s">
        <v>33</v>
      </c>
      <c r="D40">
        <v>13</v>
      </c>
      <c r="E40" t="s">
        <v>34</v>
      </c>
      <c r="F40">
        <v>4</v>
      </c>
      <c r="G40">
        <v>2</v>
      </c>
      <c r="H40" t="s">
        <v>89</v>
      </c>
      <c r="I40">
        <v>1</v>
      </c>
      <c r="J40" t="s">
        <v>51</v>
      </c>
      <c r="K40">
        <v>5538</v>
      </c>
      <c r="L40">
        <v>5</v>
      </c>
      <c r="M40" t="s">
        <v>41</v>
      </c>
      <c r="N40">
        <v>18</v>
      </c>
      <c r="O40">
        <v>3</v>
      </c>
      <c r="P40">
        <v>2</v>
      </c>
      <c r="Q40">
        <v>10</v>
      </c>
      <c r="R40">
        <v>2</v>
      </c>
      <c r="S40">
        <v>0</v>
      </c>
      <c r="T40">
        <v>0</v>
      </c>
      <c r="U40">
        <v>0</v>
      </c>
      <c r="V40" t="s">
        <v>52</v>
      </c>
      <c r="W40" s="2">
        <v>44230</v>
      </c>
      <c r="Y40" t="s">
        <v>46</v>
      </c>
      <c r="Z40" t="s">
        <v>47</v>
      </c>
      <c r="AA40">
        <v>3</v>
      </c>
      <c r="AB40">
        <v>0</v>
      </c>
      <c r="AC40" t="s">
        <v>31</v>
      </c>
      <c r="AD40" t="s">
        <v>42</v>
      </c>
      <c r="AE40" t="s">
        <v>43</v>
      </c>
      <c r="AF40" s="3">
        <v>51</v>
      </c>
      <c r="AG40" s="3">
        <v>82</v>
      </c>
      <c r="AH40">
        <v>80</v>
      </c>
      <c r="AI40">
        <v>1</v>
      </c>
      <c r="AJ40">
        <v>0</v>
      </c>
      <c r="AL40">
        <v>0</v>
      </c>
      <c r="AM40">
        <v>1</v>
      </c>
      <c r="AN40" t="s">
        <v>768</v>
      </c>
      <c r="AO40" t="s">
        <v>41</v>
      </c>
    </row>
    <row r="41" spans="1:41" x14ac:dyDescent="0.25">
      <c r="A41">
        <v>18</v>
      </c>
      <c r="B41" t="s">
        <v>81</v>
      </c>
      <c r="C41" t="s">
        <v>33</v>
      </c>
      <c r="D41">
        <v>14</v>
      </c>
      <c r="E41" t="s">
        <v>61</v>
      </c>
      <c r="F41">
        <v>3</v>
      </c>
      <c r="G41">
        <v>1</v>
      </c>
      <c r="H41" t="s">
        <v>44</v>
      </c>
      <c r="I41">
        <v>3</v>
      </c>
      <c r="J41" t="s">
        <v>36</v>
      </c>
      <c r="K41">
        <v>1514</v>
      </c>
      <c r="L41">
        <v>1</v>
      </c>
      <c r="M41" t="s">
        <v>41</v>
      </c>
      <c r="N41">
        <v>16</v>
      </c>
      <c r="O41">
        <v>3</v>
      </c>
      <c r="P41">
        <v>0</v>
      </c>
      <c r="Q41">
        <v>0</v>
      </c>
      <c r="R41">
        <v>4</v>
      </c>
      <c r="S41">
        <v>0</v>
      </c>
      <c r="T41">
        <v>0</v>
      </c>
      <c r="U41">
        <v>0</v>
      </c>
      <c r="V41" t="s">
        <v>37</v>
      </c>
      <c r="W41" s="1" t="s">
        <v>92</v>
      </c>
      <c r="Y41" t="s">
        <v>69</v>
      </c>
      <c r="Z41" t="s">
        <v>47</v>
      </c>
      <c r="AA41">
        <v>4</v>
      </c>
      <c r="AB41">
        <v>3</v>
      </c>
      <c r="AC41" t="s">
        <v>41</v>
      </c>
      <c r="AD41" t="s">
        <v>67</v>
      </c>
      <c r="AE41" t="s">
        <v>43</v>
      </c>
      <c r="AF41" s="3">
        <v>52</v>
      </c>
      <c r="AG41" s="3">
        <v>42</v>
      </c>
      <c r="AH41">
        <v>80</v>
      </c>
      <c r="AI41">
        <v>3</v>
      </c>
      <c r="AJ41">
        <v>0</v>
      </c>
      <c r="AL41">
        <v>0</v>
      </c>
      <c r="AM41">
        <v>1</v>
      </c>
      <c r="AN41" t="s">
        <v>768</v>
      </c>
      <c r="AO41" t="s">
        <v>41</v>
      </c>
    </row>
    <row r="42" spans="1:41" x14ac:dyDescent="0.25">
      <c r="A42">
        <v>32</v>
      </c>
      <c r="B42" t="s">
        <v>66</v>
      </c>
      <c r="C42" t="s">
        <v>55</v>
      </c>
      <c r="D42">
        <v>10</v>
      </c>
      <c r="E42" t="s">
        <v>34</v>
      </c>
      <c r="F42">
        <v>3</v>
      </c>
      <c r="G42">
        <v>2</v>
      </c>
      <c r="H42" t="s">
        <v>70</v>
      </c>
      <c r="I42">
        <v>4</v>
      </c>
      <c r="J42" t="s">
        <v>36</v>
      </c>
      <c r="K42">
        <v>4648</v>
      </c>
      <c r="L42">
        <v>8</v>
      </c>
      <c r="M42" t="s">
        <v>41</v>
      </c>
      <c r="N42">
        <v>13</v>
      </c>
      <c r="O42">
        <v>3</v>
      </c>
      <c r="P42">
        <v>0</v>
      </c>
      <c r="Q42">
        <v>4</v>
      </c>
      <c r="R42">
        <v>2</v>
      </c>
      <c r="S42">
        <v>0</v>
      </c>
      <c r="T42">
        <v>0</v>
      </c>
      <c r="U42">
        <v>0</v>
      </c>
      <c r="V42" t="s">
        <v>52</v>
      </c>
      <c r="W42" s="1" t="s">
        <v>93</v>
      </c>
      <c r="Y42" t="s">
        <v>69</v>
      </c>
      <c r="Z42" t="s">
        <v>40</v>
      </c>
      <c r="AA42">
        <v>3</v>
      </c>
      <c r="AB42">
        <v>3</v>
      </c>
      <c r="AC42" t="s">
        <v>31</v>
      </c>
      <c r="AD42" t="s">
        <v>67</v>
      </c>
      <c r="AE42" t="s">
        <v>43</v>
      </c>
      <c r="AF42" s="3">
        <v>53</v>
      </c>
      <c r="AG42" s="3">
        <v>75</v>
      </c>
      <c r="AH42">
        <v>80</v>
      </c>
      <c r="AI42">
        <v>0</v>
      </c>
      <c r="AJ42">
        <v>0</v>
      </c>
      <c r="AL42">
        <v>0</v>
      </c>
      <c r="AM42">
        <v>1</v>
      </c>
      <c r="AN42" t="s">
        <v>768</v>
      </c>
      <c r="AO42" t="s">
        <v>41</v>
      </c>
    </row>
    <row r="43" spans="1:41" x14ac:dyDescent="0.25">
      <c r="A43">
        <v>42</v>
      </c>
      <c r="B43" t="s">
        <v>32</v>
      </c>
      <c r="C43" t="s">
        <v>33</v>
      </c>
      <c r="D43">
        <v>8</v>
      </c>
      <c r="E43" t="s">
        <v>34</v>
      </c>
      <c r="F43">
        <v>3</v>
      </c>
      <c r="G43">
        <v>1</v>
      </c>
      <c r="H43" t="s">
        <v>35</v>
      </c>
      <c r="I43">
        <v>3</v>
      </c>
      <c r="J43" t="s">
        <v>36</v>
      </c>
      <c r="K43">
        <v>3968</v>
      </c>
      <c r="L43">
        <v>4</v>
      </c>
      <c r="M43" t="s">
        <v>41</v>
      </c>
      <c r="N43">
        <v>13</v>
      </c>
      <c r="O43">
        <v>3</v>
      </c>
      <c r="P43">
        <v>0</v>
      </c>
      <c r="Q43">
        <v>8</v>
      </c>
      <c r="R43">
        <v>3</v>
      </c>
      <c r="S43">
        <v>0</v>
      </c>
      <c r="T43">
        <v>0</v>
      </c>
      <c r="U43">
        <v>0</v>
      </c>
      <c r="V43" t="s">
        <v>37</v>
      </c>
      <c r="W43" s="2">
        <v>44442</v>
      </c>
      <c r="Y43" t="s">
        <v>63</v>
      </c>
      <c r="Z43" t="s">
        <v>40</v>
      </c>
      <c r="AA43">
        <v>5</v>
      </c>
      <c r="AB43">
        <v>1</v>
      </c>
      <c r="AC43" t="s">
        <v>41</v>
      </c>
      <c r="AD43" t="s">
        <v>65</v>
      </c>
      <c r="AE43" t="s">
        <v>60</v>
      </c>
      <c r="AF43" s="3">
        <v>54</v>
      </c>
      <c r="AG43" s="3">
        <v>33</v>
      </c>
      <c r="AH43">
        <v>80</v>
      </c>
      <c r="AI43">
        <v>0</v>
      </c>
      <c r="AJ43">
        <v>0</v>
      </c>
      <c r="AL43">
        <v>0</v>
      </c>
      <c r="AM43">
        <v>1</v>
      </c>
      <c r="AN43" t="s">
        <v>768</v>
      </c>
      <c r="AO43" t="s">
        <v>41</v>
      </c>
    </row>
    <row r="44" spans="1:41" x14ac:dyDescent="0.25">
      <c r="A44">
        <v>56</v>
      </c>
      <c r="B44" t="s">
        <v>32</v>
      </c>
      <c r="C44" t="s">
        <v>55</v>
      </c>
      <c r="D44">
        <v>11</v>
      </c>
      <c r="E44" t="s">
        <v>61</v>
      </c>
      <c r="F44">
        <v>2</v>
      </c>
      <c r="G44">
        <v>2</v>
      </c>
      <c r="H44" t="s">
        <v>70</v>
      </c>
      <c r="I44">
        <v>1</v>
      </c>
      <c r="J44" t="s">
        <v>51</v>
      </c>
      <c r="K44">
        <v>5380</v>
      </c>
      <c r="L44">
        <v>4</v>
      </c>
      <c r="M44" t="s">
        <v>41</v>
      </c>
      <c r="N44">
        <v>16</v>
      </c>
      <c r="O44">
        <v>3</v>
      </c>
      <c r="P44">
        <v>1</v>
      </c>
      <c r="Q44">
        <v>6</v>
      </c>
      <c r="R44">
        <v>3</v>
      </c>
      <c r="S44">
        <v>0</v>
      </c>
      <c r="T44">
        <v>0</v>
      </c>
      <c r="U44">
        <v>0</v>
      </c>
      <c r="V44" t="s">
        <v>58</v>
      </c>
      <c r="W44" s="1" t="s">
        <v>68</v>
      </c>
      <c r="Y44" t="s">
        <v>63</v>
      </c>
      <c r="Z44" t="s">
        <v>40</v>
      </c>
      <c r="AA44">
        <v>5</v>
      </c>
      <c r="AB44">
        <v>0</v>
      </c>
      <c r="AC44" t="s">
        <v>31</v>
      </c>
      <c r="AD44" t="s">
        <v>48</v>
      </c>
      <c r="AE44" t="s">
        <v>43</v>
      </c>
      <c r="AF44" s="3">
        <v>55</v>
      </c>
      <c r="AG44" s="3">
        <v>48</v>
      </c>
      <c r="AH44">
        <v>80</v>
      </c>
      <c r="AI44">
        <v>0</v>
      </c>
      <c r="AJ44">
        <v>1</v>
      </c>
      <c r="AK44">
        <v>1</v>
      </c>
      <c r="AL44">
        <v>1</v>
      </c>
      <c r="AM44">
        <v>0</v>
      </c>
      <c r="AN44" t="s">
        <v>767</v>
      </c>
      <c r="AO44" t="s">
        <v>31</v>
      </c>
    </row>
    <row r="45" spans="1:41" x14ac:dyDescent="0.25">
      <c r="A45">
        <v>42</v>
      </c>
      <c r="B45" t="s">
        <v>32</v>
      </c>
      <c r="C45" t="s">
        <v>55</v>
      </c>
      <c r="D45">
        <v>12</v>
      </c>
      <c r="E45" t="s">
        <v>34</v>
      </c>
      <c r="F45">
        <v>3</v>
      </c>
      <c r="G45">
        <v>2</v>
      </c>
      <c r="H45" t="s">
        <v>70</v>
      </c>
      <c r="I45">
        <v>4</v>
      </c>
      <c r="J45" t="s">
        <v>57</v>
      </c>
      <c r="K45">
        <v>5087</v>
      </c>
      <c r="L45">
        <v>3</v>
      </c>
      <c r="M45" t="s">
        <v>31</v>
      </c>
      <c r="N45">
        <v>12</v>
      </c>
      <c r="O45">
        <v>3</v>
      </c>
      <c r="P45">
        <v>2</v>
      </c>
      <c r="Q45">
        <v>14</v>
      </c>
      <c r="R45">
        <v>4</v>
      </c>
      <c r="S45">
        <v>0</v>
      </c>
      <c r="T45">
        <v>0</v>
      </c>
      <c r="U45">
        <v>0</v>
      </c>
      <c r="V45" t="s">
        <v>58</v>
      </c>
      <c r="W45" s="2">
        <v>44532</v>
      </c>
      <c r="Y45" t="s">
        <v>69</v>
      </c>
      <c r="Z45" t="s">
        <v>40</v>
      </c>
      <c r="AA45">
        <v>1</v>
      </c>
      <c r="AB45">
        <v>2</v>
      </c>
      <c r="AC45" t="s">
        <v>41</v>
      </c>
      <c r="AD45" t="s">
        <v>48</v>
      </c>
      <c r="AE45" t="s">
        <v>49</v>
      </c>
      <c r="AF45" s="3">
        <v>56</v>
      </c>
      <c r="AG45" s="3">
        <v>37</v>
      </c>
      <c r="AH45">
        <v>80</v>
      </c>
      <c r="AI45">
        <v>8</v>
      </c>
      <c r="AJ45">
        <v>0</v>
      </c>
      <c r="AL45">
        <v>0</v>
      </c>
      <c r="AM45">
        <v>1</v>
      </c>
      <c r="AN45" t="s">
        <v>768</v>
      </c>
      <c r="AO45" t="s">
        <v>41</v>
      </c>
    </row>
    <row r="46" spans="1:41" x14ac:dyDescent="0.25">
      <c r="A46">
        <v>59</v>
      </c>
      <c r="B46" t="s">
        <v>32</v>
      </c>
      <c r="C46" t="s">
        <v>33</v>
      </c>
      <c r="D46">
        <v>3</v>
      </c>
      <c r="E46" t="s">
        <v>61</v>
      </c>
      <c r="F46">
        <v>4</v>
      </c>
      <c r="G46">
        <v>1</v>
      </c>
      <c r="H46" t="s">
        <v>35</v>
      </c>
      <c r="I46">
        <v>1</v>
      </c>
      <c r="J46" t="s">
        <v>51</v>
      </c>
      <c r="K46">
        <v>2670</v>
      </c>
      <c r="L46">
        <v>4</v>
      </c>
      <c r="M46" t="s">
        <v>31</v>
      </c>
      <c r="N46">
        <v>20</v>
      </c>
      <c r="O46">
        <v>4</v>
      </c>
      <c r="P46">
        <v>3</v>
      </c>
      <c r="Q46">
        <v>12</v>
      </c>
      <c r="R46">
        <v>3</v>
      </c>
      <c r="S46">
        <v>1</v>
      </c>
      <c r="T46">
        <v>0</v>
      </c>
      <c r="U46">
        <v>0</v>
      </c>
      <c r="V46" t="s">
        <v>52</v>
      </c>
      <c r="W46" s="2">
        <v>44109</v>
      </c>
      <c r="Y46" t="s">
        <v>46</v>
      </c>
      <c r="Z46" t="s">
        <v>40</v>
      </c>
      <c r="AA46">
        <v>2</v>
      </c>
      <c r="AB46">
        <v>1</v>
      </c>
      <c r="AC46" t="s">
        <v>31</v>
      </c>
      <c r="AD46" t="s">
        <v>42</v>
      </c>
      <c r="AE46" t="s">
        <v>43</v>
      </c>
      <c r="AF46" s="3">
        <v>57</v>
      </c>
      <c r="AG46" s="3">
        <v>58</v>
      </c>
      <c r="AH46">
        <v>80</v>
      </c>
      <c r="AI46">
        <v>8</v>
      </c>
      <c r="AJ46">
        <v>0</v>
      </c>
      <c r="AL46">
        <v>0</v>
      </c>
      <c r="AM46">
        <v>1</v>
      </c>
      <c r="AN46" t="s">
        <v>768</v>
      </c>
      <c r="AO46" t="s">
        <v>41</v>
      </c>
    </row>
    <row r="47" spans="1:41" x14ac:dyDescent="0.25">
      <c r="A47">
        <v>30</v>
      </c>
      <c r="B47" t="s">
        <v>32</v>
      </c>
      <c r="C47" t="s">
        <v>33</v>
      </c>
      <c r="D47">
        <v>24</v>
      </c>
      <c r="E47" t="s">
        <v>34</v>
      </c>
      <c r="F47">
        <v>3</v>
      </c>
      <c r="G47">
        <v>1</v>
      </c>
      <c r="H47" t="s">
        <v>35</v>
      </c>
      <c r="I47">
        <v>3</v>
      </c>
      <c r="J47" t="s">
        <v>57</v>
      </c>
      <c r="K47">
        <v>2693</v>
      </c>
      <c r="L47">
        <v>1</v>
      </c>
      <c r="M47" t="s">
        <v>41</v>
      </c>
      <c r="N47">
        <v>22</v>
      </c>
      <c r="O47">
        <v>4</v>
      </c>
      <c r="P47">
        <v>1</v>
      </c>
      <c r="Q47">
        <v>1</v>
      </c>
      <c r="R47">
        <v>2</v>
      </c>
      <c r="S47">
        <v>1</v>
      </c>
      <c r="T47">
        <v>0</v>
      </c>
      <c r="U47">
        <v>0</v>
      </c>
      <c r="V47" t="s">
        <v>37</v>
      </c>
      <c r="W47" s="1" t="s">
        <v>94</v>
      </c>
      <c r="Y47" t="s">
        <v>46</v>
      </c>
      <c r="Z47" t="s">
        <v>47</v>
      </c>
      <c r="AA47">
        <v>2</v>
      </c>
      <c r="AB47">
        <v>3</v>
      </c>
      <c r="AC47" t="s">
        <v>41</v>
      </c>
      <c r="AD47" t="s">
        <v>67</v>
      </c>
      <c r="AE47" t="s">
        <v>49</v>
      </c>
      <c r="AF47" s="3">
        <v>58</v>
      </c>
      <c r="AG47" s="3">
        <v>49</v>
      </c>
      <c r="AH47">
        <v>80</v>
      </c>
      <c r="AI47">
        <v>15</v>
      </c>
      <c r="AJ47">
        <v>1</v>
      </c>
      <c r="AK47">
        <v>1</v>
      </c>
      <c r="AL47">
        <v>1</v>
      </c>
      <c r="AM47">
        <v>0</v>
      </c>
      <c r="AN47" t="s">
        <v>767</v>
      </c>
      <c r="AO47" t="s">
        <v>31</v>
      </c>
    </row>
    <row r="48" spans="1:41" x14ac:dyDescent="0.25">
      <c r="A48">
        <v>22</v>
      </c>
      <c r="B48" t="s">
        <v>81</v>
      </c>
      <c r="C48" t="s">
        <v>33</v>
      </c>
      <c r="D48">
        <v>16</v>
      </c>
      <c r="E48" t="s">
        <v>34</v>
      </c>
      <c r="F48">
        <v>4</v>
      </c>
      <c r="G48">
        <v>1</v>
      </c>
      <c r="H48" t="s">
        <v>35</v>
      </c>
      <c r="I48">
        <v>4</v>
      </c>
      <c r="J48" t="s">
        <v>57</v>
      </c>
      <c r="K48">
        <v>2935</v>
      </c>
      <c r="L48">
        <v>1</v>
      </c>
      <c r="M48" t="s">
        <v>31</v>
      </c>
      <c r="N48">
        <v>13</v>
      </c>
      <c r="O48">
        <v>3</v>
      </c>
      <c r="P48">
        <v>2</v>
      </c>
      <c r="Q48">
        <v>1</v>
      </c>
      <c r="R48">
        <v>2</v>
      </c>
      <c r="S48">
        <v>1</v>
      </c>
      <c r="T48">
        <v>0</v>
      </c>
      <c r="U48">
        <v>0</v>
      </c>
      <c r="V48" t="s">
        <v>58</v>
      </c>
      <c r="W48" s="1" t="s">
        <v>95</v>
      </c>
      <c r="Y48" t="s">
        <v>39</v>
      </c>
      <c r="Z48" t="s">
        <v>40</v>
      </c>
      <c r="AA48">
        <v>0</v>
      </c>
      <c r="AB48">
        <v>0</v>
      </c>
      <c r="AC48" t="s">
        <v>31</v>
      </c>
      <c r="AD48" t="s">
        <v>67</v>
      </c>
      <c r="AE48" t="s">
        <v>43</v>
      </c>
      <c r="AF48" s="3">
        <v>60</v>
      </c>
      <c r="AG48" s="3">
        <v>72</v>
      </c>
      <c r="AH48">
        <v>80</v>
      </c>
      <c r="AI48">
        <v>5</v>
      </c>
      <c r="AJ48">
        <v>0</v>
      </c>
      <c r="AL48">
        <v>0</v>
      </c>
      <c r="AM48">
        <v>1</v>
      </c>
      <c r="AN48" t="s">
        <v>768</v>
      </c>
      <c r="AO48" t="s">
        <v>41</v>
      </c>
    </row>
    <row r="49" spans="1:41" x14ac:dyDescent="0.25">
      <c r="A49">
        <v>33</v>
      </c>
      <c r="B49" t="s">
        <v>32</v>
      </c>
      <c r="C49" t="s">
        <v>33</v>
      </c>
      <c r="D49">
        <v>2</v>
      </c>
      <c r="E49" t="s">
        <v>34</v>
      </c>
      <c r="F49">
        <v>3</v>
      </c>
      <c r="G49">
        <v>1</v>
      </c>
      <c r="H49" t="s">
        <v>35</v>
      </c>
      <c r="I49">
        <v>4</v>
      </c>
      <c r="J49" t="s">
        <v>36</v>
      </c>
      <c r="K49">
        <v>2496</v>
      </c>
      <c r="L49">
        <v>4</v>
      </c>
      <c r="M49" t="s">
        <v>41</v>
      </c>
      <c r="N49">
        <v>11</v>
      </c>
      <c r="O49">
        <v>3</v>
      </c>
      <c r="P49">
        <v>0</v>
      </c>
      <c r="Q49">
        <v>7</v>
      </c>
      <c r="R49">
        <v>3</v>
      </c>
      <c r="S49">
        <v>1</v>
      </c>
      <c r="T49">
        <v>0</v>
      </c>
      <c r="U49">
        <v>0</v>
      </c>
      <c r="V49" t="s">
        <v>58</v>
      </c>
      <c r="W49" s="2">
        <v>43896</v>
      </c>
      <c r="Y49" t="s">
        <v>69</v>
      </c>
      <c r="Z49" t="s">
        <v>40</v>
      </c>
      <c r="AA49">
        <v>1</v>
      </c>
      <c r="AB49">
        <v>0</v>
      </c>
      <c r="AC49" t="s">
        <v>31</v>
      </c>
      <c r="AD49" t="s">
        <v>42</v>
      </c>
      <c r="AE49" t="s">
        <v>43</v>
      </c>
      <c r="AF49" s="3">
        <v>61</v>
      </c>
      <c r="AG49" s="3">
        <v>73</v>
      </c>
      <c r="AH49">
        <v>80</v>
      </c>
      <c r="AI49">
        <v>0</v>
      </c>
      <c r="AJ49">
        <v>0</v>
      </c>
      <c r="AL49">
        <v>0</v>
      </c>
      <c r="AM49">
        <v>1</v>
      </c>
      <c r="AN49" t="s">
        <v>768</v>
      </c>
      <c r="AO49" t="s">
        <v>41</v>
      </c>
    </row>
    <row r="50" spans="1:41" x14ac:dyDescent="0.25">
      <c r="A50">
        <v>39</v>
      </c>
      <c r="B50" t="s">
        <v>32</v>
      </c>
      <c r="C50" t="s">
        <v>55</v>
      </c>
      <c r="D50">
        <v>5</v>
      </c>
      <c r="E50" t="s">
        <v>34</v>
      </c>
      <c r="F50">
        <v>3</v>
      </c>
      <c r="G50">
        <v>2</v>
      </c>
      <c r="H50" t="s">
        <v>56</v>
      </c>
      <c r="I50">
        <v>4</v>
      </c>
      <c r="J50" t="s">
        <v>51</v>
      </c>
      <c r="K50">
        <v>2086</v>
      </c>
      <c r="L50">
        <v>3</v>
      </c>
      <c r="M50" t="s">
        <v>41</v>
      </c>
      <c r="N50">
        <v>14</v>
      </c>
      <c r="O50">
        <v>3</v>
      </c>
      <c r="P50">
        <v>1</v>
      </c>
      <c r="Q50">
        <v>19</v>
      </c>
      <c r="R50">
        <v>6</v>
      </c>
      <c r="S50">
        <v>1</v>
      </c>
      <c r="T50">
        <v>0</v>
      </c>
      <c r="U50">
        <v>0</v>
      </c>
      <c r="V50" t="s">
        <v>52</v>
      </c>
      <c r="W50" s="1" t="s">
        <v>96</v>
      </c>
      <c r="Y50" t="s">
        <v>54</v>
      </c>
      <c r="Z50" t="s">
        <v>40</v>
      </c>
      <c r="AA50">
        <v>5</v>
      </c>
      <c r="AB50">
        <v>0</v>
      </c>
      <c r="AC50" t="s">
        <v>41</v>
      </c>
      <c r="AD50" t="s">
        <v>48</v>
      </c>
      <c r="AE50" t="s">
        <v>43</v>
      </c>
      <c r="AF50" s="3">
        <v>62</v>
      </c>
      <c r="AG50" s="3">
        <v>98</v>
      </c>
      <c r="AH50">
        <v>80</v>
      </c>
      <c r="AI50">
        <v>6</v>
      </c>
      <c r="AJ50">
        <v>0</v>
      </c>
      <c r="AL50">
        <v>0</v>
      </c>
      <c r="AM50">
        <v>1</v>
      </c>
      <c r="AN50" t="s">
        <v>768</v>
      </c>
      <c r="AO50" t="s">
        <v>41</v>
      </c>
    </row>
    <row r="51" spans="1:41" x14ac:dyDescent="0.25">
      <c r="A51">
        <v>36</v>
      </c>
      <c r="B51" t="s">
        <v>32</v>
      </c>
      <c r="C51" t="s">
        <v>33</v>
      </c>
      <c r="D51">
        <v>5</v>
      </c>
      <c r="E51" t="s">
        <v>61</v>
      </c>
      <c r="F51">
        <v>2</v>
      </c>
      <c r="G51">
        <v>1</v>
      </c>
      <c r="H51" t="s">
        <v>44</v>
      </c>
      <c r="I51">
        <v>1</v>
      </c>
      <c r="J51" t="s">
        <v>51</v>
      </c>
      <c r="K51">
        <v>3419</v>
      </c>
      <c r="L51">
        <v>9</v>
      </c>
      <c r="M51" t="s">
        <v>31</v>
      </c>
      <c r="N51">
        <v>14</v>
      </c>
      <c r="O51">
        <v>3</v>
      </c>
      <c r="P51">
        <v>1</v>
      </c>
      <c r="Q51">
        <v>6</v>
      </c>
      <c r="R51">
        <v>3</v>
      </c>
      <c r="S51">
        <v>1</v>
      </c>
      <c r="T51">
        <v>0</v>
      </c>
      <c r="U51">
        <v>0</v>
      </c>
      <c r="V51" t="s">
        <v>37</v>
      </c>
      <c r="W51" s="1" t="s">
        <v>97</v>
      </c>
      <c r="Y51" t="s">
        <v>69</v>
      </c>
      <c r="Z51" t="s">
        <v>40</v>
      </c>
      <c r="AA51">
        <v>4</v>
      </c>
      <c r="AB51">
        <v>2</v>
      </c>
      <c r="AC51" t="s">
        <v>41</v>
      </c>
      <c r="AD51" t="s">
        <v>48</v>
      </c>
      <c r="AE51" t="s">
        <v>49</v>
      </c>
      <c r="AF51" s="3">
        <v>63</v>
      </c>
      <c r="AG51" s="3">
        <v>36</v>
      </c>
      <c r="AH51">
        <v>80</v>
      </c>
      <c r="AI51">
        <v>0</v>
      </c>
      <c r="AJ51">
        <v>0</v>
      </c>
      <c r="AL51">
        <v>0</v>
      </c>
      <c r="AM51">
        <v>1</v>
      </c>
      <c r="AN51" t="s">
        <v>768</v>
      </c>
      <c r="AO51" t="s">
        <v>41</v>
      </c>
    </row>
    <row r="52" spans="1:41" x14ac:dyDescent="0.25">
      <c r="A52">
        <v>35</v>
      </c>
      <c r="B52" t="s">
        <v>32</v>
      </c>
      <c r="C52" t="s">
        <v>33</v>
      </c>
      <c r="D52">
        <v>4</v>
      </c>
      <c r="E52" t="s">
        <v>34</v>
      </c>
      <c r="F52">
        <v>3</v>
      </c>
      <c r="G52">
        <v>1</v>
      </c>
      <c r="H52" t="s">
        <v>35</v>
      </c>
      <c r="I52">
        <v>4</v>
      </c>
      <c r="J52" t="s">
        <v>57</v>
      </c>
      <c r="K52">
        <v>1951</v>
      </c>
      <c r="L52">
        <v>1</v>
      </c>
      <c r="M52" t="s">
        <v>41</v>
      </c>
      <c r="N52">
        <v>12</v>
      </c>
      <c r="O52">
        <v>3</v>
      </c>
      <c r="P52">
        <v>1</v>
      </c>
      <c r="Q52">
        <v>1</v>
      </c>
      <c r="R52">
        <v>3</v>
      </c>
      <c r="S52">
        <v>1</v>
      </c>
      <c r="T52">
        <v>0</v>
      </c>
      <c r="U52">
        <v>0</v>
      </c>
      <c r="V52" t="s">
        <v>37</v>
      </c>
      <c r="W52" s="1" t="s">
        <v>98</v>
      </c>
      <c r="Y52" t="s">
        <v>63</v>
      </c>
      <c r="Z52" t="s">
        <v>47</v>
      </c>
      <c r="AA52">
        <v>0</v>
      </c>
      <c r="AB52">
        <v>3</v>
      </c>
      <c r="AC52" t="s">
        <v>41</v>
      </c>
      <c r="AD52" t="s">
        <v>65</v>
      </c>
      <c r="AE52" t="s">
        <v>60</v>
      </c>
      <c r="AF52" s="3">
        <v>64</v>
      </c>
      <c r="AG52" s="3">
        <v>98</v>
      </c>
      <c r="AH52">
        <v>80</v>
      </c>
      <c r="AI52">
        <v>0</v>
      </c>
      <c r="AJ52">
        <v>1</v>
      </c>
      <c r="AK52">
        <v>1</v>
      </c>
      <c r="AL52">
        <v>1</v>
      </c>
      <c r="AM52">
        <v>0</v>
      </c>
      <c r="AN52" t="s">
        <v>767</v>
      </c>
      <c r="AO52" t="s">
        <v>31</v>
      </c>
    </row>
    <row r="53" spans="1:41" x14ac:dyDescent="0.25">
      <c r="A53">
        <v>27</v>
      </c>
      <c r="B53" t="s">
        <v>32</v>
      </c>
      <c r="C53" t="s">
        <v>33</v>
      </c>
      <c r="D53">
        <v>2</v>
      </c>
      <c r="E53" t="s">
        <v>61</v>
      </c>
      <c r="F53">
        <v>3</v>
      </c>
      <c r="G53">
        <v>1</v>
      </c>
      <c r="H53" t="s">
        <v>35</v>
      </c>
      <c r="I53">
        <v>1</v>
      </c>
      <c r="J53" t="s">
        <v>57</v>
      </c>
      <c r="K53">
        <v>2341</v>
      </c>
      <c r="L53">
        <v>1</v>
      </c>
      <c r="M53" t="s">
        <v>41</v>
      </c>
      <c r="N53">
        <v>13</v>
      </c>
      <c r="O53">
        <v>3</v>
      </c>
      <c r="P53">
        <v>1</v>
      </c>
      <c r="Q53">
        <v>1</v>
      </c>
      <c r="R53">
        <v>6</v>
      </c>
      <c r="S53">
        <v>1</v>
      </c>
      <c r="T53">
        <v>0</v>
      </c>
      <c r="U53">
        <v>0</v>
      </c>
      <c r="V53" t="s">
        <v>72</v>
      </c>
      <c r="W53" s="2">
        <v>43924</v>
      </c>
      <c r="Y53" t="s">
        <v>63</v>
      </c>
      <c r="Z53" t="s">
        <v>40</v>
      </c>
      <c r="AA53">
        <v>5</v>
      </c>
      <c r="AB53">
        <v>0</v>
      </c>
      <c r="AC53" t="s">
        <v>41</v>
      </c>
      <c r="AD53" t="s">
        <v>42</v>
      </c>
      <c r="AE53" t="s">
        <v>49</v>
      </c>
      <c r="AF53" s="3">
        <v>65</v>
      </c>
      <c r="AG53" s="3">
        <v>50</v>
      </c>
      <c r="AH53">
        <v>80</v>
      </c>
      <c r="AI53">
        <v>2</v>
      </c>
      <c r="AJ53">
        <v>1</v>
      </c>
      <c r="AK53">
        <v>1</v>
      </c>
      <c r="AL53">
        <v>1</v>
      </c>
      <c r="AM53">
        <v>0</v>
      </c>
      <c r="AN53" t="s">
        <v>767</v>
      </c>
      <c r="AO53" t="s">
        <v>31</v>
      </c>
    </row>
    <row r="54" spans="1:41" x14ac:dyDescent="0.25">
      <c r="A54">
        <v>26</v>
      </c>
      <c r="B54" t="s">
        <v>32</v>
      </c>
      <c r="C54" t="s">
        <v>33</v>
      </c>
      <c r="D54">
        <v>25</v>
      </c>
      <c r="E54" t="s">
        <v>34</v>
      </c>
      <c r="F54">
        <v>1</v>
      </c>
      <c r="G54">
        <v>1</v>
      </c>
      <c r="H54" t="s">
        <v>35</v>
      </c>
      <c r="I54">
        <v>3</v>
      </c>
      <c r="J54" t="s">
        <v>36</v>
      </c>
      <c r="K54">
        <v>2293</v>
      </c>
      <c r="L54">
        <v>1</v>
      </c>
      <c r="M54" t="s">
        <v>41</v>
      </c>
      <c r="N54">
        <v>12</v>
      </c>
      <c r="O54">
        <v>3</v>
      </c>
      <c r="P54">
        <v>0</v>
      </c>
      <c r="Q54">
        <v>1</v>
      </c>
      <c r="R54">
        <v>2</v>
      </c>
      <c r="S54">
        <v>1</v>
      </c>
      <c r="T54">
        <v>0</v>
      </c>
      <c r="U54">
        <v>1</v>
      </c>
      <c r="V54" t="s">
        <v>52</v>
      </c>
      <c r="W54" s="1" t="s">
        <v>99</v>
      </c>
      <c r="Y54" t="s">
        <v>54</v>
      </c>
      <c r="Z54" t="s">
        <v>47</v>
      </c>
      <c r="AA54">
        <v>4</v>
      </c>
      <c r="AB54">
        <v>3</v>
      </c>
      <c r="AC54" t="s">
        <v>41</v>
      </c>
      <c r="AD54" t="s">
        <v>65</v>
      </c>
      <c r="AE54" t="s">
        <v>49</v>
      </c>
      <c r="AF54" s="3">
        <v>68</v>
      </c>
      <c r="AG54" s="3">
        <v>75</v>
      </c>
      <c r="AH54">
        <v>80</v>
      </c>
      <c r="AI54">
        <v>3</v>
      </c>
      <c r="AJ54">
        <v>0</v>
      </c>
      <c r="AL54">
        <v>0</v>
      </c>
      <c r="AM54">
        <v>1</v>
      </c>
      <c r="AN54" t="s">
        <v>768</v>
      </c>
      <c r="AO54" t="s">
        <v>41</v>
      </c>
    </row>
    <row r="55" spans="1:41" x14ac:dyDescent="0.25">
      <c r="A55">
        <v>37</v>
      </c>
      <c r="B55" t="s">
        <v>32</v>
      </c>
      <c r="C55" t="s">
        <v>33</v>
      </c>
      <c r="D55">
        <v>19</v>
      </c>
      <c r="E55" t="s">
        <v>34</v>
      </c>
      <c r="F55">
        <v>3</v>
      </c>
      <c r="G55">
        <v>1</v>
      </c>
      <c r="H55" t="s">
        <v>44</v>
      </c>
      <c r="I55">
        <v>2</v>
      </c>
      <c r="J55" t="s">
        <v>51</v>
      </c>
      <c r="K55">
        <v>3022</v>
      </c>
      <c r="L55">
        <v>4</v>
      </c>
      <c r="M55" t="s">
        <v>41</v>
      </c>
      <c r="N55">
        <v>21</v>
      </c>
      <c r="O55">
        <v>4</v>
      </c>
      <c r="P55">
        <v>0</v>
      </c>
      <c r="Q55">
        <v>8</v>
      </c>
      <c r="R55">
        <v>1</v>
      </c>
      <c r="S55">
        <v>1</v>
      </c>
      <c r="T55">
        <v>0</v>
      </c>
      <c r="U55">
        <v>0</v>
      </c>
      <c r="V55" t="s">
        <v>58</v>
      </c>
      <c r="W55" s="2">
        <v>43923</v>
      </c>
      <c r="Y55" t="s">
        <v>69</v>
      </c>
      <c r="Z55" t="s">
        <v>47</v>
      </c>
      <c r="AA55">
        <v>5</v>
      </c>
      <c r="AB55">
        <v>1</v>
      </c>
      <c r="AC55" t="s">
        <v>41</v>
      </c>
      <c r="AD55" t="s">
        <v>42</v>
      </c>
      <c r="AE55" t="s">
        <v>49</v>
      </c>
      <c r="AF55" s="3">
        <v>70</v>
      </c>
      <c r="AG55" s="3">
        <v>79</v>
      </c>
      <c r="AH55">
        <v>80</v>
      </c>
      <c r="AI55">
        <v>0</v>
      </c>
      <c r="AJ55">
        <v>0</v>
      </c>
      <c r="AL55">
        <v>0</v>
      </c>
      <c r="AM55">
        <v>1</v>
      </c>
      <c r="AN55" t="s">
        <v>768</v>
      </c>
      <c r="AO55" t="s">
        <v>41</v>
      </c>
    </row>
    <row r="56" spans="1:41" x14ac:dyDescent="0.25">
      <c r="A56">
        <v>35</v>
      </c>
      <c r="B56" t="s">
        <v>32</v>
      </c>
      <c r="C56" t="s">
        <v>33</v>
      </c>
      <c r="D56">
        <v>8</v>
      </c>
      <c r="E56" t="s">
        <v>34</v>
      </c>
      <c r="F56">
        <v>4</v>
      </c>
      <c r="G56">
        <v>1</v>
      </c>
      <c r="H56" t="s">
        <v>35</v>
      </c>
      <c r="I56">
        <v>4</v>
      </c>
      <c r="J56" t="s">
        <v>51</v>
      </c>
      <c r="K56">
        <v>2269</v>
      </c>
      <c r="L56">
        <v>1</v>
      </c>
      <c r="M56" t="s">
        <v>41</v>
      </c>
      <c r="N56">
        <v>19</v>
      </c>
      <c r="O56">
        <v>3</v>
      </c>
      <c r="P56">
        <v>0</v>
      </c>
      <c r="Q56">
        <v>1</v>
      </c>
      <c r="R56">
        <v>2</v>
      </c>
      <c r="S56">
        <v>1</v>
      </c>
      <c r="T56">
        <v>0</v>
      </c>
      <c r="U56">
        <v>1</v>
      </c>
      <c r="V56" t="s">
        <v>58</v>
      </c>
      <c r="W56" s="1" t="s">
        <v>100</v>
      </c>
      <c r="Y56" t="s">
        <v>39</v>
      </c>
      <c r="Z56" t="s">
        <v>40</v>
      </c>
      <c r="AA56">
        <v>2</v>
      </c>
      <c r="AB56">
        <v>2</v>
      </c>
      <c r="AC56" t="s">
        <v>31</v>
      </c>
      <c r="AD56" t="s">
        <v>67</v>
      </c>
      <c r="AE56" t="s">
        <v>60</v>
      </c>
      <c r="AF56" s="3">
        <v>72</v>
      </c>
      <c r="AG56" s="3">
        <v>47</v>
      </c>
      <c r="AH56">
        <v>80</v>
      </c>
      <c r="AI56">
        <v>2</v>
      </c>
      <c r="AJ56">
        <v>0</v>
      </c>
      <c r="AL56">
        <v>0</v>
      </c>
      <c r="AM56">
        <v>1</v>
      </c>
      <c r="AN56" t="s">
        <v>768</v>
      </c>
      <c r="AO56" t="s">
        <v>41</v>
      </c>
    </row>
    <row r="57" spans="1:41" x14ac:dyDescent="0.25">
      <c r="A57">
        <v>48</v>
      </c>
      <c r="B57" t="s">
        <v>32</v>
      </c>
      <c r="C57" t="s">
        <v>33</v>
      </c>
      <c r="D57">
        <v>1</v>
      </c>
      <c r="E57" t="s">
        <v>34</v>
      </c>
      <c r="F57">
        <v>2</v>
      </c>
      <c r="G57">
        <v>3</v>
      </c>
      <c r="H57" t="s">
        <v>35</v>
      </c>
      <c r="I57">
        <v>3</v>
      </c>
      <c r="J57" t="s">
        <v>36</v>
      </c>
      <c r="K57">
        <v>5381</v>
      </c>
      <c r="L57">
        <v>9</v>
      </c>
      <c r="M57" t="s">
        <v>31</v>
      </c>
      <c r="N57">
        <v>13</v>
      </c>
      <c r="O57">
        <v>3</v>
      </c>
      <c r="P57">
        <v>0</v>
      </c>
      <c r="Q57">
        <v>23</v>
      </c>
      <c r="R57">
        <v>2</v>
      </c>
      <c r="S57">
        <v>1</v>
      </c>
      <c r="T57">
        <v>0</v>
      </c>
      <c r="U57">
        <v>0</v>
      </c>
      <c r="V57" t="s">
        <v>37</v>
      </c>
      <c r="W57" s="2">
        <v>44044</v>
      </c>
      <c r="Y57" t="s">
        <v>46</v>
      </c>
      <c r="Z57" t="s">
        <v>40</v>
      </c>
      <c r="AA57">
        <v>4</v>
      </c>
      <c r="AB57">
        <v>2</v>
      </c>
      <c r="AC57" t="s">
        <v>41</v>
      </c>
      <c r="AD57" t="s">
        <v>48</v>
      </c>
      <c r="AE57" t="s">
        <v>43</v>
      </c>
      <c r="AF57" s="3">
        <v>73</v>
      </c>
      <c r="AG57" s="3">
        <v>98</v>
      </c>
      <c r="AH57">
        <v>80</v>
      </c>
      <c r="AI57">
        <v>14</v>
      </c>
      <c r="AJ57">
        <v>0</v>
      </c>
      <c r="AL57">
        <v>0</v>
      </c>
      <c r="AM57">
        <v>1</v>
      </c>
      <c r="AN57" t="s">
        <v>768</v>
      </c>
      <c r="AO57" t="s">
        <v>41</v>
      </c>
    </row>
    <row r="58" spans="1:41" x14ac:dyDescent="0.25">
      <c r="A58">
        <v>45</v>
      </c>
      <c r="B58" t="s">
        <v>32</v>
      </c>
      <c r="C58" t="s">
        <v>33</v>
      </c>
      <c r="D58">
        <v>7</v>
      </c>
      <c r="E58" t="s">
        <v>34</v>
      </c>
      <c r="F58">
        <v>3</v>
      </c>
      <c r="G58">
        <v>3</v>
      </c>
      <c r="H58" t="s">
        <v>44</v>
      </c>
      <c r="I58">
        <v>1</v>
      </c>
      <c r="J58" t="s">
        <v>57</v>
      </c>
      <c r="K58">
        <v>9724</v>
      </c>
      <c r="L58">
        <v>2</v>
      </c>
      <c r="M58" t="s">
        <v>41</v>
      </c>
      <c r="N58">
        <v>17</v>
      </c>
      <c r="O58">
        <v>3</v>
      </c>
      <c r="P58">
        <v>1</v>
      </c>
      <c r="Q58">
        <v>25</v>
      </c>
      <c r="R58">
        <v>2</v>
      </c>
      <c r="S58">
        <v>1</v>
      </c>
      <c r="T58">
        <v>0</v>
      </c>
      <c r="U58">
        <v>0</v>
      </c>
      <c r="V58" t="s">
        <v>37</v>
      </c>
      <c r="W58" s="2">
        <v>44075</v>
      </c>
      <c r="Y58" t="s">
        <v>69</v>
      </c>
      <c r="Z58" t="s">
        <v>40</v>
      </c>
      <c r="AA58">
        <v>5</v>
      </c>
      <c r="AB58">
        <v>0</v>
      </c>
      <c r="AC58" t="s">
        <v>41</v>
      </c>
      <c r="AD58" t="s">
        <v>65</v>
      </c>
      <c r="AE58" t="s">
        <v>49</v>
      </c>
      <c r="AF58" s="3">
        <v>74</v>
      </c>
      <c r="AG58" s="3">
        <v>71</v>
      </c>
      <c r="AH58">
        <v>80</v>
      </c>
      <c r="AI58">
        <v>8</v>
      </c>
      <c r="AJ58">
        <v>0</v>
      </c>
      <c r="AL58">
        <v>0</v>
      </c>
      <c r="AM58">
        <v>1</v>
      </c>
      <c r="AN58" t="s">
        <v>768</v>
      </c>
      <c r="AO58" t="s">
        <v>41</v>
      </c>
    </row>
    <row r="59" spans="1:41" x14ac:dyDescent="0.25">
      <c r="A59">
        <v>36</v>
      </c>
      <c r="B59" t="s">
        <v>32</v>
      </c>
      <c r="C59" t="s">
        <v>33</v>
      </c>
      <c r="D59">
        <v>9</v>
      </c>
      <c r="E59" t="s">
        <v>34</v>
      </c>
      <c r="F59">
        <v>2</v>
      </c>
      <c r="G59">
        <v>1</v>
      </c>
      <c r="H59" t="s">
        <v>44</v>
      </c>
      <c r="I59">
        <v>3</v>
      </c>
      <c r="J59" t="s">
        <v>51</v>
      </c>
      <c r="K59">
        <v>3388</v>
      </c>
      <c r="L59">
        <v>0</v>
      </c>
      <c r="M59" t="s">
        <v>31</v>
      </c>
      <c r="N59">
        <v>17</v>
      </c>
      <c r="O59">
        <v>3</v>
      </c>
      <c r="P59">
        <v>1</v>
      </c>
      <c r="Q59">
        <v>2</v>
      </c>
      <c r="R59">
        <v>0</v>
      </c>
      <c r="S59">
        <v>1</v>
      </c>
      <c r="T59">
        <v>0</v>
      </c>
      <c r="U59">
        <v>0</v>
      </c>
      <c r="V59" t="s">
        <v>52</v>
      </c>
      <c r="W59" s="2">
        <v>44075</v>
      </c>
      <c r="Y59" t="s">
        <v>46</v>
      </c>
      <c r="Z59" t="s">
        <v>47</v>
      </c>
      <c r="AA59">
        <v>4</v>
      </c>
      <c r="AB59">
        <v>3</v>
      </c>
      <c r="AC59" t="s">
        <v>31</v>
      </c>
      <c r="AD59" t="s">
        <v>42</v>
      </c>
      <c r="AE59" t="s">
        <v>60</v>
      </c>
      <c r="AF59" s="3">
        <v>75</v>
      </c>
      <c r="AG59" s="3">
        <v>30</v>
      </c>
      <c r="AH59">
        <v>80</v>
      </c>
      <c r="AI59">
        <v>2</v>
      </c>
      <c r="AJ59">
        <v>0</v>
      </c>
      <c r="AL59">
        <v>0</v>
      </c>
      <c r="AM59">
        <v>1</v>
      </c>
      <c r="AN59" t="s">
        <v>768</v>
      </c>
      <c r="AO59" t="s">
        <v>41</v>
      </c>
    </row>
    <row r="60" spans="1:41" x14ac:dyDescent="0.25">
      <c r="A60">
        <v>31</v>
      </c>
      <c r="B60" t="s">
        <v>32</v>
      </c>
      <c r="C60" t="s">
        <v>33</v>
      </c>
      <c r="D60">
        <v>1</v>
      </c>
      <c r="E60" t="s">
        <v>34</v>
      </c>
      <c r="F60">
        <v>3</v>
      </c>
      <c r="G60">
        <v>1</v>
      </c>
      <c r="H60" t="s">
        <v>44</v>
      </c>
      <c r="I60">
        <v>2</v>
      </c>
      <c r="J60" t="s">
        <v>36</v>
      </c>
      <c r="K60">
        <v>2501</v>
      </c>
      <c r="L60">
        <v>1</v>
      </c>
      <c r="M60" t="s">
        <v>41</v>
      </c>
      <c r="N60">
        <v>17</v>
      </c>
      <c r="O60">
        <v>3</v>
      </c>
      <c r="P60">
        <v>0</v>
      </c>
      <c r="Q60">
        <v>1</v>
      </c>
      <c r="R60">
        <v>4</v>
      </c>
      <c r="S60">
        <v>1</v>
      </c>
      <c r="T60">
        <v>1</v>
      </c>
      <c r="U60">
        <v>0</v>
      </c>
      <c r="V60" t="s">
        <v>37</v>
      </c>
      <c r="W60" s="1" t="s">
        <v>101</v>
      </c>
      <c r="Y60" t="s">
        <v>39</v>
      </c>
      <c r="Z60" t="s">
        <v>47</v>
      </c>
      <c r="AA60">
        <v>0</v>
      </c>
      <c r="AB60">
        <v>3</v>
      </c>
      <c r="AC60" t="s">
        <v>41</v>
      </c>
      <c r="AD60" t="s">
        <v>48</v>
      </c>
      <c r="AE60" t="s">
        <v>43</v>
      </c>
      <c r="AF60" s="3">
        <v>76</v>
      </c>
      <c r="AG60" s="3">
        <v>48</v>
      </c>
      <c r="AH60">
        <v>80</v>
      </c>
      <c r="AI60">
        <v>7</v>
      </c>
      <c r="AJ60">
        <v>0</v>
      </c>
      <c r="AL60">
        <v>0</v>
      </c>
      <c r="AM60">
        <v>1</v>
      </c>
      <c r="AN60" t="s">
        <v>768</v>
      </c>
      <c r="AO60" t="s">
        <v>41</v>
      </c>
    </row>
    <row r="61" spans="1:41" x14ac:dyDescent="0.25">
      <c r="A61">
        <v>36</v>
      </c>
      <c r="B61" t="s">
        <v>32</v>
      </c>
      <c r="C61" t="s">
        <v>33</v>
      </c>
      <c r="D61">
        <v>6</v>
      </c>
      <c r="E61" t="s">
        <v>61</v>
      </c>
      <c r="F61">
        <v>4</v>
      </c>
      <c r="G61">
        <v>1</v>
      </c>
      <c r="H61" t="s">
        <v>35</v>
      </c>
      <c r="I61">
        <v>4</v>
      </c>
      <c r="J61" t="s">
        <v>51</v>
      </c>
      <c r="K61">
        <v>3038</v>
      </c>
      <c r="L61">
        <v>3</v>
      </c>
      <c r="M61" t="s">
        <v>41</v>
      </c>
      <c r="N61">
        <v>12</v>
      </c>
      <c r="O61">
        <v>3</v>
      </c>
      <c r="P61">
        <v>0</v>
      </c>
      <c r="Q61">
        <v>5</v>
      </c>
      <c r="R61">
        <v>3</v>
      </c>
      <c r="S61">
        <v>1</v>
      </c>
      <c r="T61">
        <v>0</v>
      </c>
      <c r="U61">
        <v>0</v>
      </c>
      <c r="V61" t="s">
        <v>72</v>
      </c>
      <c r="W61" s="1" t="s">
        <v>99</v>
      </c>
      <c r="Y61" t="s">
        <v>54</v>
      </c>
      <c r="Z61" t="s">
        <v>40</v>
      </c>
      <c r="AA61">
        <v>3</v>
      </c>
      <c r="AB61">
        <v>1</v>
      </c>
      <c r="AC61" t="s">
        <v>31</v>
      </c>
      <c r="AD61" t="s">
        <v>67</v>
      </c>
      <c r="AE61" t="s">
        <v>43</v>
      </c>
      <c r="AF61" s="3">
        <v>77</v>
      </c>
      <c r="AG61" s="3">
        <v>51</v>
      </c>
      <c r="AH61">
        <v>80</v>
      </c>
      <c r="AI61">
        <v>5</v>
      </c>
      <c r="AJ61">
        <v>0</v>
      </c>
      <c r="AL61">
        <v>0</v>
      </c>
      <c r="AM61">
        <v>1</v>
      </c>
      <c r="AN61" t="s">
        <v>768</v>
      </c>
      <c r="AO61" t="s">
        <v>41</v>
      </c>
    </row>
    <row r="62" spans="1:41" x14ac:dyDescent="0.25">
      <c r="A62">
        <v>55</v>
      </c>
      <c r="B62" t="s">
        <v>32</v>
      </c>
      <c r="C62" t="s">
        <v>55</v>
      </c>
      <c r="D62">
        <v>1</v>
      </c>
      <c r="E62" t="s">
        <v>34</v>
      </c>
      <c r="F62">
        <v>3</v>
      </c>
      <c r="G62">
        <v>3</v>
      </c>
      <c r="H62" t="s">
        <v>70</v>
      </c>
      <c r="I62">
        <v>4</v>
      </c>
      <c r="J62" t="s">
        <v>51</v>
      </c>
      <c r="K62">
        <v>10239</v>
      </c>
      <c r="L62">
        <v>3</v>
      </c>
      <c r="M62" t="s">
        <v>41</v>
      </c>
      <c r="N62">
        <v>14</v>
      </c>
      <c r="O62">
        <v>3</v>
      </c>
      <c r="P62">
        <v>1</v>
      </c>
      <c r="Q62">
        <v>24</v>
      </c>
      <c r="R62">
        <v>4</v>
      </c>
      <c r="S62">
        <v>1</v>
      </c>
      <c r="T62">
        <v>1</v>
      </c>
      <c r="U62">
        <v>0</v>
      </c>
      <c r="V62" t="s">
        <v>58</v>
      </c>
      <c r="W62" s="2">
        <v>44076</v>
      </c>
      <c r="Y62" t="s">
        <v>69</v>
      </c>
      <c r="Z62" t="s">
        <v>47</v>
      </c>
      <c r="AA62">
        <v>0</v>
      </c>
      <c r="AB62">
        <v>2</v>
      </c>
      <c r="AC62" t="s">
        <v>41</v>
      </c>
      <c r="AD62" t="s">
        <v>65</v>
      </c>
      <c r="AE62" t="s">
        <v>60</v>
      </c>
      <c r="AF62" s="3">
        <v>78</v>
      </c>
      <c r="AG62" s="3">
        <v>33</v>
      </c>
      <c r="AH62">
        <v>80</v>
      </c>
      <c r="AI62">
        <v>8</v>
      </c>
      <c r="AJ62">
        <v>0</v>
      </c>
      <c r="AL62">
        <v>0</v>
      </c>
      <c r="AM62">
        <v>1</v>
      </c>
      <c r="AN62" t="s">
        <v>768</v>
      </c>
      <c r="AO62" t="s">
        <v>41</v>
      </c>
    </row>
    <row r="63" spans="1:41" x14ac:dyDescent="0.25">
      <c r="A63">
        <v>32</v>
      </c>
      <c r="B63" t="s">
        <v>32</v>
      </c>
      <c r="C63" t="s">
        <v>33</v>
      </c>
      <c r="D63">
        <v>1</v>
      </c>
      <c r="E63" t="s">
        <v>34</v>
      </c>
      <c r="F63">
        <v>3</v>
      </c>
      <c r="G63">
        <v>1</v>
      </c>
      <c r="H63" t="s">
        <v>44</v>
      </c>
      <c r="I63">
        <v>1</v>
      </c>
      <c r="J63" t="s">
        <v>36</v>
      </c>
      <c r="K63">
        <v>2956</v>
      </c>
      <c r="L63">
        <v>1</v>
      </c>
      <c r="M63" t="s">
        <v>41</v>
      </c>
      <c r="N63">
        <v>13</v>
      </c>
      <c r="O63">
        <v>3</v>
      </c>
      <c r="P63">
        <v>0</v>
      </c>
      <c r="Q63">
        <v>1</v>
      </c>
      <c r="R63">
        <v>2</v>
      </c>
      <c r="S63">
        <v>1</v>
      </c>
      <c r="T63">
        <v>0</v>
      </c>
      <c r="U63">
        <v>0</v>
      </c>
      <c r="V63" t="s">
        <v>72</v>
      </c>
      <c r="W63" s="1" t="s">
        <v>102</v>
      </c>
      <c r="Y63" t="s">
        <v>39</v>
      </c>
      <c r="Z63" t="s">
        <v>47</v>
      </c>
      <c r="AA63">
        <v>4</v>
      </c>
      <c r="AB63">
        <v>1</v>
      </c>
      <c r="AC63" t="s">
        <v>31</v>
      </c>
      <c r="AD63" t="s">
        <v>65</v>
      </c>
      <c r="AE63" t="s">
        <v>60</v>
      </c>
      <c r="AF63" s="3">
        <v>79</v>
      </c>
      <c r="AG63" s="3">
        <v>50</v>
      </c>
      <c r="AH63">
        <v>80</v>
      </c>
      <c r="AI63">
        <v>3</v>
      </c>
      <c r="AJ63">
        <v>0</v>
      </c>
      <c r="AL63">
        <v>0</v>
      </c>
      <c r="AM63">
        <v>1</v>
      </c>
      <c r="AN63" t="s">
        <v>768</v>
      </c>
      <c r="AO63" t="s">
        <v>41</v>
      </c>
    </row>
    <row r="64" spans="1:41" x14ac:dyDescent="0.25">
      <c r="A64">
        <v>20</v>
      </c>
      <c r="B64" t="s">
        <v>66</v>
      </c>
      <c r="C64" t="s">
        <v>33</v>
      </c>
      <c r="D64">
        <v>6</v>
      </c>
      <c r="E64" t="s">
        <v>61</v>
      </c>
      <c r="F64">
        <v>2</v>
      </c>
      <c r="G64">
        <v>1</v>
      </c>
      <c r="H64" t="s">
        <v>35</v>
      </c>
      <c r="I64">
        <v>4</v>
      </c>
      <c r="J64" t="s">
        <v>36</v>
      </c>
      <c r="K64">
        <v>2926</v>
      </c>
      <c r="L64">
        <v>1</v>
      </c>
      <c r="M64" t="s">
        <v>31</v>
      </c>
      <c r="N64">
        <v>18</v>
      </c>
      <c r="O64">
        <v>3</v>
      </c>
      <c r="P64">
        <v>0</v>
      </c>
      <c r="Q64">
        <v>1</v>
      </c>
      <c r="R64">
        <v>5</v>
      </c>
      <c r="S64">
        <v>1</v>
      </c>
      <c r="T64">
        <v>1</v>
      </c>
      <c r="U64">
        <v>0</v>
      </c>
      <c r="V64" t="s">
        <v>37</v>
      </c>
      <c r="W64" s="1" t="s">
        <v>103</v>
      </c>
      <c r="Y64" t="s">
        <v>54</v>
      </c>
      <c r="Z64" t="s">
        <v>47</v>
      </c>
      <c r="AA64">
        <v>3</v>
      </c>
      <c r="AB64">
        <v>3</v>
      </c>
      <c r="AC64" t="s">
        <v>41</v>
      </c>
      <c r="AD64" t="s">
        <v>48</v>
      </c>
      <c r="AE64" t="s">
        <v>43</v>
      </c>
      <c r="AF64" s="3">
        <v>80</v>
      </c>
      <c r="AG64" s="3">
        <v>43</v>
      </c>
      <c r="AH64">
        <v>80</v>
      </c>
      <c r="AI64">
        <v>3</v>
      </c>
      <c r="AJ64">
        <v>0</v>
      </c>
      <c r="AL64">
        <v>0</v>
      </c>
      <c r="AM64">
        <v>1</v>
      </c>
      <c r="AN64" t="s">
        <v>768</v>
      </c>
      <c r="AO64" t="s">
        <v>41</v>
      </c>
    </row>
    <row r="65" spans="1:41" x14ac:dyDescent="0.25">
      <c r="A65">
        <v>37</v>
      </c>
      <c r="B65" t="s">
        <v>81</v>
      </c>
      <c r="C65" t="s">
        <v>33</v>
      </c>
      <c r="D65">
        <v>2</v>
      </c>
      <c r="E65" t="s">
        <v>34</v>
      </c>
      <c r="F65">
        <v>2</v>
      </c>
      <c r="G65">
        <v>2</v>
      </c>
      <c r="H65" t="s">
        <v>89</v>
      </c>
      <c r="I65">
        <v>4</v>
      </c>
      <c r="J65" t="s">
        <v>57</v>
      </c>
      <c r="K65">
        <v>5163</v>
      </c>
      <c r="L65">
        <v>5</v>
      </c>
      <c r="M65" t="s">
        <v>41</v>
      </c>
      <c r="N65">
        <v>14</v>
      </c>
      <c r="O65">
        <v>3</v>
      </c>
      <c r="P65">
        <v>1</v>
      </c>
      <c r="Q65">
        <v>17</v>
      </c>
      <c r="R65">
        <v>2</v>
      </c>
      <c r="S65">
        <v>1</v>
      </c>
      <c r="T65">
        <v>0</v>
      </c>
      <c r="U65">
        <v>0</v>
      </c>
      <c r="V65" t="s">
        <v>72</v>
      </c>
      <c r="W65" s="1" t="s">
        <v>104</v>
      </c>
      <c r="Y65" t="s">
        <v>69</v>
      </c>
      <c r="Z65" t="s">
        <v>47</v>
      </c>
      <c r="AA65">
        <v>3</v>
      </c>
      <c r="AB65">
        <v>0</v>
      </c>
      <c r="AC65" t="s">
        <v>41</v>
      </c>
      <c r="AD65" t="s">
        <v>48</v>
      </c>
      <c r="AE65" t="s">
        <v>43</v>
      </c>
      <c r="AF65" s="3">
        <v>81</v>
      </c>
      <c r="AG65" s="3">
        <v>99</v>
      </c>
      <c r="AH65">
        <v>80</v>
      </c>
      <c r="AI65">
        <v>16</v>
      </c>
      <c r="AJ65">
        <v>0</v>
      </c>
      <c r="AL65">
        <v>0</v>
      </c>
      <c r="AM65">
        <v>1</v>
      </c>
      <c r="AN65" t="s">
        <v>768</v>
      </c>
      <c r="AO65" t="s">
        <v>41</v>
      </c>
    </row>
    <row r="66" spans="1:41" x14ac:dyDescent="0.25">
      <c r="A66">
        <v>34</v>
      </c>
      <c r="B66" t="s">
        <v>32</v>
      </c>
      <c r="C66" t="s">
        <v>33</v>
      </c>
      <c r="D66">
        <v>6</v>
      </c>
      <c r="E66" t="s">
        <v>61</v>
      </c>
      <c r="F66">
        <v>2</v>
      </c>
      <c r="G66">
        <v>2</v>
      </c>
      <c r="H66" t="s">
        <v>44</v>
      </c>
      <c r="I66">
        <v>2</v>
      </c>
      <c r="J66" t="s">
        <v>57</v>
      </c>
      <c r="K66">
        <v>4505</v>
      </c>
      <c r="L66">
        <v>6</v>
      </c>
      <c r="M66" t="s">
        <v>41</v>
      </c>
      <c r="N66">
        <v>15</v>
      </c>
      <c r="O66">
        <v>3</v>
      </c>
      <c r="P66">
        <v>1</v>
      </c>
      <c r="Q66">
        <v>12</v>
      </c>
      <c r="R66">
        <v>3</v>
      </c>
      <c r="S66">
        <v>1</v>
      </c>
      <c r="T66">
        <v>0</v>
      </c>
      <c r="U66">
        <v>0</v>
      </c>
      <c r="V66" t="s">
        <v>72</v>
      </c>
      <c r="W66" s="1" t="s">
        <v>105</v>
      </c>
      <c r="Y66" t="s">
        <v>39</v>
      </c>
      <c r="Z66" t="s">
        <v>47</v>
      </c>
      <c r="AA66">
        <v>5</v>
      </c>
      <c r="AB66">
        <v>2</v>
      </c>
      <c r="AC66" t="s">
        <v>31</v>
      </c>
      <c r="AD66" t="s">
        <v>65</v>
      </c>
      <c r="AE66" t="s">
        <v>43</v>
      </c>
      <c r="AF66" s="3">
        <v>83</v>
      </c>
      <c r="AG66" s="3">
        <v>59</v>
      </c>
      <c r="AH66">
        <v>80</v>
      </c>
      <c r="AI66">
        <v>14</v>
      </c>
      <c r="AJ66">
        <v>0</v>
      </c>
      <c r="AL66">
        <v>0</v>
      </c>
      <c r="AM66">
        <v>1</v>
      </c>
      <c r="AN66" t="s">
        <v>768</v>
      </c>
      <c r="AO66" t="s">
        <v>41</v>
      </c>
    </row>
    <row r="67" spans="1:41" x14ac:dyDescent="0.25">
      <c r="A67">
        <v>36</v>
      </c>
      <c r="B67" t="s">
        <v>32</v>
      </c>
      <c r="C67" t="s">
        <v>33</v>
      </c>
      <c r="D67">
        <v>3</v>
      </c>
      <c r="E67" t="s">
        <v>61</v>
      </c>
      <c r="F67">
        <v>3</v>
      </c>
      <c r="G67">
        <v>1</v>
      </c>
      <c r="H67" t="s">
        <v>35</v>
      </c>
      <c r="I67">
        <v>4</v>
      </c>
      <c r="J67" t="s">
        <v>57</v>
      </c>
      <c r="K67">
        <v>2835</v>
      </c>
      <c r="L67">
        <v>5</v>
      </c>
      <c r="M67" t="s">
        <v>41</v>
      </c>
      <c r="N67">
        <v>22</v>
      </c>
      <c r="O67">
        <v>4</v>
      </c>
      <c r="P67">
        <v>1</v>
      </c>
      <c r="Q67">
        <v>7</v>
      </c>
      <c r="R67">
        <v>2</v>
      </c>
      <c r="S67">
        <v>1</v>
      </c>
      <c r="T67">
        <v>0</v>
      </c>
      <c r="U67">
        <v>0</v>
      </c>
      <c r="V67" t="s">
        <v>37</v>
      </c>
      <c r="W67" s="1" t="s">
        <v>106</v>
      </c>
      <c r="Y67" t="s">
        <v>39</v>
      </c>
      <c r="Z67" t="s">
        <v>40</v>
      </c>
      <c r="AA67">
        <v>5</v>
      </c>
      <c r="AB67">
        <v>2</v>
      </c>
      <c r="AC67" t="s">
        <v>41</v>
      </c>
      <c r="AD67" t="s">
        <v>42</v>
      </c>
      <c r="AE67" t="s">
        <v>60</v>
      </c>
      <c r="AF67" s="3">
        <v>84</v>
      </c>
      <c r="AG67" s="3">
        <v>33</v>
      </c>
      <c r="AH67">
        <v>80</v>
      </c>
      <c r="AI67">
        <v>0</v>
      </c>
      <c r="AJ67">
        <v>0</v>
      </c>
      <c r="AL67">
        <v>0</v>
      </c>
      <c r="AM67">
        <v>1</v>
      </c>
      <c r="AN67" t="s">
        <v>768</v>
      </c>
      <c r="AO67" t="s">
        <v>41</v>
      </c>
    </row>
    <row r="68" spans="1:41" x14ac:dyDescent="0.25">
      <c r="A68">
        <v>19</v>
      </c>
      <c r="B68" t="s">
        <v>32</v>
      </c>
      <c r="C68" t="s">
        <v>33</v>
      </c>
      <c r="D68">
        <v>3</v>
      </c>
      <c r="E68" t="s">
        <v>61</v>
      </c>
      <c r="F68">
        <v>3</v>
      </c>
      <c r="G68">
        <v>1</v>
      </c>
      <c r="H68" t="s">
        <v>35</v>
      </c>
      <c r="I68">
        <v>2</v>
      </c>
      <c r="J68" t="s">
        <v>36</v>
      </c>
      <c r="K68">
        <v>1483</v>
      </c>
      <c r="L68">
        <v>1</v>
      </c>
      <c r="M68" t="s">
        <v>41</v>
      </c>
      <c r="N68">
        <v>14</v>
      </c>
      <c r="O68">
        <v>3</v>
      </c>
      <c r="P68">
        <v>0</v>
      </c>
      <c r="Q68">
        <v>1</v>
      </c>
      <c r="R68">
        <v>3</v>
      </c>
      <c r="S68">
        <v>1</v>
      </c>
      <c r="T68">
        <v>0</v>
      </c>
      <c r="U68">
        <v>0</v>
      </c>
      <c r="V68" t="s">
        <v>72</v>
      </c>
      <c r="W68" s="1" t="s">
        <v>107</v>
      </c>
      <c r="Y68" t="s">
        <v>46</v>
      </c>
      <c r="Z68" t="s">
        <v>40</v>
      </c>
      <c r="AA68">
        <v>0</v>
      </c>
      <c r="AB68">
        <v>0</v>
      </c>
      <c r="AC68" t="s">
        <v>41</v>
      </c>
      <c r="AD68" t="s">
        <v>42</v>
      </c>
      <c r="AE68" t="s">
        <v>60</v>
      </c>
      <c r="AF68" s="3">
        <v>85</v>
      </c>
      <c r="AG68" s="3">
        <v>95</v>
      </c>
      <c r="AH68">
        <v>80</v>
      </c>
      <c r="AI68">
        <v>5</v>
      </c>
      <c r="AJ68">
        <v>0</v>
      </c>
      <c r="AL68">
        <v>0</v>
      </c>
      <c r="AM68">
        <v>1</v>
      </c>
      <c r="AN68" t="s">
        <v>768</v>
      </c>
      <c r="AO68" t="s">
        <v>41</v>
      </c>
    </row>
    <row r="69" spans="1:41" x14ac:dyDescent="0.25">
      <c r="A69">
        <v>51</v>
      </c>
      <c r="B69" t="s">
        <v>32</v>
      </c>
      <c r="C69" t="s">
        <v>33</v>
      </c>
      <c r="D69">
        <v>7</v>
      </c>
      <c r="E69" t="s">
        <v>34</v>
      </c>
      <c r="F69">
        <v>2</v>
      </c>
      <c r="G69">
        <v>2</v>
      </c>
      <c r="H69" t="s">
        <v>78</v>
      </c>
      <c r="I69">
        <v>3</v>
      </c>
      <c r="J69" t="s">
        <v>51</v>
      </c>
      <c r="K69">
        <v>6132</v>
      </c>
      <c r="L69">
        <v>2</v>
      </c>
      <c r="M69" t="s">
        <v>41</v>
      </c>
      <c r="N69">
        <v>17</v>
      </c>
      <c r="O69">
        <v>3</v>
      </c>
      <c r="P69">
        <v>0</v>
      </c>
      <c r="Q69">
        <v>10</v>
      </c>
      <c r="R69">
        <v>2</v>
      </c>
      <c r="S69">
        <v>1</v>
      </c>
      <c r="T69">
        <v>0</v>
      </c>
      <c r="U69">
        <v>0</v>
      </c>
      <c r="V69" t="s">
        <v>52</v>
      </c>
      <c r="W69" s="1" t="s">
        <v>95</v>
      </c>
      <c r="Y69" t="s">
        <v>69</v>
      </c>
      <c r="Z69" t="s">
        <v>47</v>
      </c>
      <c r="AA69">
        <v>1</v>
      </c>
      <c r="AB69">
        <v>1</v>
      </c>
      <c r="AC69" t="s">
        <v>31</v>
      </c>
      <c r="AD69" t="s">
        <v>42</v>
      </c>
      <c r="AE69" t="s">
        <v>43</v>
      </c>
      <c r="AF69" s="3">
        <v>86</v>
      </c>
      <c r="AG69" s="3">
        <v>59</v>
      </c>
      <c r="AH69">
        <v>80</v>
      </c>
      <c r="AI69">
        <v>0</v>
      </c>
      <c r="AJ69">
        <v>0</v>
      </c>
      <c r="AL69">
        <v>0</v>
      </c>
      <c r="AM69">
        <v>1</v>
      </c>
      <c r="AN69" t="s">
        <v>768</v>
      </c>
      <c r="AO69" t="s">
        <v>41</v>
      </c>
    </row>
    <row r="70" spans="1:41" x14ac:dyDescent="0.25">
      <c r="A70">
        <v>58</v>
      </c>
      <c r="B70" t="s">
        <v>32</v>
      </c>
      <c r="C70" t="s">
        <v>33</v>
      </c>
      <c r="D70">
        <v>9</v>
      </c>
      <c r="E70" t="s">
        <v>61</v>
      </c>
      <c r="F70">
        <v>2</v>
      </c>
      <c r="G70">
        <v>1</v>
      </c>
      <c r="H70" t="s">
        <v>44</v>
      </c>
      <c r="I70">
        <v>2</v>
      </c>
      <c r="J70" t="s">
        <v>51</v>
      </c>
      <c r="K70">
        <v>3346</v>
      </c>
      <c r="L70">
        <v>4</v>
      </c>
      <c r="M70" t="s">
        <v>31</v>
      </c>
      <c r="N70">
        <v>20</v>
      </c>
      <c r="O70">
        <v>4</v>
      </c>
      <c r="P70">
        <v>1</v>
      </c>
      <c r="Q70">
        <v>9</v>
      </c>
      <c r="R70">
        <v>3</v>
      </c>
      <c r="S70">
        <v>1</v>
      </c>
      <c r="T70">
        <v>0</v>
      </c>
      <c r="U70">
        <v>0</v>
      </c>
      <c r="V70" t="s">
        <v>37</v>
      </c>
      <c r="W70" s="2">
        <v>44109</v>
      </c>
      <c r="Y70" t="s">
        <v>46</v>
      </c>
      <c r="Z70" t="s">
        <v>47</v>
      </c>
      <c r="AA70">
        <v>3</v>
      </c>
      <c r="AB70">
        <v>0</v>
      </c>
      <c r="AC70" t="s">
        <v>41</v>
      </c>
      <c r="AD70" t="s">
        <v>42</v>
      </c>
      <c r="AE70" t="s">
        <v>43</v>
      </c>
      <c r="AF70" s="3">
        <v>88</v>
      </c>
      <c r="AG70" s="3">
        <v>79</v>
      </c>
      <c r="AH70">
        <v>80</v>
      </c>
      <c r="AI70">
        <v>2</v>
      </c>
      <c r="AJ70">
        <v>0</v>
      </c>
      <c r="AL70">
        <v>0</v>
      </c>
      <c r="AM70">
        <v>1</v>
      </c>
      <c r="AN70" t="s">
        <v>768</v>
      </c>
      <c r="AO70" t="s">
        <v>41</v>
      </c>
    </row>
    <row r="71" spans="1:41" x14ac:dyDescent="0.25">
      <c r="A71">
        <v>27</v>
      </c>
      <c r="B71" t="s">
        <v>81</v>
      </c>
      <c r="C71" t="s">
        <v>33</v>
      </c>
      <c r="D71">
        <v>3</v>
      </c>
      <c r="E71" t="s">
        <v>34</v>
      </c>
      <c r="F71">
        <v>2</v>
      </c>
      <c r="G71">
        <v>1</v>
      </c>
      <c r="H71" t="s">
        <v>44</v>
      </c>
      <c r="I71">
        <v>3</v>
      </c>
      <c r="J71" t="s">
        <v>57</v>
      </c>
      <c r="K71">
        <v>2566</v>
      </c>
      <c r="L71">
        <v>1</v>
      </c>
      <c r="M71" t="s">
        <v>31</v>
      </c>
      <c r="N71">
        <v>15</v>
      </c>
      <c r="O71">
        <v>3</v>
      </c>
      <c r="P71">
        <v>1</v>
      </c>
      <c r="Q71">
        <v>1</v>
      </c>
      <c r="R71">
        <v>2</v>
      </c>
      <c r="S71">
        <v>1</v>
      </c>
      <c r="T71">
        <v>0</v>
      </c>
      <c r="U71">
        <v>1</v>
      </c>
      <c r="V71" t="s">
        <v>52</v>
      </c>
      <c r="W71" s="2">
        <v>44107</v>
      </c>
      <c r="Y71" t="s">
        <v>69</v>
      </c>
      <c r="Z71" t="s">
        <v>47</v>
      </c>
      <c r="AA71">
        <v>5</v>
      </c>
      <c r="AB71">
        <v>1</v>
      </c>
      <c r="AC71" t="s">
        <v>31</v>
      </c>
      <c r="AD71" t="s">
        <v>42</v>
      </c>
      <c r="AE71" t="s">
        <v>43</v>
      </c>
      <c r="AF71" s="3">
        <v>90</v>
      </c>
      <c r="AG71" s="3">
        <v>79</v>
      </c>
      <c r="AH71">
        <v>80</v>
      </c>
      <c r="AI71">
        <v>0</v>
      </c>
      <c r="AJ71">
        <v>1</v>
      </c>
      <c r="AK71">
        <v>1</v>
      </c>
      <c r="AL71">
        <v>1</v>
      </c>
      <c r="AM71">
        <v>0</v>
      </c>
      <c r="AN71" t="s">
        <v>767</v>
      </c>
      <c r="AO71" t="s">
        <v>31</v>
      </c>
    </row>
    <row r="72" spans="1:41" x14ac:dyDescent="0.25">
      <c r="A72">
        <v>19</v>
      </c>
      <c r="B72" t="s">
        <v>32</v>
      </c>
      <c r="C72" t="s">
        <v>33</v>
      </c>
      <c r="D72">
        <v>2</v>
      </c>
      <c r="E72" t="s">
        <v>34</v>
      </c>
      <c r="F72">
        <v>2</v>
      </c>
      <c r="G72">
        <v>1</v>
      </c>
      <c r="H72" t="s">
        <v>35</v>
      </c>
      <c r="I72">
        <v>4</v>
      </c>
      <c r="J72" t="s">
        <v>36</v>
      </c>
      <c r="K72">
        <v>1102</v>
      </c>
      <c r="L72">
        <v>1</v>
      </c>
      <c r="M72" t="s">
        <v>41</v>
      </c>
      <c r="N72">
        <v>22</v>
      </c>
      <c r="O72">
        <v>4</v>
      </c>
      <c r="P72">
        <v>0</v>
      </c>
      <c r="Q72">
        <v>1</v>
      </c>
      <c r="R72">
        <v>3</v>
      </c>
      <c r="S72">
        <v>1</v>
      </c>
      <c r="T72">
        <v>1</v>
      </c>
      <c r="U72">
        <v>0</v>
      </c>
      <c r="V72" t="s">
        <v>52</v>
      </c>
      <c r="W72" s="2">
        <v>43925</v>
      </c>
      <c r="Y72" t="s">
        <v>69</v>
      </c>
      <c r="Z72" t="s">
        <v>40</v>
      </c>
      <c r="AA72">
        <v>0</v>
      </c>
      <c r="AB72">
        <v>1</v>
      </c>
      <c r="AC72" t="s">
        <v>41</v>
      </c>
      <c r="AD72" t="s">
        <v>65</v>
      </c>
      <c r="AE72" t="s">
        <v>43</v>
      </c>
      <c r="AF72" s="3">
        <v>91</v>
      </c>
      <c r="AG72" s="3">
        <v>57</v>
      </c>
      <c r="AH72">
        <v>80</v>
      </c>
      <c r="AI72">
        <v>3</v>
      </c>
      <c r="AJ72">
        <v>0</v>
      </c>
      <c r="AL72">
        <v>0</v>
      </c>
      <c r="AM72">
        <v>1</v>
      </c>
      <c r="AN72" t="s">
        <v>768</v>
      </c>
      <c r="AO72" t="s">
        <v>41</v>
      </c>
    </row>
    <row r="73" spans="1:41" x14ac:dyDescent="0.25">
      <c r="A73">
        <v>35</v>
      </c>
      <c r="B73" t="s">
        <v>32</v>
      </c>
      <c r="C73" t="s">
        <v>33</v>
      </c>
      <c r="D73">
        <v>23</v>
      </c>
      <c r="E73" t="s">
        <v>34</v>
      </c>
      <c r="F73">
        <v>2</v>
      </c>
      <c r="G73">
        <v>2</v>
      </c>
      <c r="H73" t="s">
        <v>78</v>
      </c>
      <c r="I73">
        <v>3</v>
      </c>
      <c r="J73" t="s">
        <v>51</v>
      </c>
      <c r="K73">
        <v>5916</v>
      </c>
      <c r="L73">
        <v>3</v>
      </c>
      <c r="M73" t="s">
        <v>31</v>
      </c>
      <c r="N73">
        <v>13</v>
      </c>
      <c r="O73">
        <v>3</v>
      </c>
      <c r="P73">
        <v>0</v>
      </c>
      <c r="Q73">
        <v>8</v>
      </c>
      <c r="R73">
        <v>1</v>
      </c>
      <c r="S73">
        <v>1</v>
      </c>
      <c r="T73">
        <v>0</v>
      </c>
      <c r="U73">
        <v>1</v>
      </c>
      <c r="V73" t="s">
        <v>58</v>
      </c>
      <c r="W73" s="1" t="s">
        <v>108</v>
      </c>
      <c r="Y73" t="s">
        <v>39</v>
      </c>
      <c r="Z73" t="s">
        <v>47</v>
      </c>
      <c r="AA73">
        <v>0</v>
      </c>
      <c r="AB73">
        <v>0</v>
      </c>
      <c r="AC73" t="s">
        <v>31</v>
      </c>
      <c r="AD73" t="s">
        <v>48</v>
      </c>
      <c r="AE73" t="s">
        <v>60</v>
      </c>
      <c r="AF73" s="3">
        <v>94</v>
      </c>
      <c r="AG73" s="3">
        <v>76</v>
      </c>
      <c r="AH73">
        <v>80</v>
      </c>
      <c r="AI73">
        <v>4</v>
      </c>
      <c r="AJ73">
        <v>0</v>
      </c>
      <c r="AL73">
        <v>0</v>
      </c>
      <c r="AM73">
        <v>1</v>
      </c>
      <c r="AN73" t="s">
        <v>768</v>
      </c>
      <c r="AO73" t="s">
        <v>41</v>
      </c>
    </row>
    <row r="74" spans="1:41" x14ac:dyDescent="0.25">
      <c r="A74">
        <v>38</v>
      </c>
      <c r="B74" t="s">
        <v>32</v>
      </c>
      <c r="C74" t="s">
        <v>33</v>
      </c>
      <c r="D74">
        <v>2</v>
      </c>
      <c r="E74" t="s">
        <v>34</v>
      </c>
      <c r="F74">
        <v>3</v>
      </c>
      <c r="G74">
        <v>2</v>
      </c>
      <c r="H74" t="s">
        <v>78</v>
      </c>
      <c r="I74">
        <v>3</v>
      </c>
      <c r="J74" t="s">
        <v>51</v>
      </c>
      <c r="K74">
        <v>6553</v>
      </c>
      <c r="L74">
        <v>9</v>
      </c>
      <c r="M74" t="s">
        <v>41</v>
      </c>
      <c r="N74">
        <v>14</v>
      </c>
      <c r="O74">
        <v>3</v>
      </c>
      <c r="P74">
        <v>0</v>
      </c>
      <c r="Q74">
        <v>14</v>
      </c>
      <c r="R74">
        <v>3</v>
      </c>
      <c r="S74">
        <v>1</v>
      </c>
      <c r="T74">
        <v>0</v>
      </c>
      <c r="U74">
        <v>0</v>
      </c>
      <c r="V74" t="s">
        <v>52</v>
      </c>
      <c r="W74" s="1" t="s">
        <v>109</v>
      </c>
      <c r="Y74" t="s">
        <v>63</v>
      </c>
      <c r="Z74" t="s">
        <v>40</v>
      </c>
      <c r="AA74">
        <v>3</v>
      </c>
      <c r="AB74">
        <v>2</v>
      </c>
      <c r="AC74" t="s">
        <v>31</v>
      </c>
      <c r="AD74" t="s">
        <v>42</v>
      </c>
      <c r="AE74" t="s">
        <v>60</v>
      </c>
      <c r="AF74" s="3">
        <v>95</v>
      </c>
      <c r="AG74" s="3">
        <v>87</v>
      </c>
      <c r="AH74">
        <v>80</v>
      </c>
      <c r="AI74">
        <v>1</v>
      </c>
      <c r="AJ74">
        <v>0</v>
      </c>
      <c r="AL74">
        <v>0</v>
      </c>
      <c r="AM74">
        <v>1</v>
      </c>
      <c r="AN74" t="s">
        <v>768</v>
      </c>
      <c r="AO74" t="s">
        <v>41</v>
      </c>
    </row>
    <row r="75" spans="1:41" x14ac:dyDescent="0.25">
      <c r="A75">
        <v>38</v>
      </c>
      <c r="B75" t="s">
        <v>32</v>
      </c>
      <c r="C75" t="s">
        <v>33</v>
      </c>
      <c r="D75">
        <v>29</v>
      </c>
      <c r="E75" t="s">
        <v>34</v>
      </c>
      <c r="F75">
        <v>3</v>
      </c>
      <c r="G75">
        <v>2</v>
      </c>
      <c r="H75" t="s">
        <v>89</v>
      </c>
      <c r="I75">
        <v>1</v>
      </c>
      <c r="J75" t="s">
        <v>51</v>
      </c>
      <c r="K75">
        <v>6673</v>
      </c>
      <c r="L75">
        <v>7</v>
      </c>
      <c r="M75" t="s">
        <v>31</v>
      </c>
      <c r="N75">
        <v>19</v>
      </c>
      <c r="O75">
        <v>3</v>
      </c>
      <c r="P75">
        <v>0</v>
      </c>
      <c r="Q75">
        <v>17</v>
      </c>
      <c r="R75">
        <v>2</v>
      </c>
      <c r="S75">
        <v>1</v>
      </c>
      <c r="T75">
        <v>0</v>
      </c>
      <c r="U75">
        <v>0</v>
      </c>
      <c r="V75" t="s">
        <v>52</v>
      </c>
      <c r="W75" s="2">
        <v>43952</v>
      </c>
      <c r="Y75" t="s">
        <v>63</v>
      </c>
      <c r="Z75" t="s">
        <v>40</v>
      </c>
      <c r="AA75">
        <v>3</v>
      </c>
      <c r="AB75">
        <v>2</v>
      </c>
      <c r="AC75" t="s">
        <v>41</v>
      </c>
      <c r="AD75" t="s">
        <v>48</v>
      </c>
      <c r="AE75" t="s">
        <v>49</v>
      </c>
      <c r="AF75" s="3">
        <v>96</v>
      </c>
      <c r="AG75" s="3">
        <v>66</v>
      </c>
      <c r="AH75">
        <v>80</v>
      </c>
      <c r="AI75">
        <v>4</v>
      </c>
      <c r="AJ75">
        <v>0</v>
      </c>
      <c r="AL75">
        <v>0</v>
      </c>
      <c r="AM75">
        <v>1</v>
      </c>
      <c r="AN75" t="s">
        <v>768</v>
      </c>
      <c r="AO75" t="s">
        <v>41</v>
      </c>
    </row>
    <row r="76" spans="1:41" x14ac:dyDescent="0.25">
      <c r="A76">
        <v>41</v>
      </c>
      <c r="B76" t="s">
        <v>32</v>
      </c>
      <c r="C76" t="s">
        <v>55</v>
      </c>
      <c r="D76">
        <v>6</v>
      </c>
      <c r="E76" t="s">
        <v>61</v>
      </c>
      <c r="F76">
        <v>3</v>
      </c>
      <c r="G76">
        <v>3</v>
      </c>
      <c r="H76" t="s">
        <v>75</v>
      </c>
      <c r="I76">
        <v>4</v>
      </c>
      <c r="J76" t="s">
        <v>36</v>
      </c>
      <c r="K76">
        <v>13591</v>
      </c>
      <c r="L76">
        <v>3</v>
      </c>
      <c r="M76" t="s">
        <v>31</v>
      </c>
      <c r="N76">
        <v>18</v>
      </c>
      <c r="O76">
        <v>3</v>
      </c>
      <c r="P76">
        <v>0</v>
      </c>
      <c r="Q76">
        <v>16</v>
      </c>
      <c r="R76">
        <v>3</v>
      </c>
      <c r="S76">
        <v>1</v>
      </c>
      <c r="T76">
        <v>0</v>
      </c>
      <c r="U76">
        <v>0</v>
      </c>
      <c r="V76" t="s">
        <v>58</v>
      </c>
      <c r="W76" s="1" t="s">
        <v>110</v>
      </c>
      <c r="Y76" t="s">
        <v>46</v>
      </c>
      <c r="Z76" t="s">
        <v>47</v>
      </c>
      <c r="AA76">
        <v>5</v>
      </c>
      <c r="AB76">
        <v>1</v>
      </c>
      <c r="AC76" t="s">
        <v>31</v>
      </c>
      <c r="AD76" t="s">
        <v>67</v>
      </c>
      <c r="AE76" t="s">
        <v>49</v>
      </c>
      <c r="AF76" s="3">
        <v>97</v>
      </c>
      <c r="AG76" s="3">
        <v>55</v>
      </c>
      <c r="AH76">
        <v>80</v>
      </c>
      <c r="AI76">
        <v>0</v>
      </c>
      <c r="AJ76">
        <v>0</v>
      </c>
      <c r="AL76">
        <v>0</v>
      </c>
      <c r="AM76">
        <v>1</v>
      </c>
      <c r="AN76" t="s">
        <v>768</v>
      </c>
      <c r="AO76" t="s">
        <v>41</v>
      </c>
    </row>
    <row r="77" spans="1:41" x14ac:dyDescent="0.25">
      <c r="A77">
        <v>59</v>
      </c>
      <c r="B77" t="s">
        <v>32</v>
      </c>
      <c r="C77" t="s">
        <v>33</v>
      </c>
      <c r="D77">
        <v>3</v>
      </c>
      <c r="E77" t="s">
        <v>34</v>
      </c>
      <c r="F77">
        <v>2</v>
      </c>
      <c r="G77">
        <v>1</v>
      </c>
      <c r="H77" t="s">
        <v>44</v>
      </c>
      <c r="I77">
        <v>4</v>
      </c>
      <c r="J77" t="s">
        <v>51</v>
      </c>
      <c r="K77">
        <v>2177</v>
      </c>
      <c r="L77">
        <v>3</v>
      </c>
      <c r="M77" t="s">
        <v>41</v>
      </c>
      <c r="N77">
        <v>17</v>
      </c>
      <c r="O77">
        <v>3</v>
      </c>
      <c r="P77">
        <v>1</v>
      </c>
      <c r="Q77">
        <v>7</v>
      </c>
      <c r="R77">
        <v>6</v>
      </c>
      <c r="S77">
        <v>1</v>
      </c>
      <c r="T77">
        <v>0</v>
      </c>
      <c r="U77">
        <v>0</v>
      </c>
      <c r="V77" t="s">
        <v>58</v>
      </c>
      <c r="W77" s="1" t="s">
        <v>111</v>
      </c>
      <c r="Y77" t="s">
        <v>54</v>
      </c>
      <c r="Z77" t="s">
        <v>40</v>
      </c>
      <c r="AA77">
        <v>4</v>
      </c>
      <c r="AB77">
        <v>1</v>
      </c>
      <c r="AC77" t="s">
        <v>31</v>
      </c>
      <c r="AD77" t="s">
        <v>48</v>
      </c>
      <c r="AE77" t="s">
        <v>43</v>
      </c>
      <c r="AF77" s="3">
        <v>98</v>
      </c>
      <c r="AG77" s="3">
        <v>61</v>
      </c>
      <c r="AH77">
        <v>80</v>
      </c>
      <c r="AI77">
        <v>7</v>
      </c>
      <c r="AJ77">
        <v>0</v>
      </c>
      <c r="AL77">
        <v>0</v>
      </c>
      <c r="AM77">
        <v>1</v>
      </c>
      <c r="AN77" t="s">
        <v>768</v>
      </c>
      <c r="AO77" t="s">
        <v>41</v>
      </c>
    </row>
    <row r="78" spans="1:41" x14ac:dyDescent="0.25">
      <c r="A78">
        <v>41</v>
      </c>
      <c r="B78" t="s">
        <v>32</v>
      </c>
      <c r="C78" t="s">
        <v>33</v>
      </c>
      <c r="D78">
        <v>19</v>
      </c>
      <c r="E78" t="s">
        <v>34</v>
      </c>
      <c r="F78">
        <v>3</v>
      </c>
      <c r="G78">
        <v>2</v>
      </c>
      <c r="H78" t="s">
        <v>44</v>
      </c>
      <c r="I78">
        <v>1</v>
      </c>
      <c r="J78" t="s">
        <v>57</v>
      </c>
      <c r="K78">
        <v>3072</v>
      </c>
      <c r="L78">
        <v>2</v>
      </c>
      <c r="M78" t="s">
        <v>41</v>
      </c>
      <c r="N78">
        <v>16</v>
      </c>
      <c r="O78">
        <v>3</v>
      </c>
      <c r="P78">
        <v>2</v>
      </c>
      <c r="Q78">
        <v>17</v>
      </c>
      <c r="R78">
        <v>2</v>
      </c>
      <c r="S78">
        <v>1</v>
      </c>
      <c r="T78">
        <v>0</v>
      </c>
      <c r="U78">
        <v>0</v>
      </c>
      <c r="V78" t="s">
        <v>37</v>
      </c>
      <c r="W78" s="1" t="s">
        <v>112</v>
      </c>
      <c r="Y78" t="s">
        <v>54</v>
      </c>
      <c r="Z78" t="s">
        <v>47</v>
      </c>
      <c r="AA78">
        <v>0</v>
      </c>
      <c r="AB78">
        <v>1</v>
      </c>
      <c r="AC78" t="s">
        <v>31</v>
      </c>
      <c r="AD78" t="s">
        <v>42</v>
      </c>
      <c r="AE78" t="s">
        <v>49</v>
      </c>
      <c r="AF78" s="3">
        <v>100</v>
      </c>
      <c r="AG78" s="3">
        <v>32</v>
      </c>
      <c r="AH78">
        <v>80</v>
      </c>
      <c r="AI78">
        <v>13</v>
      </c>
      <c r="AJ78">
        <v>0</v>
      </c>
      <c r="AL78">
        <v>0</v>
      </c>
      <c r="AM78">
        <v>1</v>
      </c>
      <c r="AN78" t="s">
        <v>768</v>
      </c>
      <c r="AO78" t="s">
        <v>41</v>
      </c>
    </row>
    <row r="79" spans="1:41" x14ac:dyDescent="0.25">
      <c r="A79">
        <v>37</v>
      </c>
      <c r="B79" t="s">
        <v>66</v>
      </c>
      <c r="C79" t="s">
        <v>33</v>
      </c>
      <c r="D79">
        <v>10</v>
      </c>
      <c r="E79" t="s">
        <v>34</v>
      </c>
      <c r="F79">
        <v>3</v>
      </c>
      <c r="G79">
        <v>3</v>
      </c>
      <c r="H79" t="s">
        <v>78</v>
      </c>
      <c r="I79">
        <v>3</v>
      </c>
      <c r="J79" t="s">
        <v>57</v>
      </c>
      <c r="K79">
        <v>10048</v>
      </c>
      <c r="L79">
        <v>6</v>
      </c>
      <c r="M79" t="s">
        <v>41</v>
      </c>
      <c r="N79">
        <v>11</v>
      </c>
      <c r="O79">
        <v>3</v>
      </c>
      <c r="P79">
        <v>2</v>
      </c>
      <c r="Q79">
        <v>17</v>
      </c>
      <c r="R79">
        <v>5</v>
      </c>
      <c r="S79">
        <v>1</v>
      </c>
      <c r="T79">
        <v>0</v>
      </c>
      <c r="U79">
        <v>0</v>
      </c>
      <c r="V79" t="s">
        <v>37</v>
      </c>
      <c r="W79" s="1" t="s">
        <v>113</v>
      </c>
      <c r="Y79" t="s">
        <v>39</v>
      </c>
      <c r="Z79" t="s">
        <v>47</v>
      </c>
      <c r="AA79">
        <v>0</v>
      </c>
      <c r="AB79">
        <v>1</v>
      </c>
      <c r="AC79" t="s">
        <v>31</v>
      </c>
      <c r="AD79" t="s">
        <v>48</v>
      </c>
      <c r="AE79" t="s">
        <v>49</v>
      </c>
      <c r="AF79" s="3">
        <v>101</v>
      </c>
      <c r="AG79" s="3">
        <v>52</v>
      </c>
      <c r="AH79">
        <v>80</v>
      </c>
      <c r="AI79">
        <v>0</v>
      </c>
      <c r="AJ79">
        <v>0</v>
      </c>
      <c r="AL79">
        <v>0</v>
      </c>
      <c r="AM79">
        <v>1</v>
      </c>
      <c r="AN79" t="s">
        <v>768</v>
      </c>
      <c r="AO79" t="s">
        <v>41</v>
      </c>
    </row>
    <row r="80" spans="1:41" x14ac:dyDescent="0.25">
      <c r="A80">
        <v>51</v>
      </c>
      <c r="B80" t="s">
        <v>32</v>
      </c>
      <c r="C80" t="s">
        <v>33</v>
      </c>
      <c r="D80">
        <v>1</v>
      </c>
      <c r="E80" t="s">
        <v>34</v>
      </c>
      <c r="F80">
        <v>3</v>
      </c>
      <c r="G80">
        <v>1</v>
      </c>
      <c r="H80" t="s">
        <v>44</v>
      </c>
      <c r="I80">
        <v>4</v>
      </c>
      <c r="J80" t="s">
        <v>51</v>
      </c>
      <c r="K80">
        <v>2723</v>
      </c>
      <c r="L80">
        <v>1</v>
      </c>
      <c r="M80" t="s">
        <v>41</v>
      </c>
      <c r="N80">
        <v>11</v>
      </c>
      <c r="O80">
        <v>3</v>
      </c>
      <c r="P80">
        <v>0</v>
      </c>
      <c r="Q80">
        <v>1</v>
      </c>
      <c r="R80">
        <v>0</v>
      </c>
      <c r="S80">
        <v>1</v>
      </c>
      <c r="T80">
        <v>0</v>
      </c>
      <c r="U80">
        <v>0</v>
      </c>
      <c r="V80" t="s">
        <v>72</v>
      </c>
      <c r="W80" s="2">
        <v>43865</v>
      </c>
      <c r="Y80" t="s">
        <v>63</v>
      </c>
      <c r="Z80" t="s">
        <v>47</v>
      </c>
      <c r="AA80">
        <v>2</v>
      </c>
      <c r="AB80">
        <v>1</v>
      </c>
      <c r="AC80" t="s">
        <v>31</v>
      </c>
      <c r="AD80" t="s">
        <v>48</v>
      </c>
      <c r="AE80" t="s">
        <v>49</v>
      </c>
      <c r="AF80" s="3">
        <v>102</v>
      </c>
      <c r="AG80" s="3">
        <v>30</v>
      </c>
      <c r="AH80">
        <v>80</v>
      </c>
      <c r="AI80">
        <v>2</v>
      </c>
      <c r="AJ80">
        <v>0</v>
      </c>
      <c r="AL80">
        <v>0</v>
      </c>
      <c r="AM80">
        <v>1</v>
      </c>
      <c r="AN80" t="s">
        <v>768</v>
      </c>
      <c r="AO80" t="s">
        <v>41</v>
      </c>
    </row>
    <row r="81" spans="1:41" x14ac:dyDescent="0.25">
      <c r="A81">
        <v>44</v>
      </c>
      <c r="B81" t="s">
        <v>66</v>
      </c>
      <c r="C81" t="s">
        <v>33</v>
      </c>
      <c r="D81">
        <v>24</v>
      </c>
      <c r="E81" t="s">
        <v>34</v>
      </c>
      <c r="F81">
        <v>3</v>
      </c>
      <c r="G81">
        <v>1</v>
      </c>
      <c r="H81" t="s">
        <v>35</v>
      </c>
      <c r="I81">
        <v>3</v>
      </c>
      <c r="J81" t="s">
        <v>57</v>
      </c>
      <c r="K81">
        <v>3161</v>
      </c>
      <c r="L81">
        <v>3</v>
      </c>
      <c r="M81" t="s">
        <v>31</v>
      </c>
      <c r="N81">
        <v>22</v>
      </c>
      <c r="O81">
        <v>4</v>
      </c>
      <c r="P81">
        <v>1</v>
      </c>
      <c r="Q81">
        <v>19</v>
      </c>
      <c r="R81">
        <v>0</v>
      </c>
      <c r="S81">
        <v>1</v>
      </c>
      <c r="T81">
        <v>0</v>
      </c>
      <c r="U81">
        <v>0</v>
      </c>
      <c r="V81" t="s">
        <v>52</v>
      </c>
      <c r="W81" s="1" t="s">
        <v>114</v>
      </c>
      <c r="Y81" t="s">
        <v>46</v>
      </c>
      <c r="Z81" t="s">
        <v>40</v>
      </c>
      <c r="AA81">
        <v>0</v>
      </c>
      <c r="AB81">
        <v>2</v>
      </c>
      <c r="AC81" t="s">
        <v>41</v>
      </c>
      <c r="AD81" t="s">
        <v>48</v>
      </c>
      <c r="AE81" t="s">
        <v>43</v>
      </c>
      <c r="AF81" s="3">
        <v>103</v>
      </c>
      <c r="AG81" s="3">
        <v>80</v>
      </c>
      <c r="AH81">
        <v>80</v>
      </c>
      <c r="AI81">
        <v>2</v>
      </c>
      <c r="AJ81">
        <v>0</v>
      </c>
      <c r="AL81">
        <v>0</v>
      </c>
      <c r="AM81">
        <v>1</v>
      </c>
      <c r="AN81" t="s">
        <v>768</v>
      </c>
      <c r="AO81" t="s">
        <v>41</v>
      </c>
    </row>
    <row r="82" spans="1:41" x14ac:dyDescent="0.25">
      <c r="A82">
        <v>36</v>
      </c>
      <c r="B82" t="s">
        <v>66</v>
      </c>
      <c r="C82" t="s">
        <v>33</v>
      </c>
      <c r="D82">
        <v>18</v>
      </c>
      <c r="E82" t="s">
        <v>34</v>
      </c>
      <c r="F82">
        <v>4</v>
      </c>
      <c r="G82">
        <v>1</v>
      </c>
      <c r="H82" t="s">
        <v>35</v>
      </c>
      <c r="I82">
        <v>4</v>
      </c>
      <c r="J82" t="s">
        <v>51</v>
      </c>
      <c r="K82">
        <v>3688</v>
      </c>
      <c r="L82">
        <v>4</v>
      </c>
      <c r="M82" t="s">
        <v>41</v>
      </c>
      <c r="N82">
        <v>18</v>
      </c>
      <c r="O82">
        <v>3</v>
      </c>
      <c r="P82">
        <v>2</v>
      </c>
      <c r="Q82">
        <v>4</v>
      </c>
      <c r="R82">
        <v>2</v>
      </c>
      <c r="S82">
        <v>1</v>
      </c>
      <c r="T82">
        <v>0</v>
      </c>
      <c r="U82">
        <v>0</v>
      </c>
      <c r="V82" t="s">
        <v>72</v>
      </c>
      <c r="W82" s="2">
        <v>43983</v>
      </c>
      <c r="Y82" t="s">
        <v>63</v>
      </c>
      <c r="Z82" t="s">
        <v>40</v>
      </c>
      <c r="AA82">
        <v>4</v>
      </c>
      <c r="AB82">
        <v>0</v>
      </c>
      <c r="AC82" t="s">
        <v>41</v>
      </c>
      <c r="AD82" t="s">
        <v>48</v>
      </c>
      <c r="AE82" t="s">
        <v>60</v>
      </c>
      <c r="AF82" s="3">
        <v>104</v>
      </c>
      <c r="AG82" s="3">
        <v>55</v>
      </c>
      <c r="AH82">
        <v>80</v>
      </c>
      <c r="AI82">
        <v>8</v>
      </c>
      <c r="AJ82">
        <v>0</v>
      </c>
      <c r="AL82">
        <v>0</v>
      </c>
      <c r="AM82">
        <v>1</v>
      </c>
      <c r="AN82" t="s">
        <v>768</v>
      </c>
      <c r="AO82" t="s">
        <v>41</v>
      </c>
    </row>
    <row r="83" spans="1:41" x14ac:dyDescent="0.25">
      <c r="A83">
        <v>39</v>
      </c>
      <c r="B83" t="s">
        <v>32</v>
      </c>
      <c r="C83" t="s">
        <v>55</v>
      </c>
      <c r="D83">
        <v>3</v>
      </c>
      <c r="E83" t="s">
        <v>61</v>
      </c>
      <c r="F83">
        <v>3</v>
      </c>
      <c r="G83">
        <v>2</v>
      </c>
      <c r="H83" t="s">
        <v>70</v>
      </c>
      <c r="I83">
        <v>3</v>
      </c>
      <c r="J83" t="s">
        <v>51</v>
      </c>
      <c r="K83">
        <v>5238</v>
      </c>
      <c r="L83">
        <v>4</v>
      </c>
      <c r="M83" t="s">
        <v>31</v>
      </c>
      <c r="N83">
        <v>18</v>
      </c>
      <c r="O83">
        <v>3</v>
      </c>
      <c r="P83">
        <v>0</v>
      </c>
      <c r="Q83">
        <v>12</v>
      </c>
      <c r="R83">
        <v>3</v>
      </c>
      <c r="S83">
        <v>1</v>
      </c>
      <c r="T83">
        <v>0</v>
      </c>
      <c r="U83">
        <v>0</v>
      </c>
      <c r="V83" t="s">
        <v>58</v>
      </c>
      <c r="W83" s="2">
        <v>43835</v>
      </c>
      <c r="Y83" t="s">
        <v>46</v>
      </c>
      <c r="Z83" t="s">
        <v>40</v>
      </c>
      <c r="AA83">
        <v>0</v>
      </c>
      <c r="AB83">
        <v>1</v>
      </c>
      <c r="AC83" t="s">
        <v>31</v>
      </c>
      <c r="AD83" t="s">
        <v>42</v>
      </c>
      <c r="AE83" t="s">
        <v>60</v>
      </c>
      <c r="AF83" s="3">
        <v>105</v>
      </c>
      <c r="AG83" s="3">
        <v>30</v>
      </c>
      <c r="AH83">
        <v>80</v>
      </c>
      <c r="AI83">
        <v>4</v>
      </c>
      <c r="AJ83">
        <v>0</v>
      </c>
      <c r="AL83">
        <v>0</v>
      </c>
      <c r="AM83">
        <v>1</v>
      </c>
      <c r="AN83" t="s">
        <v>768</v>
      </c>
      <c r="AO83" t="s">
        <v>41</v>
      </c>
    </row>
    <row r="84" spans="1:41" x14ac:dyDescent="0.25">
      <c r="A84">
        <v>43</v>
      </c>
      <c r="B84" t="s">
        <v>32</v>
      </c>
      <c r="C84" t="s">
        <v>33</v>
      </c>
      <c r="D84">
        <v>7</v>
      </c>
      <c r="E84" t="s">
        <v>61</v>
      </c>
      <c r="F84">
        <v>3</v>
      </c>
      <c r="G84">
        <v>3</v>
      </c>
      <c r="H84" t="s">
        <v>89</v>
      </c>
      <c r="I84">
        <v>1</v>
      </c>
      <c r="J84" t="s">
        <v>51</v>
      </c>
      <c r="K84">
        <v>9985</v>
      </c>
      <c r="L84">
        <v>8</v>
      </c>
      <c r="M84" t="s">
        <v>41</v>
      </c>
      <c r="N84">
        <v>16</v>
      </c>
      <c r="O84">
        <v>3</v>
      </c>
      <c r="P84">
        <v>1</v>
      </c>
      <c r="Q84">
        <v>10</v>
      </c>
      <c r="R84">
        <v>1</v>
      </c>
      <c r="S84">
        <v>1</v>
      </c>
      <c r="T84">
        <v>0</v>
      </c>
      <c r="U84">
        <v>0</v>
      </c>
      <c r="V84" t="s">
        <v>37</v>
      </c>
      <c r="W84" s="1" t="s">
        <v>115</v>
      </c>
      <c r="Y84" t="s">
        <v>54</v>
      </c>
      <c r="Z84" t="s">
        <v>47</v>
      </c>
      <c r="AA84">
        <v>1</v>
      </c>
      <c r="AB84">
        <v>3</v>
      </c>
      <c r="AC84" t="s">
        <v>41</v>
      </c>
      <c r="AD84" t="s">
        <v>48</v>
      </c>
      <c r="AE84" t="s">
        <v>60</v>
      </c>
      <c r="AF84" s="3">
        <v>106</v>
      </c>
      <c r="AG84" s="3">
        <v>70</v>
      </c>
      <c r="AH84">
        <v>80</v>
      </c>
      <c r="AI84">
        <v>0</v>
      </c>
      <c r="AJ84">
        <v>0</v>
      </c>
      <c r="AL84">
        <v>0</v>
      </c>
      <c r="AM84">
        <v>1</v>
      </c>
      <c r="AN84" t="s">
        <v>768</v>
      </c>
      <c r="AO84" t="s">
        <v>41</v>
      </c>
    </row>
    <row r="85" spans="1:41" x14ac:dyDescent="0.25">
      <c r="A85">
        <v>42</v>
      </c>
      <c r="B85" t="s">
        <v>32</v>
      </c>
      <c r="C85" t="s">
        <v>33</v>
      </c>
      <c r="D85">
        <v>23</v>
      </c>
      <c r="E85" t="s">
        <v>61</v>
      </c>
      <c r="F85">
        <v>3</v>
      </c>
      <c r="G85">
        <v>4</v>
      </c>
      <c r="H85" t="s">
        <v>50</v>
      </c>
      <c r="I85">
        <v>4</v>
      </c>
      <c r="J85" t="s">
        <v>36</v>
      </c>
      <c r="K85">
        <v>15992</v>
      </c>
      <c r="L85">
        <v>2</v>
      </c>
      <c r="M85" t="s">
        <v>41</v>
      </c>
      <c r="N85">
        <v>14</v>
      </c>
      <c r="O85">
        <v>3</v>
      </c>
      <c r="P85">
        <v>0</v>
      </c>
      <c r="Q85">
        <v>16</v>
      </c>
      <c r="R85">
        <v>2</v>
      </c>
      <c r="S85">
        <v>1</v>
      </c>
      <c r="T85">
        <v>0</v>
      </c>
      <c r="U85">
        <v>0</v>
      </c>
      <c r="V85" t="s">
        <v>37</v>
      </c>
      <c r="W85" s="2">
        <v>44136</v>
      </c>
      <c r="Y85" t="s">
        <v>46</v>
      </c>
      <c r="Z85" t="s">
        <v>47</v>
      </c>
      <c r="AA85">
        <v>1</v>
      </c>
      <c r="AB85">
        <v>0</v>
      </c>
      <c r="AC85" t="s">
        <v>41</v>
      </c>
      <c r="AD85" t="s">
        <v>42</v>
      </c>
      <c r="AE85" t="s">
        <v>60</v>
      </c>
      <c r="AF85" s="3">
        <v>107</v>
      </c>
      <c r="AG85" s="3">
        <v>79</v>
      </c>
      <c r="AH85">
        <v>80</v>
      </c>
      <c r="AI85">
        <v>11</v>
      </c>
      <c r="AJ85">
        <v>0</v>
      </c>
      <c r="AL85">
        <v>0</v>
      </c>
      <c r="AM85">
        <v>1</v>
      </c>
      <c r="AN85" t="s">
        <v>768</v>
      </c>
      <c r="AO85" t="s">
        <v>41</v>
      </c>
    </row>
    <row r="86" spans="1:41" x14ac:dyDescent="0.25">
      <c r="A86">
        <v>42</v>
      </c>
      <c r="B86" t="s">
        <v>32</v>
      </c>
      <c r="C86" t="s">
        <v>33</v>
      </c>
      <c r="D86">
        <v>2</v>
      </c>
      <c r="E86" t="s">
        <v>34</v>
      </c>
      <c r="F86">
        <v>2</v>
      </c>
      <c r="G86">
        <v>2</v>
      </c>
      <c r="H86" t="s">
        <v>89</v>
      </c>
      <c r="I86">
        <v>4</v>
      </c>
      <c r="J86" t="s">
        <v>36</v>
      </c>
      <c r="K86">
        <v>6781</v>
      </c>
      <c r="L86">
        <v>3</v>
      </c>
      <c r="M86" t="s">
        <v>41</v>
      </c>
      <c r="N86">
        <v>23</v>
      </c>
      <c r="O86">
        <v>4</v>
      </c>
      <c r="P86">
        <v>0</v>
      </c>
      <c r="Q86">
        <v>14</v>
      </c>
      <c r="R86">
        <v>6</v>
      </c>
      <c r="S86">
        <v>1</v>
      </c>
      <c r="T86">
        <v>0</v>
      </c>
      <c r="U86">
        <v>0</v>
      </c>
      <c r="V86" t="s">
        <v>72</v>
      </c>
      <c r="W86" s="1" t="s">
        <v>116</v>
      </c>
      <c r="Y86" t="s">
        <v>46</v>
      </c>
      <c r="Z86" t="s">
        <v>47</v>
      </c>
      <c r="AA86">
        <v>3</v>
      </c>
      <c r="AB86">
        <v>0</v>
      </c>
      <c r="AC86" t="s">
        <v>31</v>
      </c>
      <c r="AD86" t="s">
        <v>42</v>
      </c>
      <c r="AE86" t="s">
        <v>43</v>
      </c>
      <c r="AF86" s="3">
        <v>110</v>
      </c>
      <c r="AG86" s="3">
        <v>94</v>
      </c>
      <c r="AH86">
        <v>80</v>
      </c>
      <c r="AI86">
        <v>2</v>
      </c>
      <c r="AJ86">
        <v>0</v>
      </c>
      <c r="AL86">
        <v>0</v>
      </c>
      <c r="AM86">
        <v>1</v>
      </c>
      <c r="AN86" t="s">
        <v>768</v>
      </c>
      <c r="AO86" t="s">
        <v>41</v>
      </c>
    </row>
    <row r="87" spans="1:41" x14ac:dyDescent="0.25">
      <c r="A87">
        <v>36</v>
      </c>
      <c r="B87" t="s">
        <v>81</v>
      </c>
      <c r="C87" t="s">
        <v>55</v>
      </c>
      <c r="D87">
        <v>1</v>
      </c>
      <c r="E87" t="s">
        <v>61</v>
      </c>
      <c r="F87">
        <v>3</v>
      </c>
      <c r="G87">
        <v>2</v>
      </c>
      <c r="H87" t="s">
        <v>70</v>
      </c>
      <c r="I87">
        <v>4</v>
      </c>
      <c r="J87" t="s">
        <v>36</v>
      </c>
      <c r="K87">
        <v>6653</v>
      </c>
      <c r="L87">
        <v>4</v>
      </c>
      <c r="M87" t="s">
        <v>41</v>
      </c>
      <c r="N87">
        <v>15</v>
      </c>
      <c r="O87">
        <v>3</v>
      </c>
      <c r="P87">
        <v>0</v>
      </c>
      <c r="Q87">
        <v>7</v>
      </c>
      <c r="R87">
        <v>6</v>
      </c>
      <c r="S87">
        <v>1</v>
      </c>
      <c r="T87">
        <v>0</v>
      </c>
      <c r="U87">
        <v>0</v>
      </c>
      <c r="V87" t="s">
        <v>52</v>
      </c>
      <c r="W87" s="1" t="s">
        <v>116</v>
      </c>
      <c r="Y87" t="s">
        <v>69</v>
      </c>
      <c r="Z87" t="s">
        <v>47</v>
      </c>
      <c r="AA87">
        <v>3</v>
      </c>
      <c r="AB87">
        <v>0</v>
      </c>
      <c r="AC87" t="s">
        <v>41</v>
      </c>
      <c r="AD87" t="s">
        <v>48</v>
      </c>
      <c r="AE87" t="s">
        <v>43</v>
      </c>
      <c r="AF87" s="3">
        <v>112</v>
      </c>
      <c r="AG87" s="3">
        <v>49</v>
      </c>
      <c r="AH87">
        <v>80</v>
      </c>
      <c r="AI87">
        <v>4</v>
      </c>
      <c r="AJ87">
        <v>0</v>
      </c>
      <c r="AL87">
        <v>0</v>
      </c>
      <c r="AM87">
        <v>1</v>
      </c>
      <c r="AN87" t="s">
        <v>768</v>
      </c>
      <c r="AO87" t="s">
        <v>41</v>
      </c>
    </row>
    <row r="88" spans="1:41" x14ac:dyDescent="0.25">
      <c r="A88">
        <v>33</v>
      </c>
      <c r="B88" t="s">
        <v>32</v>
      </c>
      <c r="C88" t="s">
        <v>55</v>
      </c>
      <c r="D88">
        <v>5</v>
      </c>
      <c r="E88" t="s">
        <v>61</v>
      </c>
      <c r="F88">
        <v>3</v>
      </c>
      <c r="G88">
        <v>1</v>
      </c>
      <c r="H88" t="s">
        <v>56</v>
      </c>
      <c r="I88">
        <v>3</v>
      </c>
      <c r="J88" t="s">
        <v>36</v>
      </c>
      <c r="K88">
        <v>2851</v>
      </c>
      <c r="L88">
        <v>1</v>
      </c>
      <c r="M88" t="s">
        <v>31</v>
      </c>
      <c r="N88">
        <v>13</v>
      </c>
      <c r="O88">
        <v>3</v>
      </c>
      <c r="P88">
        <v>0</v>
      </c>
      <c r="Q88">
        <v>1</v>
      </c>
      <c r="R88">
        <v>2</v>
      </c>
      <c r="S88">
        <v>1</v>
      </c>
      <c r="T88">
        <v>0</v>
      </c>
      <c r="U88">
        <v>0</v>
      </c>
      <c r="V88" t="s">
        <v>58</v>
      </c>
      <c r="W88" s="1" t="s">
        <v>117</v>
      </c>
      <c r="Y88" t="s">
        <v>69</v>
      </c>
      <c r="Z88" t="s">
        <v>40</v>
      </c>
      <c r="AA88">
        <v>0</v>
      </c>
      <c r="AB88">
        <v>1</v>
      </c>
      <c r="AC88" t="s">
        <v>41</v>
      </c>
      <c r="AD88" t="s">
        <v>48</v>
      </c>
      <c r="AE88" t="s">
        <v>43</v>
      </c>
      <c r="AF88" s="3">
        <v>113</v>
      </c>
      <c r="AG88" s="3">
        <v>62</v>
      </c>
      <c r="AH88">
        <v>80</v>
      </c>
      <c r="AI88">
        <v>0</v>
      </c>
      <c r="AJ88">
        <v>0</v>
      </c>
      <c r="AL88">
        <v>0</v>
      </c>
      <c r="AM88">
        <v>1</v>
      </c>
      <c r="AN88" t="s">
        <v>768</v>
      </c>
      <c r="AO88" t="s">
        <v>41</v>
      </c>
    </row>
    <row r="89" spans="1:41" x14ac:dyDescent="0.25">
      <c r="A89">
        <v>46</v>
      </c>
      <c r="B89" t="s">
        <v>81</v>
      </c>
      <c r="C89" t="s">
        <v>33</v>
      </c>
      <c r="D89">
        <v>7</v>
      </c>
      <c r="E89" t="s">
        <v>61</v>
      </c>
      <c r="F89">
        <v>3</v>
      </c>
      <c r="G89">
        <v>2</v>
      </c>
      <c r="H89" t="s">
        <v>78</v>
      </c>
      <c r="I89">
        <v>3</v>
      </c>
      <c r="J89" t="s">
        <v>51</v>
      </c>
      <c r="K89">
        <v>5258</v>
      </c>
      <c r="L89">
        <v>2</v>
      </c>
      <c r="M89" t="s">
        <v>41</v>
      </c>
      <c r="N89">
        <v>14</v>
      </c>
      <c r="O89">
        <v>3</v>
      </c>
      <c r="P89">
        <v>0</v>
      </c>
      <c r="Q89">
        <v>7</v>
      </c>
      <c r="R89">
        <v>2</v>
      </c>
      <c r="S89">
        <v>1</v>
      </c>
      <c r="T89">
        <v>0</v>
      </c>
      <c r="U89">
        <v>0</v>
      </c>
      <c r="V89" t="s">
        <v>37</v>
      </c>
      <c r="W89" s="1" t="s">
        <v>118</v>
      </c>
      <c r="Y89" t="s">
        <v>63</v>
      </c>
      <c r="Z89" t="s">
        <v>47</v>
      </c>
      <c r="AA89">
        <v>1</v>
      </c>
      <c r="AB89">
        <v>3</v>
      </c>
      <c r="AC89" t="s">
        <v>41</v>
      </c>
      <c r="AD89" t="s">
        <v>67</v>
      </c>
      <c r="AE89" t="s">
        <v>43</v>
      </c>
      <c r="AF89" s="3">
        <v>116</v>
      </c>
      <c r="AG89" s="3">
        <v>96</v>
      </c>
      <c r="AH89">
        <v>80</v>
      </c>
      <c r="AI89">
        <v>2</v>
      </c>
      <c r="AJ89">
        <v>0</v>
      </c>
      <c r="AL89">
        <v>0</v>
      </c>
      <c r="AM89">
        <v>1</v>
      </c>
      <c r="AN89" t="s">
        <v>768</v>
      </c>
      <c r="AO89" t="s">
        <v>41</v>
      </c>
    </row>
    <row r="90" spans="1:41" x14ac:dyDescent="0.25">
      <c r="A90">
        <v>21</v>
      </c>
      <c r="B90" t="s">
        <v>32</v>
      </c>
      <c r="C90" t="s">
        <v>55</v>
      </c>
      <c r="D90">
        <v>12</v>
      </c>
      <c r="E90" t="s">
        <v>61</v>
      </c>
      <c r="F90">
        <v>4</v>
      </c>
      <c r="G90">
        <v>1</v>
      </c>
      <c r="H90" t="s">
        <v>56</v>
      </c>
      <c r="I90">
        <v>2</v>
      </c>
      <c r="J90" t="s">
        <v>36</v>
      </c>
      <c r="K90">
        <v>2716</v>
      </c>
      <c r="L90">
        <v>1</v>
      </c>
      <c r="M90" t="s">
        <v>41</v>
      </c>
      <c r="N90">
        <v>15</v>
      </c>
      <c r="O90">
        <v>3</v>
      </c>
      <c r="P90">
        <v>0</v>
      </c>
      <c r="Q90">
        <v>1</v>
      </c>
      <c r="R90">
        <v>0</v>
      </c>
      <c r="S90">
        <v>1</v>
      </c>
      <c r="T90">
        <v>0</v>
      </c>
      <c r="U90">
        <v>0</v>
      </c>
      <c r="V90" t="s">
        <v>72</v>
      </c>
      <c r="W90" s="1" t="s">
        <v>119</v>
      </c>
      <c r="Y90" t="s">
        <v>39</v>
      </c>
      <c r="Z90" t="s">
        <v>47</v>
      </c>
      <c r="AA90">
        <v>1</v>
      </c>
      <c r="AB90">
        <v>1</v>
      </c>
      <c r="AC90" t="s">
        <v>31</v>
      </c>
      <c r="AD90" t="s">
        <v>48</v>
      </c>
      <c r="AE90" t="s">
        <v>49</v>
      </c>
      <c r="AF90" s="3">
        <v>117</v>
      </c>
      <c r="AG90" s="3">
        <v>99</v>
      </c>
      <c r="AH90">
        <v>80</v>
      </c>
      <c r="AI90">
        <v>10</v>
      </c>
      <c r="AJ90">
        <v>0</v>
      </c>
      <c r="AL90">
        <v>0</v>
      </c>
      <c r="AM90">
        <v>1</v>
      </c>
      <c r="AN90" t="s">
        <v>768</v>
      </c>
      <c r="AO90" t="s">
        <v>41</v>
      </c>
    </row>
    <row r="91" spans="1:41" x14ac:dyDescent="0.25">
      <c r="A91">
        <v>35</v>
      </c>
      <c r="B91" t="s">
        <v>32</v>
      </c>
      <c r="C91" t="s">
        <v>33</v>
      </c>
      <c r="D91">
        <v>9</v>
      </c>
      <c r="E91" t="s">
        <v>34</v>
      </c>
      <c r="F91">
        <v>2</v>
      </c>
      <c r="G91">
        <v>2</v>
      </c>
      <c r="H91" t="s">
        <v>89</v>
      </c>
      <c r="I91">
        <v>2</v>
      </c>
      <c r="J91" t="s">
        <v>36</v>
      </c>
      <c r="K91">
        <v>6540</v>
      </c>
      <c r="L91">
        <v>9</v>
      </c>
      <c r="M91" t="s">
        <v>41</v>
      </c>
      <c r="N91">
        <v>19</v>
      </c>
      <c r="O91">
        <v>3</v>
      </c>
      <c r="P91">
        <v>0</v>
      </c>
      <c r="Q91">
        <v>10</v>
      </c>
      <c r="R91">
        <v>5</v>
      </c>
      <c r="S91">
        <v>1</v>
      </c>
      <c r="T91">
        <v>0</v>
      </c>
      <c r="U91">
        <v>0</v>
      </c>
      <c r="V91" t="s">
        <v>52</v>
      </c>
      <c r="W91" s="2">
        <v>44169</v>
      </c>
      <c r="Y91" t="s">
        <v>46</v>
      </c>
      <c r="Z91" t="s">
        <v>40</v>
      </c>
      <c r="AA91">
        <v>1</v>
      </c>
      <c r="AB91">
        <v>2</v>
      </c>
      <c r="AC91" t="s">
        <v>41</v>
      </c>
      <c r="AD91" t="s">
        <v>42</v>
      </c>
      <c r="AE91" t="s">
        <v>60</v>
      </c>
      <c r="AF91" s="3">
        <v>118</v>
      </c>
      <c r="AG91" s="3">
        <v>64</v>
      </c>
      <c r="AH91">
        <v>80</v>
      </c>
      <c r="AI91">
        <v>8</v>
      </c>
      <c r="AJ91">
        <v>1</v>
      </c>
      <c r="AK91">
        <v>1</v>
      </c>
      <c r="AL91">
        <v>1</v>
      </c>
      <c r="AM91">
        <v>0</v>
      </c>
      <c r="AN91" t="s">
        <v>767</v>
      </c>
      <c r="AO91" t="s">
        <v>31</v>
      </c>
    </row>
    <row r="92" spans="1:41" x14ac:dyDescent="0.25">
      <c r="A92">
        <v>30</v>
      </c>
      <c r="B92" t="s">
        <v>32</v>
      </c>
      <c r="C92" t="s">
        <v>55</v>
      </c>
      <c r="D92">
        <v>2</v>
      </c>
      <c r="E92" t="s">
        <v>34</v>
      </c>
      <c r="F92">
        <v>3</v>
      </c>
      <c r="G92">
        <v>1</v>
      </c>
      <c r="H92" t="s">
        <v>56</v>
      </c>
      <c r="I92">
        <v>2</v>
      </c>
      <c r="J92" t="s">
        <v>51</v>
      </c>
      <c r="K92">
        <v>2476</v>
      </c>
      <c r="L92">
        <v>1</v>
      </c>
      <c r="M92" t="s">
        <v>41</v>
      </c>
      <c r="N92">
        <v>18</v>
      </c>
      <c r="O92">
        <v>3</v>
      </c>
      <c r="P92">
        <v>1</v>
      </c>
      <c r="Q92">
        <v>1</v>
      </c>
      <c r="R92">
        <v>3</v>
      </c>
      <c r="S92">
        <v>1</v>
      </c>
      <c r="T92">
        <v>0</v>
      </c>
      <c r="U92">
        <v>0</v>
      </c>
      <c r="V92" t="s">
        <v>58</v>
      </c>
      <c r="W92" s="2">
        <v>44106</v>
      </c>
      <c r="Y92" t="s">
        <v>54</v>
      </c>
      <c r="Z92" t="s">
        <v>47</v>
      </c>
      <c r="AA92">
        <v>4</v>
      </c>
      <c r="AB92">
        <v>2</v>
      </c>
      <c r="AC92" t="s">
        <v>41</v>
      </c>
      <c r="AD92" t="s">
        <v>42</v>
      </c>
      <c r="AE92" t="s">
        <v>60</v>
      </c>
      <c r="AF92" s="3">
        <v>119</v>
      </c>
      <c r="AG92" s="3">
        <v>78</v>
      </c>
      <c r="AH92">
        <v>80</v>
      </c>
      <c r="AI92">
        <v>3</v>
      </c>
      <c r="AJ92">
        <v>0</v>
      </c>
      <c r="AL92">
        <v>0</v>
      </c>
      <c r="AM92">
        <v>1</v>
      </c>
      <c r="AN92" t="s">
        <v>768</v>
      </c>
      <c r="AO92" t="s">
        <v>41</v>
      </c>
    </row>
    <row r="93" spans="1:41" x14ac:dyDescent="0.25">
      <c r="A93">
        <v>30</v>
      </c>
      <c r="B93" t="s">
        <v>66</v>
      </c>
      <c r="C93" t="s">
        <v>33</v>
      </c>
      <c r="D93">
        <v>4</v>
      </c>
      <c r="E93" t="s">
        <v>34</v>
      </c>
      <c r="F93">
        <v>3</v>
      </c>
      <c r="G93">
        <v>1</v>
      </c>
      <c r="H93" t="s">
        <v>44</v>
      </c>
      <c r="I93">
        <v>4</v>
      </c>
      <c r="J93" t="s">
        <v>36</v>
      </c>
      <c r="K93">
        <v>2285</v>
      </c>
      <c r="L93">
        <v>9</v>
      </c>
      <c r="M93" t="s">
        <v>31</v>
      </c>
      <c r="N93">
        <v>23</v>
      </c>
      <c r="O93">
        <v>4</v>
      </c>
      <c r="P93">
        <v>0</v>
      </c>
      <c r="Q93">
        <v>3</v>
      </c>
      <c r="R93">
        <v>4</v>
      </c>
      <c r="S93">
        <v>1</v>
      </c>
      <c r="T93">
        <v>0</v>
      </c>
      <c r="U93">
        <v>0</v>
      </c>
      <c r="V93" t="s">
        <v>72</v>
      </c>
      <c r="W93" s="2">
        <v>44014</v>
      </c>
      <c r="Y93" t="s">
        <v>46</v>
      </c>
      <c r="Z93" t="s">
        <v>47</v>
      </c>
      <c r="AA93">
        <v>4</v>
      </c>
      <c r="AB93">
        <v>1</v>
      </c>
      <c r="AC93" t="s">
        <v>31</v>
      </c>
      <c r="AD93" t="s">
        <v>42</v>
      </c>
      <c r="AE93" t="s">
        <v>60</v>
      </c>
      <c r="AF93" s="3">
        <v>120</v>
      </c>
      <c r="AG93" s="3">
        <v>71</v>
      </c>
      <c r="AH93">
        <v>80</v>
      </c>
      <c r="AI93">
        <v>7</v>
      </c>
      <c r="AJ93">
        <v>0</v>
      </c>
      <c r="AL93">
        <v>0</v>
      </c>
      <c r="AM93">
        <v>1</v>
      </c>
      <c r="AN93" t="s">
        <v>768</v>
      </c>
      <c r="AO93" t="s">
        <v>41</v>
      </c>
    </row>
    <row r="94" spans="1:41" x14ac:dyDescent="0.25">
      <c r="A94">
        <v>37</v>
      </c>
      <c r="B94" t="s">
        <v>32</v>
      </c>
      <c r="C94" t="s">
        <v>33</v>
      </c>
      <c r="D94">
        <v>10</v>
      </c>
      <c r="E94" t="s">
        <v>34</v>
      </c>
      <c r="F94">
        <v>3</v>
      </c>
      <c r="G94">
        <v>2</v>
      </c>
      <c r="H94" t="s">
        <v>78</v>
      </c>
      <c r="I94">
        <v>2</v>
      </c>
      <c r="J94" t="s">
        <v>36</v>
      </c>
      <c r="K94">
        <v>4197</v>
      </c>
      <c r="L94">
        <v>2</v>
      </c>
      <c r="M94" t="s">
        <v>31</v>
      </c>
      <c r="N94">
        <v>12</v>
      </c>
      <c r="O94">
        <v>3</v>
      </c>
      <c r="P94">
        <v>0</v>
      </c>
      <c r="Q94">
        <v>18</v>
      </c>
      <c r="R94">
        <v>2</v>
      </c>
      <c r="S94">
        <v>1</v>
      </c>
      <c r="T94">
        <v>0</v>
      </c>
      <c r="U94">
        <v>1</v>
      </c>
      <c r="V94" t="s">
        <v>37</v>
      </c>
      <c r="W94" s="2">
        <v>44170</v>
      </c>
      <c r="Y94" t="s">
        <v>46</v>
      </c>
      <c r="Z94" t="s">
        <v>40</v>
      </c>
      <c r="AA94">
        <v>3</v>
      </c>
      <c r="AB94">
        <v>3</v>
      </c>
      <c r="AC94" t="s">
        <v>41</v>
      </c>
      <c r="AD94" t="s">
        <v>42</v>
      </c>
      <c r="AE94" t="s">
        <v>60</v>
      </c>
      <c r="AF94" s="3">
        <v>121</v>
      </c>
      <c r="AG94" s="3">
        <v>63</v>
      </c>
      <c r="AH94">
        <v>80</v>
      </c>
      <c r="AI94">
        <v>8</v>
      </c>
      <c r="AJ94">
        <v>0</v>
      </c>
      <c r="AL94">
        <v>0</v>
      </c>
      <c r="AM94">
        <v>1</v>
      </c>
      <c r="AN94" t="s">
        <v>768</v>
      </c>
      <c r="AO94" t="s">
        <v>41</v>
      </c>
    </row>
    <row r="95" spans="1:41" x14ac:dyDescent="0.25">
      <c r="A95">
        <v>40</v>
      </c>
      <c r="B95" t="s">
        <v>32</v>
      </c>
      <c r="C95" t="s">
        <v>33</v>
      </c>
      <c r="D95">
        <v>2</v>
      </c>
      <c r="E95" t="s">
        <v>61</v>
      </c>
      <c r="F95">
        <v>2</v>
      </c>
      <c r="G95">
        <v>2</v>
      </c>
      <c r="H95" t="s">
        <v>35</v>
      </c>
      <c r="I95">
        <v>3</v>
      </c>
      <c r="J95" t="s">
        <v>51</v>
      </c>
      <c r="K95">
        <v>3448</v>
      </c>
      <c r="L95">
        <v>6</v>
      </c>
      <c r="M95" t="s">
        <v>41</v>
      </c>
      <c r="N95">
        <v>22</v>
      </c>
      <c r="O95">
        <v>4</v>
      </c>
      <c r="P95">
        <v>1</v>
      </c>
      <c r="Q95">
        <v>20</v>
      </c>
      <c r="R95">
        <v>3</v>
      </c>
      <c r="S95">
        <v>1</v>
      </c>
      <c r="T95">
        <v>0</v>
      </c>
      <c r="U95">
        <v>0</v>
      </c>
      <c r="V95" t="s">
        <v>37</v>
      </c>
      <c r="W95" s="2">
        <v>43864</v>
      </c>
      <c r="Y95" t="s">
        <v>39</v>
      </c>
      <c r="Z95" t="s">
        <v>47</v>
      </c>
      <c r="AA95">
        <v>5</v>
      </c>
      <c r="AB95">
        <v>1</v>
      </c>
      <c r="AC95" t="s">
        <v>41</v>
      </c>
      <c r="AD95" t="s">
        <v>48</v>
      </c>
      <c r="AE95" t="s">
        <v>43</v>
      </c>
      <c r="AF95" s="3">
        <v>124</v>
      </c>
      <c r="AG95" s="3">
        <v>40</v>
      </c>
      <c r="AH95">
        <v>80</v>
      </c>
      <c r="AI95">
        <v>9</v>
      </c>
      <c r="AJ95">
        <v>0</v>
      </c>
      <c r="AL95">
        <v>0</v>
      </c>
      <c r="AM95">
        <v>1</v>
      </c>
      <c r="AN95" t="s">
        <v>768</v>
      </c>
      <c r="AO95" t="s">
        <v>41</v>
      </c>
    </row>
    <row r="96" spans="1:41" x14ac:dyDescent="0.25">
      <c r="A96">
        <v>38</v>
      </c>
      <c r="B96" t="s">
        <v>66</v>
      </c>
      <c r="C96" t="s">
        <v>33</v>
      </c>
      <c r="D96">
        <v>2</v>
      </c>
      <c r="E96" t="s">
        <v>34</v>
      </c>
      <c r="F96">
        <v>3</v>
      </c>
      <c r="G96">
        <v>1</v>
      </c>
      <c r="H96" t="s">
        <v>35</v>
      </c>
      <c r="I96">
        <v>4</v>
      </c>
      <c r="J96" t="s">
        <v>51</v>
      </c>
      <c r="K96">
        <v>1702</v>
      </c>
      <c r="L96">
        <v>1</v>
      </c>
      <c r="M96" t="s">
        <v>31</v>
      </c>
      <c r="N96">
        <v>23</v>
      </c>
      <c r="O96">
        <v>4</v>
      </c>
      <c r="P96">
        <v>1</v>
      </c>
      <c r="Q96">
        <v>1</v>
      </c>
      <c r="R96">
        <v>3</v>
      </c>
      <c r="S96">
        <v>1</v>
      </c>
      <c r="T96">
        <v>0</v>
      </c>
      <c r="U96">
        <v>0</v>
      </c>
      <c r="V96" t="s">
        <v>72</v>
      </c>
      <c r="W96" s="1" t="s">
        <v>100</v>
      </c>
      <c r="Y96" t="s">
        <v>39</v>
      </c>
      <c r="Z96" t="s">
        <v>47</v>
      </c>
      <c r="AA96">
        <v>5</v>
      </c>
      <c r="AB96">
        <v>2</v>
      </c>
      <c r="AC96" t="s">
        <v>41</v>
      </c>
      <c r="AD96" t="s">
        <v>48</v>
      </c>
      <c r="AE96" t="s">
        <v>60</v>
      </c>
      <c r="AF96" s="3">
        <v>125</v>
      </c>
      <c r="AG96" s="3">
        <v>87</v>
      </c>
      <c r="AH96">
        <v>80</v>
      </c>
      <c r="AI96">
        <v>8</v>
      </c>
      <c r="AJ96">
        <v>0</v>
      </c>
      <c r="AL96">
        <v>0</v>
      </c>
      <c r="AM96">
        <v>1</v>
      </c>
      <c r="AN96" t="s">
        <v>768</v>
      </c>
      <c r="AO96" t="s">
        <v>41</v>
      </c>
    </row>
    <row r="97" spans="1:41" x14ac:dyDescent="0.25">
      <c r="A97">
        <v>19</v>
      </c>
      <c r="B97" t="s">
        <v>32</v>
      </c>
      <c r="C97" t="s">
        <v>120</v>
      </c>
      <c r="D97">
        <v>2</v>
      </c>
      <c r="E97" t="s">
        <v>34</v>
      </c>
      <c r="F97">
        <v>2</v>
      </c>
      <c r="G97">
        <v>1</v>
      </c>
      <c r="H97" t="s">
        <v>120</v>
      </c>
      <c r="I97">
        <v>4</v>
      </c>
      <c r="J97" t="s">
        <v>36</v>
      </c>
      <c r="K97">
        <v>2564</v>
      </c>
      <c r="L97">
        <v>1</v>
      </c>
      <c r="M97" t="s">
        <v>41</v>
      </c>
      <c r="N97">
        <v>12</v>
      </c>
      <c r="O97">
        <v>3</v>
      </c>
      <c r="P97">
        <v>0</v>
      </c>
      <c r="Q97">
        <v>1</v>
      </c>
      <c r="R97">
        <v>3</v>
      </c>
      <c r="S97">
        <v>1</v>
      </c>
      <c r="T97">
        <v>0</v>
      </c>
      <c r="U97">
        <v>0</v>
      </c>
      <c r="V97" t="s">
        <v>52</v>
      </c>
      <c r="W97" s="1" t="s">
        <v>121</v>
      </c>
      <c r="Y97" t="s">
        <v>46</v>
      </c>
      <c r="Z97" t="s">
        <v>47</v>
      </c>
      <c r="AA97">
        <v>0</v>
      </c>
      <c r="AB97">
        <v>0</v>
      </c>
      <c r="AC97" t="s">
        <v>31</v>
      </c>
      <c r="AD97" t="s">
        <v>67</v>
      </c>
      <c r="AE97" t="s">
        <v>60</v>
      </c>
      <c r="AF97" s="3">
        <v>126</v>
      </c>
      <c r="AG97" s="3">
        <v>60</v>
      </c>
      <c r="AH97">
        <v>80</v>
      </c>
      <c r="AI97">
        <v>3</v>
      </c>
      <c r="AJ97">
        <v>0</v>
      </c>
      <c r="AL97">
        <v>0</v>
      </c>
      <c r="AM97">
        <v>1</v>
      </c>
      <c r="AN97" t="s">
        <v>768</v>
      </c>
      <c r="AO97" t="s">
        <v>41</v>
      </c>
    </row>
    <row r="98" spans="1:41" x14ac:dyDescent="0.25">
      <c r="A98">
        <v>57</v>
      </c>
      <c r="B98" t="s">
        <v>32</v>
      </c>
      <c r="C98" t="s">
        <v>55</v>
      </c>
      <c r="D98">
        <v>29</v>
      </c>
      <c r="E98" t="s">
        <v>34</v>
      </c>
      <c r="F98">
        <v>2</v>
      </c>
      <c r="G98">
        <v>4</v>
      </c>
      <c r="H98" t="s">
        <v>75</v>
      </c>
      <c r="I98">
        <v>4</v>
      </c>
      <c r="J98" t="s">
        <v>57</v>
      </c>
      <c r="K98">
        <v>14118</v>
      </c>
      <c r="L98">
        <v>3</v>
      </c>
      <c r="M98" t="s">
        <v>41</v>
      </c>
      <c r="N98">
        <v>12</v>
      </c>
      <c r="O98">
        <v>3</v>
      </c>
      <c r="P98">
        <v>1</v>
      </c>
      <c r="Q98">
        <v>32</v>
      </c>
      <c r="R98">
        <v>3</v>
      </c>
      <c r="S98">
        <v>1</v>
      </c>
      <c r="T98">
        <v>0</v>
      </c>
      <c r="U98">
        <v>0</v>
      </c>
      <c r="V98" t="s">
        <v>52</v>
      </c>
      <c r="W98" s="1" t="s">
        <v>122</v>
      </c>
      <c r="Y98" t="s">
        <v>46</v>
      </c>
      <c r="Z98" t="s">
        <v>47</v>
      </c>
      <c r="AA98">
        <v>2</v>
      </c>
      <c r="AB98">
        <v>3</v>
      </c>
      <c r="AC98" t="s">
        <v>41</v>
      </c>
      <c r="AD98" t="s">
        <v>67</v>
      </c>
      <c r="AE98" t="s">
        <v>43</v>
      </c>
      <c r="AF98" s="3">
        <v>128</v>
      </c>
      <c r="AG98" s="3">
        <v>33</v>
      </c>
      <c r="AH98">
        <v>80</v>
      </c>
      <c r="AI98">
        <v>2</v>
      </c>
      <c r="AJ98">
        <v>0</v>
      </c>
      <c r="AL98">
        <v>0</v>
      </c>
      <c r="AM98">
        <v>1</v>
      </c>
      <c r="AN98" t="s">
        <v>768</v>
      </c>
      <c r="AO98" t="s">
        <v>41</v>
      </c>
    </row>
    <row r="99" spans="1:41" x14ac:dyDescent="0.25">
      <c r="A99">
        <v>54</v>
      </c>
      <c r="B99" t="s">
        <v>32</v>
      </c>
      <c r="C99" t="s">
        <v>33</v>
      </c>
      <c r="D99">
        <v>8</v>
      </c>
      <c r="E99" t="s">
        <v>61</v>
      </c>
      <c r="F99">
        <v>3</v>
      </c>
      <c r="G99">
        <v>2</v>
      </c>
      <c r="H99" t="s">
        <v>35</v>
      </c>
      <c r="I99">
        <v>3</v>
      </c>
      <c r="J99" t="s">
        <v>36</v>
      </c>
      <c r="K99">
        <v>3780</v>
      </c>
      <c r="L99">
        <v>7</v>
      </c>
      <c r="M99" t="s">
        <v>41</v>
      </c>
      <c r="N99">
        <v>11</v>
      </c>
      <c r="O99">
        <v>3</v>
      </c>
      <c r="P99">
        <v>0</v>
      </c>
      <c r="Q99">
        <v>19</v>
      </c>
      <c r="R99">
        <v>3</v>
      </c>
      <c r="S99">
        <v>1</v>
      </c>
      <c r="T99">
        <v>0</v>
      </c>
      <c r="U99">
        <v>0</v>
      </c>
      <c r="V99" t="s">
        <v>37</v>
      </c>
      <c r="W99" s="1" t="s">
        <v>123</v>
      </c>
      <c r="Y99" t="s">
        <v>63</v>
      </c>
      <c r="Z99" t="s">
        <v>47</v>
      </c>
      <c r="AA99">
        <v>0</v>
      </c>
      <c r="AB99">
        <v>3</v>
      </c>
      <c r="AC99" t="s">
        <v>41</v>
      </c>
      <c r="AD99" t="s">
        <v>42</v>
      </c>
      <c r="AE99" t="s">
        <v>60</v>
      </c>
      <c r="AF99" s="3">
        <v>129</v>
      </c>
      <c r="AG99" s="3">
        <v>43</v>
      </c>
      <c r="AH99">
        <v>80</v>
      </c>
      <c r="AI99">
        <v>4</v>
      </c>
      <c r="AJ99">
        <v>0</v>
      </c>
      <c r="AL99">
        <v>0</v>
      </c>
      <c r="AM99">
        <v>1</v>
      </c>
      <c r="AN99" t="s">
        <v>768</v>
      </c>
      <c r="AO99" t="s">
        <v>41</v>
      </c>
    </row>
    <row r="100" spans="1:41" x14ac:dyDescent="0.25">
      <c r="A100">
        <v>31</v>
      </c>
      <c r="B100" t="s">
        <v>66</v>
      </c>
      <c r="C100" t="s">
        <v>33</v>
      </c>
      <c r="D100">
        <v>20</v>
      </c>
      <c r="E100" t="s">
        <v>34</v>
      </c>
      <c r="F100">
        <v>3</v>
      </c>
      <c r="G100">
        <v>3</v>
      </c>
      <c r="H100" t="s">
        <v>89</v>
      </c>
      <c r="I100">
        <v>3</v>
      </c>
      <c r="J100" t="s">
        <v>51</v>
      </c>
      <c r="K100">
        <v>9824</v>
      </c>
      <c r="L100">
        <v>3</v>
      </c>
      <c r="M100" t="s">
        <v>41</v>
      </c>
      <c r="N100">
        <v>12</v>
      </c>
      <c r="O100">
        <v>3</v>
      </c>
      <c r="P100">
        <v>0</v>
      </c>
      <c r="Q100">
        <v>12</v>
      </c>
      <c r="R100">
        <v>2</v>
      </c>
      <c r="S100">
        <v>1</v>
      </c>
      <c r="T100">
        <v>0</v>
      </c>
      <c r="U100">
        <v>0</v>
      </c>
      <c r="V100" t="s">
        <v>37</v>
      </c>
      <c r="W100" s="2">
        <v>44169</v>
      </c>
      <c r="Y100" t="s">
        <v>39</v>
      </c>
      <c r="Z100" t="s">
        <v>47</v>
      </c>
      <c r="AA100">
        <v>4</v>
      </c>
      <c r="AB100">
        <v>0</v>
      </c>
      <c r="AC100" t="s">
        <v>31</v>
      </c>
      <c r="AD100" t="s">
        <v>65</v>
      </c>
      <c r="AE100" t="s">
        <v>60</v>
      </c>
      <c r="AF100" s="3">
        <v>131</v>
      </c>
      <c r="AG100" s="3">
        <v>37</v>
      </c>
      <c r="AH100">
        <v>80</v>
      </c>
      <c r="AI100">
        <v>10</v>
      </c>
      <c r="AJ100">
        <v>0</v>
      </c>
      <c r="AL100">
        <v>0</v>
      </c>
      <c r="AM100">
        <v>1</v>
      </c>
      <c r="AN100" t="s">
        <v>768</v>
      </c>
      <c r="AO100" t="s">
        <v>41</v>
      </c>
    </row>
    <row r="101" spans="1:41" x14ac:dyDescent="0.25">
      <c r="A101">
        <v>40</v>
      </c>
      <c r="B101" t="s">
        <v>81</v>
      </c>
      <c r="C101" t="s">
        <v>55</v>
      </c>
      <c r="D101">
        <v>28</v>
      </c>
      <c r="E101" t="s">
        <v>34</v>
      </c>
      <c r="F101">
        <v>1</v>
      </c>
      <c r="G101">
        <v>3</v>
      </c>
      <c r="H101" t="s">
        <v>70</v>
      </c>
      <c r="I101">
        <v>1</v>
      </c>
      <c r="J101" t="s">
        <v>57</v>
      </c>
      <c r="K101">
        <v>10932</v>
      </c>
      <c r="L101">
        <v>3</v>
      </c>
      <c r="M101" t="s">
        <v>41</v>
      </c>
      <c r="N101">
        <v>15</v>
      </c>
      <c r="O101">
        <v>3</v>
      </c>
      <c r="P101">
        <v>1</v>
      </c>
      <c r="Q101">
        <v>20</v>
      </c>
      <c r="R101">
        <v>2</v>
      </c>
      <c r="S101">
        <v>1</v>
      </c>
      <c r="T101">
        <v>0</v>
      </c>
      <c r="U101">
        <v>1</v>
      </c>
      <c r="V101" t="s">
        <v>58</v>
      </c>
      <c r="W101" s="1" t="s">
        <v>124</v>
      </c>
      <c r="Y101" t="s">
        <v>54</v>
      </c>
      <c r="Z101" t="s">
        <v>47</v>
      </c>
      <c r="AA101">
        <v>3</v>
      </c>
      <c r="AB101">
        <v>3</v>
      </c>
      <c r="AC101" t="s">
        <v>41</v>
      </c>
      <c r="AD101" t="s">
        <v>67</v>
      </c>
      <c r="AE101" t="s">
        <v>60</v>
      </c>
      <c r="AF101" s="3">
        <v>132</v>
      </c>
      <c r="AG101" s="3">
        <v>67</v>
      </c>
      <c r="AH101">
        <v>80</v>
      </c>
      <c r="AI101">
        <v>2</v>
      </c>
      <c r="AJ101">
        <v>0</v>
      </c>
      <c r="AL101">
        <v>0</v>
      </c>
      <c r="AM101">
        <v>1</v>
      </c>
      <c r="AN101" t="s">
        <v>768</v>
      </c>
      <c r="AO101" t="s">
        <v>41</v>
      </c>
    </row>
    <row r="102" spans="1:41" x14ac:dyDescent="0.25">
      <c r="A102">
        <v>26</v>
      </c>
      <c r="B102" t="s">
        <v>32</v>
      </c>
      <c r="C102" t="s">
        <v>33</v>
      </c>
      <c r="D102">
        <v>24</v>
      </c>
      <c r="E102" t="s">
        <v>34</v>
      </c>
      <c r="F102">
        <v>1</v>
      </c>
      <c r="G102">
        <v>1</v>
      </c>
      <c r="H102" t="s">
        <v>35</v>
      </c>
      <c r="I102">
        <v>4</v>
      </c>
      <c r="J102" t="s">
        <v>36</v>
      </c>
      <c r="K102">
        <v>2340</v>
      </c>
      <c r="L102">
        <v>1</v>
      </c>
      <c r="M102" t="s">
        <v>31</v>
      </c>
      <c r="N102">
        <v>18</v>
      </c>
      <c r="O102">
        <v>3</v>
      </c>
      <c r="P102">
        <v>0</v>
      </c>
      <c r="Q102">
        <v>1</v>
      </c>
      <c r="R102">
        <v>3</v>
      </c>
      <c r="S102">
        <v>1</v>
      </c>
      <c r="T102">
        <v>0</v>
      </c>
      <c r="U102">
        <v>0</v>
      </c>
      <c r="V102" t="s">
        <v>72</v>
      </c>
      <c r="W102" s="1" t="s">
        <v>125</v>
      </c>
      <c r="Y102" t="s">
        <v>39</v>
      </c>
      <c r="Z102" t="s">
        <v>47</v>
      </c>
      <c r="AA102">
        <v>2</v>
      </c>
      <c r="AB102">
        <v>2</v>
      </c>
      <c r="AC102" t="s">
        <v>41</v>
      </c>
      <c r="AD102" t="s">
        <v>65</v>
      </c>
      <c r="AE102" t="s">
        <v>43</v>
      </c>
      <c r="AF102" s="3">
        <v>133</v>
      </c>
      <c r="AG102" s="3">
        <v>63</v>
      </c>
      <c r="AH102">
        <v>80</v>
      </c>
      <c r="AI102">
        <v>2</v>
      </c>
      <c r="AJ102">
        <v>1</v>
      </c>
      <c r="AK102">
        <v>1</v>
      </c>
      <c r="AL102">
        <v>1</v>
      </c>
      <c r="AM102">
        <v>0</v>
      </c>
      <c r="AN102" t="s">
        <v>767</v>
      </c>
      <c r="AO102" t="s">
        <v>31</v>
      </c>
    </row>
    <row r="103" spans="1:41" x14ac:dyDescent="0.25">
      <c r="A103">
        <v>38</v>
      </c>
      <c r="B103" t="s">
        <v>32</v>
      </c>
      <c r="C103" t="s">
        <v>33</v>
      </c>
      <c r="D103">
        <v>10</v>
      </c>
      <c r="E103" t="s">
        <v>61</v>
      </c>
      <c r="F103">
        <v>3</v>
      </c>
      <c r="G103">
        <v>2</v>
      </c>
      <c r="H103" t="s">
        <v>89</v>
      </c>
      <c r="I103">
        <v>3</v>
      </c>
      <c r="J103" t="s">
        <v>51</v>
      </c>
      <c r="K103">
        <v>9824</v>
      </c>
      <c r="L103">
        <v>3</v>
      </c>
      <c r="M103" t="s">
        <v>41</v>
      </c>
      <c r="N103">
        <v>19</v>
      </c>
      <c r="O103">
        <v>3</v>
      </c>
      <c r="P103">
        <v>1</v>
      </c>
      <c r="Q103">
        <v>18</v>
      </c>
      <c r="R103">
        <v>4</v>
      </c>
      <c r="S103">
        <v>1</v>
      </c>
      <c r="T103">
        <v>0</v>
      </c>
      <c r="U103">
        <v>0</v>
      </c>
      <c r="V103" t="s">
        <v>72</v>
      </c>
      <c r="W103" s="2">
        <v>43924</v>
      </c>
      <c r="Y103" t="s">
        <v>39</v>
      </c>
      <c r="Z103" t="s">
        <v>47</v>
      </c>
      <c r="AA103">
        <v>0</v>
      </c>
      <c r="AB103">
        <v>3</v>
      </c>
      <c r="AC103" t="s">
        <v>41</v>
      </c>
      <c r="AD103" t="s">
        <v>67</v>
      </c>
      <c r="AE103" t="s">
        <v>43</v>
      </c>
      <c r="AF103" s="3">
        <v>134</v>
      </c>
      <c r="AG103" s="3">
        <v>71</v>
      </c>
      <c r="AH103">
        <v>80</v>
      </c>
      <c r="AI103">
        <v>0</v>
      </c>
      <c r="AJ103">
        <v>0</v>
      </c>
      <c r="AL103">
        <v>0</v>
      </c>
      <c r="AM103">
        <v>1</v>
      </c>
      <c r="AN103" t="s">
        <v>768</v>
      </c>
      <c r="AO103" t="s">
        <v>41</v>
      </c>
    </row>
    <row r="104" spans="1:41" x14ac:dyDescent="0.25">
      <c r="A104">
        <v>24</v>
      </c>
      <c r="B104" t="s">
        <v>32</v>
      </c>
      <c r="C104" t="s">
        <v>33</v>
      </c>
      <c r="D104">
        <v>17</v>
      </c>
      <c r="E104" t="s">
        <v>34</v>
      </c>
      <c r="F104">
        <v>2</v>
      </c>
      <c r="G104">
        <v>1</v>
      </c>
      <c r="H104" t="s">
        <v>35</v>
      </c>
      <c r="I104">
        <v>2</v>
      </c>
      <c r="J104" t="s">
        <v>51</v>
      </c>
      <c r="K104">
        <v>2127</v>
      </c>
      <c r="L104">
        <v>1</v>
      </c>
      <c r="M104" t="s">
        <v>41</v>
      </c>
      <c r="N104">
        <v>21</v>
      </c>
      <c r="O104">
        <v>4</v>
      </c>
      <c r="P104">
        <v>1</v>
      </c>
      <c r="Q104">
        <v>1</v>
      </c>
      <c r="R104">
        <v>2</v>
      </c>
      <c r="S104">
        <v>1</v>
      </c>
      <c r="T104">
        <v>0</v>
      </c>
      <c r="U104">
        <v>0</v>
      </c>
      <c r="V104" t="s">
        <v>58</v>
      </c>
      <c r="W104" s="1" t="s">
        <v>126</v>
      </c>
      <c r="Y104" t="s">
        <v>46</v>
      </c>
      <c r="Z104" t="s">
        <v>40</v>
      </c>
      <c r="AA104">
        <v>5</v>
      </c>
      <c r="AB104">
        <v>3</v>
      </c>
      <c r="AC104" t="s">
        <v>31</v>
      </c>
      <c r="AD104" t="s">
        <v>65</v>
      </c>
      <c r="AE104" t="s">
        <v>60</v>
      </c>
      <c r="AF104" s="3">
        <v>137</v>
      </c>
      <c r="AG104" s="3">
        <v>66</v>
      </c>
      <c r="AH104">
        <v>80</v>
      </c>
      <c r="AI104">
        <v>0</v>
      </c>
      <c r="AJ104">
        <v>1</v>
      </c>
      <c r="AK104">
        <v>1</v>
      </c>
      <c r="AL104">
        <v>1</v>
      </c>
      <c r="AM104">
        <v>0</v>
      </c>
      <c r="AN104" t="s">
        <v>767</v>
      </c>
      <c r="AO104" t="s">
        <v>31</v>
      </c>
    </row>
    <row r="105" spans="1:41" x14ac:dyDescent="0.25">
      <c r="A105">
        <v>30</v>
      </c>
      <c r="B105" t="s">
        <v>66</v>
      </c>
      <c r="C105" t="s">
        <v>55</v>
      </c>
      <c r="D105">
        <v>12</v>
      </c>
      <c r="E105" t="s">
        <v>34</v>
      </c>
      <c r="F105">
        <v>2</v>
      </c>
      <c r="G105">
        <v>1</v>
      </c>
      <c r="H105" t="s">
        <v>56</v>
      </c>
      <c r="I105">
        <v>1</v>
      </c>
      <c r="J105" t="s">
        <v>51</v>
      </c>
      <c r="K105">
        <v>2033</v>
      </c>
      <c r="L105">
        <v>1</v>
      </c>
      <c r="M105" t="s">
        <v>41</v>
      </c>
      <c r="N105">
        <v>18</v>
      </c>
      <c r="O105">
        <v>3</v>
      </c>
      <c r="P105">
        <v>1</v>
      </c>
      <c r="Q105">
        <v>1</v>
      </c>
      <c r="R105">
        <v>2</v>
      </c>
      <c r="S105">
        <v>1</v>
      </c>
      <c r="T105">
        <v>0</v>
      </c>
      <c r="U105">
        <v>0</v>
      </c>
      <c r="V105" t="s">
        <v>37</v>
      </c>
      <c r="W105" s="1" t="s">
        <v>121</v>
      </c>
      <c r="Y105" t="s">
        <v>39</v>
      </c>
      <c r="Z105" t="s">
        <v>47</v>
      </c>
      <c r="AA105">
        <v>4</v>
      </c>
      <c r="AB105">
        <v>3</v>
      </c>
      <c r="AC105" t="s">
        <v>31</v>
      </c>
      <c r="AD105" t="s">
        <v>42</v>
      </c>
      <c r="AE105" t="s">
        <v>43</v>
      </c>
      <c r="AF105" s="3">
        <v>138</v>
      </c>
      <c r="AG105" s="3">
        <v>41</v>
      </c>
      <c r="AH105">
        <v>80</v>
      </c>
      <c r="AI105">
        <v>13</v>
      </c>
      <c r="AJ105">
        <v>0</v>
      </c>
      <c r="AL105">
        <v>0</v>
      </c>
      <c r="AM105">
        <v>1</v>
      </c>
      <c r="AN105" t="s">
        <v>768</v>
      </c>
      <c r="AO105" t="s">
        <v>41</v>
      </c>
    </row>
    <row r="106" spans="1:41" x14ac:dyDescent="0.25">
      <c r="A106">
        <v>20</v>
      </c>
      <c r="B106" t="s">
        <v>32</v>
      </c>
      <c r="C106" t="s">
        <v>33</v>
      </c>
      <c r="D106">
        <v>1</v>
      </c>
      <c r="E106" t="s">
        <v>61</v>
      </c>
      <c r="F106">
        <v>2</v>
      </c>
      <c r="G106">
        <v>1</v>
      </c>
      <c r="H106" t="s">
        <v>44</v>
      </c>
      <c r="I106">
        <v>2</v>
      </c>
      <c r="J106" t="s">
        <v>36</v>
      </c>
      <c r="K106">
        <v>2836</v>
      </c>
      <c r="L106">
        <v>1</v>
      </c>
      <c r="M106" t="s">
        <v>41</v>
      </c>
      <c r="N106">
        <v>13</v>
      </c>
      <c r="O106">
        <v>3</v>
      </c>
      <c r="P106">
        <v>0</v>
      </c>
      <c r="Q106">
        <v>1</v>
      </c>
      <c r="R106">
        <v>0</v>
      </c>
      <c r="S106">
        <v>1</v>
      </c>
      <c r="T106">
        <v>0</v>
      </c>
      <c r="U106">
        <v>0</v>
      </c>
      <c r="V106" t="s">
        <v>72</v>
      </c>
      <c r="W106" s="2">
        <v>44048</v>
      </c>
      <c r="Y106" t="s">
        <v>39</v>
      </c>
      <c r="Z106" t="s">
        <v>47</v>
      </c>
      <c r="AA106">
        <v>0</v>
      </c>
      <c r="AB106">
        <v>2</v>
      </c>
      <c r="AC106" t="s">
        <v>41</v>
      </c>
      <c r="AD106" t="s">
        <v>65</v>
      </c>
      <c r="AE106" t="s">
        <v>49</v>
      </c>
      <c r="AF106" s="3">
        <v>139</v>
      </c>
      <c r="AG106" s="3">
        <v>100</v>
      </c>
      <c r="AH106">
        <v>80</v>
      </c>
      <c r="AI106">
        <v>0</v>
      </c>
      <c r="AJ106">
        <v>0</v>
      </c>
      <c r="AL106">
        <v>0</v>
      </c>
      <c r="AM106">
        <v>1</v>
      </c>
      <c r="AN106" t="s">
        <v>768</v>
      </c>
      <c r="AO106" t="s">
        <v>41</v>
      </c>
    </row>
    <row r="107" spans="1:41" x14ac:dyDescent="0.25">
      <c r="A107">
        <v>43</v>
      </c>
      <c r="B107" t="s">
        <v>32</v>
      </c>
      <c r="C107" t="s">
        <v>33</v>
      </c>
      <c r="D107">
        <v>6</v>
      </c>
      <c r="E107" t="s">
        <v>34</v>
      </c>
      <c r="F107">
        <v>2</v>
      </c>
      <c r="G107">
        <v>4</v>
      </c>
      <c r="H107" t="s">
        <v>50</v>
      </c>
      <c r="I107">
        <v>4</v>
      </c>
      <c r="J107" t="s">
        <v>57</v>
      </c>
      <c r="K107">
        <v>16627</v>
      </c>
      <c r="L107">
        <v>4</v>
      </c>
      <c r="M107" t="s">
        <v>31</v>
      </c>
      <c r="N107">
        <v>14</v>
      </c>
      <c r="O107">
        <v>3</v>
      </c>
      <c r="P107">
        <v>1</v>
      </c>
      <c r="Q107">
        <v>21</v>
      </c>
      <c r="R107">
        <v>3</v>
      </c>
      <c r="S107">
        <v>1</v>
      </c>
      <c r="T107">
        <v>0</v>
      </c>
      <c r="U107">
        <v>0</v>
      </c>
      <c r="V107" t="s">
        <v>72</v>
      </c>
      <c r="W107" s="1" t="s">
        <v>127</v>
      </c>
      <c r="Y107" t="s">
        <v>54</v>
      </c>
      <c r="Z107" t="s">
        <v>47</v>
      </c>
      <c r="AA107">
        <v>4</v>
      </c>
      <c r="AB107">
        <v>3</v>
      </c>
      <c r="AC107" t="s">
        <v>41</v>
      </c>
      <c r="AD107" t="s">
        <v>42</v>
      </c>
      <c r="AE107" t="s">
        <v>43</v>
      </c>
      <c r="AF107" s="3">
        <v>140</v>
      </c>
      <c r="AG107" s="3">
        <v>32</v>
      </c>
      <c r="AH107">
        <v>80</v>
      </c>
      <c r="AI107">
        <v>2</v>
      </c>
      <c r="AJ107">
        <v>0</v>
      </c>
      <c r="AL107">
        <v>0</v>
      </c>
      <c r="AM107">
        <v>1</v>
      </c>
      <c r="AN107" t="s">
        <v>768</v>
      </c>
      <c r="AO107" t="s">
        <v>41</v>
      </c>
    </row>
    <row r="108" spans="1:41" x14ac:dyDescent="0.25">
      <c r="A108">
        <v>30</v>
      </c>
      <c r="B108" t="s">
        <v>66</v>
      </c>
      <c r="C108" t="s">
        <v>33</v>
      </c>
      <c r="D108">
        <v>3</v>
      </c>
      <c r="E108" t="s">
        <v>61</v>
      </c>
      <c r="F108">
        <v>3</v>
      </c>
      <c r="G108">
        <v>1</v>
      </c>
      <c r="H108" t="s">
        <v>44</v>
      </c>
      <c r="I108">
        <v>3</v>
      </c>
      <c r="J108" t="s">
        <v>57</v>
      </c>
      <c r="K108">
        <v>2083</v>
      </c>
      <c r="L108">
        <v>1</v>
      </c>
      <c r="M108" t="s">
        <v>41</v>
      </c>
      <c r="N108">
        <v>20</v>
      </c>
      <c r="O108">
        <v>4</v>
      </c>
      <c r="P108">
        <v>1</v>
      </c>
      <c r="Q108">
        <v>1</v>
      </c>
      <c r="R108">
        <v>2</v>
      </c>
      <c r="S108">
        <v>1</v>
      </c>
      <c r="T108">
        <v>0</v>
      </c>
      <c r="U108">
        <v>0</v>
      </c>
      <c r="V108" t="s">
        <v>37</v>
      </c>
      <c r="W108" s="1" t="s">
        <v>128</v>
      </c>
      <c r="Y108" t="s">
        <v>69</v>
      </c>
      <c r="Z108" t="s">
        <v>47</v>
      </c>
      <c r="AA108">
        <v>4</v>
      </c>
      <c r="AB108">
        <v>0</v>
      </c>
      <c r="AC108" t="s">
        <v>31</v>
      </c>
      <c r="AD108" t="s">
        <v>67</v>
      </c>
      <c r="AE108" t="s">
        <v>60</v>
      </c>
      <c r="AF108" s="3">
        <v>141</v>
      </c>
      <c r="AG108" s="3">
        <v>73</v>
      </c>
      <c r="AH108">
        <v>80</v>
      </c>
      <c r="AI108">
        <v>3</v>
      </c>
      <c r="AJ108">
        <v>0</v>
      </c>
      <c r="AL108">
        <v>0</v>
      </c>
      <c r="AM108">
        <v>1</v>
      </c>
      <c r="AN108" t="s">
        <v>768</v>
      </c>
      <c r="AO108" t="s">
        <v>41</v>
      </c>
    </row>
    <row r="109" spans="1:41" x14ac:dyDescent="0.25">
      <c r="A109">
        <v>45</v>
      </c>
      <c r="B109" t="s">
        <v>66</v>
      </c>
      <c r="C109" t="s">
        <v>55</v>
      </c>
      <c r="D109">
        <v>26</v>
      </c>
      <c r="E109" t="s">
        <v>61</v>
      </c>
      <c r="F109">
        <v>3</v>
      </c>
      <c r="G109">
        <v>2</v>
      </c>
      <c r="H109" t="s">
        <v>70</v>
      </c>
      <c r="I109">
        <v>1</v>
      </c>
      <c r="J109" t="s">
        <v>51</v>
      </c>
      <c r="K109">
        <v>4286</v>
      </c>
      <c r="L109">
        <v>2</v>
      </c>
      <c r="M109" t="s">
        <v>41</v>
      </c>
      <c r="N109">
        <v>14</v>
      </c>
      <c r="O109">
        <v>3</v>
      </c>
      <c r="P109">
        <v>2</v>
      </c>
      <c r="Q109">
        <v>5</v>
      </c>
      <c r="R109">
        <v>4</v>
      </c>
      <c r="S109">
        <v>1</v>
      </c>
      <c r="T109">
        <v>0</v>
      </c>
      <c r="U109">
        <v>0</v>
      </c>
      <c r="V109" t="s">
        <v>52</v>
      </c>
      <c r="W109" s="1" t="s">
        <v>129</v>
      </c>
      <c r="Y109" t="s">
        <v>54</v>
      </c>
      <c r="Z109" t="s">
        <v>40</v>
      </c>
      <c r="AA109">
        <v>0</v>
      </c>
      <c r="AB109">
        <v>3</v>
      </c>
      <c r="AC109" t="s">
        <v>31</v>
      </c>
      <c r="AD109" t="s">
        <v>65</v>
      </c>
      <c r="AE109" t="s">
        <v>43</v>
      </c>
      <c r="AF109" s="3">
        <v>142</v>
      </c>
      <c r="AG109" s="3">
        <v>46</v>
      </c>
      <c r="AH109">
        <v>80</v>
      </c>
      <c r="AI109">
        <v>4</v>
      </c>
      <c r="AJ109">
        <v>1</v>
      </c>
      <c r="AK109">
        <v>1</v>
      </c>
      <c r="AL109">
        <v>1</v>
      </c>
      <c r="AM109">
        <v>0</v>
      </c>
      <c r="AN109" t="s">
        <v>767</v>
      </c>
      <c r="AO109" t="s">
        <v>31</v>
      </c>
    </row>
    <row r="110" spans="1:41" x14ac:dyDescent="0.25">
      <c r="A110">
        <v>20</v>
      </c>
      <c r="B110" t="s">
        <v>32</v>
      </c>
      <c r="C110" t="s">
        <v>33</v>
      </c>
      <c r="D110">
        <v>10</v>
      </c>
      <c r="E110" t="s">
        <v>34</v>
      </c>
      <c r="F110">
        <v>3</v>
      </c>
      <c r="G110">
        <v>1</v>
      </c>
      <c r="H110" t="s">
        <v>44</v>
      </c>
      <c r="I110">
        <v>3</v>
      </c>
      <c r="J110" t="s">
        <v>36</v>
      </c>
      <c r="K110">
        <v>1009</v>
      </c>
      <c r="L110">
        <v>1</v>
      </c>
      <c r="M110" t="s">
        <v>31</v>
      </c>
      <c r="N110">
        <v>11</v>
      </c>
      <c r="O110">
        <v>3</v>
      </c>
      <c r="P110">
        <v>0</v>
      </c>
      <c r="Q110">
        <v>1</v>
      </c>
      <c r="R110">
        <v>5</v>
      </c>
      <c r="S110">
        <v>1</v>
      </c>
      <c r="T110">
        <v>1</v>
      </c>
      <c r="U110">
        <v>1</v>
      </c>
      <c r="V110" t="s">
        <v>37</v>
      </c>
      <c r="W110" s="2">
        <v>44080</v>
      </c>
      <c r="Y110" t="s">
        <v>39</v>
      </c>
      <c r="Z110" t="s">
        <v>40</v>
      </c>
      <c r="AA110">
        <v>1</v>
      </c>
      <c r="AB110">
        <v>3</v>
      </c>
      <c r="AC110" t="s">
        <v>41</v>
      </c>
      <c r="AD110" t="s">
        <v>65</v>
      </c>
      <c r="AE110" t="s">
        <v>60</v>
      </c>
      <c r="AF110" s="3">
        <v>143</v>
      </c>
      <c r="AG110" s="3">
        <v>64</v>
      </c>
      <c r="AH110">
        <v>80</v>
      </c>
      <c r="AI110">
        <v>2</v>
      </c>
      <c r="AJ110">
        <v>0</v>
      </c>
      <c r="AL110">
        <v>0</v>
      </c>
      <c r="AM110">
        <v>1</v>
      </c>
      <c r="AN110" t="s">
        <v>768</v>
      </c>
      <c r="AO110" t="s">
        <v>41</v>
      </c>
    </row>
    <row r="111" spans="1:41" x14ac:dyDescent="0.25">
      <c r="A111">
        <v>35</v>
      </c>
      <c r="B111" t="s">
        <v>81</v>
      </c>
      <c r="C111" t="s">
        <v>33</v>
      </c>
      <c r="D111">
        <v>3</v>
      </c>
      <c r="E111" t="s">
        <v>34</v>
      </c>
      <c r="F111">
        <v>2</v>
      </c>
      <c r="G111">
        <v>1</v>
      </c>
      <c r="H111" t="s">
        <v>35</v>
      </c>
      <c r="I111">
        <v>3</v>
      </c>
      <c r="J111" t="s">
        <v>51</v>
      </c>
      <c r="K111">
        <v>1281</v>
      </c>
      <c r="L111">
        <v>1</v>
      </c>
      <c r="M111" t="s">
        <v>41</v>
      </c>
      <c r="N111">
        <v>18</v>
      </c>
      <c r="O111">
        <v>3</v>
      </c>
      <c r="P111">
        <v>2</v>
      </c>
      <c r="Q111">
        <v>1</v>
      </c>
      <c r="R111">
        <v>3</v>
      </c>
      <c r="S111">
        <v>1</v>
      </c>
      <c r="T111">
        <v>0</v>
      </c>
      <c r="U111">
        <v>0</v>
      </c>
      <c r="V111" t="s">
        <v>37</v>
      </c>
      <c r="W111" s="1" t="s">
        <v>130</v>
      </c>
      <c r="Y111" t="s">
        <v>39</v>
      </c>
      <c r="Z111" t="s">
        <v>47</v>
      </c>
      <c r="AA111">
        <v>0</v>
      </c>
      <c r="AB111">
        <v>1</v>
      </c>
      <c r="AC111" t="s">
        <v>31</v>
      </c>
      <c r="AD111" t="s">
        <v>42</v>
      </c>
      <c r="AE111" t="s">
        <v>60</v>
      </c>
      <c r="AF111" s="3">
        <v>144</v>
      </c>
      <c r="AG111" s="3">
        <v>59</v>
      </c>
      <c r="AH111">
        <v>80</v>
      </c>
      <c r="AI111">
        <v>0</v>
      </c>
      <c r="AJ111">
        <v>0</v>
      </c>
      <c r="AL111">
        <v>0</v>
      </c>
      <c r="AM111">
        <v>1</v>
      </c>
      <c r="AN111" t="s">
        <v>768</v>
      </c>
      <c r="AO111" t="s">
        <v>41</v>
      </c>
    </row>
    <row r="112" spans="1:41" x14ac:dyDescent="0.25">
      <c r="A112">
        <v>37</v>
      </c>
      <c r="B112" t="s">
        <v>32</v>
      </c>
      <c r="C112" t="s">
        <v>33</v>
      </c>
      <c r="D112">
        <v>10</v>
      </c>
      <c r="E112" t="s">
        <v>34</v>
      </c>
      <c r="F112">
        <v>4</v>
      </c>
      <c r="G112">
        <v>1</v>
      </c>
      <c r="H112" t="s">
        <v>44</v>
      </c>
      <c r="I112">
        <v>4</v>
      </c>
      <c r="J112" t="s">
        <v>36</v>
      </c>
      <c r="K112">
        <v>4680</v>
      </c>
      <c r="L112">
        <v>3</v>
      </c>
      <c r="M112" t="s">
        <v>41</v>
      </c>
      <c r="N112">
        <v>17</v>
      </c>
      <c r="O112">
        <v>3</v>
      </c>
      <c r="P112">
        <v>0</v>
      </c>
      <c r="Q112">
        <v>4</v>
      </c>
      <c r="R112">
        <v>2</v>
      </c>
      <c r="S112">
        <v>1</v>
      </c>
      <c r="T112">
        <v>0</v>
      </c>
      <c r="U112">
        <v>0</v>
      </c>
      <c r="V112" t="s">
        <v>37</v>
      </c>
      <c r="W112" s="2">
        <v>43925</v>
      </c>
      <c r="Y112" t="s">
        <v>46</v>
      </c>
      <c r="Z112" t="s">
        <v>47</v>
      </c>
      <c r="AA112">
        <v>5</v>
      </c>
      <c r="AB112">
        <v>3</v>
      </c>
      <c r="AC112" t="s">
        <v>31</v>
      </c>
      <c r="AD112" t="s">
        <v>48</v>
      </c>
      <c r="AE112" t="s">
        <v>60</v>
      </c>
      <c r="AF112" s="3">
        <v>145</v>
      </c>
      <c r="AG112" s="3">
        <v>30</v>
      </c>
      <c r="AH112">
        <v>80</v>
      </c>
      <c r="AI112">
        <v>12</v>
      </c>
      <c r="AJ112">
        <v>0</v>
      </c>
      <c r="AL112">
        <v>0</v>
      </c>
      <c r="AM112">
        <v>1</v>
      </c>
      <c r="AN112" t="s">
        <v>768</v>
      </c>
      <c r="AO112" t="s">
        <v>41</v>
      </c>
    </row>
    <row r="113" spans="1:41" x14ac:dyDescent="0.25">
      <c r="A113">
        <v>38</v>
      </c>
      <c r="B113" t="s">
        <v>32</v>
      </c>
      <c r="C113" t="s">
        <v>33</v>
      </c>
      <c r="D113">
        <v>1</v>
      </c>
      <c r="E113" t="s">
        <v>61</v>
      </c>
      <c r="F113">
        <v>3</v>
      </c>
      <c r="G113">
        <v>3</v>
      </c>
      <c r="H113" t="s">
        <v>78</v>
      </c>
      <c r="I113">
        <v>3</v>
      </c>
      <c r="J113" t="s">
        <v>36</v>
      </c>
      <c r="K113">
        <v>7861</v>
      </c>
      <c r="L113">
        <v>4</v>
      </c>
      <c r="M113" t="s">
        <v>31</v>
      </c>
      <c r="N113">
        <v>14</v>
      </c>
      <c r="O113">
        <v>3</v>
      </c>
      <c r="P113">
        <v>0</v>
      </c>
      <c r="Q113">
        <v>10</v>
      </c>
      <c r="R113">
        <v>4</v>
      </c>
      <c r="S113">
        <v>1</v>
      </c>
      <c r="T113">
        <v>0</v>
      </c>
      <c r="U113">
        <v>0</v>
      </c>
      <c r="V113" t="s">
        <v>52</v>
      </c>
      <c r="W113" s="2">
        <v>44171</v>
      </c>
      <c r="Y113" t="s">
        <v>63</v>
      </c>
      <c r="Z113" t="s">
        <v>40</v>
      </c>
      <c r="AA113">
        <v>4</v>
      </c>
      <c r="AB113">
        <v>2</v>
      </c>
      <c r="AC113" t="s">
        <v>41</v>
      </c>
      <c r="AD113" t="s">
        <v>42</v>
      </c>
      <c r="AE113" t="s">
        <v>43</v>
      </c>
      <c r="AF113" s="3">
        <v>147</v>
      </c>
      <c r="AG113" s="3">
        <v>66</v>
      </c>
      <c r="AH113">
        <v>80</v>
      </c>
      <c r="AI113">
        <v>7</v>
      </c>
      <c r="AJ113">
        <v>1</v>
      </c>
      <c r="AK113">
        <v>1</v>
      </c>
      <c r="AL113">
        <v>1</v>
      </c>
      <c r="AM113">
        <v>0</v>
      </c>
      <c r="AN113" t="s">
        <v>767</v>
      </c>
      <c r="AO113" t="s">
        <v>31</v>
      </c>
    </row>
    <row r="114" spans="1:41" x14ac:dyDescent="0.25">
      <c r="A114">
        <v>29</v>
      </c>
      <c r="B114" t="s">
        <v>32</v>
      </c>
      <c r="C114" t="s">
        <v>55</v>
      </c>
      <c r="D114">
        <v>10</v>
      </c>
      <c r="E114" t="s">
        <v>34</v>
      </c>
      <c r="F114">
        <v>3</v>
      </c>
      <c r="G114">
        <v>1</v>
      </c>
      <c r="H114" t="s">
        <v>56</v>
      </c>
      <c r="I114">
        <v>3</v>
      </c>
      <c r="J114" t="s">
        <v>36</v>
      </c>
      <c r="K114">
        <v>2642</v>
      </c>
      <c r="L114">
        <v>1</v>
      </c>
      <c r="M114" t="s">
        <v>41</v>
      </c>
      <c r="N114">
        <v>11</v>
      </c>
      <c r="O114">
        <v>3</v>
      </c>
      <c r="P114">
        <v>0</v>
      </c>
      <c r="Q114">
        <v>1</v>
      </c>
      <c r="R114">
        <v>6</v>
      </c>
      <c r="S114">
        <v>1</v>
      </c>
      <c r="T114">
        <v>0</v>
      </c>
      <c r="U114">
        <v>0</v>
      </c>
      <c r="V114" t="s">
        <v>72</v>
      </c>
      <c r="W114" s="1" t="s">
        <v>95</v>
      </c>
      <c r="Y114" t="s">
        <v>39</v>
      </c>
      <c r="Z114" t="s">
        <v>47</v>
      </c>
      <c r="AA114">
        <v>5</v>
      </c>
      <c r="AB114">
        <v>2</v>
      </c>
      <c r="AC114" t="s">
        <v>41</v>
      </c>
      <c r="AD114" t="s">
        <v>42</v>
      </c>
      <c r="AE114" t="s">
        <v>43</v>
      </c>
      <c r="AF114" s="3">
        <v>148</v>
      </c>
      <c r="AG114" s="3">
        <v>30</v>
      </c>
      <c r="AH114">
        <v>80</v>
      </c>
      <c r="AI114">
        <v>3</v>
      </c>
      <c r="AJ114">
        <v>0</v>
      </c>
      <c r="AL114">
        <v>0</v>
      </c>
      <c r="AM114">
        <v>1</v>
      </c>
      <c r="AN114" t="s">
        <v>768</v>
      </c>
      <c r="AO114" t="s">
        <v>41</v>
      </c>
    </row>
    <row r="115" spans="1:41" x14ac:dyDescent="0.25">
      <c r="A115">
        <v>35</v>
      </c>
      <c r="B115" t="s">
        <v>81</v>
      </c>
      <c r="C115" t="s">
        <v>33</v>
      </c>
      <c r="D115">
        <v>2</v>
      </c>
      <c r="E115" t="s">
        <v>61</v>
      </c>
      <c r="F115">
        <v>3</v>
      </c>
      <c r="G115">
        <v>2</v>
      </c>
      <c r="H115" t="s">
        <v>89</v>
      </c>
      <c r="I115">
        <v>1</v>
      </c>
      <c r="J115" t="s">
        <v>57</v>
      </c>
      <c r="K115">
        <v>5093</v>
      </c>
      <c r="L115">
        <v>2</v>
      </c>
      <c r="M115" t="s">
        <v>41</v>
      </c>
      <c r="N115">
        <v>11</v>
      </c>
      <c r="O115">
        <v>3</v>
      </c>
      <c r="P115">
        <v>1</v>
      </c>
      <c r="Q115">
        <v>16</v>
      </c>
      <c r="R115">
        <v>2</v>
      </c>
      <c r="S115">
        <v>1</v>
      </c>
      <c r="T115">
        <v>0</v>
      </c>
      <c r="U115">
        <v>0</v>
      </c>
      <c r="V115" t="s">
        <v>52</v>
      </c>
      <c r="W115" s="1" t="s">
        <v>131</v>
      </c>
      <c r="Y115" t="s">
        <v>46</v>
      </c>
      <c r="Z115" t="s">
        <v>47</v>
      </c>
      <c r="AA115">
        <v>0</v>
      </c>
      <c r="AB115">
        <v>0</v>
      </c>
      <c r="AC115" t="s">
        <v>41</v>
      </c>
      <c r="AD115" t="s">
        <v>67</v>
      </c>
      <c r="AE115" t="s">
        <v>49</v>
      </c>
      <c r="AF115" s="3">
        <v>150</v>
      </c>
      <c r="AG115" s="3">
        <v>52</v>
      </c>
      <c r="AH115">
        <v>80</v>
      </c>
      <c r="AI115">
        <v>3</v>
      </c>
      <c r="AJ115">
        <v>0</v>
      </c>
      <c r="AL115">
        <v>0</v>
      </c>
      <c r="AM115">
        <v>1</v>
      </c>
      <c r="AN115" t="s">
        <v>768</v>
      </c>
      <c r="AO115" t="s">
        <v>41</v>
      </c>
    </row>
    <row r="116" spans="1:41" x14ac:dyDescent="0.25">
      <c r="A116">
        <v>38</v>
      </c>
      <c r="B116" t="s">
        <v>32</v>
      </c>
      <c r="C116" t="s">
        <v>33</v>
      </c>
      <c r="D116">
        <v>2</v>
      </c>
      <c r="E116" t="s">
        <v>34</v>
      </c>
      <c r="F116">
        <v>3</v>
      </c>
      <c r="G116">
        <v>1</v>
      </c>
      <c r="H116" t="s">
        <v>44</v>
      </c>
      <c r="I116">
        <v>3</v>
      </c>
      <c r="J116" t="s">
        <v>51</v>
      </c>
      <c r="K116">
        <v>3057</v>
      </c>
      <c r="L116">
        <v>6</v>
      </c>
      <c r="M116" t="s">
        <v>31</v>
      </c>
      <c r="N116">
        <v>13</v>
      </c>
      <c r="O116">
        <v>3</v>
      </c>
      <c r="P116">
        <v>1</v>
      </c>
      <c r="Q116">
        <v>6</v>
      </c>
      <c r="R116">
        <v>0</v>
      </c>
      <c r="S116">
        <v>1</v>
      </c>
      <c r="T116">
        <v>0</v>
      </c>
      <c r="U116">
        <v>1</v>
      </c>
      <c r="V116" t="s">
        <v>52</v>
      </c>
      <c r="W116" s="2">
        <v>43925</v>
      </c>
      <c r="Y116" t="s">
        <v>63</v>
      </c>
      <c r="Z116" t="s">
        <v>40</v>
      </c>
      <c r="AA116">
        <v>1</v>
      </c>
      <c r="AB116">
        <v>0</v>
      </c>
      <c r="AC116" t="s">
        <v>41</v>
      </c>
      <c r="AD116" t="s">
        <v>67</v>
      </c>
      <c r="AE116" t="s">
        <v>60</v>
      </c>
      <c r="AF116" s="3">
        <v>151</v>
      </c>
      <c r="AG116" s="3">
        <v>45</v>
      </c>
      <c r="AH116">
        <v>80</v>
      </c>
      <c r="AI116">
        <v>0</v>
      </c>
      <c r="AJ116">
        <v>0</v>
      </c>
      <c r="AL116">
        <v>0</v>
      </c>
      <c r="AM116">
        <v>1</v>
      </c>
      <c r="AN116" t="s">
        <v>768</v>
      </c>
      <c r="AO116" t="s">
        <v>41</v>
      </c>
    </row>
    <row r="117" spans="1:41" x14ac:dyDescent="0.25">
      <c r="A117">
        <v>24</v>
      </c>
      <c r="B117" t="s">
        <v>81</v>
      </c>
      <c r="C117" t="s">
        <v>33</v>
      </c>
      <c r="D117">
        <v>9</v>
      </c>
      <c r="E117" t="s">
        <v>34</v>
      </c>
      <c r="F117">
        <v>2</v>
      </c>
      <c r="G117">
        <v>1</v>
      </c>
      <c r="H117" t="s">
        <v>35</v>
      </c>
      <c r="I117">
        <v>2</v>
      </c>
      <c r="J117" t="s">
        <v>57</v>
      </c>
      <c r="K117">
        <v>2694</v>
      </c>
      <c r="L117">
        <v>1</v>
      </c>
      <c r="M117" t="s">
        <v>41</v>
      </c>
      <c r="N117">
        <v>11</v>
      </c>
      <c r="O117">
        <v>3</v>
      </c>
      <c r="P117">
        <v>3</v>
      </c>
      <c r="Q117">
        <v>1</v>
      </c>
      <c r="R117">
        <v>4</v>
      </c>
      <c r="S117">
        <v>1</v>
      </c>
      <c r="T117">
        <v>0</v>
      </c>
      <c r="U117">
        <v>0</v>
      </c>
      <c r="V117" t="s">
        <v>37</v>
      </c>
      <c r="W117" s="2">
        <v>44110</v>
      </c>
      <c r="Y117" t="s">
        <v>69</v>
      </c>
      <c r="Z117" t="s">
        <v>40</v>
      </c>
      <c r="AA117">
        <v>3</v>
      </c>
      <c r="AB117">
        <v>2</v>
      </c>
      <c r="AC117" t="s">
        <v>41</v>
      </c>
      <c r="AD117" t="s">
        <v>42</v>
      </c>
      <c r="AE117" t="s">
        <v>49</v>
      </c>
      <c r="AF117" s="3">
        <v>152</v>
      </c>
      <c r="AG117" s="3">
        <v>87</v>
      </c>
      <c r="AH117">
        <v>80</v>
      </c>
      <c r="AI117">
        <v>3</v>
      </c>
      <c r="AJ117">
        <v>0</v>
      </c>
      <c r="AL117">
        <v>0</v>
      </c>
      <c r="AM117">
        <v>1</v>
      </c>
      <c r="AN117" t="s">
        <v>768</v>
      </c>
      <c r="AO117" t="s">
        <v>41</v>
      </c>
    </row>
    <row r="118" spans="1:41" x14ac:dyDescent="0.25">
      <c r="A118">
        <v>29</v>
      </c>
      <c r="B118" t="s">
        <v>32</v>
      </c>
      <c r="C118" t="s">
        <v>33</v>
      </c>
      <c r="D118">
        <v>1</v>
      </c>
      <c r="E118" t="s">
        <v>61</v>
      </c>
      <c r="F118">
        <v>2</v>
      </c>
      <c r="G118">
        <v>1</v>
      </c>
      <c r="H118" t="s">
        <v>35</v>
      </c>
      <c r="I118">
        <v>1</v>
      </c>
      <c r="J118" t="s">
        <v>51</v>
      </c>
      <c r="K118">
        <v>2319</v>
      </c>
      <c r="L118">
        <v>1</v>
      </c>
      <c r="M118" t="s">
        <v>31</v>
      </c>
      <c r="N118">
        <v>11</v>
      </c>
      <c r="O118">
        <v>3</v>
      </c>
      <c r="P118">
        <v>1</v>
      </c>
      <c r="Q118">
        <v>1</v>
      </c>
      <c r="R118">
        <v>1</v>
      </c>
      <c r="S118">
        <v>1</v>
      </c>
      <c r="T118">
        <v>0</v>
      </c>
      <c r="U118">
        <v>0</v>
      </c>
      <c r="V118" t="s">
        <v>52</v>
      </c>
      <c r="W118" s="1" t="s">
        <v>132</v>
      </c>
      <c r="Y118" t="s">
        <v>39</v>
      </c>
      <c r="Z118" t="s">
        <v>40</v>
      </c>
      <c r="AA118">
        <v>3</v>
      </c>
      <c r="AB118">
        <v>1</v>
      </c>
      <c r="AC118" t="s">
        <v>41</v>
      </c>
      <c r="AD118" t="s">
        <v>67</v>
      </c>
      <c r="AE118" t="s">
        <v>49</v>
      </c>
      <c r="AF118" s="3">
        <v>153</v>
      </c>
      <c r="AG118" s="3">
        <v>45</v>
      </c>
      <c r="AH118">
        <v>80</v>
      </c>
      <c r="AI118">
        <v>10</v>
      </c>
      <c r="AJ118">
        <v>0</v>
      </c>
      <c r="AL118">
        <v>0</v>
      </c>
      <c r="AM118">
        <v>1</v>
      </c>
      <c r="AN118" t="s">
        <v>768</v>
      </c>
      <c r="AO118" t="s">
        <v>41</v>
      </c>
    </row>
    <row r="119" spans="1:41" x14ac:dyDescent="0.25">
      <c r="A119">
        <v>40</v>
      </c>
      <c r="B119" t="s">
        <v>66</v>
      </c>
      <c r="C119" t="s">
        <v>33</v>
      </c>
      <c r="D119">
        <v>16</v>
      </c>
      <c r="E119" t="s">
        <v>34</v>
      </c>
      <c r="F119">
        <v>2</v>
      </c>
      <c r="G119">
        <v>2</v>
      </c>
      <c r="H119" t="s">
        <v>35</v>
      </c>
      <c r="I119">
        <v>3</v>
      </c>
      <c r="J119" t="s">
        <v>36</v>
      </c>
      <c r="K119">
        <v>5094</v>
      </c>
      <c r="L119">
        <v>6</v>
      </c>
      <c r="M119" t="s">
        <v>41</v>
      </c>
      <c r="N119">
        <v>14</v>
      </c>
      <c r="O119">
        <v>3</v>
      </c>
      <c r="P119">
        <v>0</v>
      </c>
      <c r="Q119">
        <v>10</v>
      </c>
      <c r="R119">
        <v>6</v>
      </c>
      <c r="S119">
        <v>1</v>
      </c>
      <c r="T119">
        <v>0</v>
      </c>
      <c r="U119">
        <v>0</v>
      </c>
      <c r="V119" t="s">
        <v>72</v>
      </c>
      <c r="W119" s="1" t="s">
        <v>133</v>
      </c>
      <c r="Y119" t="s">
        <v>54</v>
      </c>
      <c r="Z119" t="s">
        <v>40</v>
      </c>
      <c r="AA119">
        <v>2</v>
      </c>
      <c r="AB119">
        <v>2</v>
      </c>
      <c r="AC119" t="s">
        <v>31</v>
      </c>
      <c r="AD119" t="s">
        <v>48</v>
      </c>
      <c r="AE119" t="s">
        <v>49</v>
      </c>
      <c r="AF119" s="3">
        <v>154</v>
      </c>
      <c r="AG119" s="3">
        <v>92</v>
      </c>
      <c r="AH119">
        <v>80</v>
      </c>
      <c r="AI119">
        <v>7</v>
      </c>
      <c r="AJ119">
        <v>0</v>
      </c>
      <c r="AL119">
        <v>0</v>
      </c>
      <c r="AM119">
        <v>1</v>
      </c>
      <c r="AN119" t="s">
        <v>768</v>
      </c>
      <c r="AO119" t="s">
        <v>41</v>
      </c>
    </row>
    <row r="120" spans="1:41" x14ac:dyDescent="0.25">
      <c r="A120">
        <v>45</v>
      </c>
      <c r="B120" t="s">
        <v>32</v>
      </c>
      <c r="C120" t="s">
        <v>33</v>
      </c>
      <c r="D120">
        <v>2</v>
      </c>
      <c r="E120" t="s">
        <v>61</v>
      </c>
      <c r="F120">
        <v>2</v>
      </c>
      <c r="G120">
        <v>1</v>
      </c>
      <c r="H120" t="s">
        <v>44</v>
      </c>
      <c r="I120">
        <v>3</v>
      </c>
      <c r="J120" t="s">
        <v>36</v>
      </c>
      <c r="K120">
        <v>2274</v>
      </c>
      <c r="L120">
        <v>1</v>
      </c>
      <c r="M120" t="s">
        <v>41</v>
      </c>
      <c r="N120">
        <v>14</v>
      </c>
      <c r="O120">
        <v>3</v>
      </c>
      <c r="P120">
        <v>0</v>
      </c>
      <c r="Q120">
        <v>1</v>
      </c>
      <c r="R120">
        <v>3</v>
      </c>
      <c r="S120">
        <v>1</v>
      </c>
      <c r="T120">
        <v>0</v>
      </c>
      <c r="U120">
        <v>0</v>
      </c>
      <c r="V120" t="s">
        <v>52</v>
      </c>
      <c r="W120" s="2">
        <v>43927</v>
      </c>
      <c r="Y120" t="s">
        <v>54</v>
      </c>
      <c r="Z120" t="s">
        <v>40</v>
      </c>
      <c r="AA120">
        <v>4</v>
      </c>
      <c r="AB120">
        <v>3</v>
      </c>
      <c r="AC120" t="s">
        <v>31</v>
      </c>
      <c r="AD120" t="s">
        <v>67</v>
      </c>
      <c r="AE120" t="s">
        <v>43</v>
      </c>
      <c r="AF120" s="3">
        <v>155</v>
      </c>
      <c r="AG120" s="3">
        <v>39</v>
      </c>
      <c r="AH120">
        <v>80</v>
      </c>
      <c r="AI120">
        <v>0</v>
      </c>
      <c r="AJ120">
        <v>0</v>
      </c>
      <c r="AL120">
        <v>0</v>
      </c>
      <c r="AM120">
        <v>1</v>
      </c>
      <c r="AN120" t="s">
        <v>768</v>
      </c>
      <c r="AO120" t="s">
        <v>41</v>
      </c>
    </row>
    <row r="121" spans="1:41" x14ac:dyDescent="0.25">
      <c r="A121">
        <v>37</v>
      </c>
      <c r="B121" t="s">
        <v>32</v>
      </c>
      <c r="C121" t="s">
        <v>55</v>
      </c>
      <c r="D121">
        <v>16</v>
      </c>
      <c r="E121" t="s">
        <v>34</v>
      </c>
      <c r="F121">
        <v>2</v>
      </c>
      <c r="G121">
        <v>2</v>
      </c>
      <c r="H121" t="s">
        <v>70</v>
      </c>
      <c r="I121">
        <v>3</v>
      </c>
      <c r="J121" t="s">
        <v>57</v>
      </c>
      <c r="K121">
        <v>6334</v>
      </c>
      <c r="L121">
        <v>4</v>
      </c>
      <c r="M121" t="s">
        <v>41</v>
      </c>
      <c r="N121">
        <v>19</v>
      </c>
      <c r="O121">
        <v>3</v>
      </c>
      <c r="P121">
        <v>2</v>
      </c>
      <c r="Q121">
        <v>9</v>
      </c>
      <c r="R121">
        <v>2</v>
      </c>
      <c r="S121">
        <v>1</v>
      </c>
      <c r="T121">
        <v>0</v>
      </c>
      <c r="U121">
        <v>0</v>
      </c>
      <c r="V121" t="s">
        <v>72</v>
      </c>
      <c r="W121" s="2">
        <v>44044</v>
      </c>
      <c r="Y121" t="s">
        <v>46</v>
      </c>
      <c r="Z121" t="s">
        <v>40</v>
      </c>
      <c r="AA121">
        <v>0</v>
      </c>
      <c r="AB121">
        <v>0</v>
      </c>
      <c r="AC121" t="s">
        <v>41</v>
      </c>
      <c r="AD121" t="s">
        <v>67</v>
      </c>
      <c r="AE121" t="s">
        <v>49</v>
      </c>
      <c r="AF121" s="3">
        <v>158</v>
      </c>
      <c r="AG121" s="3">
        <v>92</v>
      </c>
      <c r="AH121">
        <v>80</v>
      </c>
      <c r="AI121">
        <v>12</v>
      </c>
      <c r="AJ121">
        <v>0</v>
      </c>
      <c r="AL121">
        <v>0</v>
      </c>
      <c r="AM121">
        <v>1</v>
      </c>
      <c r="AN121" t="s">
        <v>768</v>
      </c>
      <c r="AO121" t="s">
        <v>41</v>
      </c>
    </row>
    <row r="122" spans="1:41" x14ac:dyDescent="0.25">
      <c r="A122">
        <v>32</v>
      </c>
      <c r="B122" t="s">
        <v>32</v>
      </c>
      <c r="C122" t="s">
        <v>33</v>
      </c>
      <c r="D122">
        <v>25</v>
      </c>
      <c r="E122" t="s">
        <v>34</v>
      </c>
      <c r="F122">
        <v>3</v>
      </c>
      <c r="G122">
        <v>1</v>
      </c>
      <c r="H122" t="s">
        <v>35</v>
      </c>
      <c r="I122">
        <v>4</v>
      </c>
      <c r="J122" t="s">
        <v>36</v>
      </c>
      <c r="K122">
        <v>2795</v>
      </c>
      <c r="L122">
        <v>1</v>
      </c>
      <c r="M122" t="s">
        <v>31</v>
      </c>
      <c r="N122">
        <v>24</v>
      </c>
      <c r="O122">
        <v>4</v>
      </c>
      <c r="P122">
        <v>0</v>
      </c>
      <c r="Q122">
        <v>1</v>
      </c>
      <c r="R122">
        <v>2</v>
      </c>
      <c r="S122">
        <v>1</v>
      </c>
      <c r="T122">
        <v>0</v>
      </c>
      <c r="U122">
        <v>1</v>
      </c>
      <c r="V122" t="s">
        <v>72</v>
      </c>
      <c r="W122" s="1" t="s">
        <v>125</v>
      </c>
      <c r="Y122" t="s">
        <v>46</v>
      </c>
      <c r="Z122" t="s">
        <v>47</v>
      </c>
      <c r="AA122">
        <v>2</v>
      </c>
      <c r="AB122">
        <v>1</v>
      </c>
      <c r="AC122" t="s">
        <v>31</v>
      </c>
      <c r="AD122" t="s">
        <v>65</v>
      </c>
      <c r="AE122" t="s">
        <v>49</v>
      </c>
      <c r="AF122" s="3">
        <v>159</v>
      </c>
      <c r="AG122" s="3">
        <v>96</v>
      </c>
      <c r="AH122">
        <v>80</v>
      </c>
      <c r="AI122">
        <v>7</v>
      </c>
      <c r="AJ122">
        <v>0</v>
      </c>
      <c r="AL122">
        <v>0</v>
      </c>
      <c r="AM122">
        <v>1</v>
      </c>
      <c r="AN122" t="s">
        <v>768</v>
      </c>
      <c r="AO122" t="s">
        <v>41</v>
      </c>
    </row>
    <row r="123" spans="1:41" x14ac:dyDescent="0.25">
      <c r="A123">
        <v>58</v>
      </c>
      <c r="B123" t="s">
        <v>66</v>
      </c>
      <c r="C123" t="s">
        <v>33</v>
      </c>
      <c r="D123">
        <v>2</v>
      </c>
      <c r="E123" t="s">
        <v>34</v>
      </c>
      <c r="F123">
        <v>2</v>
      </c>
      <c r="G123">
        <v>1</v>
      </c>
      <c r="H123" t="s">
        <v>35</v>
      </c>
      <c r="I123">
        <v>4</v>
      </c>
      <c r="J123" t="s">
        <v>57</v>
      </c>
      <c r="K123">
        <v>2380</v>
      </c>
      <c r="L123">
        <v>9</v>
      </c>
      <c r="M123" t="s">
        <v>31</v>
      </c>
      <c r="N123">
        <v>14</v>
      </c>
      <c r="O123">
        <v>3</v>
      </c>
      <c r="P123">
        <v>1</v>
      </c>
      <c r="Q123">
        <v>3</v>
      </c>
      <c r="R123">
        <v>3</v>
      </c>
      <c r="S123">
        <v>1</v>
      </c>
      <c r="T123">
        <v>0</v>
      </c>
      <c r="U123">
        <v>0</v>
      </c>
      <c r="V123" t="s">
        <v>58</v>
      </c>
      <c r="W123" s="2">
        <v>44049</v>
      </c>
      <c r="Y123" t="s">
        <v>63</v>
      </c>
      <c r="Z123" t="s">
        <v>40</v>
      </c>
      <c r="AA123">
        <v>0</v>
      </c>
      <c r="AB123">
        <v>2</v>
      </c>
      <c r="AC123" t="s">
        <v>31</v>
      </c>
      <c r="AD123" t="s">
        <v>48</v>
      </c>
      <c r="AE123" t="s">
        <v>43</v>
      </c>
      <c r="AF123" s="3">
        <v>160</v>
      </c>
      <c r="AG123" s="3">
        <v>95</v>
      </c>
      <c r="AH123">
        <v>80</v>
      </c>
      <c r="AI123">
        <v>7</v>
      </c>
      <c r="AJ123">
        <v>0</v>
      </c>
      <c r="AL123">
        <v>0</v>
      </c>
      <c r="AM123">
        <v>1</v>
      </c>
      <c r="AN123" t="s">
        <v>768</v>
      </c>
      <c r="AO123" t="s">
        <v>41</v>
      </c>
    </row>
    <row r="124" spans="1:41" x14ac:dyDescent="0.25">
      <c r="A124">
        <v>43</v>
      </c>
      <c r="B124" t="s">
        <v>32</v>
      </c>
      <c r="C124" t="s">
        <v>33</v>
      </c>
      <c r="D124">
        <v>8</v>
      </c>
      <c r="E124" t="s">
        <v>61</v>
      </c>
      <c r="F124">
        <v>3</v>
      </c>
      <c r="G124">
        <v>2</v>
      </c>
      <c r="H124" t="s">
        <v>78</v>
      </c>
      <c r="I124">
        <v>2</v>
      </c>
      <c r="J124" t="s">
        <v>57</v>
      </c>
      <c r="K124">
        <v>4765</v>
      </c>
      <c r="L124">
        <v>4</v>
      </c>
      <c r="M124" t="s">
        <v>41</v>
      </c>
      <c r="N124">
        <v>21</v>
      </c>
      <c r="O124">
        <v>4</v>
      </c>
      <c r="P124">
        <v>1</v>
      </c>
      <c r="Q124">
        <v>4</v>
      </c>
      <c r="R124">
        <v>2</v>
      </c>
      <c r="S124">
        <v>1</v>
      </c>
      <c r="T124">
        <v>0</v>
      </c>
      <c r="U124">
        <v>0</v>
      </c>
      <c r="V124" t="s">
        <v>52</v>
      </c>
      <c r="W124" s="2">
        <v>43863</v>
      </c>
      <c r="Y124" t="s">
        <v>63</v>
      </c>
      <c r="Z124" t="s">
        <v>40</v>
      </c>
      <c r="AA124">
        <v>3</v>
      </c>
      <c r="AB124">
        <v>3</v>
      </c>
      <c r="AC124" t="s">
        <v>41</v>
      </c>
      <c r="AD124" t="s">
        <v>65</v>
      </c>
      <c r="AE124" t="s">
        <v>60</v>
      </c>
      <c r="AF124" s="3">
        <v>161</v>
      </c>
      <c r="AG124" s="3">
        <v>72</v>
      </c>
      <c r="AH124">
        <v>80</v>
      </c>
      <c r="AI124">
        <v>4</v>
      </c>
      <c r="AJ124">
        <v>1</v>
      </c>
      <c r="AK124">
        <v>1</v>
      </c>
      <c r="AL124">
        <v>1</v>
      </c>
      <c r="AM124">
        <v>0</v>
      </c>
      <c r="AN124" t="s">
        <v>767</v>
      </c>
      <c r="AO124" t="s">
        <v>31</v>
      </c>
    </row>
    <row r="125" spans="1:41" x14ac:dyDescent="0.25">
      <c r="A125">
        <v>21</v>
      </c>
      <c r="B125" t="s">
        <v>32</v>
      </c>
      <c r="C125" t="s">
        <v>33</v>
      </c>
      <c r="D125">
        <v>18</v>
      </c>
      <c r="E125" t="s">
        <v>61</v>
      </c>
      <c r="F125">
        <v>3</v>
      </c>
      <c r="G125">
        <v>1</v>
      </c>
      <c r="H125" t="s">
        <v>44</v>
      </c>
      <c r="I125">
        <v>4</v>
      </c>
      <c r="J125" t="s">
        <v>36</v>
      </c>
      <c r="K125">
        <v>2693</v>
      </c>
      <c r="L125">
        <v>1</v>
      </c>
      <c r="M125" t="s">
        <v>41</v>
      </c>
      <c r="N125">
        <v>19</v>
      </c>
      <c r="O125">
        <v>3</v>
      </c>
      <c r="P125">
        <v>0</v>
      </c>
      <c r="Q125">
        <v>1</v>
      </c>
      <c r="R125">
        <v>3</v>
      </c>
      <c r="S125">
        <v>1</v>
      </c>
      <c r="T125">
        <v>0</v>
      </c>
      <c r="U125">
        <v>0</v>
      </c>
      <c r="V125" t="s">
        <v>52</v>
      </c>
      <c r="W125" s="2">
        <v>44049</v>
      </c>
      <c r="Y125" t="s">
        <v>69</v>
      </c>
      <c r="Z125" t="s">
        <v>47</v>
      </c>
      <c r="AA125">
        <v>4</v>
      </c>
      <c r="AB125">
        <v>0</v>
      </c>
      <c r="AC125" t="s">
        <v>41</v>
      </c>
      <c r="AD125" t="s">
        <v>67</v>
      </c>
      <c r="AE125" t="s">
        <v>49</v>
      </c>
      <c r="AF125" s="3">
        <v>162</v>
      </c>
      <c r="AG125" s="3">
        <v>51</v>
      </c>
      <c r="AH125">
        <v>80</v>
      </c>
      <c r="AI125">
        <v>18</v>
      </c>
      <c r="AJ125">
        <v>0</v>
      </c>
      <c r="AL125">
        <v>0</v>
      </c>
      <c r="AM125">
        <v>1</v>
      </c>
      <c r="AN125" t="s">
        <v>768</v>
      </c>
      <c r="AO125" t="s">
        <v>41</v>
      </c>
    </row>
    <row r="126" spans="1:41" x14ac:dyDescent="0.25">
      <c r="A126">
        <v>27</v>
      </c>
      <c r="B126" t="s">
        <v>32</v>
      </c>
      <c r="C126" t="s">
        <v>33</v>
      </c>
      <c r="D126">
        <v>4</v>
      </c>
      <c r="E126" t="s">
        <v>61</v>
      </c>
      <c r="F126">
        <v>3</v>
      </c>
      <c r="G126">
        <v>1</v>
      </c>
      <c r="H126" t="s">
        <v>44</v>
      </c>
      <c r="I126">
        <v>3</v>
      </c>
      <c r="J126" t="s">
        <v>36</v>
      </c>
      <c r="K126">
        <v>2318</v>
      </c>
      <c r="L126">
        <v>1</v>
      </c>
      <c r="M126" t="s">
        <v>41</v>
      </c>
      <c r="N126">
        <v>19</v>
      </c>
      <c r="O126">
        <v>3</v>
      </c>
      <c r="P126">
        <v>0</v>
      </c>
      <c r="Q126">
        <v>1</v>
      </c>
      <c r="R126">
        <v>2</v>
      </c>
      <c r="S126">
        <v>1</v>
      </c>
      <c r="T126">
        <v>0</v>
      </c>
      <c r="U126">
        <v>0</v>
      </c>
      <c r="V126" t="s">
        <v>72</v>
      </c>
      <c r="W126" s="1" t="s">
        <v>116</v>
      </c>
      <c r="Y126" t="s">
        <v>63</v>
      </c>
      <c r="Z126" t="s">
        <v>40</v>
      </c>
      <c r="AA126">
        <v>4</v>
      </c>
      <c r="AB126">
        <v>3</v>
      </c>
      <c r="AC126" t="s">
        <v>31</v>
      </c>
      <c r="AD126" t="s">
        <v>65</v>
      </c>
      <c r="AE126" t="s">
        <v>60</v>
      </c>
      <c r="AF126" s="3">
        <v>163</v>
      </c>
      <c r="AG126" s="3">
        <v>76</v>
      </c>
      <c r="AH126">
        <v>80</v>
      </c>
      <c r="AI126">
        <v>7</v>
      </c>
      <c r="AJ126">
        <v>1</v>
      </c>
      <c r="AK126">
        <v>1</v>
      </c>
      <c r="AL126">
        <v>1</v>
      </c>
      <c r="AM126">
        <v>0</v>
      </c>
      <c r="AN126" t="s">
        <v>767</v>
      </c>
      <c r="AO126" t="s">
        <v>31</v>
      </c>
    </row>
    <row r="127" spans="1:41" x14ac:dyDescent="0.25">
      <c r="A127">
        <v>34</v>
      </c>
      <c r="B127" t="s">
        <v>32</v>
      </c>
      <c r="C127" t="s">
        <v>33</v>
      </c>
      <c r="D127">
        <v>10</v>
      </c>
      <c r="E127" t="s">
        <v>34</v>
      </c>
      <c r="F127">
        <v>3</v>
      </c>
      <c r="G127">
        <v>1</v>
      </c>
      <c r="H127" t="s">
        <v>35</v>
      </c>
      <c r="I127">
        <v>2</v>
      </c>
      <c r="J127" t="s">
        <v>57</v>
      </c>
      <c r="K127">
        <v>2008</v>
      </c>
      <c r="L127">
        <v>1</v>
      </c>
      <c r="M127" t="s">
        <v>41</v>
      </c>
      <c r="N127">
        <v>14</v>
      </c>
      <c r="O127">
        <v>3</v>
      </c>
      <c r="P127">
        <v>2</v>
      </c>
      <c r="Q127">
        <v>1</v>
      </c>
      <c r="R127">
        <v>3</v>
      </c>
      <c r="S127">
        <v>1</v>
      </c>
      <c r="T127">
        <v>1</v>
      </c>
      <c r="U127">
        <v>0</v>
      </c>
      <c r="V127" t="s">
        <v>72</v>
      </c>
      <c r="W127" s="1" t="s">
        <v>124</v>
      </c>
      <c r="Y127" t="s">
        <v>54</v>
      </c>
      <c r="Z127" t="s">
        <v>47</v>
      </c>
      <c r="AA127">
        <v>4</v>
      </c>
      <c r="AB127">
        <v>1</v>
      </c>
      <c r="AC127" t="s">
        <v>41</v>
      </c>
      <c r="AD127" t="s">
        <v>67</v>
      </c>
      <c r="AE127" t="s">
        <v>60</v>
      </c>
      <c r="AF127" s="3">
        <v>164</v>
      </c>
      <c r="AG127" s="3">
        <v>46</v>
      </c>
      <c r="AH127">
        <v>80</v>
      </c>
      <c r="AI127">
        <v>4</v>
      </c>
      <c r="AJ127">
        <v>0</v>
      </c>
      <c r="AL127">
        <v>0</v>
      </c>
      <c r="AM127">
        <v>1</v>
      </c>
      <c r="AN127" t="s">
        <v>768</v>
      </c>
      <c r="AO127" t="s">
        <v>41</v>
      </c>
    </row>
    <row r="128" spans="1:41" x14ac:dyDescent="0.25">
      <c r="A128">
        <v>25</v>
      </c>
      <c r="B128" t="s">
        <v>32</v>
      </c>
      <c r="C128" t="s">
        <v>55</v>
      </c>
      <c r="D128">
        <v>19</v>
      </c>
      <c r="E128" t="s">
        <v>34</v>
      </c>
      <c r="F128">
        <v>2</v>
      </c>
      <c r="G128">
        <v>1</v>
      </c>
      <c r="H128" t="s">
        <v>56</v>
      </c>
      <c r="I128">
        <v>2</v>
      </c>
      <c r="J128" t="s">
        <v>51</v>
      </c>
      <c r="K128">
        <v>2413</v>
      </c>
      <c r="L128">
        <v>1</v>
      </c>
      <c r="M128" t="s">
        <v>31</v>
      </c>
      <c r="N128">
        <v>18</v>
      </c>
      <c r="O128">
        <v>3</v>
      </c>
      <c r="P128">
        <v>3</v>
      </c>
      <c r="Q128">
        <v>1</v>
      </c>
      <c r="R128">
        <v>2</v>
      </c>
      <c r="S128">
        <v>1</v>
      </c>
      <c r="T128">
        <v>0</v>
      </c>
      <c r="U128">
        <v>0</v>
      </c>
      <c r="V128" t="s">
        <v>52</v>
      </c>
      <c r="W128" s="1" t="s">
        <v>134</v>
      </c>
      <c r="Y128" t="s">
        <v>46</v>
      </c>
      <c r="Z128" t="s">
        <v>47</v>
      </c>
      <c r="AA128">
        <v>5</v>
      </c>
      <c r="AB128">
        <v>3</v>
      </c>
      <c r="AC128" t="s">
        <v>31</v>
      </c>
      <c r="AD128" t="s">
        <v>67</v>
      </c>
      <c r="AE128" t="s">
        <v>60</v>
      </c>
      <c r="AF128" s="3">
        <v>165</v>
      </c>
      <c r="AG128" s="3">
        <v>94</v>
      </c>
      <c r="AH128">
        <v>80</v>
      </c>
      <c r="AI128">
        <v>10</v>
      </c>
      <c r="AJ128">
        <v>1</v>
      </c>
      <c r="AK128">
        <v>1</v>
      </c>
      <c r="AL128">
        <v>1</v>
      </c>
      <c r="AM128">
        <v>0</v>
      </c>
      <c r="AN128" t="s">
        <v>767</v>
      </c>
      <c r="AO128" t="s">
        <v>31</v>
      </c>
    </row>
    <row r="129" spans="1:41" x14ac:dyDescent="0.25">
      <c r="A129">
        <v>40</v>
      </c>
      <c r="B129" t="s">
        <v>32</v>
      </c>
      <c r="C129" t="s">
        <v>55</v>
      </c>
      <c r="D129">
        <v>10</v>
      </c>
      <c r="E129" t="s">
        <v>34</v>
      </c>
      <c r="F129">
        <v>2</v>
      </c>
      <c r="G129">
        <v>3</v>
      </c>
      <c r="H129" t="s">
        <v>70</v>
      </c>
      <c r="I129">
        <v>2</v>
      </c>
      <c r="J129" t="s">
        <v>57</v>
      </c>
      <c r="K129">
        <v>9705</v>
      </c>
      <c r="L129">
        <v>2</v>
      </c>
      <c r="M129" t="s">
        <v>41</v>
      </c>
      <c r="N129">
        <v>12</v>
      </c>
      <c r="O129">
        <v>3</v>
      </c>
      <c r="P129">
        <v>1</v>
      </c>
      <c r="Q129">
        <v>11</v>
      </c>
      <c r="R129">
        <v>2</v>
      </c>
      <c r="S129">
        <v>1</v>
      </c>
      <c r="T129">
        <v>0</v>
      </c>
      <c r="U129">
        <v>0</v>
      </c>
      <c r="V129" t="s">
        <v>52</v>
      </c>
      <c r="W129" s="2">
        <v>44077</v>
      </c>
      <c r="Y129" t="s">
        <v>54</v>
      </c>
      <c r="Z129" t="s">
        <v>40</v>
      </c>
      <c r="AA129">
        <v>4</v>
      </c>
      <c r="AB129">
        <v>2</v>
      </c>
      <c r="AC129" t="s">
        <v>41</v>
      </c>
      <c r="AD129" t="s">
        <v>42</v>
      </c>
      <c r="AE129" t="s">
        <v>60</v>
      </c>
      <c r="AF129" s="3">
        <v>167</v>
      </c>
      <c r="AG129" s="3">
        <v>50</v>
      </c>
      <c r="AH129">
        <v>80</v>
      </c>
      <c r="AI129">
        <v>0</v>
      </c>
      <c r="AJ129">
        <v>1</v>
      </c>
      <c r="AK129">
        <v>1</v>
      </c>
      <c r="AL129">
        <v>1</v>
      </c>
      <c r="AM129">
        <v>0</v>
      </c>
      <c r="AN129" t="s">
        <v>767</v>
      </c>
      <c r="AO129" t="s">
        <v>31</v>
      </c>
    </row>
    <row r="130" spans="1:41" x14ac:dyDescent="0.25">
      <c r="A130">
        <v>19</v>
      </c>
      <c r="B130" t="s">
        <v>32</v>
      </c>
      <c r="C130" t="s">
        <v>55</v>
      </c>
      <c r="D130">
        <v>21</v>
      </c>
      <c r="E130" t="s">
        <v>34</v>
      </c>
      <c r="F130">
        <v>2</v>
      </c>
      <c r="G130">
        <v>1</v>
      </c>
      <c r="H130" t="s">
        <v>56</v>
      </c>
      <c r="I130">
        <v>2</v>
      </c>
      <c r="J130" t="s">
        <v>36</v>
      </c>
      <c r="K130">
        <v>2121</v>
      </c>
      <c r="L130">
        <v>1</v>
      </c>
      <c r="M130" t="s">
        <v>31</v>
      </c>
      <c r="N130">
        <v>13</v>
      </c>
      <c r="O130">
        <v>3</v>
      </c>
      <c r="P130">
        <v>0</v>
      </c>
      <c r="Q130">
        <v>1</v>
      </c>
      <c r="R130">
        <v>3</v>
      </c>
      <c r="S130">
        <v>1</v>
      </c>
      <c r="T130">
        <v>0</v>
      </c>
      <c r="U130">
        <v>0</v>
      </c>
      <c r="V130" t="s">
        <v>58</v>
      </c>
      <c r="W130" s="2">
        <v>44015</v>
      </c>
      <c r="Y130" t="s">
        <v>69</v>
      </c>
      <c r="Z130" t="s">
        <v>40</v>
      </c>
      <c r="AA130">
        <v>2</v>
      </c>
      <c r="AB130">
        <v>0</v>
      </c>
      <c r="AC130" t="s">
        <v>41</v>
      </c>
      <c r="AD130" t="s">
        <v>48</v>
      </c>
      <c r="AE130" t="s">
        <v>43</v>
      </c>
      <c r="AF130" s="3">
        <v>169</v>
      </c>
      <c r="AG130" s="3">
        <v>100</v>
      </c>
      <c r="AH130">
        <v>80</v>
      </c>
      <c r="AI130">
        <v>1</v>
      </c>
      <c r="AJ130">
        <v>0</v>
      </c>
      <c r="AL130">
        <v>0</v>
      </c>
      <c r="AM130">
        <v>1</v>
      </c>
      <c r="AN130" t="s">
        <v>768</v>
      </c>
      <c r="AO130" t="s">
        <v>41</v>
      </c>
    </row>
    <row r="131" spans="1:41" x14ac:dyDescent="0.25">
      <c r="A131">
        <v>20</v>
      </c>
      <c r="B131" t="s">
        <v>32</v>
      </c>
      <c r="C131" t="s">
        <v>33</v>
      </c>
      <c r="D131">
        <v>4</v>
      </c>
      <c r="E131" t="s">
        <v>34</v>
      </c>
      <c r="F131">
        <v>3</v>
      </c>
      <c r="G131">
        <v>1</v>
      </c>
      <c r="H131" t="s">
        <v>35</v>
      </c>
      <c r="I131">
        <v>1</v>
      </c>
      <c r="J131" t="s">
        <v>36</v>
      </c>
      <c r="K131">
        <v>2973</v>
      </c>
      <c r="L131">
        <v>1</v>
      </c>
      <c r="M131" t="s">
        <v>41</v>
      </c>
      <c r="N131">
        <v>19</v>
      </c>
      <c r="O131">
        <v>3</v>
      </c>
      <c r="P131">
        <v>0</v>
      </c>
      <c r="Q131">
        <v>1</v>
      </c>
      <c r="R131">
        <v>2</v>
      </c>
      <c r="S131">
        <v>1</v>
      </c>
      <c r="T131">
        <v>0</v>
      </c>
      <c r="U131">
        <v>0</v>
      </c>
      <c r="V131" t="s">
        <v>37</v>
      </c>
      <c r="W131" s="1" t="s">
        <v>103</v>
      </c>
      <c r="Y131" t="s">
        <v>39</v>
      </c>
      <c r="Z131" t="s">
        <v>40</v>
      </c>
      <c r="AA131">
        <v>0</v>
      </c>
      <c r="AB131">
        <v>1</v>
      </c>
      <c r="AC131" t="s">
        <v>31</v>
      </c>
      <c r="AD131" t="s">
        <v>42</v>
      </c>
      <c r="AE131" t="s">
        <v>43</v>
      </c>
      <c r="AF131" s="3">
        <v>170</v>
      </c>
      <c r="AG131" s="3">
        <v>96</v>
      </c>
      <c r="AH131">
        <v>80</v>
      </c>
      <c r="AI131">
        <v>11</v>
      </c>
      <c r="AJ131">
        <v>0</v>
      </c>
      <c r="AL131">
        <v>0</v>
      </c>
      <c r="AM131">
        <v>1</v>
      </c>
      <c r="AN131" t="s">
        <v>768</v>
      </c>
      <c r="AO131" t="s">
        <v>41</v>
      </c>
    </row>
    <row r="132" spans="1:41" x14ac:dyDescent="0.25">
      <c r="A132">
        <v>40</v>
      </c>
      <c r="B132" t="s">
        <v>66</v>
      </c>
      <c r="C132" t="s">
        <v>33</v>
      </c>
      <c r="D132">
        <v>9</v>
      </c>
      <c r="E132" t="s">
        <v>34</v>
      </c>
      <c r="F132">
        <v>3</v>
      </c>
      <c r="G132">
        <v>1</v>
      </c>
      <c r="H132" t="s">
        <v>44</v>
      </c>
      <c r="I132">
        <v>2</v>
      </c>
      <c r="J132" t="s">
        <v>57</v>
      </c>
      <c r="K132">
        <v>3617</v>
      </c>
      <c r="L132">
        <v>8</v>
      </c>
      <c r="M132" t="s">
        <v>31</v>
      </c>
      <c r="N132">
        <v>14</v>
      </c>
      <c r="O132">
        <v>3</v>
      </c>
      <c r="P132">
        <v>1</v>
      </c>
      <c r="Q132">
        <v>3</v>
      </c>
      <c r="R132">
        <v>2</v>
      </c>
      <c r="S132">
        <v>1</v>
      </c>
      <c r="T132">
        <v>0</v>
      </c>
      <c r="U132">
        <v>0</v>
      </c>
      <c r="V132" t="s">
        <v>37</v>
      </c>
      <c r="W132" s="2">
        <v>44015</v>
      </c>
      <c r="Y132" t="s">
        <v>69</v>
      </c>
      <c r="Z132" t="s">
        <v>47</v>
      </c>
      <c r="AA132">
        <v>2</v>
      </c>
      <c r="AB132">
        <v>0</v>
      </c>
      <c r="AC132" t="s">
        <v>41</v>
      </c>
      <c r="AD132" t="s">
        <v>48</v>
      </c>
      <c r="AE132" t="s">
        <v>43</v>
      </c>
      <c r="AF132" s="3">
        <v>171</v>
      </c>
      <c r="AG132" s="3">
        <v>72</v>
      </c>
      <c r="AH132">
        <v>80</v>
      </c>
      <c r="AI132">
        <v>2</v>
      </c>
      <c r="AJ132">
        <v>0</v>
      </c>
      <c r="AL132">
        <v>0</v>
      </c>
      <c r="AM132">
        <v>1</v>
      </c>
      <c r="AN132" t="s">
        <v>768</v>
      </c>
      <c r="AO132" t="s">
        <v>41</v>
      </c>
    </row>
    <row r="133" spans="1:41" x14ac:dyDescent="0.25">
      <c r="A133">
        <v>58</v>
      </c>
      <c r="B133" t="s">
        <v>32</v>
      </c>
      <c r="C133" t="s">
        <v>33</v>
      </c>
      <c r="D133">
        <v>2</v>
      </c>
      <c r="E133" t="s">
        <v>34</v>
      </c>
      <c r="F133">
        <v>3</v>
      </c>
      <c r="G133">
        <v>1</v>
      </c>
      <c r="H133" t="s">
        <v>44</v>
      </c>
      <c r="I133">
        <v>3</v>
      </c>
      <c r="J133" t="s">
        <v>36</v>
      </c>
      <c r="K133">
        <v>2479</v>
      </c>
      <c r="L133">
        <v>4</v>
      </c>
      <c r="M133" t="s">
        <v>41</v>
      </c>
      <c r="N133">
        <v>24</v>
      </c>
      <c r="O133">
        <v>4</v>
      </c>
      <c r="P133">
        <v>0</v>
      </c>
      <c r="Q133">
        <v>7</v>
      </c>
      <c r="R133">
        <v>4</v>
      </c>
      <c r="S133">
        <v>1</v>
      </c>
      <c r="T133">
        <v>0</v>
      </c>
      <c r="U133">
        <v>0</v>
      </c>
      <c r="V133" t="s">
        <v>37</v>
      </c>
      <c r="W133" s="2">
        <v>43895</v>
      </c>
      <c r="Y133" t="s">
        <v>46</v>
      </c>
      <c r="Z133" t="s">
        <v>47</v>
      </c>
      <c r="AA133">
        <v>4</v>
      </c>
      <c r="AB133">
        <v>2</v>
      </c>
      <c r="AC133" t="s">
        <v>31</v>
      </c>
      <c r="AD133" t="s">
        <v>67</v>
      </c>
      <c r="AE133" t="s">
        <v>43</v>
      </c>
      <c r="AF133" s="3">
        <v>174</v>
      </c>
      <c r="AG133" s="3">
        <v>77</v>
      </c>
      <c r="AH133">
        <v>80</v>
      </c>
      <c r="AI133">
        <v>2</v>
      </c>
      <c r="AJ133">
        <v>0</v>
      </c>
      <c r="AL133">
        <v>0</v>
      </c>
      <c r="AM133">
        <v>1</v>
      </c>
      <c r="AN133" t="s">
        <v>768</v>
      </c>
      <c r="AO133" t="s">
        <v>41</v>
      </c>
    </row>
    <row r="134" spans="1:41" x14ac:dyDescent="0.25">
      <c r="A134">
        <v>40</v>
      </c>
      <c r="B134" t="s">
        <v>81</v>
      </c>
      <c r="C134" t="s">
        <v>55</v>
      </c>
      <c r="D134">
        <v>24</v>
      </c>
      <c r="E134" t="s">
        <v>61</v>
      </c>
      <c r="F134">
        <v>4</v>
      </c>
      <c r="G134">
        <v>4</v>
      </c>
      <c r="H134" t="s">
        <v>70</v>
      </c>
      <c r="I134">
        <v>2</v>
      </c>
      <c r="J134" t="s">
        <v>36</v>
      </c>
      <c r="K134">
        <v>13194</v>
      </c>
      <c r="L134">
        <v>4</v>
      </c>
      <c r="M134" t="s">
        <v>31</v>
      </c>
      <c r="N134">
        <v>16</v>
      </c>
      <c r="O134">
        <v>3</v>
      </c>
      <c r="P134">
        <v>0</v>
      </c>
      <c r="Q134">
        <v>22</v>
      </c>
      <c r="R134">
        <v>2</v>
      </c>
      <c r="S134">
        <v>1</v>
      </c>
      <c r="T134">
        <v>0</v>
      </c>
      <c r="U134">
        <v>0</v>
      </c>
      <c r="V134" t="s">
        <v>37</v>
      </c>
      <c r="W134" s="1" t="s">
        <v>135</v>
      </c>
      <c r="Y134" t="s">
        <v>54</v>
      </c>
      <c r="Z134" t="s">
        <v>40</v>
      </c>
      <c r="AA134">
        <v>4</v>
      </c>
      <c r="AB134">
        <v>3</v>
      </c>
      <c r="AC134" t="s">
        <v>31</v>
      </c>
      <c r="AD134" t="s">
        <v>48</v>
      </c>
      <c r="AE134" t="s">
        <v>60</v>
      </c>
      <c r="AF134" s="3">
        <v>175</v>
      </c>
      <c r="AG134" s="3">
        <v>71</v>
      </c>
      <c r="AH134">
        <v>80</v>
      </c>
      <c r="AI134">
        <v>2</v>
      </c>
      <c r="AJ134">
        <v>1</v>
      </c>
      <c r="AK134">
        <v>1</v>
      </c>
      <c r="AL134">
        <v>1</v>
      </c>
      <c r="AM134">
        <v>0</v>
      </c>
      <c r="AN134" t="s">
        <v>767</v>
      </c>
      <c r="AO134" t="s">
        <v>31</v>
      </c>
    </row>
    <row r="135" spans="1:41" x14ac:dyDescent="0.25">
      <c r="A135">
        <v>20</v>
      </c>
      <c r="B135" t="s">
        <v>32</v>
      </c>
      <c r="C135" t="s">
        <v>33</v>
      </c>
      <c r="D135">
        <v>11</v>
      </c>
      <c r="E135" t="s">
        <v>61</v>
      </c>
      <c r="F135">
        <v>2</v>
      </c>
      <c r="G135">
        <v>1</v>
      </c>
      <c r="H135" t="s">
        <v>44</v>
      </c>
      <c r="I135">
        <v>1</v>
      </c>
      <c r="J135" t="s">
        <v>36</v>
      </c>
      <c r="K135">
        <v>2600</v>
      </c>
      <c r="L135">
        <v>1</v>
      </c>
      <c r="M135" t="s">
        <v>31</v>
      </c>
      <c r="N135">
        <v>15</v>
      </c>
      <c r="O135">
        <v>3</v>
      </c>
      <c r="P135">
        <v>0</v>
      </c>
      <c r="Q135">
        <v>1</v>
      </c>
      <c r="R135">
        <v>2</v>
      </c>
      <c r="S135">
        <v>1</v>
      </c>
      <c r="T135">
        <v>0</v>
      </c>
      <c r="U135">
        <v>0</v>
      </c>
      <c r="V135" t="s">
        <v>37</v>
      </c>
      <c r="W135" s="1" t="s">
        <v>121</v>
      </c>
      <c r="Y135" t="s">
        <v>63</v>
      </c>
      <c r="Z135" t="s">
        <v>40</v>
      </c>
      <c r="AA135">
        <v>0</v>
      </c>
      <c r="AB135">
        <v>2</v>
      </c>
      <c r="AC135" t="s">
        <v>31</v>
      </c>
      <c r="AD135" t="s">
        <v>65</v>
      </c>
      <c r="AE135" t="s">
        <v>60</v>
      </c>
      <c r="AF135" s="3">
        <v>176</v>
      </c>
      <c r="AG135" s="3">
        <v>96</v>
      </c>
      <c r="AH135">
        <v>80</v>
      </c>
      <c r="AI135">
        <v>7</v>
      </c>
      <c r="AJ135">
        <v>0</v>
      </c>
      <c r="AL135">
        <v>0</v>
      </c>
      <c r="AM135">
        <v>1</v>
      </c>
      <c r="AN135" t="s">
        <v>768</v>
      </c>
      <c r="AO135" t="s">
        <v>41</v>
      </c>
    </row>
    <row r="136" spans="1:41" x14ac:dyDescent="0.25">
      <c r="A136">
        <v>42</v>
      </c>
      <c r="B136" t="s">
        <v>32</v>
      </c>
      <c r="C136" t="s">
        <v>55</v>
      </c>
      <c r="D136">
        <v>5</v>
      </c>
      <c r="E136" t="s">
        <v>34</v>
      </c>
      <c r="F136">
        <v>3</v>
      </c>
      <c r="G136">
        <v>5</v>
      </c>
      <c r="H136" t="s">
        <v>75</v>
      </c>
      <c r="I136">
        <v>3</v>
      </c>
      <c r="J136" t="s">
        <v>51</v>
      </c>
      <c r="K136">
        <v>18303</v>
      </c>
      <c r="L136">
        <v>6</v>
      </c>
      <c r="M136" t="s">
        <v>41</v>
      </c>
      <c r="N136">
        <v>13</v>
      </c>
      <c r="O136">
        <v>3</v>
      </c>
      <c r="P136">
        <v>0</v>
      </c>
      <c r="Q136">
        <v>21</v>
      </c>
      <c r="R136">
        <v>3</v>
      </c>
      <c r="S136">
        <v>1</v>
      </c>
      <c r="T136">
        <v>0</v>
      </c>
      <c r="U136">
        <v>0</v>
      </c>
      <c r="V136" t="s">
        <v>37</v>
      </c>
      <c r="W136" s="1" t="s">
        <v>111</v>
      </c>
      <c r="Y136" t="s">
        <v>69</v>
      </c>
      <c r="Z136" t="s">
        <v>47</v>
      </c>
      <c r="AA136">
        <v>4</v>
      </c>
      <c r="AB136">
        <v>2</v>
      </c>
      <c r="AC136" t="s">
        <v>41</v>
      </c>
      <c r="AD136" t="s">
        <v>42</v>
      </c>
      <c r="AE136" t="s">
        <v>49</v>
      </c>
      <c r="AF136" s="3">
        <v>177</v>
      </c>
      <c r="AG136" s="3">
        <v>61</v>
      </c>
      <c r="AH136">
        <v>80</v>
      </c>
      <c r="AI136">
        <v>7</v>
      </c>
      <c r="AJ136">
        <v>0</v>
      </c>
      <c r="AL136">
        <v>0</v>
      </c>
      <c r="AM136">
        <v>1</v>
      </c>
      <c r="AN136" t="s">
        <v>768</v>
      </c>
      <c r="AO136" t="s">
        <v>41</v>
      </c>
    </row>
    <row r="137" spans="1:41" x14ac:dyDescent="0.25">
      <c r="A137">
        <v>50</v>
      </c>
      <c r="B137" t="s">
        <v>32</v>
      </c>
      <c r="C137" t="s">
        <v>33</v>
      </c>
      <c r="D137">
        <v>9</v>
      </c>
      <c r="E137" t="s">
        <v>34</v>
      </c>
      <c r="F137">
        <v>3</v>
      </c>
      <c r="G137">
        <v>1</v>
      </c>
      <c r="H137" t="s">
        <v>35</v>
      </c>
      <c r="I137">
        <v>4</v>
      </c>
      <c r="J137" t="s">
        <v>51</v>
      </c>
      <c r="K137">
        <v>2380</v>
      </c>
      <c r="L137">
        <v>4</v>
      </c>
      <c r="M137" t="s">
        <v>41</v>
      </c>
      <c r="N137">
        <v>18</v>
      </c>
      <c r="O137">
        <v>3</v>
      </c>
      <c r="P137">
        <v>0</v>
      </c>
      <c r="Q137">
        <v>8</v>
      </c>
      <c r="R137">
        <v>5</v>
      </c>
      <c r="S137">
        <v>1</v>
      </c>
      <c r="T137">
        <v>0</v>
      </c>
      <c r="U137">
        <v>0</v>
      </c>
      <c r="V137" t="s">
        <v>37</v>
      </c>
      <c r="W137" s="2">
        <v>44141</v>
      </c>
      <c r="Y137" t="s">
        <v>39</v>
      </c>
      <c r="Z137" t="s">
        <v>47</v>
      </c>
      <c r="AA137">
        <v>3</v>
      </c>
      <c r="AB137">
        <v>0</v>
      </c>
      <c r="AC137" t="s">
        <v>41</v>
      </c>
      <c r="AD137" t="s">
        <v>67</v>
      </c>
      <c r="AE137" t="s">
        <v>60</v>
      </c>
      <c r="AF137" s="3">
        <v>178</v>
      </c>
      <c r="AG137" s="3">
        <v>84</v>
      </c>
      <c r="AH137">
        <v>80</v>
      </c>
      <c r="AI137">
        <v>2</v>
      </c>
      <c r="AJ137">
        <v>0</v>
      </c>
      <c r="AL137">
        <v>0</v>
      </c>
      <c r="AM137">
        <v>1</v>
      </c>
      <c r="AN137" t="s">
        <v>768</v>
      </c>
      <c r="AO137" t="s">
        <v>41</v>
      </c>
    </row>
    <row r="138" spans="1:41" x14ac:dyDescent="0.25">
      <c r="A138">
        <v>37</v>
      </c>
      <c r="B138" t="s">
        <v>32</v>
      </c>
      <c r="C138" t="s">
        <v>33</v>
      </c>
      <c r="D138">
        <v>11</v>
      </c>
      <c r="E138" t="s">
        <v>61</v>
      </c>
      <c r="F138">
        <v>1</v>
      </c>
      <c r="G138">
        <v>2</v>
      </c>
      <c r="H138" t="s">
        <v>89</v>
      </c>
      <c r="I138">
        <v>2</v>
      </c>
      <c r="J138" t="s">
        <v>51</v>
      </c>
      <c r="K138">
        <v>4777</v>
      </c>
      <c r="L138">
        <v>5</v>
      </c>
      <c r="M138" t="s">
        <v>41</v>
      </c>
      <c r="N138">
        <v>15</v>
      </c>
      <c r="O138">
        <v>3</v>
      </c>
      <c r="P138">
        <v>0</v>
      </c>
      <c r="Q138">
        <v>15</v>
      </c>
      <c r="R138">
        <v>2</v>
      </c>
      <c r="S138">
        <v>1</v>
      </c>
      <c r="T138">
        <v>0</v>
      </c>
      <c r="U138">
        <v>0</v>
      </c>
      <c r="V138" t="s">
        <v>52</v>
      </c>
      <c r="W138" s="2">
        <v>44075</v>
      </c>
      <c r="Y138" t="s">
        <v>63</v>
      </c>
      <c r="Z138" t="s">
        <v>40</v>
      </c>
      <c r="AA138">
        <v>2</v>
      </c>
      <c r="AB138">
        <v>0</v>
      </c>
      <c r="AC138" t="s">
        <v>41</v>
      </c>
      <c r="AD138" t="s">
        <v>48</v>
      </c>
      <c r="AE138" t="s">
        <v>60</v>
      </c>
      <c r="AF138" s="3">
        <v>179</v>
      </c>
      <c r="AG138" s="3">
        <v>53</v>
      </c>
      <c r="AH138">
        <v>80</v>
      </c>
      <c r="AI138">
        <v>2</v>
      </c>
      <c r="AJ138">
        <v>1</v>
      </c>
      <c r="AK138">
        <v>1</v>
      </c>
      <c r="AL138">
        <v>1</v>
      </c>
      <c r="AM138">
        <v>0</v>
      </c>
      <c r="AN138" t="s">
        <v>767</v>
      </c>
      <c r="AO138" t="s">
        <v>31</v>
      </c>
    </row>
    <row r="139" spans="1:41" x14ac:dyDescent="0.25">
      <c r="A139">
        <v>38</v>
      </c>
      <c r="B139" t="s">
        <v>32</v>
      </c>
      <c r="C139" t="s">
        <v>55</v>
      </c>
      <c r="D139">
        <v>3</v>
      </c>
      <c r="E139" t="s">
        <v>34</v>
      </c>
      <c r="F139">
        <v>3</v>
      </c>
      <c r="G139">
        <v>2</v>
      </c>
      <c r="H139" t="s">
        <v>70</v>
      </c>
      <c r="I139">
        <v>4</v>
      </c>
      <c r="J139" t="s">
        <v>36</v>
      </c>
      <c r="K139">
        <v>6861</v>
      </c>
      <c r="L139">
        <v>8</v>
      </c>
      <c r="M139" t="s">
        <v>31</v>
      </c>
      <c r="N139">
        <v>12</v>
      </c>
      <c r="O139">
        <v>3</v>
      </c>
      <c r="P139">
        <v>0</v>
      </c>
      <c r="Q139">
        <v>19</v>
      </c>
      <c r="R139">
        <v>1</v>
      </c>
      <c r="S139">
        <v>1</v>
      </c>
      <c r="T139">
        <v>0</v>
      </c>
      <c r="U139">
        <v>0</v>
      </c>
      <c r="V139" t="s">
        <v>58</v>
      </c>
      <c r="W139" s="1" t="s">
        <v>136</v>
      </c>
      <c r="Y139" t="s">
        <v>54</v>
      </c>
      <c r="Z139" t="s">
        <v>47</v>
      </c>
      <c r="AA139">
        <v>1</v>
      </c>
      <c r="AB139">
        <v>1</v>
      </c>
      <c r="AC139" t="s">
        <v>41</v>
      </c>
      <c r="AD139" t="s">
        <v>48</v>
      </c>
      <c r="AE139" t="s">
        <v>43</v>
      </c>
      <c r="AF139" s="3">
        <v>182</v>
      </c>
      <c r="AG139" s="3">
        <v>47</v>
      </c>
      <c r="AH139">
        <v>80</v>
      </c>
      <c r="AI139">
        <v>11</v>
      </c>
      <c r="AJ139">
        <v>0</v>
      </c>
      <c r="AL139">
        <v>0</v>
      </c>
      <c r="AM139">
        <v>1</v>
      </c>
      <c r="AN139" t="s">
        <v>768</v>
      </c>
      <c r="AO139" t="s">
        <v>41</v>
      </c>
    </row>
    <row r="140" spans="1:41" x14ac:dyDescent="0.25">
      <c r="A140">
        <v>36</v>
      </c>
      <c r="B140" t="s">
        <v>32</v>
      </c>
      <c r="C140" t="s">
        <v>33</v>
      </c>
      <c r="D140">
        <v>15</v>
      </c>
      <c r="E140" t="s">
        <v>34</v>
      </c>
      <c r="F140">
        <v>3</v>
      </c>
      <c r="G140">
        <v>2</v>
      </c>
      <c r="H140" t="s">
        <v>35</v>
      </c>
      <c r="I140">
        <v>3</v>
      </c>
      <c r="J140" t="s">
        <v>57</v>
      </c>
      <c r="K140">
        <v>4834</v>
      </c>
      <c r="L140">
        <v>7</v>
      </c>
      <c r="M140" t="s">
        <v>41</v>
      </c>
      <c r="N140">
        <v>14</v>
      </c>
      <c r="O140">
        <v>3</v>
      </c>
      <c r="P140">
        <v>1</v>
      </c>
      <c r="Q140">
        <v>9</v>
      </c>
      <c r="R140">
        <v>3</v>
      </c>
      <c r="S140">
        <v>1</v>
      </c>
      <c r="T140">
        <v>0</v>
      </c>
      <c r="U140">
        <v>0</v>
      </c>
      <c r="V140" t="s">
        <v>37</v>
      </c>
      <c r="W140" s="1" t="s">
        <v>137</v>
      </c>
      <c r="Y140" t="s">
        <v>69</v>
      </c>
      <c r="Z140" t="s">
        <v>40</v>
      </c>
      <c r="AA140">
        <v>4</v>
      </c>
      <c r="AB140">
        <v>2</v>
      </c>
      <c r="AC140" t="s">
        <v>31</v>
      </c>
      <c r="AD140" t="s">
        <v>67</v>
      </c>
      <c r="AE140" t="s">
        <v>60</v>
      </c>
      <c r="AF140" s="3">
        <v>183</v>
      </c>
      <c r="AG140" s="3">
        <v>41</v>
      </c>
      <c r="AH140">
        <v>80</v>
      </c>
      <c r="AI140">
        <v>2</v>
      </c>
      <c r="AJ140">
        <v>0</v>
      </c>
      <c r="AL140">
        <v>0</v>
      </c>
      <c r="AM140">
        <v>1</v>
      </c>
      <c r="AN140" t="s">
        <v>768</v>
      </c>
      <c r="AO140" t="s">
        <v>41</v>
      </c>
    </row>
    <row r="141" spans="1:41" x14ac:dyDescent="0.25">
      <c r="A141">
        <v>34</v>
      </c>
      <c r="B141" t="s">
        <v>32</v>
      </c>
      <c r="C141" t="s">
        <v>55</v>
      </c>
      <c r="D141">
        <v>10</v>
      </c>
      <c r="E141" t="s">
        <v>61</v>
      </c>
      <c r="F141">
        <v>3</v>
      </c>
      <c r="G141">
        <v>1</v>
      </c>
      <c r="H141" t="s">
        <v>56</v>
      </c>
      <c r="I141">
        <v>3</v>
      </c>
      <c r="J141" t="s">
        <v>51</v>
      </c>
      <c r="K141">
        <v>2220</v>
      </c>
      <c r="L141">
        <v>1</v>
      </c>
      <c r="M141" t="s">
        <v>31</v>
      </c>
      <c r="N141">
        <v>19</v>
      </c>
      <c r="O141">
        <v>3</v>
      </c>
      <c r="P141">
        <v>1</v>
      </c>
      <c r="Q141">
        <v>1</v>
      </c>
      <c r="R141">
        <v>2</v>
      </c>
      <c r="S141">
        <v>1</v>
      </c>
      <c r="T141">
        <v>0</v>
      </c>
      <c r="U141">
        <v>0</v>
      </c>
      <c r="V141" t="s">
        <v>52</v>
      </c>
      <c r="W141" s="1" t="s">
        <v>138</v>
      </c>
      <c r="Y141" t="s">
        <v>39</v>
      </c>
      <c r="Z141" t="s">
        <v>40</v>
      </c>
      <c r="AA141">
        <v>0</v>
      </c>
      <c r="AB141">
        <v>3</v>
      </c>
      <c r="AC141" t="s">
        <v>31</v>
      </c>
      <c r="AD141" t="s">
        <v>42</v>
      </c>
      <c r="AE141" t="s">
        <v>60</v>
      </c>
      <c r="AF141" s="3">
        <v>184</v>
      </c>
      <c r="AG141" s="3">
        <v>48</v>
      </c>
      <c r="AH141">
        <v>80</v>
      </c>
      <c r="AI141">
        <v>9</v>
      </c>
      <c r="AJ141">
        <v>0</v>
      </c>
      <c r="AL141">
        <v>0</v>
      </c>
      <c r="AM141">
        <v>1</v>
      </c>
      <c r="AN141" t="s">
        <v>768</v>
      </c>
      <c r="AO141" t="s">
        <v>41</v>
      </c>
    </row>
    <row r="142" spans="1:41" x14ac:dyDescent="0.25">
      <c r="A142">
        <v>28</v>
      </c>
      <c r="B142" t="s">
        <v>32</v>
      </c>
      <c r="C142" t="s">
        <v>55</v>
      </c>
      <c r="D142">
        <v>10</v>
      </c>
      <c r="E142" t="s">
        <v>34</v>
      </c>
      <c r="F142">
        <v>3</v>
      </c>
      <c r="G142">
        <v>1</v>
      </c>
      <c r="H142" t="s">
        <v>56</v>
      </c>
      <c r="I142">
        <v>2</v>
      </c>
      <c r="J142" t="s">
        <v>51</v>
      </c>
      <c r="K142">
        <v>1052</v>
      </c>
      <c r="L142">
        <v>1</v>
      </c>
      <c r="M142" t="s">
        <v>41</v>
      </c>
      <c r="N142">
        <v>22</v>
      </c>
      <c r="O142">
        <v>4</v>
      </c>
      <c r="P142">
        <v>0</v>
      </c>
      <c r="Q142">
        <v>1</v>
      </c>
      <c r="R142">
        <v>5</v>
      </c>
      <c r="S142">
        <v>1</v>
      </c>
      <c r="T142">
        <v>0</v>
      </c>
      <c r="U142">
        <v>0</v>
      </c>
      <c r="V142" t="s">
        <v>52</v>
      </c>
      <c r="W142" s="1" t="s">
        <v>139</v>
      </c>
      <c r="Y142" t="s">
        <v>69</v>
      </c>
      <c r="Z142" t="s">
        <v>47</v>
      </c>
      <c r="AA142">
        <v>0</v>
      </c>
      <c r="AB142">
        <v>0</v>
      </c>
      <c r="AC142" t="s">
        <v>31</v>
      </c>
      <c r="AD142" t="s">
        <v>42</v>
      </c>
      <c r="AE142" t="s">
        <v>43</v>
      </c>
      <c r="AF142" s="3">
        <v>190</v>
      </c>
      <c r="AG142" s="3">
        <v>41</v>
      </c>
      <c r="AH142">
        <v>80</v>
      </c>
      <c r="AI142">
        <v>4</v>
      </c>
      <c r="AJ142">
        <v>1</v>
      </c>
      <c r="AK142">
        <v>1</v>
      </c>
      <c r="AL142">
        <v>1</v>
      </c>
      <c r="AM142">
        <v>0</v>
      </c>
      <c r="AN142" t="s">
        <v>767</v>
      </c>
      <c r="AO142" t="s">
        <v>31</v>
      </c>
    </row>
    <row r="143" spans="1:41" x14ac:dyDescent="0.25">
      <c r="A143">
        <v>43</v>
      </c>
      <c r="B143" t="s">
        <v>32</v>
      </c>
      <c r="C143" t="s">
        <v>55</v>
      </c>
      <c r="D143">
        <v>25</v>
      </c>
      <c r="E143" t="s">
        <v>34</v>
      </c>
      <c r="F143">
        <v>2</v>
      </c>
      <c r="G143">
        <v>3</v>
      </c>
      <c r="H143" t="s">
        <v>70</v>
      </c>
      <c r="I143">
        <v>4</v>
      </c>
      <c r="J143" t="s">
        <v>57</v>
      </c>
      <c r="K143">
        <v>10798</v>
      </c>
      <c r="L143">
        <v>5</v>
      </c>
      <c r="M143" t="s">
        <v>41</v>
      </c>
      <c r="N143">
        <v>13</v>
      </c>
      <c r="O143">
        <v>3</v>
      </c>
      <c r="P143">
        <v>1</v>
      </c>
      <c r="Q143">
        <v>18</v>
      </c>
      <c r="R143">
        <v>5</v>
      </c>
      <c r="S143">
        <v>1</v>
      </c>
      <c r="T143">
        <v>0</v>
      </c>
      <c r="U143">
        <v>0</v>
      </c>
      <c r="V143" t="s">
        <v>52</v>
      </c>
      <c r="W143" s="1" t="s">
        <v>135</v>
      </c>
      <c r="Y143" t="s">
        <v>46</v>
      </c>
      <c r="Z143" t="s">
        <v>40</v>
      </c>
      <c r="AA143">
        <v>4</v>
      </c>
      <c r="AB143">
        <v>2</v>
      </c>
      <c r="AC143" t="s">
        <v>41</v>
      </c>
      <c r="AD143" t="s">
        <v>67</v>
      </c>
      <c r="AE143" t="s">
        <v>49</v>
      </c>
      <c r="AF143" s="3">
        <v>192</v>
      </c>
      <c r="AG143" s="3">
        <v>83</v>
      </c>
      <c r="AH143">
        <v>80</v>
      </c>
      <c r="AI143">
        <v>5</v>
      </c>
      <c r="AJ143">
        <v>0</v>
      </c>
      <c r="AL143">
        <v>0</v>
      </c>
      <c r="AM143">
        <v>1</v>
      </c>
      <c r="AN143" t="s">
        <v>768</v>
      </c>
      <c r="AO143" t="s">
        <v>41</v>
      </c>
    </row>
    <row r="144" spans="1:41" x14ac:dyDescent="0.25">
      <c r="A144">
        <v>21</v>
      </c>
      <c r="B144" t="s">
        <v>32</v>
      </c>
      <c r="C144" t="s">
        <v>33</v>
      </c>
      <c r="D144">
        <v>10</v>
      </c>
      <c r="E144" t="s">
        <v>61</v>
      </c>
      <c r="F144">
        <v>2</v>
      </c>
      <c r="G144">
        <v>1</v>
      </c>
      <c r="H144" t="s">
        <v>35</v>
      </c>
      <c r="I144">
        <v>1</v>
      </c>
      <c r="J144" t="s">
        <v>36</v>
      </c>
      <c r="K144">
        <v>1416</v>
      </c>
      <c r="L144">
        <v>1</v>
      </c>
      <c r="M144" t="s">
        <v>41</v>
      </c>
      <c r="N144">
        <v>13</v>
      </c>
      <c r="O144">
        <v>3</v>
      </c>
      <c r="P144">
        <v>0</v>
      </c>
      <c r="Q144">
        <v>1</v>
      </c>
      <c r="R144">
        <v>6</v>
      </c>
      <c r="S144">
        <v>1</v>
      </c>
      <c r="T144">
        <v>1</v>
      </c>
      <c r="U144">
        <v>0</v>
      </c>
      <c r="V144" t="s">
        <v>72</v>
      </c>
      <c r="W144" s="1" t="s">
        <v>140</v>
      </c>
      <c r="Y144" t="s">
        <v>69</v>
      </c>
      <c r="Z144" t="s">
        <v>40</v>
      </c>
      <c r="AA144">
        <v>1</v>
      </c>
      <c r="AB144">
        <v>1</v>
      </c>
      <c r="AC144" t="s">
        <v>31</v>
      </c>
      <c r="AD144" t="s">
        <v>48</v>
      </c>
      <c r="AE144" t="s">
        <v>43</v>
      </c>
      <c r="AF144" s="3">
        <v>193</v>
      </c>
      <c r="AG144" s="3">
        <v>32</v>
      </c>
      <c r="AH144">
        <v>80</v>
      </c>
      <c r="AI144">
        <v>2</v>
      </c>
      <c r="AJ144">
        <v>0</v>
      </c>
      <c r="AL144">
        <v>0</v>
      </c>
      <c r="AM144">
        <v>1</v>
      </c>
      <c r="AN144" t="s">
        <v>768</v>
      </c>
      <c r="AO144" t="s">
        <v>41</v>
      </c>
    </row>
    <row r="145" spans="1:41" x14ac:dyDescent="0.25">
      <c r="A145">
        <v>37</v>
      </c>
      <c r="B145" t="s">
        <v>32</v>
      </c>
      <c r="C145" t="s">
        <v>55</v>
      </c>
      <c r="D145">
        <v>10</v>
      </c>
      <c r="E145" t="s">
        <v>61</v>
      </c>
      <c r="F145">
        <v>2</v>
      </c>
      <c r="G145">
        <v>2</v>
      </c>
      <c r="H145" t="s">
        <v>70</v>
      </c>
      <c r="I145">
        <v>4</v>
      </c>
      <c r="J145" t="s">
        <v>57</v>
      </c>
      <c r="K145">
        <v>6694</v>
      </c>
      <c r="L145">
        <v>2</v>
      </c>
      <c r="M145" t="s">
        <v>31</v>
      </c>
      <c r="N145">
        <v>14</v>
      </c>
      <c r="O145">
        <v>3</v>
      </c>
      <c r="P145">
        <v>3</v>
      </c>
      <c r="Q145">
        <v>8</v>
      </c>
      <c r="R145">
        <v>5</v>
      </c>
      <c r="S145">
        <v>1</v>
      </c>
      <c r="T145">
        <v>0</v>
      </c>
      <c r="U145">
        <v>0</v>
      </c>
      <c r="V145" t="s">
        <v>52</v>
      </c>
      <c r="W145" s="1" t="s">
        <v>140</v>
      </c>
      <c r="Y145" t="s">
        <v>39</v>
      </c>
      <c r="Z145" t="s">
        <v>47</v>
      </c>
      <c r="AA145">
        <v>3</v>
      </c>
      <c r="AB145">
        <v>2</v>
      </c>
      <c r="AC145" t="s">
        <v>31</v>
      </c>
      <c r="AD145" t="s">
        <v>48</v>
      </c>
      <c r="AE145" t="s">
        <v>49</v>
      </c>
      <c r="AF145" s="3">
        <v>194</v>
      </c>
      <c r="AG145" s="3">
        <v>75</v>
      </c>
      <c r="AH145">
        <v>80</v>
      </c>
      <c r="AI145">
        <v>4</v>
      </c>
      <c r="AJ145">
        <v>0</v>
      </c>
      <c r="AL145">
        <v>0</v>
      </c>
      <c r="AM145">
        <v>1</v>
      </c>
      <c r="AN145" t="s">
        <v>768</v>
      </c>
      <c r="AO145" t="s">
        <v>41</v>
      </c>
    </row>
    <row r="146" spans="1:41" x14ac:dyDescent="0.25">
      <c r="A146">
        <v>26</v>
      </c>
      <c r="B146" t="s">
        <v>32</v>
      </c>
      <c r="C146" t="s">
        <v>33</v>
      </c>
      <c r="D146">
        <v>21</v>
      </c>
      <c r="E146" t="s">
        <v>34</v>
      </c>
      <c r="F146">
        <v>3</v>
      </c>
      <c r="G146">
        <v>1</v>
      </c>
      <c r="H146" t="s">
        <v>35</v>
      </c>
      <c r="I146">
        <v>3</v>
      </c>
      <c r="J146" t="s">
        <v>57</v>
      </c>
      <c r="K146">
        <v>2377</v>
      </c>
      <c r="L146">
        <v>1</v>
      </c>
      <c r="M146" t="s">
        <v>41</v>
      </c>
      <c r="N146">
        <v>20</v>
      </c>
      <c r="O146">
        <v>4</v>
      </c>
      <c r="P146">
        <v>1</v>
      </c>
      <c r="Q146">
        <v>1</v>
      </c>
      <c r="R146">
        <v>0</v>
      </c>
      <c r="S146">
        <v>1</v>
      </c>
      <c r="T146">
        <v>0</v>
      </c>
      <c r="U146">
        <v>0</v>
      </c>
      <c r="V146" t="s">
        <v>72</v>
      </c>
      <c r="W146" s="1" t="s">
        <v>141</v>
      </c>
      <c r="Y146" t="s">
        <v>69</v>
      </c>
      <c r="Z146" t="s">
        <v>40</v>
      </c>
      <c r="AA146">
        <v>0</v>
      </c>
      <c r="AB146">
        <v>0</v>
      </c>
      <c r="AC146" t="s">
        <v>41</v>
      </c>
      <c r="AD146" t="s">
        <v>67</v>
      </c>
      <c r="AE146" t="s">
        <v>60</v>
      </c>
      <c r="AF146" s="3">
        <v>195</v>
      </c>
      <c r="AG146" s="3">
        <v>35</v>
      </c>
      <c r="AH146">
        <v>80</v>
      </c>
      <c r="AI146">
        <v>7</v>
      </c>
      <c r="AJ146">
        <v>0</v>
      </c>
      <c r="AL146">
        <v>0</v>
      </c>
      <c r="AM146">
        <v>1</v>
      </c>
      <c r="AN146" t="s">
        <v>768</v>
      </c>
      <c r="AO146" t="s">
        <v>41</v>
      </c>
    </row>
    <row r="147" spans="1:41" x14ac:dyDescent="0.25">
      <c r="A147">
        <v>28</v>
      </c>
      <c r="B147" t="s">
        <v>66</v>
      </c>
      <c r="C147" t="s">
        <v>33</v>
      </c>
      <c r="D147">
        <v>1</v>
      </c>
      <c r="E147" t="s">
        <v>34</v>
      </c>
      <c r="F147">
        <v>2</v>
      </c>
      <c r="G147">
        <v>1</v>
      </c>
      <c r="H147" t="s">
        <v>35</v>
      </c>
      <c r="I147">
        <v>2</v>
      </c>
      <c r="J147" t="s">
        <v>57</v>
      </c>
      <c r="K147">
        <v>2596</v>
      </c>
      <c r="L147">
        <v>1</v>
      </c>
      <c r="M147" t="s">
        <v>41</v>
      </c>
      <c r="N147">
        <v>15</v>
      </c>
      <c r="O147">
        <v>3</v>
      </c>
      <c r="P147">
        <v>2</v>
      </c>
      <c r="Q147">
        <v>1</v>
      </c>
      <c r="R147">
        <v>2</v>
      </c>
      <c r="S147">
        <v>1</v>
      </c>
      <c r="T147">
        <v>0</v>
      </c>
      <c r="U147">
        <v>0</v>
      </c>
      <c r="V147" t="s">
        <v>58</v>
      </c>
      <c r="W147" s="1" t="s">
        <v>142</v>
      </c>
      <c r="Y147" t="s">
        <v>69</v>
      </c>
      <c r="Z147" t="s">
        <v>47</v>
      </c>
      <c r="AA147">
        <v>0</v>
      </c>
      <c r="AB147">
        <v>2</v>
      </c>
      <c r="AC147" t="s">
        <v>41</v>
      </c>
      <c r="AD147" t="s">
        <v>48</v>
      </c>
      <c r="AE147" t="s">
        <v>43</v>
      </c>
      <c r="AF147" s="3">
        <v>197</v>
      </c>
      <c r="AG147" s="3">
        <v>84</v>
      </c>
      <c r="AH147">
        <v>80</v>
      </c>
      <c r="AI147">
        <v>2</v>
      </c>
      <c r="AJ147">
        <v>0</v>
      </c>
      <c r="AL147">
        <v>0</v>
      </c>
      <c r="AM147">
        <v>1</v>
      </c>
      <c r="AN147" t="s">
        <v>768</v>
      </c>
      <c r="AO147" t="s">
        <v>41</v>
      </c>
    </row>
    <row r="148" spans="1:41" x14ac:dyDescent="0.25">
      <c r="A148">
        <v>38</v>
      </c>
      <c r="B148" t="s">
        <v>32</v>
      </c>
      <c r="C148" t="s">
        <v>55</v>
      </c>
      <c r="D148">
        <v>2</v>
      </c>
      <c r="E148" t="s">
        <v>34</v>
      </c>
      <c r="F148">
        <v>3</v>
      </c>
      <c r="G148">
        <v>3</v>
      </c>
      <c r="H148" t="s">
        <v>70</v>
      </c>
      <c r="I148">
        <v>2</v>
      </c>
      <c r="J148" t="s">
        <v>36</v>
      </c>
      <c r="K148">
        <v>7351</v>
      </c>
      <c r="L148">
        <v>7</v>
      </c>
      <c r="M148" t="s">
        <v>41</v>
      </c>
      <c r="N148">
        <v>16</v>
      </c>
      <c r="O148">
        <v>3</v>
      </c>
      <c r="P148">
        <v>0</v>
      </c>
      <c r="Q148">
        <v>10</v>
      </c>
      <c r="R148">
        <v>2</v>
      </c>
      <c r="S148">
        <v>1</v>
      </c>
      <c r="T148">
        <v>0</v>
      </c>
      <c r="U148">
        <v>0</v>
      </c>
      <c r="V148" t="s">
        <v>72</v>
      </c>
      <c r="W148" s="1" t="s">
        <v>106</v>
      </c>
      <c r="Y148" t="s">
        <v>39</v>
      </c>
      <c r="Z148" t="s">
        <v>47</v>
      </c>
      <c r="AA148">
        <v>3</v>
      </c>
      <c r="AB148">
        <v>0</v>
      </c>
      <c r="AC148" t="s">
        <v>41</v>
      </c>
      <c r="AD148" t="s">
        <v>48</v>
      </c>
      <c r="AE148" t="s">
        <v>49</v>
      </c>
      <c r="AF148" s="3">
        <v>198</v>
      </c>
      <c r="AG148" s="3">
        <v>35</v>
      </c>
      <c r="AH148">
        <v>80</v>
      </c>
      <c r="AI148">
        <v>3</v>
      </c>
      <c r="AJ148">
        <v>0</v>
      </c>
      <c r="AL148">
        <v>0</v>
      </c>
      <c r="AM148">
        <v>1</v>
      </c>
      <c r="AN148" t="s">
        <v>768</v>
      </c>
      <c r="AO148" t="s">
        <v>41</v>
      </c>
    </row>
    <row r="149" spans="1:41" x14ac:dyDescent="0.25">
      <c r="A149">
        <v>42</v>
      </c>
      <c r="B149" t="s">
        <v>32</v>
      </c>
      <c r="C149" t="s">
        <v>33</v>
      </c>
      <c r="D149">
        <v>29</v>
      </c>
      <c r="E149" t="s">
        <v>34</v>
      </c>
      <c r="F149">
        <v>1</v>
      </c>
      <c r="G149">
        <v>2</v>
      </c>
      <c r="H149" t="s">
        <v>35</v>
      </c>
      <c r="I149">
        <v>4</v>
      </c>
      <c r="J149" t="s">
        <v>36</v>
      </c>
      <c r="K149">
        <v>4272</v>
      </c>
      <c r="L149">
        <v>4</v>
      </c>
      <c r="M149" t="s">
        <v>41</v>
      </c>
      <c r="N149">
        <v>19</v>
      </c>
      <c r="O149">
        <v>3</v>
      </c>
      <c r="P149">
        <v>0</v>
      </c>
      <c r="Q149">
        <v>16</v>
      </c>
      <c r="R149">
        <v>3</v>
      </c>
      <c r="S149">
        <v>1</v>
      </c>
      <c r="T149">
        <v>0</v>
      </c>
      <c r="U149">
        <v>0</v>
      </c>
      <c r="V149" t="s">
        <v>52</v>
      </c>
      <c r="W149" s="1" t="s">
        <v>143</v>
      </c>
      <c r="Y149" t="s">
        <v>69</v>
      </c>
      <c r="Z149" t="s">
        <v>47</v>
      </c>
      <c r="AA149">
        <v>0</v>
      </c>
      <c r="AB149">
        <v>1</v>
      </c>
      <c r="AC149" t="s">
        <v>41</v>
      </c>
      <c r="AD149" t="s">
        <v>67</v>
      </c>
      <c r="AE149" t="s">
        <v>60</v>
      </c>
      <c r="AF149" s="3">
        <v>199</v>
      </c>
      <c r="AG149" s="3">
        <v>91</v>
      </c>
      <c r="AH149">
        <v>80</v>
      </c>
      <c r="AI149">
        <v>6</v>
      </c>
      <c r="AJ149">
        <v>0</v>
      </c>
      <c r="AL149">
        <v>0</v>
      </c>
      <c r="AM149">
        <v>1</v>
      </c>
      <c r="AN149" t="s">
        <v>768</v>
      </c>
      <c r="AO149" t="s">
        <v>41</v>
      </c>
    </row>
    <row r="150" spans="1:41" x14ac:dyDescent="0.25">
      <c r="A150">
        <v>41</v>
      </c>
      <c r="B150" t="s">
        <v>32</v>
      </c>
      <c r="C150" t="s">
        <v>33</v>
      </c>
      <c r="D150">
        <v>12</v>
      </c>
      <c r="E150" t="s">
        <v>34</v>
      </c>
      <c r="F150">
        <v>3</v>
      </c>
      <c r="G150">
        <v>1</v>
      </c>
      <c r="H150" t="s">
        <v>35</v>
      </c>
      <c r="I150">
        <v>4</v>
      </c>
      <c r="J150" t="s">
        <v>51</v>
      </c>
      <c r="K150">
        <v>4766</v>
      </c>
      <c r="L150">
        <v>3</v>
      </c>
      <c r="M150" t="s">
        <v>31</v>
      </c>
      <c r="N150">
        <v>11</v>
      </c>
      <c r="O150">
        <v>3</v>
      </c>
      <c r="P150">
        <v>1</v>
      </c>
      <c r="Q150">
        <v>6</v>
      </c>
      <c r="R150">
        <v>4</v>
      </c>
      <c r="S150">
        <v>1</v>
      </c>
      <c r="T150">
        <v>0</v>
      </c>
      <c r="U150">
        <v>0</v>
      </c>
      <c r="V150" t="s">
        <v>72</v>
      </c>
      <c r="W150" s="1" t="s">
        <v>129</v>
      </c>
      <c r="Y150" t="s">
        <v>63</v>
      </c>
      <c r="Z150" t="s">
        <v>40</v>
      </c>
      <c r="AA150">
        <v>1</v>
      </c>
      <c r="AB150">
        <v>0</v>
      </c>
      <c r="AC150" t="s">
        <v>41</v>
      </c>
      <c r="AD150" t="s">
        <v>48</v>
      </c>
      <c r="AE150" t="s">
        <v>60</v>
      </c>
      <c r="AF150" s="3">
        <v>200</v>
      </c>
      <c r="AG150" s="3">
        <v>94</v>
      </c>
      <c r="AH150">
        <v>80</v>
      </c>
      <c r="AI150">
        <v>0</v>
      </c>
      <c r="AJ150">
        <v>0</v>
      </c>
      <c r="AL150">
        <v>0</v>
      </c>
      <c r="AM150">
        <v>1</v>
      </c>
      <c r="AN150" t="s">
        <v>768</v>
      </c>
      <c r="AO150" t="s">
        <v>41</v>
      </c>
    </row>
    <row r="151" spans="1:41" x14ac:dyDescent="0.25">
      <c r="A151">
        <v>28</v>
      </c>
      <c r="B151" t="s">
        <v>32</v>
      </c>
      <c r="C151" t="s">
        <v>33</v>
      </c>
      <c r="D151">
        <v>12</v>
      </c>
      <c r="E151" t="s">
        <v>61</v>
      </c>
      <c r="F151">
        <v>3</v>
      </c>
      <c r="G151">
        <v>1</v>
      </c>
      <c r="H151" t="s">
        <v>35</v>
      </c>
      <c r="I151">
        <v>4</v>
      </c>
      <c r="J151" t="s">
        <v>51</v>
      </c>
      <c r="K151">
        <v>2515</v>
      </c>
      <c r="L151">
        <v>1</v>
      </c>
      <c r="M151" t="s">
        <v>31</v>
      </c>
      <c r="N151">
        <v>11</v>
      </c>
      <c r="O151">
        <v>3</v>
      </c>
      <c r="P151">
        <v>0</v>
      </c>
      <c r="Q151">
        <v>1</v>
      </c>
      <c r="R151">
        <v>4</v>
      </c>
      <c r="S151">
        <v>1</v>
      </c>
      <c r="T151">
        <v>0</v>
      </c>
      <c r="U151">
        <v>0</v>
      </c>
      <c r="V151" t="s">
        <v>52</v>
      </c>
      <c r="W151" s="1" t="s">
        <v>144</v>
      </c>
      <c r="Y151" t="s">
        <v>69</v>
      </c>
      <c r="Z151" t="s">
        <v>40</v>
      </c>
      <c r="AA151">
        <v>4</v>
      </c>
      <c r="AB151">
        <v>1</v>
      </c>
      <c r="AC151" t="s">
        <v>31</v>
      </c>
      <c r="AD151" t="s">
        <v>65</v>
      </c>
      <c r="AE151" t="s">
        <v>60</v>
      </c>
      <c r="AF151" s="3">
        <v>201</v>
      </c>
      <c r="AG151" s="3">
        <v>79</v>
      </c>
      <c r="AH151">
        <v>80</v>
      </c>
      <c r="AI151">
        <v>0</v>
      </c>
      <c r="AJ151">
        <v>0</v>
      </c>
      <c r="AL151">
        <v>0</v>
      </c>
      <c r="AM151">
        <v>1</v>
      </c>
      <c r="AN151" t="s">
        <v>768</v>
      </c>
      <c r="AO151" t="s">
        <v>41</v>
      </c>
    </row>
    <row r="152" spans="1:41" x14ac:dyDescent="0.25">
      <c r="A152">
        <v>40</v>
      </c>
      <c r="B152" t="s">
        <v>66</v>
      </c>
      <c r="C152" t="s">
        <v>33</v>
      </c>
      <c r="D152">
        <v>26</v>
      </c>
      <c r="E152" t="s">
        <v>61</v>
      </c>
      <c r="F152">
        <v>2</v>
      </c>
      <c r="G152">
        <v>2</v>
      </c>
      <c r="H152" t="s">
        <v>44</v>
      </c>
      <c r="I152">
        <v>4</v>
      </c>
      <c r="J152" t="s">
        <v>51</v>
      </c>
      <c r="K152">
        <v>4422</v>
      </c>
      <c r="L152">
        <v>3</v>
      </c>
      <c r="M152" t="s">
        <v>31</v>
      </c>
      <c r="N152">
        <v>13</v>
      </c>
      <c r="O152">
        <v>3</v>
      </c>
      <c r="P152">
        <v>1</v>
      </c>
      <c r="Q152">
        <v>16</v>
      </c>
      <c r="R152">
        <v>3</v>
      </c>
      <c r="S152">
        <v>1</v>
      </c>
      <c r="T152">
        <v>0</v>
      </c>
      <c r="U152">
        <v>0</v>
      </c>
      <c r="V152" t="s">
        <v>37</v>
      </c>
      <c r="W152" s="1" t="s">
        <v>113</v>
      </c>
      <c r="Y152" t="s">
        <v>39</v>
      </c>
      <c r="Z152" t="s">
        <v>47</v>
      </c>
      <c r="AA152">
        <v>5</v>
      </c>
      <c r="AB152">
        <v>3</v>
      </c>
      <c r="AC152" t="s">
        <v>41</v>
      </c>
      <c r="AD152" t="s">
        <v>48</v>
      </c>
      <c r="AE152" t="s">
        <v>49</v>
      </c>
      <c r="AF152" s="3">
        <v>202</v>
      </c>
      <c r="AG152" s="3">
        <v>54</v>
      </c>
      <c r="AH152">
        <v>80</v>
      </c>
      <c r="AI152">
        <v>7</v>
      </c>
      <c r="AJ152">
        <v>0</v>
      </c>
      <c r="AL152">
        <v>0</v>
      </c>
      <c r="AM152">
        <v>1</v>
      </c>
      <c r="AN152" t="s">
        <v>768</v>
      </c>
      <c r="AO152" t="s">
        <v>41</v>
      </c>
    </row>
    <row r="153" spans="1:41" x14ac:dyDescent="0.25">
      <c r="A153">
        <v>32</v>
      </c>
      <c r="B153" t="s">
        <v>81</v>
      </c>
      <c r="C153" t="s">
        <v>55</v>
      </c>
      <c r="D153">
        <v>2</v>
      </c>
      <c r="E153" t="s">
        <v>61</v>
      </c>
      <c r="F153">
        <v>3</v>
      </c>
      <c r="G153">
        <v>1</v>
      </c>
      <c r="H153" t="s">
        <v>56</v>
      </c>
      <c r="I153">
        <v>1</v>
      </c>
      <c r="J153" t="s">
        <v>57</v>
      </c>
      <c r="K153">
        <v>2827</v>
      </c>
      <c r="L153">
        <v>1</v>
      </c>
      <c r="M153" t="s">
        <v>41</v>
      </c>
      <c r="N153">
        <v>12</v>
      </c>
      <c r="O153">
        <v>3</v>
      </c>
      <c r="P153">
        <v>3</v>
      </c>
      <c r="Q153">
        <v>1</v>
      </c>
      <c r="R153">
        <v>3</v>
      </c>
      <c r="S153">
        <v>1</v>
      </c>
      <c r="T153">
        <v>0</v>
      </c>
      <c r="U153">
        <v>0</v>
      </c>
      <c r="V153" t="s">
        <v>52</v>
      </c>
      <c r="W153" s="2">
        <v>44014</v>
      </c>
      <c r="Y153" t="s">
        <v>54</v>
      </c>
      <c r="Z153" t="s">
        <v>40</v>
      </c>
      <c r="AA153">
        <v>4</v>
      </c>
      <c r="AB153">
        <v>0</v>
      </c>
      <c r="AC153" t="s">
        <v>41</v>
      </c>
      <c r="AD153" t="s">
        <v>65</v>
      </c>
      <c r="AE153" t="s">
        <v>60</v>
      </c>
      <c r="AF153" s="3">
        <v>204</v>
      </c>
      <c r="AG153" s="3">
        <v>94</v>
      </c>
      <c r="AH153">
        <v>80</v>
      </c>
      <c r="AI153">
        <v>8</v>
      </c>
      <c r="AJ153">
        <v>0</v>
      </c>
      <c r="AL153">
        <v>0</v>
      </c>
      <c r="AM153">
        <v>1</v>
      </c>
      <c r="AN153" t="s">
        <v>768</v>
      </c>
      <c r="AO153" t="s">
        <v>41</v>
      </c>
    </row>
    <row r="154" spans="1:41" x14ac:dyDescent="0.25">
      <c r="A154">
        <v>19</v>
      </c>
      <c r="B154" t="s">
        <v>32</v>
      </c>
      <c r="C154" t="s">
        <v>33</v>
      </c>
      <c r="D154">
        <v>9</v>
      </c>
      <c r="E154" t="s">
        <v>34</v>
      </c>
      <c r="F154">
        <v>3</v>
      </c>
      <c r="G154">
        <v>1</v>
      </c>
      <c r="H154" t="s">
        <v>44</v>
      </c>
      <c r="I154">
        <v>1</v>
      </c>
      <c r="J154" t="s">
        <v>36</v>
      </c>
      <c r="K154">
        <v>2552</v>
      </c>
      <c r="L154">
        <v>1</v>
      </c>
      <c r="M154" t="s">
        <v>41</v>
      </c>
      <c r="N154">
        <v>25</v>
      </c>
      <c r="O154">
        <v>4</v>
      </c>
      <c r="P154">
        <v>0</v>
      </c>
      <c r="Q154">
        <v>1</v>
      </c>
      <c r="R154">
        <v>4</v>
      </c>
      <c r="S154">
        <v>1</v>
      </c>
      <c r="T154">
        <v>0</v>
      </c>
      <c r="U154">
        <v>0</v>
      </c>
      <c r="V154" t="s">
        <v>52</v>
      </c>
      <c r="W154" s="1" t="s">
        <v>133</v>
      </c>
      <c r="Y154" t="s">
        <v>69</v>
      </c>
      <c r="Z154" t="s">
        <v>47</v>
      </c>
      <c r="AA154">
        <v>5</v>
      </c>
      <c r="AB154">
        <v>1</v>
      </c>
      <c r="AC154" t="s">
        <v>31</v>
      </c>
      <c r="AD154" t="s">
        <v>67</v>
      </c>
      <c r="AE154" t="s">
        <v>43</v>
      </c>
      <c r="AF154" s="3">
        <v>205</v>
      </c>
      <c r="AG154" s="3">
        <v>34</v>
      </c>
      <c r="AH154">
        <v>80</v>
      </c>
      <c r="AI154">
        <v>7</v>
      </c>
      <c r="AJ154">
        <v>0</v>
      </c>
      <c r="AL154">
        <v>0</v>
      </c>
      <c r="AM154">
        <v>1</v>
      </c>
      <c r="AN154" t="s">
        <v>768</v>
      </c>
      <c r="AO154" t="s">
        <v>41</v>
      </c>
    </row>
    <row r="155" spans="1:41" x14ac:dyDescent="0.25">
      <c r="A155">
        <v>41</v>
      </c>
      <c r="B155" t="s">
        <v>81</v>
      </c>
      <c r="C155" t="s">
        <v>33</v>
      </c>
      <c r="D155">
        <v>5</v>
      </c>
      <c r="E155" t="s">
        <v>34</v>
      </c>
      <c r="F155">
        <v>2</v>
      </c>
      <c r="G155">
        <v>1</v>
      </c>
      <c r="H155" t="s">
        <v>44</v>
      </c>
      <c r="I155">
        <v>1</v>
      </c>
      <c r="J155" t="s">
        <v>57</v>
      </c>
      <c r="K155">
        <v>2107</v>
      </c>
      <c r="L155">
        <v>6</v>
      </c>
      <c r="M155" t="s">
        <v>41</v>
      </c>
      <c r="N155">
        <v>17</v>
      </c>
      <c r="O155">
        <v>3</v>
      </c>
      <c r="P155">
        <v>1</v>
      </c>
      <c r="Q155">
        <v>5</v>
      </c>
      <c r="R155">
        <v>2</v>
      </c>
      <c r="S155">
        <v>1</v>
      </c>
      <c r="T155">
        <v>0</v>
      </c>
      <c r="U155">
        <v>0</v>
      </c>
      <c r="V155" t="s">
        <v>72</v>
      </c>
      <c r="W155" s="2">
        <v>43833</v>
      </c>
      <c r="Y155" t="s">
        <v>46</v>
      </c>
      <c r="Z155" t="s">
        <v>47</v>
      </c>
      <c r="AA155">
        <v>0</v>
      </c>
      <c r="AB155">
        <v>3</v>
      </c>
      <c r="AC155" t="s">
        <v>31</v>
      </c>
      <c r="AD155" t="s">
        <v>65</v>
      </c>
      <c r="AE155" t="s">
        <v>43</v>
      </c>
      <c r="AF155" s="3">
        <v>206</v>
      </c>
      <c r="AG155" s="3">
        <v>60</v>
      </c>
      <c r="AH155">
        <v>80</v>
      </c>
      <c r="AI155">
        <v>9</v>
      </c>
      <c r="AJ155">
        <v>0</v>
      </c>
      <c r="AL155">
        <v>0</v>
      </c>
      <c r="AM155">
        <v>1</v>
      </c>
      <c r="AN155" t="s">
        <v>768</v>
      </c>
      <c r="AO155" t="s">
        <v>41</v>
      </c>
    </row>
    <row r="156" spans="1:41" x14ac:dyDescent="0.25">
      <c r="A156">
        <v>24</v>
      </c>
      <c r="B156" t="s">
        <v>32</v>
      </c>
      <c r="C156" t="s">
        <v>33</v>
      </c>
      <c r="D156">
        <v>17</v>
      </c>
      <c r="E156" t="s">
        <v>61</v>
      </c>
      <c r="F156">
        <v>3</v>
      </c>
      <c r="G156">
        <v>1</v>
      </c>
      <c r="H156" t="s">
        <v>35</v>
      </c>
      <c r="I156">
        <v>2</v>
      </c>
      <c r="J156" t="s">
        <v>51</v>
      </c>
      <c r="K156">
        <v>2210</v>
      </c>
      <c r="L156">
        <v>1</v>
      </c>
      <c r="M156" t="s">
        <v>41</v>
      </c>
      <c r="N156">
        <v>13</v>
      </c>
      <c r="O156">
        <v>3</v>
      </c>
      <c r="P156">
        <v>1</v>
      </c>
      <c r="Q156">
        <v>1</v>
      </c>
      <c r="R156">
        <v>3</v>
      </c>
      <c r="S156">
        <v>1</v>
      </c>
      <c r="T156">
        <v>0</v>
      </c>
      <c r="U156">
        <v>0</v>
      </c>
      <c r="V156" t="s">
        <v>52</v>
      </c>
      <c r="W156" s="1" t="s">
        <v>145</v>
      </c>
      <c r="Y156" t="s">
        <v>69</v>
      </c>
      <c r="Z156" t="s">
        <v>40</v>
      </c>
      <c r="AA156">
        <v>5</v>
      </c>
      <c r="AB156">
        <v>3</v>
      </c>
      <c r="AC156" t="s">
        <v>41</v>
      </c>
      <c r="AD156" t="s">
        <v>67</v>
      </c>
      <c r="AE156" t="s">
        <v>60</v>
      </c>
      <c r="AF156" s="3">
        <v>207</v>
      </c>
      <c r="AG156" s="3">
        <v>43</v>
      </c>
      <c r="AH156">
        <v>80</v>
      </c>
      <c r="AI156">
        <v>8</v>
      </c>
      <c r="AJ156">
        <v>0</v>
      </c>
      <c r="AL156">
        <v>0</v>
      </c>
      <c r="AM156">
        <v>1</v>
      </c>
      <c r="AN156" t="s">
        <v>768</v>
      </c>
      <c r="AO156" t="s">
        <v>41</v>
      </c>
    </row>
    <row r="157" spans="1:41" x14ac:dyDescent="0.25">
      <c r="A157">
        <v>42</v>
      </c>
      <c r="B157" t="s">
        <v>66</v>
      </c>
      <c r="C157" t="s">
        <v>33</v>
      </c>
      <c r="D157">
        <v>26</v>
      </c>
      <c r="E157" t="s">
        <v>61</v>
      </c>
      <c r="F157">
        <v>3</v>
      </c>
      <c r="G157">
        <v>3</v>
      </c>
      <c r="H157" t="s">
        <v>50</v>
      </c>
      <c r="I157">
        <v>1</v>
      </c>
      <c r="J157" t="s">
        <v>51</v>
      </c>
      <c r="K157">
        <v>13191</v>
      </c>
      <c r="L157">
        <v>3</v>
      </c>
      <c r="M157" t="s">
        <v>31</v>
      </c>
      <c r="N157">
        <v>17</v>
      </c>
      <c r="O157">
        <v>3</v>
      </c>
      <c r="P157">
        <v>0</v>
      </c>
      <c r="Q157">
        <v>20</v>
      </c>
      <c r="R157">
        <v>6</v>
      </c>
      <c r="S157">
        <v>1</v>
      </c>
      <c r="T157">
        <v>0</v>
      </c>
      <c r="U157">
        <v>0</v>
      </c>
      <c r="V157" t="s">
        <v>37</v>
      </c>
      <c r="W157" s="1" t="s">
        <v>146</v>
      </c>
      <c r="Y157" t="s">
        <v>63</v>
      </c>
      <c r="Z157" t="s">
        <v>40</v>
      </c>
      <c r="AA157">
        <v>1</v>
      </c>
      <c r="AB157">
        <v>3</v>
      </c>
      <c r="AC157" t="s">
        <v>41</v>
      </c>
      <c r="AD157" t="s">
        <v>48</v>
      </c>
      <c r="AE157" t="s">
        <v>49</v>
      </c>
      <c r="AF157" s="3">
        <v>208</v>
      </c>
      <c r="AG157" s="3">
        <v>41</v>
      </c>
      <c r="AH157">
        <v>80</v>
      </c>
      <c r="AI157">
        <v>7</v>
      </c>
      <c r="AJ157">
        <v>0</v>
      </c>
      <c r="AL157">
        <v>0</v>
      </c>
      <c r="AM157">
        <v>1</v>
      </c>
      <c r="AN157" t="s">
        <v>768</v>
      </c>
      <c r="AO157" t="s">
        <v>41</v>
      </c>
    </row>
    <row r="158" spans="1:41" x14ac:dyDescent="0.25">
      <c r="A158">
        <v>19</v>
      </c>
      <c r="B158" t="s">
        <v>81</v>
      </c>
      <c r="C158" t="s">
        <v>33</v>
      </c>
      <c r="D158">
        <v>10</v>
      </c>
      <c r="E158" t="s">
        <v>61</v>
      </c>
      <c r="F158">
        <v>2</v>
      </c>
      <c r="G158">
        <v>1</v>
      </c>
      <c r="H158" t="s">
        <v>44</v>
      </c>
      <c r="I158">
        <v>2</v>
      </c>
      <c r="J158" t="s">
        <v>36</v>
      </c>
      <c r="K158">
        <v>1859</v>
      </c>
      <c r="L158">
        <v>1</v>
      </c>
      <c r="M158" t="s">
        <v>31</v>
      </c>
      <c r="N158">
        <v>25</v>
      </c>
      <c r="O158">
        <v>4</v>
      </c>
      <c r="P158">
        <v>0</v>
      </c>
      <c r="Q158">
        <v>1</v>
      </c>
      <c r="R158">
        <v>2</v>
      </c>
      <c r="S158">
        <v>1</v>
      </c>
      <c r="T158">
        <v>0</v>
      </c>
      <c r="U158">
        <v>0</v>
      </c>
      <c r="V158" t="s">
        <v>37</v>
      </c>
      <c r="W158" s="2">
        <v>43834</v>
      </c>
      <c r="Y158" t="s">
        <v>46</v>
      </c>
      <c r="Z158" t="s">
        <v>40</v>
      </c>
      <c r="AA158">
        <v>1</v>
      </c>
      <c r="AB158">
        <v>1</v>
      </c>
      <c r="AC158" t="s">
        <v>31</v>
      </c>
      <c r="AD158" t="s">
        <v>67</v>
      </c>
      <c r="AE158" t="s">
        <v>49</v>
      </c>
      <c r="AF158" s="3">
        <v>211</v>
      </c>
      <c r="AG158" s="3">
        <v>34</v>
      </c>
      <c r="AH158">
        <v>80</v>
      </c>
      <c r="AI158">
        <v>0</v>
      </c>
      <c r="AJ158">
        <v>0</v>
      </c>
      <c r="AL158">
        <v>0</v>
      </c>
      <c r="AM158">
        <v>1</v>
      </c>
      <c r="AN158" t="s">
        <v>768</v>
      </c>
      <c r="AO158" t="s">
        <v>41</v>
      </c>
    </row>
    <row r="159" spans="1:41" x14ac:dyDescent="0.25">
      <c r="A159">
        <v>49</v>
      </c>
      <c r="B159" t="s">
        <v>32</v>
      </c>
      <c r="C159" t="s">
        <v>33</v>
      </c>
      <c r="D159">
        <v>4</v>
      </c>
      <c r="E159" t="s">
        <v>34</v>
      </c>
      <c r="F159">
        <v>2</v>
      </c>
      <c r="G159">
        <v>5</v>
      </c>
      <c r="H159" t="s">
        <v>75</v>
      </c>
      <c r="I159">
        <v>3</v>
      </c>
      <c r="J159" t="s">
        <v>51</v>
      </c>
      <c r="K159">
        <v>18711</v>
      </c>
      <c r="L159">
        <v>2</v>
      </c>
      <c r="M159" t="s">
        <v>41</v>
      </c>
      <c r="N159">
        <v>13</v>
      </c>
      <c r="O159">
        <v>3</v>
      </c>
      <c r="P159">
        <v>1</v>
      </c>
      <c r="Q159">
        <v>23</v>
      </c>
      <c r="R159">
        <v>2</v>
      </c>
      <c r="S159">
        <v>1</v>
      </c>
      <c r="T159">
        <v>0</v>
      </c>
      <c r="U159">
        <v>0</v>
      </c>
      <c r="V159" t="s">
        <v>52</v>
      </c>
      <c r="W159" s="1" t="s">
        <v>147</v>
      </c>
      <c r="Y159" t="s">
        <v>39</v>
      </c>
      <c r="Z159" t="s">
        <v>40</v>
      </c>
      <c r="AA159">
        <v>4</v>
      </c>
      <c r="AB159">
        <v>1</v>
      </c>
      <c r="AC159" t="s">
        <v>41</v>
      </c>
      <c r="AD159" t="s">
        <v>48</v>
      </c>
      <c r="AE159" t="s">
        <v>43</v>
      </c>
      <c r="AF159" s="3">
        <v>214</v>
      </c>
      <c r="AG159" s="3">
        <v>75</v>
      </c>
      <c r="AH159">
        <v>80</v>
      </c>
      <c r="AI159">
        <v>0</v>
      </c>
      <c r="AJ159">
        <v>0</v>
      </c>
      <c r="AL159">
        <v>0</v>
      </c>
      <c r="AM159">
        <v>1</v>
      </c>
      <c r="AN159" t="s">
        <v>768</v>
      </c>
      <c r="AO159" t="s">
        <v>41</v>
      </c>
    </row>
    <row r="160" spans="1:41" x14ac:dyDescent="0.25">
      <c r="A160">
        <v>48</v>
      </c>
      <c r="B160" t="s">
        <v>32</v>
      </c>
      <c r="C160" t="s">
        <v>33</v>
      </c>
      <c r="D160">
        <v>2</v>
      </c>
      <c r="E160" t="s">
        <v>34</v>
      </c>
      <c r="F160">
        <v>4</v>
      </c>
      <c r="G160">
        <v>1</v>
      </c>
      <c r="H160" t="s">
        <v>35</v>
      </c>
      <c r="I160">
        <v>2</v>
      </c>
      <c r="J160" t="s">
        <v>36</v>
      </c>
      <c r="K160">
        <v>2559</v>
      </c>
      <c r="L160">
        <v>5</v>
      </c>
      <c r="M160" t="s">
        <v>41</v>
      </c>
      <c r="N160">
        <v>11</v>
      </c>
      <c r="O160">
        <v>3</v>
      </c>
      <c r="P160">
        <v>0</v>
      </c>
      <c r="Q160">
        <v>7</v>
      </c>
      <c r="R160">
        <v>4</v>
      </c>
      <c r="S160">
        <v>1</v>
      </c>
      <c r="T160">
        <v>0</v>
      </c>
      <c r="U160">
        <v>0</v>
      </c>
      <c r="V160" t="s">
        <v>37</v>
      </c>
      <c r="W160" s="2">
        <v>43983</v>
      </c>
      <c r="Y160" t="s">
        <v>69</v>
      </c>
      <c r="Z160" t="s">
        <v>40</v>
      </c>
      <c r="AA160">
        <v>3</v>
      </c>
      <c r="AB160">
        <v>0</v>
      </c>
      <c r="AC160" t="s">
        <v>41</v>
      </c>
      <c r="AD160" t="s">
        <v>48</v>
      </c>
      <c r="AE160" t="s">
        <v>49</v>
      </c>
      <c r="AF160" s="3">
        <v>215</v>
      </c>
      <c r="AG160" s="3">
        <v>67</v>
      </c>
      <c r="AH160">
        <v>80</v>
      </c>
      <c r="AI160">
        <v>11</v>
      </c>
      <c r="AJ160">
        <v>0</v>
      </c>
      <c r="AL160">
        <v>0</v>
      </c>
      <c r="AM160">
        <v>1</v>
      </c>
      <c r="AN160" t="s">
        <v>768</v>
      </c>
      <c r="AO160" t="s">
        <v>41</v>
      </c>
    </row>
    <row r="161" spans="1:41" x14ac:dyDescent="0.25">
      <c r="A161">
        <v>48</v>
      </c>
      <c r="B161" t="s">
        <v>32</v>
      </c>
      <c r="C161" t="s">
        <v>33</v>
      </c>
      <c r="D161">
        <v>1</v>
      </c>
      <c r="E161" t="s">
        <v>34</v>
      </c>
      <c r="F161">
        <v>2</v>
      </c>
      <c r="G161">
        <v>5</v>
      </c>
      <c r="H161" t="s">
        <v>50</v>
      </c>
      <c r="I161">
        <v>4</v>
      </c>
      <c r="J161" t="s">
        <v>36</v>
      </c>
      <c r="K161">
        <v>18265</v>
      </c>
      <c r="L161">
        <v>6</v>
      </c>
      <c r="M161" t="s">
        <v>41</v>
      </c>
      <c r="N161">
        <v>12</v>
      </c>
      <c r="O161">
        <v>3</v>
      </c>
      <c r="P161">
        <v>0</v>
      </c>
      <c r="Q161">
        <v>25</v>
      </c>
      <c r="R161">
        <v>3</v>
      </c>
      <c r="S161">
        <v>1</v>
      </c>
      <c r="T161">
        <v>0</v>
      </c>
      <c r="U161">
        <v>0</v>
      </c>
      <c r="V161" t="s">
        <v>37</v>
      </c>
      <c r="W161" s="2">
        <v>43892</v>
      </c>
      <c r="Y161" t="s">
        <v>69</v>
      </c>
      <c r="Z161" t="s">
        <v>47</v>
      </c>
      <c r="AA161">
        <v>5</v>
      </c>
      <c r="AB161">
        <v>0</v>
      </c>
      <c r="AC161" t="s">
        <v>31</v>
      </c>
      <c r="AD161" t="s">
        <v>67</v>
      </c>
      <c r="AE161" t="s">
        <v>49</v>
      </c>
      <c r="AF161" s="3">
        <v>216</v>
      </c>
      <c r="AG161" s="3">
        <v>75</v>
      </c>
      <c r="AH161">
        <v>80</v>
      </c>
      <c r="AI161">
        <v>3</v>
      </c>
      <c r="AJ161">
        <v>0</v>
      </c>
      <c r="AL161">
        <v>0</v>
      </c>
      <c r="AM161">
        <v>1</v>
      </c>
      <c r="AN161" t="s">
        <v>768</v>
      </c>
      <c r="AO161" t="s">
        <v>41</v>
      </c>
    </row>
    <row r="162" spans="1:41" x14ac:dyDescent="0.25">
      <c r="A162">
        <v>34</v>
      </c>
      <c r="B162" t="s">
        <v>32</v>
      </c>
      <c r="C162" t="s">
        <v>33</v>
      </c>
      <c r="D162">
        <v>20</v>
      </c>
      <c r="E162" t="s">
        <v>61</v>
      </c>
      <c r="F162">
        <v>4</v>
      </c>
      <c r="G162">
        <v>1</v>
      </c>
      <c r="H162" t="s">
        <v>44</v>
      </c>
      <c r="I162">
        <v>3</v>
      </c>
      <c r="J162" t="s">
        <v>51</v>
      </c>
      <c r="K162">
        <v>2585</v>
      </c>
      <c r="L162">
        <v>0</v>
      </c>
      <c r="M162" t="s">
        <v>41</v>
      </c>
      <c r="N162">
        <v>17</v>
      </c>
      <c r="O162">
        <v>3</v>
      </c>
      <c r="P162">
        <v>0</v>
      </c>
      <c r="Q162">
        <v>2</v>
      </c>
      <c r="R162">
        <v>5</v>
      </c>
      <c r="S162">
        <v>1</v>
      </c>
      <c r="T162">
        <v>0</v>
      </c>
      <c r="U162">
        <v>0</v>
      </c>
      <c r="V162" t="s">
        <v>72</v>
      </c>
      <c r="W162" s="2">
        <v>44108</v>
      </c>
      <c r="Y162" t="s">
        <v>54</v>
      </c>
      <c r="Z162" t="s">
        <v>47</v>
      </c>
      <c r="AA162">
        <v>5</v>
      </c>
      <c r="AB162">
        <v>2</v>
      </c>
      <c r="AC162" t="s">
        <v>31</v>
      </c>
      <c r="AD162" t="s">
        <v>48</v>
      </c>
      <c r="AE162" t="s">
        <v>60</v>
      </c>
      <c r="AF162" s="3">
        <v>217</v>
      </c>
      <c r="AG162" s="3">
        <v>80</v>
      </c>
      <c r="AH162">
        <v>80</v>
      </c>
      <c r="AI162">
        <v>2</v>
      </c>
      <c r="AJ162">
        <v>0</v>
      </c>
      <c r="AL162">
        <v>0</v>
      </c>
      <c r="AM162">
        <v>1</v>
      </c>
      <c r="AN162" t="s">
        <v>768</v>
      </c>
      <c r="AO162" t="s">
        <v>41</v>
      </c>
    </row>
    <row r="163" spans="1:41" x14ac:dyDescent="0.25">
      <c r="A163">
        <v>19</v>
      </c>
      <c r="B163" t="s">
        <v>32</v>
      </c>
      <c r="C163" t="s">
        <v>33</v>
      </c>
      <c r="D163">
        <v>25</v>
      </c>
      <c r="E163" t="s">
        <v>61</v>
      </c>
      <c r="F163">
        <v>4</v>
      </c>
      <c r="G163">
        <v>1</v>
      </c>
      <c r="H163" t="s">
        <v>44</v>
      </c>
      <c r="I163">
        <v>4</v>
      </c>
      <c r="J163" t="s">
        <v>36</v>
      </c>
      <c r="K163">
        <v>2994</v>
      </c>
      <c r="L163">
        <v>1</v>
      </c>
      <c r="M163" t="s">
        <v>31</v>
      </c>
      <c r="N163">
        <v>12</v>
      </c>
      <c r="O163">
        <v>3</v>
      </c>
      <c r="P163">
        <v>0</v>
      </c>
      <c r="Q163">
        <v>1</v>
      </c>
      <c r="R163">
        <v>2</v>
      </c>
      <c r="S163">
        <v>1</v>
      </c>
      <c r="T163">
        <v>0</v>
      </c>
      <c r="U163">
        <v>1</v>
      </c>
      <c r="V163" t="s">
        <v>52</v>
      </c>
      <c r="W163" s="1" t="s">
        <v>146</v>
      </c>
      <c r="Y163" t="s">
        <v>69</v>
      </c>
      <c r="Z163" t="s">
        <v>47</v>
      </c>
      <c r="AA163">
        <v>3</v>
      </c>
      <c r="AB163">
        <v>0</v>
      </c>
      <c r="AC163" t="s">
        <v>41</v>
      </c>
      <c r="AD163" t="s">
        <v>67</v>
      </c>
      <c r="AE163" t="s">
        <v>43</v>
      </c>
      <c r="AF163" s="3">
        <v>218</v>
      </c>
      <c r="AG163" s="3">
        <v>57</v>
      </c>
      <c r="AH163">
        <v>80</v>
      </c>
      <c r="AI163">
        <v>2</v>
      </c>
      <c r="AJ163">
        <v>0</v>
      </c>
      <c r="AL163">
        <v>0</v>
      </c>
      <c r="AM163">
        <v>1</v>
      </c>
      <c r="AN163" t="s">
        <v>768</v>
      </c>
      <c r="AO163" t="s">
        <v>41</v>
      </c>
    </row>
    <row r="164" spans="1:41" x14ac:dyDescent="0.25">
      <c r="A164">
        <v>23</v>
      </c>
      <c r="B164" t="s">
        <v>32</v>
      </c>
      <c r="C164" t="s">
        <v>33</v>
      </c>
      <c r="D164">
        <v>1</v>
      </c>
      <c r="E164" t="s">
        <v>34</v>
      </c>
      <c r="F164">
        <v>3</v>
      </c>
      <c r="G164">
        <v>1</v>
      </c>
      <c r="H164" t="s">
        <v>44</v>
      </c>
      <c r="I164">
        <v>3</v>
      </c>
      <c r="J164" t="s">
        <v>51</v>
      </c>
      <c r="K164">
        <v>1223</v>
      </c>
      <c r="L164">
        <v>1</v>
      </c>
      <c r="M164" t="s">
        <v>41</v>
      </c>
      <c r="N164">
        <v>22</v>
      </c>
      <c r="O164">
        <v>4</v>
      </c>
      <c r="P164">
        <v>1</v>
      </c>
      <c r="Q164">
        <v>1</v>
      </c>
      <c r="R164">
        <v>2</v>
      </c>
      <c r="S164">
        <v>1</v>
      </c>
      <c r="T164">
        <v>0</v>
      </c>
      <c r="U164">
        <v>1</v>
      </c>
      <c r="V164" t="s">
        <v>37</v>
      </c>
      <c r="W164" s="1" t="s">
        <v>148</v>
      </c>
      <c r="Y164" t="s">
        <v>63</v>
      </c>
      <c r="Z164" t="s">
        <v>40</v>
      </c>
      <c r="AA164">
        <v>2</v>
      </c>
      <c r="AB164">
        <v>1</v>
      </c>
      <c r="AC164" t="s">
        <v>31</v>
      </c>
      <c r="AD164" t="s">
        <v>42</v>
      </c>
      <c r="AE164" t="s">
        <v>60</v>
      </c>
      <c r="AF164" s="3">
        <v>221</v>
      </c>
      <c r="AG164" s="3">
        <v>42</v>
      </c>
      <c r="AH164">
        <v>80</v>
      </c>
      <c r="AI164">
        <v>2</v>
      </c>
      <c r="AJ164">
        <v>0</v>
      </c>
      <c r="AL164">
        <v>0</v>
      </c>
      <c r="AM164">
        <v>1</v>
      </c>
      <c r="AN164" t="s">
        <v>768</v>
      </c>
      <c r="AO164" t="s">
        <v>41</v>
      </c>
    </row>
    <row r="165" spans="1:41" x14ac:dyDescent="0.25">
      <c r="A165">
        <v>25</v>
      </c>
      <c r="B165" t="s">
        <v>66</v>
      </c>
      <c r="C165" t="s">
        <v>55</v>
      </c>
      <c r="D165">
        <v>24</v>
      </c>
      <c r="E165" t="s">
        <v>34</v>
      </c>
      <c r="F165">
        <v>1</v>
      </c>
      <c r="G165">
        <v>1</v>
      </c>
      <c r="H165" t="s">
        <v>56</v>
      </c>
      <c r="I165">
        <v>4</v>
      </c>
      <c r="J165" t="s">
        <v>36</v>
      </c>
      <c r="K165">
        <v>1118</v>
      </c>
      <c r="L165">
        <v>1</v>
      </c>
      <c r="M165" t="s">
        <v>31</v>
      </c>
      <c r="N165">
        <v>14</v>
      </c>
      <c r="O165">
        <v>3</v>
      </c>
      <c r="P165">
        <v>0</v>
      </c>
      <c r="Q165">
        <v>1</v>
      </c>
      <c r="R165">
        <v>4</v>
      </c>
      <c r="S165">
        <v>1</v>
      </c>
      <c r="T165">
        <v>1</v>
      </c>
      <c r="U165">
        <v>0</v>
      </c>
      <c r="V165" t="s">
        <v>58</v>
      </c>
      <c r="W165" s="1" t="s">
        <v>135</v>
      </c>
      <c r="Y165" t="s">
        <v>63</v>
      </c>
      <c r="Z165" t="s">
        <v>40</v>
      </c>
      <c r="AA165">
        <v>0</v>
      </c>
      <c r="AB165">
        <v>1</v>
      </c>
      <c r="AC165" t="s">
        <v>41</v>
      </c>
      <c r="AD165" t="s">
        <v>67</v>
      </c>
      <c r="AE165" t="s">
        <v>60</v>
      </c>
      <c r="AF165" s="3">
        <v>223</v>
      </c>
      <c r="AG165" s="3">
        <v>83</v>
      </c>
      <c r="AH165">
        <v>80</v>
      </c>
      <c r="AI165">
        <v>3</v>
      </c>
      <c r="AJ165">
        <v>0</v>
      </c>
      <c r="AL165">
        <v>0</v>
      </c>
      <c r="AM165">
        <v>1</v>
      </c>
      <c r="AN165" t="s">
        <v>768</v>
      </c>
      <c r="AO165" t="s">
        <v>41</v>
      </c>
    </row>
    <row r="166" spans="1:41" x14ac:dyDescent="0.25">
      <c r="A166">
        <v>42</v>
      </c>
      <c r="B166" t="s">
        <v>32</v>
      </c>
      <c r="C166" t="s">
        <v>33</v>
      </c>
      <c r="D166">
        <v>7</v>
      </c>
      <c r="E166" t="s">
        <v>61</v>
      </c>
      <c r="F166">
        <v>4</v>
      </c>
      <c r="G166">
        <v>2</v>
      </c>
      <c r="H166" t="s">
        <v>44</v>
      </c>
      <c r="I166">
        <v>2</v>
      </c>
      <c r="J166" t="s">
        <v>51</v>
      </c>
      <c r="K166">
        <v>2372</v>
      </c>
      <c r="L166">
        <v>6</v>
      </c>
      <c r="M166" t="s">
        <v>31</v>
      </c>
      <c r="N166">
        <v>16</v>
      </c>
      <c r="O166">
        <v>3</v>
      </c>
      <c r="P166">
        <v>0</v>
      </c>
      <c r="Q166">
        <v>18</v>
      </c>
      <c r="R166">
        <v>2</v>
      </c>
      <c r="S166">
        <v>1</v>
      </c>
      <c r="T166">
        <v>0</v>
      </c>
      <c r="U166">
        <v>0</v>
      </c>
      <c r="V166" t="s">
        <v>72</v>
      </c>
      <c r="W166" s="1" t="s">
        <v>149</v>
      </c>
      <c r="Y166" t="s">
        <v>46</v>
      </c>
      <c r="Z166" t="s">
        <v>47</v>
      </c>
      <c r="AA166">
        <v>5</v>
      </c>
      <c r="AB166">
        <v>3</v>
      </c>
      <c r="AC166" t="s">
        <v>31</v>
      </c>
      <c r="AD166" t="s">
        <v>67</v>
      </c>
      <c r="AE166" t="s">
        <v>60</v>
      </c>
      <c r="AF166" s="3">
        <v>224</v>
      </c>
      <c r="AG166" s="3">
        <v>79</v>
      </c>
      <c r="AH166">
        <v>80</v>
      </c>
      <c r="AI166">
        <v>1</v>
      </c>
      <c r="AJ166">
        <v>0</v>
      </c>
      <c r="AL166">
        <v>0</v>
      </c>
      <c r="AM166">
        <v>1</v>
      </c>
      <c r="AN166" t="s">
        <v>768</v>
      </c>
      <c r="AO166" t="s">
        <v>41</v>
      </c>
    </row>
    <row r="167" spans="1:41" x14ac:dyDescent="0.25">
      <c r="A167">
        <v>27</v>
      </c>
      <c r="B167" t="s">
        <v>32</v>
      </c>
      <c r="C167" t="s">
        <v>55</v>
      </c>
      <c r="D167">
        <v>11</v>
      </c>
      <c r="E167" t="s">
        <v>61</v>
      </c>
      <c r="F167">
        <v>4</v>
      </c>
      <c r="G167">
        <v>1</v>
      </c>
      <c r="H167" t="s">
        <v>56</v>
      </c>
      <c r="I167">
        <v>4</v>
      </c>
      <c r="J167" t="s">
        <v>51</v>
      </c>
      <c r="K167">
        <v>2534</v>
      </c>
      <c r="L167">
        <v>8</v>
      </c>
      <c r="M167" t="s">
        <v>41</v>
      </c>
      <c r="N167">
        <v>14</v>
      </c>
      <c r="O167">
        <v>3</v>
      </c>
      <c r="P167">
        <v>1</v>
      </c>
      <c r="Q167">
        <v>5</v>
      </c>
      <c r="R167">
        <v>4</v>
      </c>
      <c r="S167">
        <v>1</v>
      </c>
      <c r="T167">
        <v>0</v>
      </c>
      <c r="U167">
        <v>0</v>
      </c>
      <c r="V167" t="s">
        <v>52</v>
      </c>
      <c r="W167" s="1" t="s">
        <v>150</v>
      </c>
      <c r="Y167" t="s">
        <v>46</v>
      </c>
      <c r="Z167" t="s">
        <v>40</v>
      </c>
      <c r="AA167">
        <v>2</v>
      </c>
      <c r="AB167">
        <v>1</v>
      </c>
      <c r="AC167" t="s">
        <v>31</v>
      </c>
      <c r="AD167" t="s">
        <v>65</v>
      </c>
      <c r="AE167" t="s">
        <v>43</v>
      </c>
      <c r="AF167" s="3">
        <v>226</v>
      </c>
      <c r="AG167" s="3">
        <v>53</v>
      </c>
      <c r="AH167">
        <v>80</v>
      </c>
      <c r="AI167">
        <v>4</v>
      </c>
      <c r="AJ167">
        <v>0</v>
      </c>
      <c r="AL167">
        <v>0</v>
      </c>
      <c r="AM167">
        <v>1</v>
      </c>
      <c r="AN167" t="s">
        <v>768</v>
      </c>
      <c r="AO167" t="s">
        <v>41</v>
      </c>
    </row>
    <row r="168" spans="1:41" x14ac:dyDescent="0.25">
      <c r="A168">
        <v>31</v>
      </c>
      <c r="B168" t="s">
        <v>66</v>
      </c>
      <c r="C168" t="s">
        <v>55</v>
      </c>
      <c r="D168">
        <v>2</v>
      </c>
      <c r="E168" t="s">
        <v>61</v>
      </c>
      <c r="F168">
        <v>2</v>
      </c>
      <c r="G168">
        <v>1</v>
      </c>
      <c r="H168" t="s">
        <v>56</v>
      </c>
      <c r="I168">
        <v>4</v>
      </c>
      <c r="J168" t="s">
        <v>36</v>
      </c>
      <c r="K168">
        <v>2785</v>
      </c>
      <c r="L168">
        <v>7</v>
      </c>
      <c r="M168" t="s">
        <v>41</v>
      </c>
      <c r="N168">
        <v>14</v>
      </c>
      <c r="O168">
        <v>3</v>
      </c>
      <c r="P168">
        <v>0</v>
      </c>
      <c r="Q168">
        <v>3</v>
      </c>
      <c r="R168">
        <v>3</v>
      </c>
      <c r="S168">
        <v>1</v>
      </c>
      <c r="T168">
        <v>0</v>
      </c>
      <c r="U168">
        <v>0</v>
      </c>
      <c r="V168" t="s">
        <v>72</v>
      </c>
      <c r="W168" s="1" t="s">
        <v>135</v>
      </c>
      <c r="Y168" t="s">
        <v>54</v>
      </c>
      <c r="Z168" t="s">
        <v>47</v>
      </c>
      <c r="AA168">
        <v>1</v>
      </c>
      <c r="AB168">
        <v>1</v>
      </c>
      <c r="AC168" t="s">
        <v>41</v>
      </c>
      <c r="AD168" t="s">
        <v>48</v>
      </c>
      <c r="AE168" t="s">
        <v>43</v>
      </c>
      <c r="AF168" s="3">
        <v>227</v>
      </c>
      <c r="AG168" s="3">
        <v>56</v>
      </c>
      <c r="AH168">
        <v>80</v>
      </c>
      <c r="AI168">
        <v>8</v>
      </c>
      <c r="AJ168">
        <v>0</v>
      </c>
      <c r="AL168">
        <v>0</v>
      </c>
      <c r="AM168">
        <v>1</v>
      </c>
      <c r="AN168" t="s">
        <v>768</v>
      </c>
      <c r="AO168" t="s">
        <v>41</v>
      </c>
    </row>
    <row r="169" spans="1:41" x14ac:dyDescent="0.25">
      <c r="A169">
        <v>31</v>
      </c>
      <c r="B169" t="s">
        <v>66</v>
      </c>
      <c r="C169" t="s">
        <v>55</v>
      </c>
      <c r="D169">
        <v>1</v>
      </c>
      <c r="E169" t="s">
        <v>61</v>
      </c>
      <c r="F169">
        <v>1</v>
      </c>
      <c r="G169">
        <v>1</v>
      </c>
      <c r="H169" t="s">
        <v>56</v>
      </c>
      <c r="I169">
        <v>3</v>
      </c>
      <c r="J169" t="s">
        <v>36</v>
      </c>
      <c r="K169">
        <v>1359</v>
      </c>
      <c r="L169">
        <v>1</v>
      </c>
      <c r="M169" t="s">
        <v>41</v>
      </c>
      <c r="N169">
        <v>12</v>
      </c>
      <c r="O169">
        <v>3</v>
      </c>
      <c r="P169">
        <v>0</v>
      </c>
      <c r="Q169">
        <v>1</v>
      </c>
      <c r="R169">
        <v>3</v>
      </c>
      <c r="S169">
        <v>1</v>
      </c>
      <c r="T169">
        <v>0</v>
      </c>
      <c r="U169">
        <v>0</v>
      </c>
      <c r="V169" t="s">
        <v>37</v>
      </c>
      <c r="W169" s="1" t="s">
        <v>135</v>
      </c>
      <c r="Y169" t="s">
        <v>54</v>
      </c>
      <c r="Z169" t="s">
        <v>47</v>
      </c>
      <c r="AA169">
        <v>0</v>
      </c>
      <c r="AB169">
        <v>1</v>
      </c>
      <c r="AC169" t="s">
        <v>31</v>
      </c>
      <c r="AD169" t="s">
        <v>48</v>
      </c>
      <c r="AE169" t="s">
        <v>49</v>
      </c>
      <c r="AF169" s="3">
        <v>228</v>
      </c>
      <c r="AG169" s="3">
        <v>41</v>
      </c>
      <c r="AH169">
        <v>80</v>
      </c>
      <c r="AI169">
        <v>9</v>
      </c>
      <c r="AJ169">
        <v>0</v>
      </c>
      <c r="AL169">
        <v>0</v>
      </c>
      <c r="AM169">
        <v>1</v>
      </c>
      <c r="AN169" t="s">
        <v>768</v>
      </c>
      <c r="AO169" t="s">
        <v>41</v>
      </c>
    </row>
    <row r="170" spans="1:41" x14ac:dyDescent="0.25">
      <c r="A170">
        <v>31</v>
      </c>
      <c r="B170" t="s">
        <v>32</v>
      </c>
      <c r="C170" t="s">
        <v>33</v>
      </c>
      <c r="D170">
        <v>8</v>
      </c>
      <c r="E170" t="s">
        <v>61</v>
      </c>
      <c r="F170">
        <v>2</v>
      </c>
      <c r="G170">
        <v>1</v>
      </c>
      <c r="H170" t="s">
        <v>44</v>
      </c>
      <c r="I170">
        <v>2</v>
      </c>
      <c r="J170" t="s">
        <v>36</v>
      </c>
      <c r="K170">
        <v>1261</v>
      </c>
      <c r="L170">
        <v>1</v>
      </c>
      <c r="M170" t="s">
        <v>41</v>
      </c>
      <c r="N170">
        <v>12</v>
      </c>
      <c r="O170">
        <v>3</v>
      </c>
      <c r="P170">
        <v>0</v>
      </c>
      <c r="Q170">
        <v>1</v>
      </c>
      <c r="R170">
        <v>3</v>
      </c>
      <c r="S170">
        <v>1</v>
      </c>
      <c r="T170">
        <v>0</v>
      </c>
      <c r="U170">
        <v>0</v>
      </c>
      <c r="V170" t="s">
        <v>37</v>
      </c>
      <c r="W170" s="1" t="s">
        <v>151</v>
      </c>
      <c r="Y170" t="s">
        <v>39</v>
      </c>
      <c r="Z170" t="s">
        <v>47</v>
      </c>
      <c r="AA170">
        <v>5</v>
      </c>
      <c r="AB170">
        <v>2</v>
      </c>
      <c r="AC170" t="s">
        <v>31</v>
      </c>
      <c r="AD170" t="s">
        <v>65</v>
      </c>
      <c r="AE170" t="s">
        <v>43</v>
      </c>
      <c r="AF170" s="3">
        <v>230</v>
      </c>
      <c r="AG170" s="3">
        <v>59</v>
      </c>
      <c r="AH170">
        <v>80</v>
      </c>
      <c r="AI170">
        <v>3</v>
      </c>
      <c r="AJ170">
        <v>0</v>
      </c>
      <c r="AL170">
        <v>0</v>
      </c>
      <c r="AM170">
        <v>1</v>
      </c>
      <c r="AN170" t="s">
        <v>768</v>
      </c>
      <c r="AO170" t="s">
        <v>41</v>
      </c>
    </row>
    <row r="171" spans="1:41" x14ac:dyDescent="0.25">
      <c r="A171">
        <v>39</v>
      </c>
      <c r="B171" t="s">
        <v>81</v>
      </c>
      <c r="C171" t="s">
        <v>33</v>
      </c>
      <c r="D171">
        <v>2</v>
      </c>
      <c r="E171" t="s">
        <v>61</v>
      </c>
      <c r="F171">
        <v>2</v>
      </c>
      <c r="G171">
        <v>1</v>
      </c>
      <c r="H171" t="s">
        <v>35</v>
      </c>
      <c r="I171">
        <v>1</v>
      </c>
      <c r="J171" t="s">
        <v>36</v>
      </c>
      <c r="K171">
        <v>3646</v>
      </c>
      <c r="L171">
        <v>2</v>
      </c>
      <c r="M171" t="s">
        <v>31</v>
      </c>
      <c r="N171">
        <v>23</v>
      </c>
      <c r="O171">
        <v>4</v>
      </c>
      <c r="P171">
        <v>0</v>
      </c>
      <c r="Q171">
        <v>11</v>
      </c>
      <c r="R171">
        <v>2</v>
      </c>
      <c r="S171">
        <v>1</v>
      </c>
      <c r="T171">
        <v>0</v>
      </c>
      <c r="U171">
        <v>0</v>
      </c>
      <c r="V171" t="s">
        <v>58</v>
      </c>
      <c r="W171" s="1" t="s">
        <v>149</v>
      </c>
      <c r="Y171" t="s">
        <v>46</v>
      </c>
      <c r="Z171" t="s">
        <v>47</v>
      </c>
      <c r="AA171">
        <v>4</v>
      </c>
      <c r="AB171">
        <v>3</v>
      </c>
      <c r="AC171" t="s">
        <v>31</v>
      </c>
      <c r="AD171" t="s">
        <v>67</v>
      </c>
      <c r="AE171" t="s">
        <v>43</v>
      </c>
      <c r="AF171" s="3">
        <v>231</v>
      </c>
      <c r="AG171" s="3">
        <v>43</v>
      </c>
      <c r="AH171">
        <v>80</v>
      </c>
      <c r="AI171">
        <v>4</v>
      </c>
      <c r="AJ171">
        <v>0</v>
      </c>
      <c r="AL171">
        <v>0</v>
      </c>
      <c r="AM171">
        <v>1</v>
      </c>
      <c r="AN171" t="s">
        <v>768</v>
      </c>
      <c r="AO171" t="s">
        <v>41</v>
      </c>
    </row>
    <row r="172" spans="1:41" x14ac:dyDescent="0.25">
      <c r="A172">
        <v>44</v>
      </c>
      <c r="B172" t="s">
        <v>66</v>
      </c>
      <c r="C172" t="s">
        <v>55</v>
      </c>
      <c r="D172">
        <v>1</v>
      </c>
      <c r="E172" t="s">
        <v>61</v>
      </c>
      <c r="F172">
        <v>3</v>
      </c>
      <c r="G172">
        <v>2</v>
      </c>
      <c r="H172" t="s">
        <v>70</v>
      </c>
      <c r="I172">
        <v>3</v>
      </c>
      <c r="J172" t="s">
        <v>51</v>
      </c>
      <c r="K172">
        <v>4768</v>
      </c>
      <c r="L172">
        <v>7</v>
      </c>
      <c r="M172" t="s">
        <v>41</v>
      </c>
      <c r="N172">
        <v>12</v>
      </c>
      <c r="O172">
        <v>3</v>
      </c>
      <c r="P172">
        <v>1</v>
      </c>
      <c r="Q172">
        <v>11</v>
      </c>
      <c r="R172">
        <v>4</v>
      </c>
      <c r="S172">
        <v>1</v>
      </c>
      <c r="T172">
        <v>0</v>
      </c>
      <c r="U172">
        <v>0</v>
      </c>
      <c r="V172" t="s">
        <v>37</v>
      </c>
      <c r="W172" s="1" t="s">
        <v>134</v>
      </c>
      <c r="Y172" t="s">
        <v>46</v>
      </c>
      <c r="Z172" t="s">
        <v>40</v>
      </c>
      <c r="AA172">
        <v>0</v>
      </c>
      <c r="AB172">
        <v>2</v>
      </c>
      <c r="AC172" t="s">
        <v>41</v>
      </c>
      <c r="AD172" t="s">
        <v>65</v>
      </c>
      <c r="AE172" t="s">
        <v>43</v>
      </c>
      <c r="AF172" s="3">
        <v>233</v>
      </c>
      <c r="AG172" s="3">
        <v>51</v>
      </c>
      <c r="AH172">
        <v>80</v>
      </c>
      <c r="AI172">
        <v>2</v>
      </c>
      <c r="AJ172">
        <v>0</v>
      </c>
      <c r="AL172">
        <v>0</v>
      </c>
      <c r="AM172">
        <v>1</v>
      </c>
      <c r="AN172" t="s">
        <v>768</v>
      </c>
      <c r="AO172" t="s">
        <v>41</v>
      </c>
    </row>
    <row r="173" spans="1:41" x14ac:dyDescent="0.25">
      <c r="A173">
        <v>30</v>
      </c>
      <c r="B173" t="s">
        <v>81</v>
      </c>
      <c r="C173" t="s">
        <v>33</v>
      </c>
      <c r="D173">
        <v>7</v>
      </c>
      <c r="E173" t="s">
        <v>34</v>
      </c>
      <c r="F173">
        <v>3</v>
      </c>
      <c r="G173">
        <v>1</v>
      </c>
      <c r="H173" t="s">
        <v>44</v>
      </c>
      <c r="I173">
        <v>3</v>
      </c>
      <c r="J173" t="s">
        <v>57</v>
      </c>
      <c r="K173">
        <v>1274</v>
      </c>
      <c r="L173">
        <v>1</v>
      </c>
      <c r="M173" t="s">
        <v>41</v>
      </c>
      <c r="N173">
        <v>13</v>
      </c>
      <c r="O173">
        <v>3</v>
      </c>
      <c r="P173">
        <v>2</v>
      </c>
      <c r="Q173">
        <v>1</v>
      </c>
      <c r="R173">
        <v>2</v>
      </c>
      <c r="S173">
        <v>1</v>
      </c>
      <c r="T173">
        <v>0</v>
      </c>
      <c r="U173">
        <v>0</v>
      </c>
      <c r="V173" t="s">
        <v>52</v>
      </c>
      <c r="W173" s="1" t="s">
        <v>152</v>
      </c>
      <c r="Y173" t="s">
        <v>63</v>
      </c>
      <c r="Z173" t="s">
        <v>47</v>
      </c>
      <c r="AA173">
        <v>4</v>
      </c>
      <c r="AB173">
        <v>1</v>
      </c>
      <c r="AC173" t="s">
        <v>41</v>
      </c>
      <c r="AD173" t="s">
        <v>48</v>
      </c>
      <c r="AE173" t="s">
        <v>43</v>
      </c>
      <c r="AF173" s="3">
        <v>235</v>
      </c>
      <c r="AG173" s="3">
        <v>100</v>
      </c>
      <c r="AH173">
        <v>80</v>
      </c>
      <c r="AI173">
        <v>0</v>
      </c>
      <c r="AJ173">
        <v>1</v>
      </c>
      <c r="AK173">
        <v>1</v>
      </c>
      <c r="AL173">
        <v>1</v>
      </c>
      <c r="AM173">
        <v>0</v>
      </c>
      <c r="AN173" t="s">
        <v>767</v>
      </c>
      <c r="AO173" t="s">
        <v>31</v>
      </c>
    </row>
    <row r="174" spans="1:41" x14ac:dyDescent="0.25">
      <c r="A174">
        <v>35</v>
      </c>
      <c r="B174" t="s">
        <v>32</v>
      </c>
      <c r="C174" t="s">
        <v>55</v>
      </c>
      <c r="D174">
        <v>7</v>
      </c>
      <c r="E174" t="s">
        <v>34</v>
      </c>
      <c r="F174">
        <v>3</v>
      </c>
      <c r="G174">
        <v>1</v>
      </c>
      <c r="H174" t="s">
        <v>56</v>
      </c>
      <c r="I174">
        <v>3</v>
      </c>
      <c r="J174" t="s">
        <v>51</v>
      </c>
      <c r="K174">
        <v>2404</v>
      </c>
      <c r="L174">
        <v>1</v>
      </c>
      <c r="M174" t="s">
        <v>41</v>
      </c>
      <c r="N174">
        <v>13</v>
      </c>
      <c r="O174">
        <v>3</v>
      </c>
      <c r="P174">
        <v>1</v>
      </c>
      <c r="Q174">
        <v>1</v>
      </c>
      <c r="R174">
        <v>3</v>
      </c>
      <c r="S174">
        <v>1</v>
      </c>
      <c r="T174">
        <v>0</v>
      </c>
      <c r="U174">
        <v>0</v>
      </c>
      <c r="V174" t="s">
        <v>58</v>
      </c>
      <c r="W174" s="2">
        <v>43955</v>
      </c>
      <c r="Y174" t="s">
        <v>54</v>
      </c>
      <c r="Z174" t="s">
        <v>40</v>
      </c>
      <c r="AA174">
        <v>4</v>
      </c>
      <c r="AB174">
        <v>3</v>
      </c>
      <c r="AC174" t="s">
        <v>31</v>
      </c>
      <c r="AD174" t="s">
        <v>42</v>
      </c>
      <c r="AE174" t="s">
        <v>43</v>
      </c>
      <c r="AF174" s="3">
        <v>238</v>
      </c>
      <c r="AG174" s="3">
        <v>30</v>
      </c>
      <c r="AH174">
        <v>80</v>
      </c>
      <c r="AI174">
        <v>7</v>
      </c>
      <c r="AJ174">
        <v>0</v>
      </c>
      <c r="AL174">
        <v>0</v>
      </c>
      <c r="AM174">
        <v>1</v>
      </c>
      <c r="AN174" t="s">
        <v>768</v>
      </c>
      <c r="AO174" t="s">
        <v>41</v>
      </c>
    </row>
    <row r="175" spans="1:41" x14ac:dyDescent="0.25">
      <c r="A175">
        <v>24</v>
      </c>
      <c r="B175" t="s">
        <v>81</v>
      </c>
      <c r="C175" t="s">
        <v>55</v>
      </c>
      <c r="D175">
        <v>13</v>
      </c>
      <c r="E175" t="s">
        <v>61</v>
      </c>
      <c r="F175">
        <v>3</v>
      </c>
      <c r="G175">
        <v>1</v>
      </c>
      <c r="H175" t="s">
        <v>56</v>
      </c>
      <c r="I175">
        <v>2</v>
      </c>
      <c r="J175" t="s">
        <v>51</v>
      </c>
      <c r="K175">
        <v>2033</v>
      </c>
      <c r="L175">
        <v>1</v>
      </c>
      <c r="M175" t="s">
        <v>41</v>
      </c>
      <c r="N175">
        <v>13</v>
      </c>
      <c r="O175">
        <v>3</v>
      </c>
      <c r="P175">
        <v>1</v>
      </c>
      <c r="Q175">
        <v>1</v>
      </c>
      <c r="R175">
        <v>2</v>
      </c>
      <c r="S175">
        <v>1</v>
      </c>
      <c r="T175">
        <v>0</v>
      </c>
      <c r="U175">
        <v>0</v>
      </c>
      <c r="V175" t="s">
        <v>58</v>
      </c>
      <c r="W175" s="1" t="s">
        <v>103</v>
      </c>
      <c r="Y175" t="s">
        <v>54</v>
      </c>
      <c r="Z175" t="s">
        <v>40</v>
      </c>
      <c r="AA175">
        <v>4</v>
      </c>
      <c r="AB175">
        <v>1</v>
      </c>
      <c r="AC175" t="s">
        <v>31</v>
      </c>
      <c r="AD175" t="s">
        <v>48</v>
      </c>
      <c r="AE175" t="s">
        <v>60</v>
      </c>
      <c r="AF175" s="3">
        <v>239</v>
      </c>
      <c r="AG175" s="3">
        <v>66</v>
      </c>
      <c r="AH175">
        <v>80</v>
      </c>
      <c r="AI175">
        <v>9</v>
      </c>
      <c r="AJ175">
        <v>0</v>
      </c>
      <c r="AL175">
        <v>0</v>
      </c>
      <c r="AM175">
        <v>1</v>
      </c>
      <c r="AN175" t="s">
        <v>768</v>
      </c>
      <c r="AO175" t="s">
        <v>41</v>
      </c>
    </row>
    <row r="176" spans="1:41" x14ac:dyDescent="0.25">
      <c r="A176">
        <v>28</v>
      </c>
      <c r="B176" t="s">
        <v>32</v>
      </c>
      <c r="C176" t="s">
        <v>33</v>
      </c>
      <c r="D176">
        <v>1</v>
      </c>
      <c r="E176" t="s">
        <v>34</v>
      </c>
      <c r="F176">
        <v>2</v>
      </c>
      <c r="G176">
        <v>1</v>
      </c>
      <c r="H176" t="s">
        <v>44</v>
      </c>
      <c r="I176">
        <v>3</v>
      </c>
      <c r="J176" t="s">
        <v>57</v>
      </c>
      <c r="K176">
        <v>1563</v>
      </c>
      <c r="L176">
        <v>1</v>
      </c>
      <c r="M176" t="s">
        <v>41</v>
      </c>
      <c r="N176">
        <v>14</v>
      </c>
      <c r="O176">
        <v>3</v>
      </c>
      <c r="P176">
        <v>1</v>
      </c>
      <c r="Q176">
        <v>1</v>
      </c>
      <c r="R176">
        <v>2</v>
      </c>
      <c r="S176">
        <v>1</v>
      </c>
      <c r="T176">
        <v>0</v>
      </c>
      <c r="U176">
        <v>0</v>
      </c>
      <c r="V176" t="s">
        <v>72</v>
      </c>
      <c r="W176" s="1" t="s">
        <v>153</v>
      </c>
      <c r="Y176" t="s">
        <v>63</v>
      </c>
      <c r="Z176" t="s">
        <v>40</v>
      </c>
      <c r="AA176">
        <v>4</v>
      </c>
      <c r="AB176">
        <v>3</v>
      </c>
      <c r="AC176" t="s">
        <v>41</v>
      </c>
      <c r="AD176" t="s">
        <v>65</v>
      </c>
      <c r="AE176" t="s">
        <v>43</v>
      </c>
      <c r="AF176" s="3">
        <v>240</v>
      </c>
      <c r="AG176" s="3">
        <v>30</v>
      </c>
      <c r="AH176">
        <v>80</v>
      </c>
      <c r="AI176">
        <v>4</v>
      </c>
      <c r="AJ176">
        <v>0</v>
      </c>
      <c r="AL176">
        <v>0</v>
      </c>
      <c r="AM176">
        <v>1</v>
      </c>
      <c r="AN176" t="s">
        <v>768</v>
      </c>
      <c r="AO176" t="s">
        <v>41</v>
      </c>
    </row>
    <row r="177" spans="1:41" x14ac:dyDescent="0.25">
      <c r="A177">
        <v>42</v>
      </c>
      <c r="B177" t="s">
        <v>32</v>
      </c>
      <c r="C177" t="s">
        <v>33</v>
      </c>
      <c r="D177">
        <v>2</v>
      </c>
      <c r="E177" t="s">
        <v>34</v>
      </c>
      <c r="F177">
        <v>2</v>
      </c>
      <c r="G177">
        <v>1</v>
      </c>
      <c r="H177" t="s">
        <v>35</v>
      </c>
      <c r="I177">
        <v>2</v>
      </c>
      <c r="J177" t="s">
        <v>51</v>
      </c>
      <c r="K177">
        <v>4841</v>
      </c>
      <c r="L177">
        <v>4</v>
      </c>
      <c r="M177" t="s">
        <v>41</v>
      </c>
      <c r="N177">
        <v>14</v>
      </c>
      <c r="O177">
        <v>3</v>
      </c>
      <c r="P177">
        <v>1</v>
      </c>
      <c r="Q177">
        <v>4</v>
      </c>
      <c r="R177">
        <v>3</v>
      </c>
      <c r="S177">
        <v>1</v>
      </c>
      <c r="T177">
        <v>0</v>
      </c>
      <c r="U177">
        <v>0</v>
      </c>
      <c r="V177" t="s">
        <v>52</v>
      </c>
      <c r="W177" s="1" t="s">
        <v>154</v>
      </c>
      <c r="Y177" t="s">
        <v>46</v>
      </c>
      <c r="Z177" t="s">
        <v>47</v>
      </c>
      <c r="AA177">
        <v>5</v>
      </c>
      <c r="AB177">
        <v>1</v>
      </c>
      <c r="AC177" t="s">
        <v>31</v>
      </c>
      <c r="AD177" t="s">
        <v>67</v>
      </c>
      <c r="AE177" t="s">
        <v>43</v>
      </c>
      <c r="AF177" s="3">
        <v>241</v>
      </c>
      <c r="AG177" s="3">
        <v>67</v>
      </c>
      <c r="AH177">
        <v>80</v>
      </c>
      <c r="AI177">
        <v>2</v>
      </c>
      <c r="AJ177">
        <v>0</v>
      </c>
      <c r="AL177">
        <v>0</v>
      </c>
      <c r="AM177">
        <v>1</v>
      </c>
      <c r="AN177" t="s">
        <v>768</v>
      </c>
      <c r="AO177" t="s">
        <v>41</v>
      </c>
    </row>
    <row r="178" spans="1:41" x14ac:dyDescent="0.25">
      <c r="A178">
        <v>24</v>
      </c>
      <c r="B178" t="s">
        <v>32</v>
      </c>
      <c r="C178" t="s">
        <v>33</v>
      </c>
      <c r="D178">
        <v>21</v>
      </c>
      <c r="E178" t="s">
        <v>34</v>
      </c>
      <c r="F178">
        <v>2</v>
      </c>
      <c r="G178">
        <v>1</v>
      </c>
      <c r="H178" t="s">
        <v>35</v>
      </c>
      <c r="I178">
        <v>1</v>
      </c>
      <c r="J178" t="s">
        <v>57</v>
      </c>
      <c r="K178">
        <v>2296</v>
      </c>
      <c r="L178">
        <v>0</v>
      </c>
      <c r="M178" t="s">
        <v>41</v>
      </c>
      <c r="N178">
        <v>14</v>
      </c>
      <c r="O178">
        <v>3</v>
      </c>
      <c r="P178">
        <v>3</v>
      </c>
      <c r="Q178">
        <v>2</v>
      </c>
      <c r="R178">
        <v>3</v>
      </c>
      <c r="S178">
        <v>1</v>
      </c>
      <c r="T178">
        <v>0</v>
      </c>
      <c r="U178">
        <v>0</v>
      </c>
      <c r="V178" t="s">
        <v>52</v>
      </c>
      <c r="W178" s="2">
        <v>43954</v>
      </c>
      <c r="Y178" t="s">
        <v>63</v>
      </c>
      <c r="Z178" t="s">
        <v>47</v>
      </c>
      <c r="AA178">
        <v>4</v>
      </c>
      <c r="AB178">
        <v>3</v>
      </c>
      <c r="AC178" t="s">
        <v>41</v>
      </c>
      <c r="AD178" t="s">
        <v>42</v>
      </c>
      <c r="AE178" t="s">
        <v>60</v>
      </c>
      <c r="AF178" s="3">
        <v>242</v>
      </c>
      <c r="AG178" s="3">
        <v>90</v>
      </c>
      <c r="AH178">
        <v>80</v>
      </c>
      <c r="AI178">
        <v>1</v>
      </c>
      <c r="AJ178">
        <v>0</v>
      </c>
      <c r="AL178">
        <v>0</v>
      </c>
      <c r="AM178">
        <v>1</v>
      </c>
      <c r="AN178" t="s">
        <v>768</v>
      </c>
      <c r="AO178" t="s">
        <v>41</v>
      </c>
    </row>
    <row r="179" spans="1:41" x14ac:dyDescent="0.25">
      <c r="A179">
        <v>29</v>
      </c>
      <c r="B179" t="s">
        <v>32</v>
      </c>
      <c r="C179" t="s">
        <v>33</v>
      </c>
      <c r="D179">
        <v>9</v>
      </c>
      <c r="E179" t="s">
        <v>34</v>
      </c>
      <c r="F179">
        <v>4</v>
      </c>
      <c r="G179">
        <v>1</v>
      </c>
      <c r="H179" t="s">
        <v>44</v>
      </c>
      <c r="I179">
        <v>3</v>
      </c>
      <c r="J179" t="s">
        <v>51</v>
      </c>
      <c r="K179">
        <v>2451</v>
      </c>
      <c r="L179">
        <v>6</v>
      </c>
      <c r="M179" t="s">
        <v>41</v>
      </c>
      <c r="N179">
        <v>18</v>
      </c>
      <c r="O179">
        <v>3</v>
      </c>
      <c r="P179">
        <v>2</v>
      </c>
      <c r="Q179">
        <v>5</v>
      </c>
      <c r="R179">
        <v>2</v>
      </c>
      <c r="S179">
        <v>1</v>
      </c>
      <c r="T179">
        <v>0</v>
      </c>
      <c r="U179">
        <v>0</v>
      </c>
      <c r="V179" t="s">
        <v>37</v>
      </c>
      <c r="W179" s="1" t="s">
        <v>155</v>
      </c>
      <c r="Y179" t="s">
        <v>69</v>
      </c>
      <c r="Z179" t="s">
        <v>40</v>
      </c>
      <c r="AA179">
        <v>3</v>
      </c>
      <c r="AB179">
        <v>1</v>
      </c>
      <c r="AC179" t="s">
        <v>31</v>
      </c>
      <c r="AD179" t="s">
        <v>65</v>
      </c>
      <c r="AE179" t="s">
        <v>43</v>
      </c>
      <c r="AF179" s="3">
        <v>243</v>
      </c>
      <c r="AG179" s="3">
        <v>47</v>
      </c>
      <c r="AH179">
        <v>80</v>
      </c>
      <c r="AI179">
        <v>0</v>
      </c>
      <c r="AJ179">
        <v>1</v>
      </c>
      <c r="AK179">
        <v>1</v>
      </c>
      <c r="AL179">
        <v>1</v>
      </c>
      <c r="AM179">
        <v>0</v>
      </c>
      <c r="AN179" t="s">
        <v>767</v>
      </c>
      <c r="AO179" t="s">
        <v>31</v>
      </c>
    </row>
    <row r="180" spans="1:41" x14ac:dyDescent="0.25">
      <c r="A180">
        <v>35</v>
      </c>
      <c r="B180" t="s">
        <v>32</v>
      </c>
      <c r="C180" t="s">
        <v>33</v>
      </c>
      <c r="D180">
        <v>2</v>
      </c>
      <c r="E180" t="s">
        <v>61</v>
      </c>
      <c r="F180">
        <v>3</v>
      </c>
      <c r="G180">
        <v>1</v>
      </c>
      <c r="H180" t="s">
        <v>35</v>
      </c>
      <c r="I180">
        <v>1</v>
      </c>
      <c r="J180" t="s">
        <v>57</v>
      </c>
      <c r="K180">
        <v>2074</v>
      </c>
      <c r="L180">
        <v>1</v>
      </c>
      <c r="M180" t="s">
        <v>31</v>
      </c>
      <c r="N180">
        <v>12</v>
      </c>
      <c r="O180">
        <v>3</v>
      </c>
      <c r="P180">
        <v>1</v>
      </c>
      <c r="Q180">
        <v>1</v>
      </c>
      <c r="R180">
        <v>2</v>
      </c>
      <c r="S180">
        <v>1</v>
      </c>
      <c r="T180">
        <v>0</v>
      </c>
      <c r="U180">
        <v>0</v>
      </c>
      <c r="V180" t="s">
        <v>58</v>
      </c>
      <c r="W180" s="1" t="s">
        <v>156</v>
      </c>
      <c r="Y180" t="s">
        <v>69</v>
      </c>
      <c r="Z180" t="s">
        <v>40</v>
      </c>
      <c r="AA180">
        <v>3</v>
      </c>
      <c r="AB180">
        <v>3</v>
      </c>
      <c r="AC180" t="s">
        <v>41</v>
      </c>
      <c r="AD180" t="s">
        <v>65</v>
      </c>
      <c r="AE180" t="s">
        <v>60</v>
      </c>
      <c r="AF180" s="3">
        <v>244</v>
      </c>
      <c r="AG180" s="3">
        <v>92</v>
      </c>
      <c r="AH180">
        <v>80</v>
      </c>
      <c r="AI180">
        <v>13</v>
      </c>
      <c r="AJ180">
        <v>0</v>
      </c>
      <c r="AL180">
        <v>0</v>
      </c>
      <c r="AM180">
        <v>1</v>
      </c>
      <c r="AN180" t="s">
        <v>768</v>
      </c>
      <c r="AO180" t="s">
        <v>41</v>
      </c>
    </row>
    <row r="181" spans="1:41" x14ac:dyDescent="0.25">
      <c r="A181">
        <v>34</v>
      </c>
      <c r="B181" t="s">
        <v>32</v>
      </c>
      <c r="C181" t="s">
        <v>33</v>
      </c>
      <c r="D181">
        <v>7</v>
      </c>
      <c r="E181" t="s">
        <v>34</v>
      </c>
      <c r="F181">
        <v>3</v>
      </c>
      <c r="G181">
        <v>1</v>
      </c>
      <c r="H181" t="s">
        <v>44</v>
      </c>
      <c r="I181">
        <v>4</v>
      </c>
      <c r="J181" t="s">
        <v>36</v>
      </c>
      <c r="K181">
        <v>2972</v>
      </c>
      <c r="L181">
        <v>1</v>
      </c>
      <c r="M181" t="s">
        <v>41</v>
      </c>
      <c r="N181">
        <v>13</v>
      </c>
      <c r="O181">
        <v>3</v>
      </c>
      <c r="P181">
        <v>0</v>
      </c>
      <c r="Q181">
        <v>1</v>
      </c>
      <c r="R181">
        <v>4</v>
      </c>
      <c r="S181">
        <v>1</v>
      </c>
      <c r="T181">
        <v>0</v>
      </c>
      <c r="U181">
        <v>0</v>
      </c>
      <c r="V181" t="s">
        <v>52</v>
      </c>
      <c r="W181" s="1" t="s">
        <v>128</v>
      </c>
      <c r="Y181" t="s">
        <v>39</v>
      </c>
      <c r="Z181" t="s">
        <v>40</v>
      </c>
      <c r="AA181">
        <v>2</v>
      </c>
      <c r="AB181">
        <v>0</v>
      </c>
      <c r="AC181" t="s">
        <v>41</v>
      </c>
      <c r="AD181" t="s">
        <v>65</v>
      </c>
      <c r="AE181" t="s">
        <v>60</v>
      </c>
      <c r="AF181" s="3">
        <v>245</v>
      </c>
      <c r="AG181" s="3">
        <v>75</v>
      </c>
      <c r="AH181">
        <v>80</v>
      </c>
      <c r="AI181">
        <v>2</v>
      </c>
      <c r="AJ181">
        <v>0</v>
      </c>
      <c r="AL181">
        <v>0</v>
      </c>
      <c r="AM181">
        <v>1</v>
      </c>
      <c r="AN181" t="s">
        <v>768</v>
      </c>
      <c r="AO181" t="s">
        <v>41</v>
      </c>
    </row>
    <row r="182" spans="1:41" x14ac:dyDescent="0.25">
      <c r="A182">
        <v>26</v>
      </c>
      <c r="B182" t="s">
        <v>32</v>
      </c>
      <c r="C182" t="s">
        <v>33</v>
      </c>
      <c r="D182">
        <v>3</v>
      </c>
      <c r="E182" t="s">
        <v>61</v>
      </c>
      <c r="F182">
        <v>3</v>
      </c>
      <c r="G182">
        <v>1</v>
      </c>
      <c r="H182" t="s">
        <v>44</v>
      </c>
      <c r="I182">
        <v>4</v>
      </c>
      <c r="J182" t="s">
        <v>51</v>
      </c>
      <c r="K182">
        <v>2061</v>
      </c>
      <c r="L182">
        <v>1</v>
      </c>
      <c r="M182" t="s">
        <v>41</v>
      </c>
      <c r="N182">
        <v>21</v>
      </c>
      <c r="O182">
        <v>4</v>
      </c>
      <c r="P182">
        <v>0</v>
      </c>
      <c r="Q182">
        <v>1</v>
      </c>
      <c r="R182">
        <v>5</v>
      </c>
      <c r="S182">
        <v>1</v>
      </c>
      <c r="T182">
        <v>0</v>
      </c>
      <c r="U182">
        <v>0</v>
      </c>
      <c r="V182" t="s">
        <v>37</v>
      </c>
      <c r="W182" s="1" t="s">
        <v>121</v>
      </c>
      <c r="Y182" t="s">
        <v>63</v>
      </c>
      <c r="Z182" t="s">
        <v>47</v>
      </c>
      <c r="AA182">
        <v>2</v>
      </c>
      <c r="AB182">
        <v>2</v>
      </c>
      <c r="AC182" t="s">
        <v>41</v>
      </c>
      <c r="AD182" t="s">
        <v>67</v>
      </c>
      <c r="AE182" t="s">
        <v>43</v>
      </c>
      <c r="AF182" s="3">
        <v>246</v>
      </c>
      <c r="AG182" s="3">
        <v>95</v>
      </c>
      <c r="AH182">
        <v>80</v>
      </c>
      <c r="AI182">
        <v>2</v>
      </c>
      <c r="AJ182">
        <v>0</v>
      </c>
      <c r="AL182">
        <v>0</v>
      </c>
      <c r="AM182">
        <v>1</v>
      </c>
      <c r="AN182" t="s">
        <v>768</v>
      </c>
      <c r="AO182" t="s">
        <v>41</v>
      </c>
    </row>
    <row r="183" spans="1:41" x14ac:dyDescent="0.25">
      <c r="A183">
        <v>36</v>
      </c>
      <c r="B183" t="s">
        <v>32</v>
      </c>
      <c r="C183" t="s">
        <v>55</v>
      </c>
      <c r="D183">
        <v>1</v>
      </c>
      <c r="E183" t="s">
        <v>61</v>
      </c>
      <c r="F183">
        <v>3</v>
      </c>
      <c r="G183">
        <v>2</v>
      </c>
      <c r="H183" t="s">
        <v>70</v>
      </c>
      <c r="I183">
        <v>3</v>
      </c>
      <c r="J183" t="s">
        <v>36</v>
      </c>
      <c r="K183">
        <v>6815</v>
      </c>
      <c r="L183">
        <v>6</v>
      </c>
      <c r="M183" t="s">
        <v>41</v>
      </c>
      <c r="N183">
        <v>13</v>
      </c>
      <c r="O183">
        <v>3</v>
      </c>
      <c r="P183">
        <v>0</v>
      </c>
      <c r="Q183">
        <v>15</v>
      </c>
      <c r="R183">
        <v>5</v>
      </c>
      <c r="S183">
        <v>1</v>
      </c>
      <c r="T183">
        <v>0</v>
      </c>
      <c r="U183">
        <v>0</v>
      </c>
      <c r="V183" t="s">
        <v>52</v>
      </c>
      <c r="W183" s="2">
        <v>43832</v>
      </c>
      <c r="Y183" t="s">
        <v>63</v>
      </c>
      <c r="Z183" t="s">
        <v>47</v>
      </c>
      <c r="AA183">
        <v>5</v>
      </c>
      <c r="AB183">
        <v>0</v>
      </c>
      <c r="AC183" t="s">
        <v>41</v>
      </c>
      <c r="AD183" t="s">
        <v>67</v>
      </c>
      <c r="AE183" t="s">
        <v>49</v>
      </c>
      <c r="AF183" s="3">
        <v>247</v>
      </c>
      <c r="AG183" s="3">
        <v>95</v>
      </c>
      <c r="AH183">
        <v>80</v>
      </c>
      <c r="AI183">
        <v>2</v>
      </c>
      <c r="AJ183">
        <v>0</v>
      </c>
      <c r="AL183">
        <v>0</v>
      </c>
      <c r="AM183">
        <v>1</v>
      </c>
      <c r="AN183" t="s">
        <v>768</v>
      </c>
      <c r="AO183" t="s">
        <v>41</v>
      </c>
    </row>
    <row r="184" spans="1:41" x14ac:dyDescent="0.25">
      <c r="A184">
        <v>50</v>
      </c>
      <c r="B184" t="s">
        <v>32</v>
      </c>
      <c r="C184" t="s">
        <v>55</v>
      </c>
      <c r="D184">
        <v>9</v>
      </c>
      <c r="E184" t="s">
        <v>34</v>
      </c>
      <c r="F184">
        <v>3</v>
      </c>
      <c r="G184">
        <v>5</v>
      </c>
      <c r="H184" t="s">
        <v>75</v>
      </c>
      <c r="I184">
        <v>3</v>
      </c>
      <c r="J184" t="s">
        <v>51</v>
      </c>
      <c r="K184">
        <v>19331</v>
      </c>
      <c r="L184">
        <v>4</v>
      </c>
      <c r="M184" t="s">
        <v>31</v>
      </c>
      <c r="N184">
        <v>16</v>
      </c>
      <c r="O184">
        <v>3</v>
      </c>
      <c r="P184">
        <v>1</v>
      </c>
      <c r="Q184">
        <v>27</v>
      </c>
      <c r="R184">
        <v>2</v>
      </c>
      <c r="S184">
        <v>1</v>
      </c>
      <c r="T184">
        <v>0</v>
      </c>
      <c r="U184">
        <v>0</v>
      </c>
      <c r="V184" t="s">
        <v>58</v>
      </c>
      <c r="W184" s="1" t="s">
        <v>142</v>
      </c>
      <c r="Y184" t="s">
        <v>39</v>
      </c>
      <c r="Z184" t="s">
        <v>40</v>
      </c>
      <c r="AA184">
        <v>4</v>
      </c>
      <c r="AB184">
        <v>1</v>
      </c>
      <c r="AC184" t="s">
        <v>31</v>
      </c>
      <c r="AD184" t="s">
        <v>48</v>
      </c>
      <c r="AE184" t="s">
        <v>60</v>
      </c>
      <c r="AF184" s="3">
        <v>248</v>
      </c>
      <c r="AG184" s="3">
        <v>70</v>
      </c>
      <c r="AH184">
        <v>80</v>
      </c>
      <c r="AI184">
        <v>3</v>
      </c>
      <c r="AJ184">
        <v>1</v>
      </c>
      <c r="AK184">
        <v>1</v>
      </c>
      <c r="AL184">
        <v>1</v>
      </c>
      <c r="AM184">
        <v>0</v>
      </c>
      <c r="AN184" t="s">
        <v>767</v>
      </c>
      <c r="AO184" t="s">
        <v>31</v>
      </c>
    </row>
    <row r="185" spans="1:41" x14ac:dyDescent="0.25">
      <c r="A185">
        <v>42</v>
      </c>
      <c r="B185" t="s">
        <v>32</v>
      </c>
      <c r="C185" t="s">
        <v>33</v>
      </c>
      <c r="D185">
        <v>9</v>
      </c>
      <c r="E185" t="s">
        <v>34</v>
      </c>
      <c r="F185">
        <v>2</v>
      </c>
      <c r="G185">
        <v>5</v>
      </c>
      <c r="H185" t="s">
        <v>75</v>
      </c>
      <c r="I185">
        <v>4</v>
      </c>
      <c r="J185" t="s">
        <v>36</v>
      </c>
      <c r="K185">
        <v>19613</v>
      </c>
      <c r="L185">
        <v>8</v>
      </c>
      <c r="M185" t="s">
        <v>41</v>
      </c>
      <c r="N185">
        <v>22</v>
      </c>
      <c r="O185">
        <v>4</v>
      </c>
      <c r="P185">
        <v>0</v>
      </c>
      <c r="Q185">
        <v>24</v>
      </c>
      <c r="R185">
        <v>2</v>
      </c>
      <c r="S185">
        <v>1</v>
      </c>
      <c r="T185">
        <v>0</v>
      </c>
      <c r="U185">
        <v>1</v>
      </c>
      <c r="V185" t="s">
        <v>72</v>
      </c>
      <c r="W185" s="1" t="s">
        <v>111</v>
      </c>
      <c r="Y185" t="s">
        <v>63</v>
      </c>
      <c r="Z185" t="s">
        <v>40</v>
      </c>
      <c r="AA185">
        <v>1</v>
      </c>
      <c r="AB185">
        <v>1</v>
      </c>
      <c r="AC185" t="s">
        <v>31</v>
      </c>
      <c r="AD185" t="s">
        <v>42</v>
      </c>
      <c r="AE185" t="s">
        <v>43</v>
      </c>
      <c r="AF185" s="3">
        <v>249</v>
      </c>
      <c r="AG185" s="3">
        <v>86</v>
      </c>
      <c r="AH185">
        <v>80</v>
      </c>
      <c r="AI185">
        <v>2</v>
      </c>
      <c r="AJ185">
        <v>0</v>
      </c>
      <c r="AL185">
        <v>0</v>
      </c>
      <c r="AM185">
        <v>1</v>
      </c>
      <c r="AN185" t="s">
        <v>768</v>
      </c>
      <c r="AO185" t="s">
        <v>41</v>
      </c>
    </row>
    <row r="186" spans="1:41" x14ac:dyDescent="0.25">
      <c r="A186">
        <v>35</v>
      </c>
      <c r="B186" t="s">
        <v>32</v>
      </c>
      <c r="C186" t="s">
        <v>33</v>
      </c>
      <c r="D186">
        <v>7</v>
      </c>
      <c r="E186" t="s">
        <v>34</v>
      </c>
      <c r="F186">
        <v>2</v>
      </c>
      <c r="G186">
        <v>1</v>
      </c>
      <c r="H186" t="s">
        <v>35</v>
      </c>
      <c r="I186">
        <v>4</v>
      </c>
      <c r="J186" t="s">
        <v>51</v>
      </c>
      <c r="K186">
        <v>2690</v>
      </c>
      <c r="L186">
        <v>1</v>
      </c>
      <c r="M186" t="s">
        <v>41</v>
      </c>
      <c r="N186">
        <v>18</v>
      </c>
      <c r="O186">
        <v>3</v>
      </c>
      <c r="P186">
        <v>1</v>
      </c>
      <c r="Q186">
        <v>1</v>
      </c>
      <c r="R186">
        <v>5</v>
      </c>
      <c r="S186">
        <v>1</v>
      </c>
      <c r="T186">
        <v>0</v>
      </c>
      <c r="U186">
        <v>1</v>
      </c>
      <c r="V186" t="s">
        <v>72</v>
      </c>
      <c r="W186" s="1" t="s">
        <v>123</v>
      </c>
      <c r="Y186" t="s">
        <v>46</v>
      </c>
      <c r="Z186" t="s">
        <v>47</v>
      </c>
      <c r="AA186">
        <v>1</v>
      </c>
      <c r="AB186">
        <v>0</v>
      </c>
      <c r="AC186" t="s">
        <v>41</v>
      </c>
      <c r="AD186" t="s">
        <v>48</v>
      </c>
      <c r="AE186" t="s">
        <v>43</v>
      </c>
      <c r="AF186" s="3">
        <v>250</v>
      </c>
      <c r="AG186" s="3">
        <v>57</v>
      </c>
      <c r="AH186">
        <v>80</v>
      </c>
      <c r="AI186">
        <v>2</v>
      </c>
      <c r="AJ186">
        <v>0</v>
      </c>
      <c r="AL186">
        <v>0</v>
      </c>
      <c r="AM186">
        <v>1</v>
      </c>
      <c r="AN186" t="s">
        <v>768</v>
      </c>
      <c r="AO186" t="s">
        <v>41</v>
      </c>
    </row>
    <row r="187" spans="1:41" x14ac:dyDescent="0.25">
      <c r="A187">
        <v>28</v>
      </c>
      <c r="B187" t="s">
        <v>32</v>
      </c>
      <c r="C187" t="s">
        <v>33</v>
      </c>
      <c r="D187">
        <v>24</v>
      </c>
      <c r="E187" t="s">
        <v>34</v>
      </c>
      <c r="F187">
        <v>3</v>
      </c>
      <c r="G187">
        <v>1</v>
      </c>
      <c r="H187" t="s">
        <v>35</v>
      </c>
      <c r="I187">
        <v>2</v>
      </c>
      <c r="J187" t="s">
        <v>51</v>
      </c>
      <c r="K187">
        <v>2408</v>
      </c>
      <c r="L187">
        <v>1</v>
      </c>
      <c r="M187" t="s">
        <v>31</v>
      </c>
      <c r="N187">
        <v>17</v>
      </c>
      <c r="O187">
        <v>3</v>
      </c>
      <c r="P187">
        <v>3</v>
      </c>
      <c r="Q187">
        <v>1</v>
      </c>
      <c r="R187">
        <v>3</v>
      </c>
      <c r="S187">
        <v>1</v>
      </c>
      <c r="T187">
        <v>0</v>
      </c>
      <c r="U187">
        <v>0</v>
      </c>
      <c r="V187" t="s">
        <v>72</v>
      </c>
      <c r="W187" s="2">
        <v>44047</v>
      </c>
      <c r="Y187" t="s">
        <v>54</v>
      </c>
      <c r="Z187" t="s">
        <v>47</v>
      </c>
      <c r="AA187">
        <v>1</v>
      </c>
      <c r="AB187">
        <v>1</v>
      </c>
      <c r="AC187" t="s">
        <v>31</v>
      </c>
      <c r="AD187" t="s">
        <v>48</v>
      </c>
      <c r="AE187" t="s">
        <v>60</v>
      </c>
      <c r="AF187" s="3">
        <v>252</v>
      </c>
      <c r="AG187" s="3">
        <v>72</v>
      </c>
      <c r="AH187">
        <v>80</v>
      </c>
      <c r="AI187">
        <v>7</v>
      </c>
      <c r="AJ187">
        <v>0</v>
      </c>
      <c r="AL187">
        <v>0</v>
      </c>
      <c r="AM187">
        <v>1</v>
      </c>
      <c r="AN187" t="s">
        <v>768</v>
      </c>
      <c r="AO187" t="s">
        <v>41</v>
      </c>
    </row>
    <row r="188" spans="1:41" x14ac:dyDescent="0.25">
      <c r="A188">
        <v>32</v>
      </c>
      <c r="B188" t="s">
        <v>32</v>
      </c>
      <c r="C188" t="s">
        <v>33</v>
      </c>
      <c r="D188">
        <v>2</v>
      </c>
      <c r="E188" t="s">
        <v>34</v>
      </c>
      <c r="F188">
        <v>3</v>
      </c>
      <c r="G188">
        <v>1</v>
      </c>
      <c r="H188" t="s">
        <v>35</v>
      </c>
      <c r="I188">
        <v>2</v>
      </c>
      <c r="J188" t="s">
        <v>36</v>
      </c>
      <c r="K188">
        <v>1393</v>
      </c>
      <c r="L188">
        <v>1</v>
      </c>
      <c r="M188" t="s">
        <v>41</v>
      </c>
      <c r="N188">
        <v>12</v>
      </c>
      <c r="O188">
        <v>3</v>
      </c>
      <c r="P188">
        <v>0</v>
      </c>
      <c r="Q188">
        <v>1</v>
      </c>
      <c r="R188">
        <v>2</v>
      </c>
      <c r="S188">
        <v>1</v>
      </c>
      <c r="T188">
        <v>0</v>
      </c>
      <c r="U188">
        <v>0</v>
      </c>
      <c r="V188" t="s">
        <v>37</v>
      </c>
      <c r="W188" s="2">
        <v>44045</v>
      </c>
      <c r="Y188" t="s">
        <v>39</v>
      </c>
      <c r="Z188" t="s">
        <v>40</v>
      </c>
      <c r="AA188">
        <v>4</v>
      </c>
      <c r="AB188">
        <v>0</v>
      </c>
      <c r="AC188" t="s">
        <v>31</v>
      </c>
      <c r="AD188" t="s">
        <v>67</v>
      </c>
      <c r="AE188" t="s">
        <v>60</v>
      </c>
      <c r="AF188" s="3">
        <v>253</v>
      </c>
      <c r="AG188" s="3">
        <v>46</v>
      </c>
      <c r="AH188">
        <v>80</v>
      </c>
      <c r="AI188">
        <v>8</v>
      </c>
      <c r="AJ188">
        <v>0</v>
      </c>
      <c r="AL188">
        <v>0</v>
      </c>
      <c r="AM188">
        <v>1</v>
      </c>
      <c r="AN188" t="s">
        <v>768</v>
      </c>
      <c r="AO188" t="s">
        <v>41</v>
      </c>
    </row>
    <row r="189" spans="1:41" x14ac:dyDescent="0.25">
      <c r="A189">
        <v>60</v>
      </c>
      <c r="B189" t="s">
        <v>32</v>
      </c>
      <c r="C189" t="s">
        <v>33</v>
      </c>
      <c r="D189">
        <v>1</v>
      </c>
      <c r="E189" t="s">
        <v>34</v>
      </c>
      <c r="F189">
        <v>1</v>
      </c>
      <c r="G189">
        <v>3</v>
      </c>
      <c r="H189" t="s">
        <v>89</v>
      </c>
      <c r="I189">
        <v>4</v>
      </c>
      <c r="J189" t="s">
        <v>57</v>
      </c>
      <c r="K189">
        <v>10883</v>
      </c>
      <c r="L189">
        <v>3</v>
      </c>
      <c r="M189" t="s">
        <v>41</v>
      </c>
      <c r="N189">
        <v>20</v>
      </c>
      <c r="O189">
        <v>4</v>
      </c>
      <c r="P189">
        <v>1</v>
      </c>
      <c r="Q189">
        <v>19</v>
      </c>
      <c r="R189">
        <v>2</v>
      </c>
      <c r="S189">
        <v>1</v>
      </c>
      <c r="T189">
        <v>0</v>
      </c>
      <c r="U189">
        <v>0</v>
      </c>
      <c r="V189" t="s">
        <v>72</v>
      </c>
      <c r="W189" s="1" t="s">
        <v>157</v>
      </c>
      <c r="Y189" t="s">
        <v>39</v>
      </c>
      <c r="Z189" t="s">
        <v>40</v>
      </c>
      <c r="AA189">
        <v>1</v>
      </c>
      <c r="AB189">
        <v>1</v>
      </c>
      <c r="AC189" t="s">
        <v>41</v>
      </c>
      <c r="AD189" t="s">
        <v>48</v>
      </c>
      <c r="AE189" t="s">
        <v>43</v>
      </c>
      <c r="AF189" s="3">
        <v>254</v>
      </c>
      <c r="AG189" s="3">
        <v>61</v>
      </c>
      <c r="AH189">
        <v>80</v>
      </c>
      <c r="AI189">
        <v>15</v>
      </c>
      <c r="AJ189">
        <v>0</v>
      </c>
      <c r="AL189">
        <v>0</v>
      </c>
      <c r="AM189">
        <v>1</v>
      </c>
      <c r="AN189" t="s">
        <v>768</v>
      </c>
      <c r="AO189" t="s">
        <v>41</v>
      </c>
    </row>
    <row r="190" spans="1:41" x14ac:dyDescent="0.25">
      <c r="A190">
        <v>24</v>
      </c>
      <c r="B190" t="s">
        <v>32</v>
      </c>
      <c r="C190" t="s">
        <v>120</v>
      </c>
      <c r="D190">
        <v>22</v>
      </c>
      <c r="E190" t="s">
        <v>34</v>
      </c>
      <c r="F190">
        <v>1</v>
      </c>
      <c r="G190">
        <v>1</v>
      </c>
      <c r="H190" t="s">
        <v>120</v>
      </c>
      <c r="I190">
        <v>3</v>
      </c>
      <c r="J190" t="s">
        <v>51</v>
      </c>
      <c r="K190">
        <v>1555</v>
      </c>
      <c r="L190">
        <v>1</v>
      </c>
      <c r="M190" t="s">
        <v>41</v>
      </c>
      <c r="N190">
        <v>11</v>
      </c>
      <c r="O190">
        <v>3</v>
      </c>
      <c r="P190">
        <v>1</v>
      </c>
      <c r="Q190">
        <v>1</v>
      </c>
      <c r="R190">
        <v>2</v>
      </c>
      <c r="S190">
        <v>1</v>
      </c>
      <c r="T190">
        <v>0</v>
      </c>
      <c r="U190">
        <v>0</v>
      </c>
      <c r="V190" t="s">
        <v>58</v>
      </c>
      <c r="W190" s="2">
        <v>44014</v>
      </c>
      <c r="Y190" t="s">
        <v>63</v>
      </c>
      <c r="Z190" t="s">
        <v>40</v>
      </c>
      <c r="AA190">
        <v>1</v>
      </c>
      <c r="AB190">
        <v>2</v>
      </c>
      <c r="AC190" t="s">
        <v>41</v>
      </c>
      <c r="AD190" t="s">
        <v>67</v>
      </c>
      <c r="AE190" t="s">
        <v>60</v>
      </c>
      <c r="AF190" s="3">
        <v>256</v>
      </c>
      <c r="AG190" s="3">
        <v>45</v>
      </c>
      <c r="AH190">
        <v>80</v>
      </c>
      <c r="AI190">
        <v>9</v>
      </c>
      <c r="AJ190">
        <v>0</v>
      </c>
      <c r="AL190">
        <v>0</v>
      </c>
      <c r="AM190">
        <v>1</v>
      </c>
      <c r="AN190" t="s">
        <v>768</v>
      </c>
      <c r="AO190" t="s">
        <v>41</v>
      </c>
    </row>
    <row r="191" spans="1:41" x14ac:dyDescent="0.25">
      <c r="A191">
        <v>40</v>
      </c>
      <c r="B191" t="s">
        <v>32</v>
      </c>
      <c r="C191" t="s">
        <v>33</v>
      </c>
      <c r="D191">
        <v>8</v>
      </c>
      <c r="E191" t="s">
        <v>61</v>
      </c>
      <c r="F191">
        <v>3</v>
      </c>
      <c r="G191">
        <v>2</v>
      </c>
      <c r="H191" t="s">
        <v>78</v>
      </c>
      <c r="I191">
        <v>1</v>
      </c>
      <c r="J191" t="s">
        <v>51</v>
      </c>
      <c r="K191">
        <v>6516</v>
      </c>
      <c r="L191">
        <v>2</v>
      </c>
      <c r="M191" t="s">
        <v>31</v>
      </c>
      <c r="N191">
        <v>16</v>
      </c>
      <c r="O191">
        <v>3</v>
      </c>
      <c r="P191">
        <v>1</v>
      </c>
      <c r="Q191">
        <v>18</v>
      </c>
      <c r="R191">
        <v>3</v>
      </c>
      <c r="S191">
        <v>1</v>
      </c>
      <c r="T191">
        <v>0</v>
      </c>
      <c r="U191">
        <v>0</v>
      </c>
      <c r="V191" t="s">
        <v>52</v>
      </c>
      <c r="W191" s="1" t="s">
        <v>154</v>
      </c>
      <c r="Y191" t="s">
        <v>54</v>
      </c>
      <c r="Z191" t="s">
        <v>40</v>
      </c>
      <c r="AA191">
        <v>0</v>
      </c>
      <c r="AB191">
        <v>1</v>
      </c>
      <c r="AC191" t="s">
        <v>31</v>
      </c>
      <c r="AD191" t="s">
        <v>48</v>
      </c>
      <c r="AE191" t="s">
        <v>43</v>
      </c>
      <c r="AF191" s="3">
        <v>258</v>
      </c>
      <c r="AG191" s="3">
        <v>98</v>
      </c>
      <c r="AH191">
        <v>80</v>
      </c>
      <c r="AI191">
        <v>7</v>
      </c>
      <c r="AJ191">
        <v>0</v>
      </c>
      <c r="AL191">
        <v>0</v>
      </c>
      <c r="AM191">
        <v>1</v>
      </c>
      <c r="AN191" t="s">
        <v>768</v>
      </c>
      <c r="AO191" t="s">
        <v>41</v>
      </c>
    </row>
    <row r="192" spans="1:41" x14ac:dyDescent="0.25">
      <c r="A192">
        <v>47</v>
      </c>
      <c r="B192" t="s">
        <v>81</v>
      </c>
      <c r="C192" t="s">
        <v>55</v>
      </c>
      <c r="D192">
        <v>2</v>
      </c>
      <c r="E192" t="s">
        <v>34</v>
      </c>
      <c r="F192">
        <v>3</v>
      </c>
      <c r="G192">
        <v>2</v>
      </c>
      <c r="H192" t="s">
        <v>70</v>
      </c>
      <c r="I192">
        <v>2</v>
      </c>
      <c r="J192" t="s">
        <v>51</v>
      </c>
      <c r="K192">
        <v>4978</v>
      </c>
      <c r="L192">
        <v>7</v>
      </c>
      <c r="M192" t="s">
        <v>41</v>
      </c>
      <c r="N192">
        <v>11</v>
      </c>
      <c r="O192">
        <v>3</v>
      </c>
      <c r="P192">
        <v>1</v>
      </c>
      <c r="Q192">
        <v>4</v>
      </c>
      <c r="R192">
        <v>3</v>
      </c>
      <c r="S192">
        <v>1</v>
      </c>
      <c r="T192">
        <v>0</v>
      </c>
      <c r="U192">
        <v>0</v>
      </c>
      <c r="V192" t="s">
        <v>72</v>
      </c>
      <c r="W192" s="2">
        <v>44107</v>
      </c>
      <c r="Y192" t="s">
        <v>54</v>
      </c>
      <c r="Z192" t="s">
        <v>40</v>
      </c>
      <c r="AA192">
        <v>0</v>
      </c>
      <c r="AB192">
        <v>0</v>
      </c>
      <c r="AC192" t="s">
        <v>41</v>
      </c>
      <c r="AD192" t="s">
        <v>65</v>
      </c>
      <c r="AE192" t="s">
        <v>49</v>
      </c>
      <c r="AF192" s="3">
        <v>259</v>
      </c>
      <c r="AG192" s="3">
        <v>65</v>
      </c>
      <c r="AH192">
        <v>80</v>
      </c>
      <c r="AI192">
        <v>18</v>
      </c>
      <c r="AJ192">
        <v>0</v>
      </c>
      <c r="AL192">
        <v>0</v>
      </c>
      <c r="AM192">
        <v>1</v>
      </c>
      <c r="AN192" t="s">
        <v>768</v>
      </c>
      <c r="AO192" t="s">
        <v>41</v>
      </c>
    </row>
    <row r="193" spans="1:41" x14ac:dyDescent="0.25">
      <c r="A193">
        <v>31</v>
      </c>
      <c r="B193" t="s">
        <v>32</v>
      </c>
      <c r="C193" t="s">
        <v>55</v>
      </c>
      <c r="D193">
        <v>16</v>
      </c>
      <c r="E193" t="s">
        <v>34</v>
      </c>
      <c r="F193">
        <v>3</v>
      </c>
      <c r="G193">
        <v>3</v>
      </c>
      <c r="H193" t="s">
        <v>70</v>
      </c>
      <c r="I193">
        <v>3</v>
      </c>
      <c r="J193" t="s">
        <v>51</v>
      </c>
      <c r="K193">
        <v>8161</v>
      </c>
      <c r="L193">
        <v>2</v>
      </c>
      <c r="M193" t="s">
        <v>41</v>
      </c>
      <c r="N193">
        <v>13</v>
      </c>
      <c r="O193">
        <v>3</v>
      </c>
      <c r="P193">
        <v>3</v>
      </c>
      <c r="Q193">
        <v>10</v>
      </c>
      <c r="R193">
        <v>2</v>
      </c>
      <c r="S193">
        <v>1</v>
      </c>
      <c r="T193">
        <v>0</v>
      </c>
      <c r="U193">
        <v>0</v>
      </c>
      <c r="V193" t="s">
        <v>52</v>
      </c>
      <c r="W193" s="1" t="s">
        <v>158</v>
      </c>
      <c r="Y193" t="s">
        <v>46</v>
      </c>
      <c r="Z193" t="s">
        <v>40</v>
      </c>
      <c r="AA193">
        <v>4</v>
      </c>
      <c r="AB193">
        <v>3</v>
      </c>
      <c r="AC193" t="s">
        <v>31</v>
      </c>
      <c r="AD193" t="s">
        <v>42</v>
      </c>
      <c r="AE193" t="s">
        <v>49</v>
      </c>
      <c r="AF193" s="3">
        <v>260</v>
      </c>
      <c r="AG193" s="3">
        <v>99</v>
      </c>
      <c r="AH193">
        <v>80</v>
      </c>
      <c r="AI193">
        <v>7</v>
      </c>
      <c r="AJ193">
        <v>0</v>
      </c>
      <c r="AL193">
        <v>0</v>
      </c>
      <c r="AM193">
        <v>1</v>
      </c>
      <c r="AN193" t="s">
        <v>768</v>
      </c>
      <c r="AO193" t="s">
        <v>41</v>
      </c>
    </row>
    <row r="194" spans="1:41" x14ac:dyDescent="0.25">
      <c r="A194">
        <v>29</v>
      </c>
      <c r="B194" t="s">
        <v>32</v>
      </c>
      <c r="C194" t="s">
        <v>33</v>
      </c>
      <c r="D194">
        <v>4</v>
      </c>
      <c r="E194" t="s">
        <v>61</v>
      </c>
      <c r="F194">
        <v>2</v>
      </c>
      <c r="G194">
        <v>1</v>
      </c>
      <c r="H194" t="s">
        <v>44</v>
      </c>
      <c r="I194">
        <v>1</v>
      </c>
      <c r="J194" t="s">
        <v>57</v>
      </c>
      <c r="K194">
        <v>2109</v>
      </c>
      <c r="L194">
        <v>1</v>
      </c>
      <c r="M194" t="s">
        <v>41</v>
      </c>
      <c r="N194">
        <v>13</v>
      </c>
      <c r="O194">
        <v>3</v>
      </c>
      <c r="P194">
        <v>1</v>
      </c>
      <c r="Q194">
        <v>1</v>
      </c>
      <c r="R194">
        <v>2</v>
      </c>
      <c r="S194">
        <v>1</v>
      </c>
      <c r="T194">
        <v>0</v>
      </c>
      <c r="U194">
        <v>0</v>
      </c>
      <c r="V194" t="s">
        <v>37</v>
      </c>
      <c r="W194" s="1" t="s">
        <v>130</v>
      </c>
      <c r="Y194" t="s">
        <v>69</v>
      </c>
      <c r="Z194" t="s">
        <v>40</v>
      </c>
      <c r="AA194">
        <v>3</v>
      </c>
      <c r="AB194">
        <v>3</v>
      </c>
      <c r="AC194" t="s">
        <v>41</v>
      </c>
      <c r="AD194" t="s">
        <v>67</v>
      </c>
      <c r="AE194" t="s">
        <v>60</v>
      </c>
      <c r="AF194" s="3">
        <v>261</v>
      </c>
      <c r="AG194" s="3">
        <v>50</v>
      </c>
      <c r="AH194">
        <v>80</v>
      </c>
      <c r="AI194">
        <v>0</v>
      </c>
      <c r="AJ194">
        <v>1</v>
      </c>
      <c r="AK194">
        <v>1</v>
      </c>
      <c r="AL194">
        <v>1</v>
      </c>
      <c r="AM194">
        <v>0</v>
      </c>
      <c r="AN194" t="s">
        <v>767</v>
      </c>
      <c r="AO194" t="s">
        <v>31</v>
      </c>
    </row>
    <row r="195" spans="1:41" x14ac:dyDescent="0.25">
      <c r="A195">
        <v>38</v>
      </c>
      <c r="B195" t="s">
        <v>32</v>
      </c>
      <c r="C195" t="s">
        <v>33</v>
      </c>
      <c r="D195">
        <v>18</v>
      </c>
      <c r="E195" t="s">
        <v>34</v>
      </c>
      <c r="F195">
        <v>1</v>
      </c>
      <c r="G195">
        <v>2</v>
      </c>
      <c r="H195" t="s">
        <v>89</v>
      </c>
      <c r="I195">
        <v>4</v>
      </c>
      <c r="J195" t="s">
        <v>51</v>
      </c>
      <c r="K195">
        <v>5811</v>
      </c>
      <c r="L195">
        <v>3</v>
      </c>
      <c r="M195" t="s">
        <v>31</v>
      </c>
      <c r="N195">
        <v>16</v>
      </c>
      <c r="O195">
        <v>3</v>
      </c>
      <c r="P195">
        <v>1</v>
      </c>
      <c r="Q195">
        <v>15</v>
      </c>
      <c r="R195">
        <v>2</v>
      </c>
      <c r="S195">
        <v>1</v>
      </c>
      <c r="T195">
        <v>1</v>
      </c>
      <c r="U195">
        <v>0</v>
      </c>
      <c r="V195" t="s">
        <v>52</v>
      </c>
      <c r="W195" s="1" t="s">
        <v>159</v>
      </c>
      <c r="Y195" t="s">
        <v>46</v>
      </c>
      <c r="Z195" t="s">
        <v>47</v>
      </c>
      <c r="AA195">
        <v>2</v>
      </c>
      <c r="AB195">
        <v>1</v>
      </c>
      <c r="AC195" t="s">
        <v>31</v>
      </c>
      <c r="AD195" t="s">
        <v>42</v>
      </c>
      <c r="AE195" t="s">
        <v>49</v>
      </c>
      <c r="AF195" s="3">
        <v>262</v>
      </c>
      <c r="AG195" s="3">
        <v>37</v>
      </c>
      <c r="AH195">
        <v>80</v>
      </c>
      <c r="AI195">
        <v>4</v>
      </c>
      <c r="AJ195">
        <v>0</v>
      </c>
      <c r="AL195">
        <v>0</v>
      </c>
      <c r="AM195">
        <v>1</v>
      </c>
      <c r="AN195" t="s">
        <v>768</v>
      </c>
      <c r="AO195" t="s">
        <v>41</v>
      </c>
    </row>
    <row r="196" spans="1:41" x14ac:dyDescent="0.25">
      <c r="A196">
        <v>43</v>
      </c>
      <c r="B196" t="s">
        <v>66</v>
      </c>
      <c r="C196" t="s">
        <v>33</v>
      </c>
      <c r="D196">
        <v>17</v>
      </c>
      <c r="E196" t="s">
        <v>34</v>
      </c>
      <c r="F196">
        <v>2</v>
      </c>
      <c r="G196">
        <v>1</v>
      </c>
      <c r="H196" t="s">
        <v>44</v>
      </c>
      <c r="I196">
        <v>3</v>
      </c>
      <c r="J196" t="s">
        <v>51</v>
      </c>
      <c r="K196">
        <v>2437</v>
      </c>
      <c r="L196">
        <v>9</v>
      </c>
      <c r="M196" t="s">
        <v>31</v>
      </c>
      <c r="N196">
        <v>16</v>
      </c>
      <c r="O196">
        <v>3</v>
      </c>
      <c r="P196">
        <v>1</v>
      </c>
      <c r="Q196">
        <v>6</v>
      </c>
      <c r="R196">
        <v>4</v>
      </c>
      <c r="S196">
        <v>1</v>
      </c>
      <c r="T196">
        <v>0</v>
      </c>
      <c r="U196">
        <v>0</v>
      </c>
      <c r="V196" t="s">
        <v>58</v>
      </c>
      <c r="W196" s="2">
        <v>43926</v>
      </c>
      <c r="Y196" t="s">
        <v>54</v>
      </c>
      <c r="Z196" t="s">
        <v>40</v>
      </c>
      <c r="AA196">
        <v>3</v>
      </c>
      <c r="AB196">
        <v>1</v>
      </c>
      <c r="AC196" t="s">
        <v>41</v>
      </c>
      <c r="AD196" t="s">
        <v>67</v>
      </c>
      <c r="AE196" t="s">
        <v>43</v>
      </c>
      <c r="AF196" s="3">
        <v>264</v>
      </c>
      <c r="AG196" s="3">
        <v>65</v>
      </c>
      <c r="AH196">
        <v>80</v>
      </c>
      <c r="AI196">
        <v>8</v>
      </c>
      <c r="AJ196">
        <v>0</v>
      </c>
      <c r="AL196">
        <v>0</v>
      </c>
      <c r="AM196">
        <v>1</v>
      </c>
      <c r="AN196" t="s">
        <v>768</v>
      </c>
      <c r="AO196" t="s">
        <v>41</v>
      </c>
    </row>
    <row r="197" spans="1:41" x14ac:dyDescent="0.25">
      <c r="A197">
        <v>55</v>
      </c>
      <c r="B197" t="s">
        <v>32</v>
      </c>
      <c r="C197" t="s">
        <v>33</v>
      </c>
      <c r="D197">
        <v>2</v>
      </c>
      <c r="E197" t="s">
        <v>34</v>
      </c>
      <c r="F197">
        <v>2</v>
      </c>
      <c r="G197">
        <v>5</v>
      </c>
      <c r="H197" t="s">
        <v>50</v>
      </c>
      <c r="I197">
        <v>1</v>
      </c>
      <c r="J197" t="s">
        <v>51</v>
      </c>
      <c r="K197">
        <v>19038</v>
      </c>
      <c r="L197">
        <v>8</v>
      </c>
      <c r="M197" t="s">
        <v>41</v>
      </c>
      <c r="N197">
        <v>12</v>
      </c>
      <c r="O197">
        <v>3</v>
      </c>
      <c r="P197">
        <v>3</v>
      </c>
      <c r="Q197">
        <v>34</v>
      </c>
      <c r="R197">
        <v>2</v>
      </c>
      <c r="S197">
        <v>1</v>
      </c>
      <c r="T197">
        <v>0</v>
      </c>
      <c r="U197">
        <v>0</v>
      </c>
      <c r="V197" t="s">
        <v>58</v>
      </c>
      <c r="W197" s="1" t="s">
        <v>160</v>
      </c>
      <c r="Y197" t="s">
        <v>63</v>
      </c>
      <c r="Z197" t="s">
        <v>47</v>
      </c>
      <c r="AA197">
        <v>4</v>
      </c>
      <c r="AB197">
        <v>1</v>
      </c>
      <c r="AC197" t="s">
        <v>31</v>
      </c>
      <c r="AD197" t="s">
        <v>48</v>
      </c>
      <c r="AE197" t="s">
        <v>43</v>
      </c>
      <c r="AF197" s="3">
        <v>267</v>
      </c>
      <c r="AG197" s="3">
        <v>65</v>
      </c>
      <c r="AH197">
        <v>80</v>
      </c>
      <c r="AI197">
        <v>7</v>
      </c>
      <c r="AJ197">
        <v>0</v>
      </c>
      <c r="AL197">
        <v>0</v>
      </c>
      <c r="AM197">
        <v>1</v>
      </c>
      <c r="AN197" t="s">
        <v>768</v>
      </c>
      <c r="AO197" t="s">
        <v>41</v>
      </c>
    </row>
    <row r="198" spans="1:41" x14ac:dyDescent="0.25">
      <c r="A198">
        <v>21</v>
      </c>
      <c r="B198" t="s">
        <v>32</v>
      </c>
      <c r="C198" t="s">
        <v>55</v>
      </c>
      <c r="D198">
        <v>7</v>
      </c>
      <c r="E198" t="s">
        <v>34</v>
      </c>
      <c r="F198">
        <v>3</v>
      </c>
      <c r="G198">
        <v>1</v>
      </c>
      <c r="H198" t="s">
        <v>56</v>
      </c>
      <c r="I198">
        <v>2</v>
      </c>
      <c r="J198" t="s">
        <v>36</v>
      </c>
      <c r="K198">
        <v>2679</v>
      </c>
      <c r="L198">
        <v>1</v>
      </c>
      <c r="M198" t="s">
        <v>41</v>
      </c>
      <c r="N198">
        <v>13</v>
      </c>
      <c r="O198">
        <v>3</v>
      </c>
      <c r="P198">
        <v>0</v>
      </c>
      <c r="Q198">
        <v>1</v>
      </c>
      <c r="R198">
        <v>3</v>
      </c>
      <c r="S198">
        <v>1</v>
      </c>
      <c r="T198">
        <v>1</v>
      </c>
      <c r="U198">
        <v>0</v>
      </c>
      <c r="V198" t="s">
        <v>58</v>
      </c>
      <c r="W198" s="1" t="s">
        <v>161</v>
      </c>
      <c r="Y198" t="s">
        <v>46</v>
      </c>
      <c r="Z198" t="s">
        <v>47</v>
      </c>
      <c r="AA198">
        <v>5</v>
      </c>
      <c r="AB198">
        <v>2</v>
      </c>
      <c r="AC198" t="s">
        <v>31</v>
      </c>
      <c r="AD198" t="s">
        <v>42</v>
      </c>
      <c r="AE198" t="s">
        <v>49</v>
      </c>
      <c r="AF198" s="3">
        <v>269</v>
      </c>
      <c r="AG198" s="3">
        <v>37</v>
      </c>
      <c r="AH198">
        <v>80</v>
      </c>
      <c r="AI198">
        <v>2</v>
      </c>
      <c r="AJ198">
        <v>0</v>
      </c>
      <c r="AL198">
        <v>0</v>
      </c>
      <c r="AM198">
        <v>1</v>
      </c>
      <c r="AN198" t="s">
        <v>768</v>
      </c>
      <c r="AO198" t="s">
        <v>41</v>
      </c>
    </row>
    <row r="199" spans="1:41" x14ac:dyDescent="0.25">
      <c r="A199">
        <v>22</v>
      </c>
      <c r="B199" t="s">
        <v>32</v>
      </c>
      <c r="C199" t="s">
        <v>33</v>
      </c>
      <c r="D199">
        <v>8</v>
      </c>
      <c r="E199" t="s">
        <v>61</v>
      </c>
      <c r="F199">
        <v>3</v>
      </c>
      <c r="G199">
        <v>1</v>
      </c>
      <c r="H199" t="s">
        <v>35</v>
      </c>
      <c r="I199">
        <v>1</v>
      </c>
      <c r="J199" t="s">
        <v>51</v>
      </c>
      <c r="K199">
        <v>2398</v>
      </c>
      <c r="L199">
        <v>1</v>
      </c>
      <c r="M199" t="s">
        <v>31</v>
      </c>
      <c r="N199">
        <v>17</v>
      </c>
      <c r="O199">
        <v>3</v>
      </c>
      <c r="P199">
        <v>0</v>
      </c>
      <c r="Q199">
        <v>1</v>
      </c>
      <c r="R199">
        <v>6</v>
      </c>
      <c r="S199">
        <v>1</v>
      </c>
      <c r="T199">
        <v>0</v>
      </c>
      <c r="U199">
        <v>0</v>
      </c>
      <c r="V199" t="s">
        <v>72</v>
      </c>
      <c r="W199" s="2">
        <v>43954</v>
      </c>
      <c r="Y199" t="s">
        <v>39</v>
      </c>
      <c r="Z199" t="s">
        <v>47</v>
      </c>
      <c r="AA199">
        <v>5</v>
      </c>
      <c r="AB199">
        <v>3</v>
      </c>
      <c r="AC199" t="s">
        <v>31</v>
      </c>
      <c r="AD199" t="s">
        <v>42</v>
      </c>
      <c r="AE199" t="s">
        <v>60</v>
      </c>
      <c r="AF199" s="3">
        <v>270</v>
      </c>
      <c r="AG199" s="3">
        <v>36</v>
      </c>
      <c r="AH199">
        <v>80</v>
      </c>
      <c r="AI199">
        <v>3</v>
      </c>
      <c r="AJ199">
        <v>0</v>
      </c>
      <c r="AL199">
        <v>0</v>
      </c>
      <c r="AM199">
        <v>1</v>
      </c>
      <c r="AN199" t="s">
        <v>768</v>
      </c>
      <c r="AO199" t="s">
        <v>41</v>
      </c>
    </row>
    <row r="200" spans="1:41" x14ac:dyDescent="0.25">
      <c r="A200">
        <v>31</v>
      </c>
      <c r="B200" t="s">
        <v>32</v>
      </c>
      <c r="C200" t="s">
        <v>120</v>
      </c>
      <c r="D200">
        <v>18</v>
      </c>
      <c r="E200" t="s">
        <v>34</v>
      </c>
      <c r="F200">
        <v>4</v>
      </c>
      <c r="G200">
        <v>1</v>
      </c>
      <c r="H200" t="s">
        <v>120</v>
      </c>
      <c r="I200">
        <v>1</v>
      </c>
      <c r="J200" t="s">
        <v>51</v>
      </c>
      <c r="K200">
        <v>2956</v>
      </c>
      <c r="L200">
        <v>0</v>
      </c>
      <c r="M200" t="s">
        <v>41</v>
      </c>
      <c r="N200">
        <v>17</v>
      </c>
      <c r="O200">
        <v>3</v>
      </c>
      <c r="P200">
        <v>0</v>
      </c>
      <c r="Q200">
        <v>2</v>
      </c>
      <c r="R200">
        <v>4</v>
      </c>
      <c r="S200">
        <v>1</v>
      </c>
      <c r="T200">
        <v>0</v>
      </c>
      <c r="U200">
        <v>0</v>
      </c>
      <c r="V200" t="s">
        <v>52</v>
      </c>
      <c r="W200" s="1" t="s">
        <v>162</v>
      </c>
      <c r="Y200" t="s">
        <v>46</v>
      </c>
      <c r="Z200" t="s">
        <v>47</v>
      </c>
      <c r="AA200">
        <v>4</v>
      </c>
      <c r="AB200">
        <v>1</v>
      </c>
      <c r="AC200" t="s">
        <v>31</v>
      </c>
      <c r="AD200" t="s">
        <v>67</v>
      </c>
      <c r="AE200" t="s">
        <v>43</v>
      </c>
      <c r="AF200" s="3">
        <v>271</v>
      </c>
      <c r="AG200" s="3">
        <v>88</v>
      </c>
      <c r="AH200">
        <v>80</v>
      </c>
      <c r="AI200">
        <v>0</v>
      </c>
      <c r="AJ200">
        <v>0</v>
      </c>
      <c r="AL200">
        <v>0</v>
      </c>
      <c r="AM200">
        <v>1</v>
      </c>
      <c r="AN200" t="s">
        <v>768</v>
      </c>
      <c r="AO200" t="s">
        <v>41</v>
      </c>
    </row>
    <row r="201" spans="1:41" x14ac:dyDescent="0.25">
      <c r="A201">
        <v>36</v>
      </c>
      <c r="B201" t="s">
        <v>32</v>
      </c>
      <c r="C201" t="s">
        <v>33</v>
      </c>
      <c r="D201">
        <v>2</v>
      </c>
      <c r="E201" t="s">
        <v>61</v>
      </c>
      <c r="F201">
        <v>3</v>
      </c>
      <c r="G201">
        <v>2</v>
      </c>
      <c r="H201" t="s">
        <v>44</v>
      </c>
      <c r="I201">
        <v>2</v>
      </c>
      <c r="J201" t="s">
        <v>51</v>
      </c>
      <c r="K201">
        <v>6962</v>
      </c>
      <c r="L201">
        <v>4</v>
      </c>
      <c r="M201" t="s">
        <v>31</v>
      </c>
      <c r="N201">
        <v>22</v>
      </c>
      <c r="O201">
        <v>4</v>
      </c>
      <c r="P201">
        <v>1</v>
      </c>
      <c r="Q201">
        <v>15</v>
      </c>
      <c r="R201">
        <v>2</v>
      </c>
      <c r="S201">
        <v>1</v>
      </c>
      <c r="T201">
        <v>0</v>
      </c>
      <c r="U201">
        <v>0</v>
      </c>
      <c r="V201" t="s">
        <v>37</v>
      </c>
      <c r="W201" s="2">
        <v>43835</v>
      </c>
      <c r="Y201" t="s">
        <v>69</v>
      </c>
      <c r="Z201" t="s">
        <v>47</v>
      </c>
      <c r="AA201">
        <v>4</v>
      </c>
      <c r="AB201">
        <v>0</v>
      </c>
      <c r="AC201" t="s">
        <v>31</v>
      </c>
      <c r="AD201" t="s">
        <v>48</v>
      </c>
      <c r="AE201" t="s">
        <v>49</v>
      </c>
      <c r="AF201" s="3">
        <v>273</v>
      </c>
      <c r="AG201" s="3">
        <v>54</v>
      </c>
      <c r="AH201">
        <v>80</v>
      </c>
      <c r="AI201">
        <v>7</v>
      </c>
      <c r="AJ201">
        <v>0</v>
      </c>
      <c r="AL201">
        <v>0</v>
      </c>
      <c r="AM201">
        <v>1</v>
      </c>
      <c r="AN201" t="s">
        <v>768</v>
      </c>
      <c r="AO201" t="s">
        <v>41</v>
      </c>
    </row>
    <row r="202" spans="1:41" x14ac:dyDescent="0.25">
      <c r="A202">
        <v>29</v>
      </c>
      <c r="B202" t="s">
        <v>32</v>
      </c>
      <c r="C202" t="s">
        <v>120</v>
      </c>
      <c r="D202">
        <v>6</v>
      </c>
      <c r="E202" t="s">
        <v>34</v>
      </c>
      <c r="F202">
        <v>2</v>
      </c>
      <c r="G202">
        <v>1</v>
      </c>
      <c r="H202" t="s">
        <v>120</v>
      </c>
      <c r="I202">
        <v>2</v>
      </c>
      <c r="J202" t="s">
        <v>51</v>
      </c>
      <c r="K202">
        <v>2804</v>
      </c>
      <c r="L202">
        <v>1</v>
      </c>
      <c r="M202" t="s">
        <v>41</v>
      </c>
      <c r="N202">
        <v>11</v>
      </c>
      <c r="O202">
        <v>3</v>
      </c>
      <c r="P202">
        <v>0</v>
      </c>
      <c r="Q202">
        <v>1</v>
      </c>
      <c r="R202">
        <v>3</v>
      </c>
      <c r="S202">
        <v>1</v>
      </c>
      <c r="T202">
        <v>0</v>
      </c>
      <c r="U202">
        <v>0</v>
      </c>
      <c r="V202" t="s">
        <v>52</v>
      </c>
      <c r="W202" s="1" t="s">
        <v>163</v>
      </c>
      <c r="Y202" t="s">
        <v>54</v>
      </c>
      <c r="Z202" t="s">
        <v>47</v>
      </c>
      <c r="AA202">
        <v>1</v>
      </c>
      <c r="AB202">
        <v>3</v>
      </c>
      <c r="AC202" t="s">
        <v>31</v>
      </c>
      <c r="AD202" t="s">
        <v>65</v>
      </c>
      <c r="AE202" t="s">
        <v>49</v>
      </c>
      <c r="AF202" s="3">
        <v>274</v>
      </c>
      <c r="AG202" s="3">
        <v>60</v>
      </c>
      <c r="AH202">
        <v>80</v>
      </c>
      <c r="AI202">
        <v>2</v>
      </c>
      <c r="AJ202">
        <v>0</v>
      </c>
      <c r="AL202">
        <v>0</v>
      </c>
      <c r="AM202">
        <v>1</v>
      </c>
      <c r="AN202" t="s">
        <v>768</v>
      </c>
      <c r="AO202" t="s">
        <v>41</v>
      </c>
    </row>
    <row r="203" spans="1:41" x14ac:dyDescent="0.25">
      <c r="A203">
        <v>29</v>
      </c>
      <c r="B203" t="s">
        <v>66</v>
      </c>
      <c r="C203" t="s">
        <v>33</v>
      </c>
      <c r="D203">
        <v>24</v>
      </c>
      <c r="E203" t="s">
        <v>34</v>
      </c>
      <c r="F203">
        <v>2</v>
      </c>
      <c r="G203">
        <v>1</v>
      </c>
      <c r="H203" t="s">
        <v>44</v>
      </c>
      <c r="I203">
        <v>4</v>
      </c>
      <c r="J203" t="s">
        <v>36</v>
      </c>
      <c r="K203">
        <v>2439</v>
      </c>
      <c r="L203">
        <v>1</v>
      </c>
      <c r="M203" t="s">
        <v>31</v>
      </c>
      <c r="N203">
        <v>24</v>
      </c>
      <c r="O203">
        <v>4</v>
      </c>
      <c r="P203">
        <v>0</v>
      </c>
      <c r="Q203">
        <v>1</v>
      </c>
      <c r="R203">
        <v>3</v>
      </c>
      <c r="S203">
        <v>1</v>
      </c>
      <c r="T203">
        <v>1</v>
      </c>
      <c r="U203">
        <v>0</v>
      </c>
      <c r="V203" t="s">
        <v>37</v>
      </c>
      <c r="W203" s="1" t="s">
        <v>131</v>
      </c>
      <c r="Y203" t="s">
        <v>39</v>
      </c>
      <c r="Z203" t="s">
        <v>40</v>
      </c>
      <c r="AA203">
        <v>3</v>
      </c>
      <c r="AB203">
        <v>1</v>
      </c>
      <c r="AC203" t="s">
        <v>31</v>
      </c>
      <c r="AD203" t="s">
        <v>65</v>
      </c>
      <c r="AE203" t="s">
        <v>49</v>
      </c>
      <c r="AF203" s="3">
        <v>275</v>
      </c>
      <c r="AG203" s="3">
        <v>92</v>
      </c>
      <c r="AH203">
        <v>80</v>
      </c>
      <c r="AI203">
        <v>7</v>
      </c>
      <c r="AJ203">
        <v>0</v>
      </c>
      <c r="AL203">
        <v>0</v>
      </c>
      <c r="AM203">
        <v>1</v>
      </c>
      <c r="AN203" t="s">
        <v>768</v>
      </c>
      <c r="AO203" t="s">
        <v>41</v>
      </c>
    </row>
    <row r="204" spans="1:41" x14ac:dyDescent="0.25">
      <c r="A204">
        <v>28</v>
      </c>
      <c r="B204" t="s">
        <v>32</v>
      </c>
      <c r="C204" t="s">
        <v>55</v>
      </c>
      <c r="D204">
        <v>3</v>
      </c>
      <c r="E204" t="s">
        <v>61</v>
      </c>
      <c r="F204">
        <v>3</v>
      </c>
      <c r="G204">
        <v>1</v>
      </c>
      <c r="H204" t="s">
        <v>56</v>
      </c>
      <c r="I204">
        <v>2</v>
      </c>
      <c r="J204" t="s">
        <v>51</v>
      </c>
      <c r="K204">
        <v>2856</v>
      </c>
      <c r="L204">
        <v>1</v>
      </c>
      <c r="M204" t="s">
        <v>41</v>
      </c>
      <c r="N204">
        <v>19</v>
      </c>
      <c r="O204">
        <v>3</v>
      </c>
      <c r="P204">
        <v>1</v>
      </c>
      <c r="Q204">
        <v>1</v>
      </c>
      <c r="R204">
        <v>3</v>
      </c>
      <c r="S204">
        <v>1</v>
      </c>
      <c r="T204">
        <v>0</v>
      </c>
      <c r="U204">
        <v>0</v>
      </c>
      <c r="V204" t="s">
        <v>72</v>
      </c>
      <c r="W204" s="2">
        <v>43923</v>
      </c>
      <c r="Y204" t="s">
        <v>63</v>
      </c>
      <c r="Z204" t="s">
        <v>40</v>
      </c>
      <c r="AA204">
        <v>3</v>
      </c>
      <c r="AB204">
        <v>2</v>
      </c>
      <c r="AC204" t="s">
        <v>31</v>
      </c>
      <c r="AD204" t="s">
        <v>42</v>
      </c>
      <c r="AE204" t="s">
        <v>43</v>
      </c>
      <c r="AF204" s="3">
        <v>277</v>
      </c>
      <c r="AG204" s="3">
        <v>43</v>
      </c>
      <c r="AH204">
        <v>80</v>
      </c>
      <c r="AI204">
        <v>3</v>
      </c>
      <c r="AJ204">
        <v>0</v>
      </c>
      <c r="AL204">
        <v>0</v>
      </c>
      <c r="AM204">
        <v>1</v>
      </c>
      <c r="AN204" t="s">
        <v>768</v>
      </c>
      <c r="AO204" t="s">
        <v>41</v>
      </c>
    </row>
    <row r="205" spans="1:41" x14ac:dyDescent="0.25">
      <c r="A205">
        <v>30</v>
      </c>
      <c r="B205" t="s">
        <v>32</v>
      </c>
      <c r="C205" t="s">
        <v>55</v>
      </c>
      <c r="D205">
        <v>9</v>
      </c>
      <c r="E205" t="s">
        <v>34</v>
      </c>
      <c r="F205">
        <v>3</v>
      </c>
      <c r="G205">
        <v>1</v>
      </c>
      <c r="H205" t="s">
        <v>56</v>
      </c>
      <c r="I205">
        <v>4</v>
      </c>
      <c r="J205" t="s">
        <v>36</v>
      </c>
      <c r="K205">
        <v>1081</v>
      </c>
      <c r="L205">
        <v>1</v>
      </c>
      <c r="M205" t="s">
        <v>41</v>
      </c>
      <c r="N205">
        <v>13</v>
      </c>
      <c r="O205">
        <v>3</v>
      </c>
      <c r="P205">
        <v>0</v>
      </c>
      <c r="Q205">
        <v>1</v>
      </c>
      <c r="R205">
        <v>3</v>
      </c>
      <c r="S205">
        <v>1</v>
      </c>
      <c r="T205">
        <v>0</v>
      </c>
      <c r="U205">
        <v>0</v>
      </c>
      <c r="V205" t="s">
        <v>52</v>
      </c>
      <c r="W205" s="1" t="s">
        <v>164</v>
      </c>
      <c r="Y205" t="s">
        <v>63</v>
      </c>
      <c r="Z205" t="s">
        <v>47</v>
      </c>
      <c r="AA205">
        <v>0</v>
      </c>
      <c r="AB205">
        <v>0</v>
      </c>
      <c r="AC205" t="s">
        <v>41</v>
      </c>
      <c r="AD205" t="s">
        <v>42</v>
      </c>
      <c r="AE205" t="s">
        <v>60</v>
      </c>
      <c r="AF205" s="3">
        <v>281</v>
      </c>
      <c r="AG205" s="3">
        <v>99</v>
      </c>
      <c r="AH205">
        <v>80</v>
      </c>
      <c r="AI205">
        <v>2</v>
      </c>
      <c r="AJ205">
        <v>0</v>
      </c>
      <c r="AL205">
        <v>0</v>
      </c>
      <c r="AM205">
        <v>1</v>
      </c>
      <c r="AN205" t="s">
        <v>768</v>
      </c>
      <c r="AO205" t="s">
        <v>41</v>
      </c>
    </row>
    <row r="206" spans="1:41" x14ac:dyDescent="0.25">
      <c r="A206">
        <v>22</v>
      </c>
      <c r="B206" t="s">
        <v>32</v>
      </c>
      <c r="C206" t="s">
        <v>33</v>
      </c>
      <c r="D206">
        <v>7</v>
      </c>
      <c r="E206" t="s">
        <v>34</v>
      </c>
      <c r="F206">
        <v>3</v>
      </c>
      <c r="G206">
        <v>1</v>
      </c>
      <c r="H206" t="s">
        <v>44</v>
      </c>
      <c r="I206">
        <v>2</v>
      </c>
      <c r="J206" t="s">
        <v>36</v>
      </c>
      <c r="K206">
        <v>2472</v>
      </c>
      <c r="L206">
        <v>1</v>
      </c>
      <c r="M206" t="s">
        <v>31</v>
      </c>
      <c r="N206">
        <v>23</v>
      </c>
      <c r="O206">
        <v>4</v>
      </c>
      <c r="P206">
        <v>0</v>
      </c>
      <c r="Q206">
        <v>1</v>
      </c>
      <c r="R206">
        <v>2</v>
      </c>
      <c r="S206">
        <v>1</v>
      </c>
      <c r="T206">
        <v>0</v>
      </c>
      <c r="U206">
        <v>0</v>
      </c>
      <c r="V206" t="s">
        <v>52</v>
      </c>
      <c r="W206" s="1" t="s">
        <v>137</v>
      </c>
      <c r="Y206" t="s">
        <v>69</v>
      </c>
      <c r="Z206" t="s">
        <v>40</v>
      </c>
      <c r="AA206">
        <v>0</v>
      </c>
      <c r="AB206">
        <v>1</v>
      </c>
      <c r="AC206" t="s">
        <v>41</v>
      </c>
      <c r="AD206" t="s">
        <v>65</v>
      </c>
      <c r="AE206" t="s">
        <v>60</v>
      </c>
      <c r="AF206" s="3">
        <v>282</v>
      </c>
      <c r="AG206" s="3">
        <v>70</v>
      </c>
      <c r="AH206">
        <v>80</v>
      </c>
      <c r="AI206">
        <v>0</v>
      </c>
      <c r="AJ206">
        <v>1</v>
      </c>
      <c r="AK206">
        <v>1</v>
      </c>
      <c r="AL206">
        <v>1</v>
      </c>
      <c r="AM206">
        <v>0</v>
      </c>
      <c r="AN206" t="s">
        <v>767</v>
      </c>
      <c r="AO206" t="s">
        <v>31</v>
      </c>
    </row>
    <row r="207" spans="1:41" x14ac:dyDescent="0.25">
      <c r="A207">
        <v>26</v>
      </c>
      <c r="B207" t="s">
        <v>32</v>
      </c>
      <c r="C207" t="s">
        <v>33</v>
      </c>
      <c r="D207">
        <v>1</v>
      </c>
      <c r="E207" t="s">
        <v>61</v>
      </c>
      <c r="F207">
        <v>2</v>
      </c>
      <c r="G207">
        <v>1</v>
      </c>
      <c r="H207" t="s">
        <v>44</v>
      </c>
      <c r="I207">
        <v>3</v>
      </c>
      <c r="J207" t="s">
        <v>51</v>
      </c>
      <c r="K207">
        <v>2933</v>
      </c>
      <c r="L207">
        <v>1</v>
      </c>
      <c r="M207" t="s">
        <v>31</v>
      </c>
      <c r="N207">
        <v>13</v>
      </c>
      <c r="O207">
        <v>3</v>
      </c>
      <c r="P207">
        <v>1</v>
      </c>
      <c r="Q207">
        <v>1</v>
      </c>
      <c r="R207">
        <v>3</v>
      </c>
      <c r="S207">
        <v>1</v>
      </c>
      <c r="T207">
        <v>1</v>
      </c>
      <c r="U207">
        <v>0</v>
      </c>
      <c r="V207" t="s">
        <v>58</v>
      </c>
      <c r="W207" s="1" t="s">
        <v>113</v>
      </c>
      <c r="Y207" t="s">
        <v>39</v>
      </c>
      <c r="Z207" t="s">
        <v>40</v>
      </c>
      <c r="AA207">
        <v>1</v>
      </c>
      <c r="AB207">
        <v>0</v>
      </c>
      <c r="AC207" t="s">
        <v>31</v>
      </c>
      <c r="AD207" t="s">
        <v>65</v>
      </c>
      <c r="AE207" t="s">
        <v>49</v>
      </c>
      <c r="AF207" s="3">
        <v>283</v>
      </c>
      <c r="AG207" s="3">
        <v>35</v>
      </c>
      <c r="AH207">
        <v>80</v>
      </c>
      <c r="AI207">
        <v>4</v>
      </c>
      <c r="AJ207">
        <v>1</v>
      </c>
      <c r="AK207">
        <v>1</v>
      </c>
      <c r="AL207">
        <v>1</v>
      </c>
      <c r="AM207">
        <v>0</v>
      </c>
      <c r="AN207" t="s">
        <v>767</v>
      </c>
      <c r="AO207" t="s">
        <v>31</v>
      </c>
    </row>
    <row r="208" spans="1:41" x14ac:dyDescent="0.25">
      <c r="A208">
        <v>29</v>
      </c>
      <c r="B208" t="s">
        <v>66</v>
      </c>
      <c r="C208" t="s">
        <v>55</v>
      </c>
      <c r="D208">
        <v>24</v>
      </c>
      <c r="E208" t="s">
        <v>34</v>
      </c>
      <c r="F208">
        <v>4</v>
      </c>
      <c r="G208">
        <v>1</v>
      </c>
      <c r="H208" t="s">
        <v>56</v>
      </c>
      <c r="I208">
        <v>1</v>
      </c>
      <c r="J208" t="s">
        <v>36</v>
      </c>
      <c r="K208">
        <v>1091</v>
      </c>
      <c r="L208">
        <v>1</v>
      </c>
      <c r="M208" t="s">
        <v>41</v>
      </c>
      <c r="N208">
        <v>17</v>
      </c>
      <c r="O208">
        <v>3</v>
      </c>
      <c r="P208">
        <v>0</v>
      </c>
      <c r="Q208">
        <v>1</v>
      </c>
      <c r="R208">
        <v>3</v>
      </c>
      <c r="S208">
        <v>1</v>
      </c>
      <c r="T208">
        <v>0</v>
      </c>
      <c r="U208">
        <v>0</v>
      </c>
      <c r="V208" t="s">
        <v>52</v>
      </c>
      <c r="W208" s="2">
        <v>43864</v>
      </c>
      <c r="Y208" t="s">
        <v>54</v>
      </c>
      <c r="Z208" t="s">
        <v>47</v>
      </c>
      <c r="AA208">
        <v>5</v>
      </c>
      <c r="AB208">
        <v>0</v>
      </c>
      <c r="AC208" t="s">
        <v>41</v>
      </c>
      <c r="AD208" t="s">
        <v>65</v>
      </c>
      <c r="AE208" t="s">
        <v>49</v>
      </c>
      <c r="AF208" s="3">
        <v>284</v>
      </c>
      <c r="AG208" s="3">
        <v>60</v>
      </c>
      <c r="AH208">
        <v>80</v>
      </c>
      <c r="AI208">
        <v>2</v>
      </c>
      <c r="AJ208">
        <v>0</v>
      </c>
      <c r="AL208">
        <v>0</v>
      </c>
      <c r="AM208">
        <v>1</v>
      </c>
      <c r="AN208" t="s">
        <v>768</v>
      </c>
      <c r="AO208" t="s">
        <v>41</v>
      </c>
    </row>
    <row r="209" spans="1:41" x14ac:dyDescent="0.25">
      <c r="A209">
        <v>58</v>
      </c>
      <c r="B209" t="s">
        <v>32</v>
      </c>
      <c r="C209" t="s">
        <v>55</v>
      </c>
      <c r="D209">
        <v>21</v>
      </c>
      <c r="E209" t="s">
        <v>61</v>
      </c>
      <c r="F209">
        <v>3</v>
      </c>
      <c r="G209">
        <v>4</v>
      </c>
      <c r="H209" t="s">
        <v>75</v>
      </c>
      <c r="I209">
        <v>4</v>
      </c>
      <c r="J209" t="s">
        <v>51</v>
      </c>
      <c r="K209">
        <v>17875</v>
      </c>
      <c r="L209">
        <v>4</v>
      </c>
      <c r="M209" t="s">
        <v>31</v>
      </c>
      <c r="N209">
        <v>13</v>
      </c>
      <c r="O209">
        <v>3</v>
      </c>
      <c r="P209">
        <v>1</v>
      </c>
      <c r="Q209">
        <v>29</v>
      </c>
      <c r="R209">
        <v>2</v>
      </c>
      <c r="S209">
        <v>1</v>
      </c>
      <c r="T209">
        <v>0</v>
      </c>
      <c r="U209">
        <v>0</v>
      </c>
      <c r="V209" t="s">
        <v>72</v>
      </c>
      <c r="W209" s="1" t="s">
        <v>141</v>
      </c>
      <c r="Y209" t="s">
        <v>39</v>
      </c>
      <c r="Z209" t="s">
        <v>47</v>
      </c>
      <c r="AA209">
        <v>2</v>
      </c>
      <c r="AB209">
        <v>1</v>
      </c>
      <c r="AC209" t="s">
        <v>41</v>
      </c>
      <c r="AD209" t="s">
        <v>48</v>
      </c>
      <c r="AE209" t="s">
        <v>49</v>
      </c>
      <c r="AF209" s="3">
        <v>286</v>
      </c>
      <c r="AG209" s="3">
        <v>73</v>
      </c>
      <c r="AH209">
        <v>80</v>
      </c>
      <c r="AI209">
        <v>1</v>
      </c>
      <c r="AJ209">
        <v>0</v>
      </c>
      <c r="AL209">
        <v>0</v>
      </c>
      <c r="AM209">
        <v>1</v>
      </c>
      <c r="AN209" t="s">
        <v>768</v>
      </c>
      <c r="AO209" t="s">
        <v>41</v>
      </c>
    </row>
    <row r="210" spans="1:41" x14ac:dyDescent="0.25">
      <c r="A210">
        <v>27</v>
      </c>
      <c r="B210" t="s">
        <v>66</v>
      </c>
      <c r="C210" t="s">
        <v>120</v>
      </c>
      <c r="D210">
        <v>22</v>
      </c>
      <c r="E210" t="s">
        <v>61</v>
      </c>
      <c r="F210">
        <v>2</v>
      </c>
      <c r="G210">
        <v>1</v>
      </c>
      <c r="H210" t="s">
        <v>120</v>
      </c>
      <c r="I210">
        <v>2</v>
      </c>
      <c r="J210" t="s">
        <v>51</v>
      </c>
      <c r="K210">
        <v>2863</v>
      </c>
      <c r="L210">
        <v>1</v>
      </c>
      <c r="M210" t="s">
        <v>41</v>
      </c>
      <c r="N210">
        <v>12</v>
      </c>
      <c r="O210">
        <v>3</v>
      </c>
      <c r="P210">
        <v>0</v>
      </c>
      <c r="Q210">
        <v>1</v>
      </c>
      <c r="R210">
        <v>2</v>
      </c>
      <c r="S210">
        <v>1</v>
      </c>
      <c r="T210">
        <v>0</v>
      </c>
      <c r="U210">
        <v>0</v>
      </c>
      <c r="V210" t="s">
        <v>58</v>
      </c>
      <c r="W210" s="1" t="s">
        <v>165</v>
      </c>
      <c r="Y210" t="s">
        <v>39</v>
      </c>
      <c r="Z210" t="s">
        <v>40</v>
      </c>
      <c r="AA210">
        <v>3</v>
      </c>
      <c r="AB210">
        <v>3</v>
      </c>
      <c r="AC210" t="s">
        <v>41</v>
      </c>
      <c r="AD210" t="s">
        <v>48</v>
      </c>
      <c r="AE210" t="s">
        <v>49</v>
      </c>
      <c r="AF210" s="3">
        <v>287</v>
      </c>
      <c r="AG210" s="3">
        <v>63</v>
      </c>
      <c r="AH210">
        <v>80</v>
      </c>
      <c r="AI210">
        <v>2</v>
      </c>
      <c r="AJ210">
        <v>0</v>
      </c>
      <c r="AL210">
        <v>0</v>
      </c>
      <c r="AM210">
        <v>1</v>
      </c>
      <c r="AN210" t="s">
        <v>768</v>
      </c>
      <c r="AO210" t="s">
        <v>41</v>
      </c>
    </row>
    <row r="211" spans="1:41" x14ac:dyDescent="0.25">
      <c r="A211">
        <v>38</v>
      </c>
      <c r="B211" t="s">
        <v>32</v>
      </c>
      <c r="C211" t="s">
        <v>55</v>
      </c>
      <c r="D211">
        <v>1</v>
      </c>
      <c r="E211" t="s">
        <v>34</v>
      </c>
      <c r="F211">
        <v>2</v>
      </c>
      <c r="G211">
        <v>1</v>
      </c>
      <c r="H211" t="s">
        <v>56</v>
      </c>
      <c r="I211">
        <v>1</v>
      </c>
      <c r="J211" t="s">
        <v>36</v>
      </c>
      <c r="K211">
        <v>2858</v>
      </c>
      <c r="L211">
        <v>4</v>
      </c>
      <c r="M211" t="s">
        <v>41</v>
      </c>
      <c r="N211">
        <v>14</v>
      </c>
      <c r="O211">
        <v>3</v>
      </c>
      <c r="P211">
        <v>0</v>
      </c>
      <c r="Q211">
        <v>20</v>
      </c>
      <c r="R211">
        <v>3</v>
      </c>
      <c r="S211">
        <v>1</v>
      </c>
      <c r="T211">
        <v>0</v>
      </c>
      <c r="U211">
        <v>0</v>
      </c>
      <c r="V211" t="s">
        <v>52</v>
      </c>
      <c r="W211" s="2">
        <v>44044</v>
      </c>
      <c r="Y211" t="s">
        <v>69</v>
      </c>
      <c r="Z211" t="s">
        <v>47</v>
      </c>
      <c r="AA211">
        <v>3</v>
      </c>
      <c r="AB211">
        <v>1</v>
      </c>
      <c r="AC211" t="s">
        <v>41</v>
      </c>
      <c r="AD211" t="s">
        <v>65</v>
      </c>
      <c r="AE211" t="s">
        <v>60</v>
      </c>
      <c r="AF211" s="3">
        <v>288</v>
      </c>
      <c r="AG211" s="3">
        <v>97</v>
      </c>
      <c r="AH211">
        <v>80</v>
      </c>
      <c r="AI211">
        <v>2</v>
      </c>
      <c r="AJ211">
        <v>0</v>
      </c>
      <c r="AL211">
        <v>0</v>
      </c>
      <c r="AM211">
        <v>1</v>
      </c>
      <c r="AN211" t="s">
        <v>768</v>
      </c>
      <c r="AO211" t="s">
        <v>41</v>
      </c>
    </row>
    <row r="212" spans="1:41" x14ac:dyDescent="0.25">
      <c r="A212">
        <v>32</v>
      </c>
      <c r="B212" t="s">
        <v>32</v>
      </c>
      <c r="C212" t="s">
        <v>33</v>
      </c>
      <c r="D212">
        <v>5</v>
      </c>
      <c r="E212" t="s">
        <v>34</v>
      </c>
      <c r="F212">
        <v>2</v>
      </c>
      <c r="G212">
        <v>2</v>
      </c>
      <c r="H212" t="s">
        <v>78</v>
      </c>
      <c r="I212">
        <v>4</v>
      </c>
      <c r="J212" t="s">
        <v>36</v>
      </c>
      <c r="K212">
        <v>9679</v>
      </c>
      <c r="L212">
        <v>8</v>
      </c>
      <c r="M212" t="s">
        <v>41</v>
      </c>
      <c r="N212">
        <v>24</v>
      </c>
      <c r="O212">
        <v>4</v>
      </c>
      <c r="P212">
        <v>0</v>
      </c>
      <c r="Q212">
        <v>8</v>
      </c>
      <c r="R212">
        <v>1</v>
      </c>
      <c r="S212">
        <v>1</v>
      </c>
      <c r="T212">
        <v>0</v>
      </c>
      <c r="U212">
        <v>0</v>
      </c>
      <c r="V212" t="s">
        <v>72</v>
      </c>
      <c r="W212" s="2">
        <v>44049</v>
      </c>
      <c r="Y212" t="s">
        <v>63</v>
      </c>
      <c r="Z212" t="s">
        <v>47</v>
      </c>
      <c r="AA212">
        <v>3</v>
      </c>
      <c r="AB212">
        <v>2</v>
      </c>
      <c r="AC212" t="s">
        <v>41</v>
      </c>
      <c r="AD212" t="s">
        <v>65</v>
      </c>
      <c r="AE212" t="s">
        <v>43</v>
      </c>
      <c r="AF212" s="3">
        <v>291</v>
      </c>
      <c r="AG212" s="3">
        <v>32</v>
      </c>
      <c r="AH212">
        <v>80</v>
      </c>
      <c r="AI212">
        <v>8</v>
      </c>
      <c r="AJ212">
        <v>1</v>
      </c>
      <c r="AK212">
        <v>1</v>
      </c>
      <c r="AL212">
        <v>1</v>
      </c>
      <c r="AM212">
        <v>0</v>
      </c>
      <c r="AN212" t="s">
        <v>767</v>
      </c>
      <c r="AO212" t="s">
        <v>31</v>
      </c>
    </row>
    <row r="213" spans="1:41" x14ac:dyDescent="0.25">
      <c r="A213">
        <v>31</v>
      </c>
      <c r="B213" t="s">
        <v>32</v>
      </c>
      <c r="C213" t="s">
        <v>33</v>
      </c>
      <c r="D213">
        <v>2</v>
      </c>
      <c r="E213" t="s">
        <v>61</v>
      </c>
      <c r="F213">
        <v>1</v>
      </c>
      <c r="G213">
        <v>1</v>
      </c>
      <c r="H213" t="s">
        <v>35</v>
      </c>
      <c r="I213">
        <v>4</v>
      </c>
      <c r="J213" t="s">
        <v>57</v>
      </c>
      <c r="K213">
        <v>1129</v>
      </c>
      <c r="L213">
        <v>1</v>
      </c>
      <c r="M213" t="s">
        <v>31</v>
      </c>
      <c r="N213">
        <v>11</v>
      </c>
      <c r="O213">
        <v>3</v>
      </c>
      <c r="P213">
        <v>3</v>
      </c>
      <c r="Q213">
        <v>1</v>
      </c>
      <c r="R213">
        <v>4</v>
      </c>
      <c r="S213">
        <v>1</v>
      </c>
      <c r="T213">
        <v>0</v>
      </c>
      <c r="U213">
        <v>0</v>
      </c>
      <c r="V213" t="s">
        <v>58</v>
      </c>
      <c r="W213" s="1" t="s">
        <v>148</v>
      </c>
      <c r="Y213" t="s">
        <v>54</v>
      </c>
      <c r="Z213" t="s">
        <v>40</v>
      </c>
      <c r="AA213">
        <v>4</v>
      </c>
      <c r="AB213">
        <v>3</v>
      </c>
      <c r="AC213" t="s">
        <v>41</v>
      </c>
      <c r="AD213" t="s">
        <v>48</v>
      </c>
      <c r="AE213" t="s">
        <v>43</v>
      </c>
      <c r="AF213" s="3">
        <v>292</v>
      </c>
      <c r="AG213" s="3">
        <v>88</v>
      </c>
      <c r="AH213">
        <v>80</v>
      </c>
      <c r="AI213">
        <v>8</v>
      </c>
      <c r="AJ213">
        <v>0</v>
      </c>
      <c r="AL213">
        <v>0</v>
      </c>
      <c r="AM213">
        <v>1</v>
      </c>
      <c r="AN213" t="s">
        <v>768</v>
      </c>
      <c r="AO213" t="s">
        <v>41</v>
      </c>
    </row>
    <row r="214" spans="1:41" x14ac:dyDescent="0.25">
      <c r="A214">
        <v>33</v>
      </c>
      <c r="B214" t="s">
        <v>81</v>
      </c>
      <c r="C214" t="s">
        <v>33</v>
      </c>
      <c r="D214">
        <v>1</v>
      </c>
      <c r="E214" t="s">
        <v>34</v>
      </c>
      <c r="F214">
        <v>2</v>
      </c>
      <c r="G214">
        <v>1</v>
      </c>
      <c r="H214" t="s">
        <v>35</v>
      </c>
      <c r="I214">
        <v>3</v>
      </c>
      <c r="J214" t="s">
        <v>57</v>
      </c>
      <c r="K214">
        <v>2008</v>
      </c>
      <c r="L214">
        <v>1</v>
      </c>
      <c r="M214" t="s">
        <v>41</v>
      </c>
      <c r="N214">
        <v>12</v>
      </c>
      <c r="O214">
        <v>3</v>
      </c>
      <c r="P214">
        <v>3</v>
      </c>
      <c r="Q214">
        <v>1</v>
      </c>
      <c r="R214">
        <v>2</v>
      </c>
      <c r="S214">
        <v>1</v>
      </c>
      <c r="T214">
        <v>0</v>
      </c>
      <c r="U214">
        <v>0</v>
      </c>
      <c r="V214" t="s">
        <v>58</v>
      </c>
      <c r="W214" s="1" t="s">
        <v>161</v>
      </c>
      <c r="Y214" t="s">
        <v>63</v>
      </c>
      <c r="Z214" t="s">
        <v>47</v>
      </c>
      <c r="AA214">
        <v>0</v>
      </c>
      <c r="AB214">
        <v>1</v>
      </c>
      <c r="AC214" t="s">
        <v>31</v>
      </c>
      <c r="AD214" t="s">
        <v>67</v>
      </c>
      <c r="AE214" t="s">
        <v>43</v>
      </c>
      <c r="AF214" s="3">
        <v>293</v>
      </c>
      <c r="AG214" s="3">
        <v>90</v>
      </c>
      <c r="AH214">
        <v>80</v>
      </c>
      <c r="AI214">
        <v>7</v>
      </c>
      <c r="AJ214">
        <v>0</v>
      </c>
      <c r="AL214">
        <v>0</v>
      </c>
      <c r="AM214">
        <v>1</v>
      </c>
      <c r="AN214" t="s">
        <v>768</v>
      </c>
      <c r="AO214" t="s">
        <v>41</v>
      </c>
    </row>
    <row r="215" spans="1:41" x14ac:dyDescent="0.25">
      <c r="A215">
        <v>40</v>
      </c>
      <c r="B215" t="s">
        <v>32</v>
      </c>
      <c r="C215" t="s">
        <v>33</v>
      </c>
      <c r="D215">
        <v>1</v>
      </c>
      <c r="E215" t="s">
        <v>34</v>
      </c>
      <c r="F215">
        <v>3</v>
      </c>
      <c r="G215">
        <v>1</v>
      </c>
      <c r="H215" t="s">
        <v>35</v>
      </c>
      <c r="I215">
        <v>4</v>
      </c>
      <c r="J215" t="s">
        <v>51</v>
      </c>
      <c r="K215">
        <v>2406</v>
      </c>
      <c r="L215">
        <v>8</v>
      </c>
      <c r="M215" t="s">
        <v>41</v>
      </c>
      <c r="N215">
        <v>19</v>
      </c>
      <c r="O215">
        <v>3</v>
      </c>
      <c r="P215">
        <v>2</v>
      </c>
      <c r="Q215">
        <v>8</v>
      </c>
      <c r="R215">
        <v>3</v>
      </c>
      <c r="S215">
        <v>1</v>
      </c>
      <c r="T215">
        <v>0</v>
      </c>
      <c r="U215">
        <v>0</v>
      </c>
      <c r="V215" t="s">
        <v>52</v>
      </c>
      <c r="W215" s="1" t="s">
        <v>156</v>
      </c>
      <c r="Y215" t="s">
        <v>39</v>
      </c>
      <c r="Z215" t="s">
        <v>47</v>
      </c>
      <c r="AA215">
        <v>1</v>
      </c>
      <c r="AB215">
        <v>2</v>
      </c>
      <c r="AC215" t="s">
        <v>31</v>
      </c>
      <c r="AD215" t="s">
        <v>48</v>
      </c>
      <c r="AE215" t="s">
        <v>60</v>
      </c>
      <c r="AF215" s="3">
        <v>296</v>
      </c>
      <c r="AG215" s="3">
        <v>81</v>
      </c>
      <c r="AH215">
        <v>80</v>
      </c>
      <c r="AI215">
        <v>9</v>
      </c>
      <c r="AJ215">
        <v>0</v>
      </c>
      <c r="AL215">
        <v>0</v>
      </c>
      <c r="AM215">
        <v>1</v>
      </c>
      <c r="AN215" t="s">
        <v>768</v>
      </c>
      <c r="AO215" t="s">
        <v>41</v>
      </c>
    </row>
    <row r="216" spans="1:41" x14ac:dyDescent="0.25">
      <c r="A216">
        <v>23</v>
      </c>
      <c r="B216" t="s">
        <v>66</v>
      </c>
      <c r="C216" t="s">
        <v>55</v>
      </c>
      <c r="D216">
        <v>9</v>
      </c>
      <c r="E216" t="s">
        <v>34</v>
      </c>
      <c r="F216">
        <v>3</v>
      </c>
      <c r="G216">
        <v>1</v>
      </c>
      <c r="H216" t="s">
        <v>56</v>
      </c>
      <c r="I216">
        <v>1</v>
      </c>
      <c r="J216" t="s">
        <v>51</v>
      </c>
      <c r="K216">
        <v>1790</v>
      </c>
      <c r="L216">
        <v>1</v>
      </c>
      <c r="M216" t="s">
        <v>41</v>
      </c>
      <c r="N216">
        <v>19</v>
      </c>
      <c r="O216">
        <v>3</v>
      </c>
      <c r="P216">
        <v>1</v>
      </c>
      <c r="Q216">
        <v>1</v>
      </c>
      <c r="R216">
        <v>3</v>
      </c>
      <c r="S216">
        <v>1</v>
      </c>
      <c r="T216">
        <v>1</v>
      </c>
      <c r="U216">
        <v>0</v>
      </c>
      <c r="V216" t="s">
        <v>52</v>
      </c>
      <c r="W216" s="2">
        <v>43865</v>
      </c>
      <c r="Y216" t="s">
        <v>46</v>
      </c>
      <c r="Z216" t="s">
        <v>40</v>
      </c>
      <c r="AA216">
        <v>2</v>
      </c>
      <c r="AB216">
        <v>3</v>
      </c>
      <c r="AC216" t="s">
        <v>41</v>
      </c>
      <c r="AD216" t="s">
        <v>42</v>
      </c>
      <c r="AE216" t="s">
        <v>60</v>
      </c>
      <c r="AF216" s="3">
        <v>297</v>
      </c>
      <c r="AG216" s="3">
        <v>88</v>
      </c>
      <c r="AH216">
        <v>80</v>
      </c>
      <c r="AI216">
        <v>2</v>
      </c>
      <c r="AJ216">
        <v>1</v>
      </c>
      <c r="AK216">
        <v>1</v>
      </c>
      <c r="AL216">
        <v>1</v>
      </c>
      <c r="AM216">
        <v>0</v>
      </c>
      <c r="AN216" t="s">
        <v>767</v>
      </c>
      <c r="AO216" t="s">
        <v>31</v>
      </c>
    </row>
    <row r="217" spans="1:41" x14ac:dyDescent="0.25">
      <c r="A217">
        <v>27</v>
      </c>
      <c r="B217" t="s">
        <v>32</v>
      </c>
      <c r="C217" t="s">
        <v>33</v>
      </c>
      <c r="D217">
        <v>2</v>
      </c>
      <c r="E217" t="s">
        <v>34</v>
      </c>
      <c r="F217">
        <v>3</v>
      </c>
      <c r="G217">
        <v>1</v>
      </c>
      <c r="H217" t="s">
        <v>35</v>
      </c>
      <c r="I217">
        <v>2</v>
      </c>
      <c r="J217" t="s">
        <v>51</v>
      </c>
      <c r="K217">
        <v>3468</v>
      </c>
      <c r="L217">
        <v>9</v>
      </c>
      <c r="M217" t="s">
        <v>41</v>
      </c>
      <c r="N217">
        <v>12</v>
      </c>
      <c r="O217">
        <v>3</v>
      </c>
      <c r="P217">
        <v>1</v>
      </c>
      <c r="Q217">
        <v>6</v>
      </c>
      <c r="R217">
        <v>3</v>
      </c>
      <c r="S217">
        <v>2</v>
      </c>
      <c r="T217">
        <v>2</v>
      </c>
      <c r="U217">
        <v>2</v>
      </c>
      <c r="V217" t="s">
        <v>37</v>
      </c>
      <c r="W217" s="1" t="s">
        <v>166</v>
      </c>
      <c r="Y217" t="s">
        <v>54</v>
      </c>
      <c r="Z217" t="s">
        <v>47</v>
      </c>
      <c r="AA217">
        <v>0</v>
      </c>
      <c r="AB217">
        <v>2</v>
      </c>
      <c r="AC217" t="s">
        <v>31</v>
      </c>
      <c r="AD217" t="s">
        <v>65</v>
      </c>
      <c r="AE217" t="s">
        <v>43</v>
      </c>
      <c r="AF217" s="3">
        <v>298</v>
      </c>
      <c r="AG217" s="3">
        <v>75</v>
      </c>
      <c r="AH217">
        <v>80</v>
      </c>
      <c r="AI217">
        <v>0</v>
      </c>
      <c r="AJ217">
        <v>0</v>
      </c>
      <c r="AL217">
        <v>0</v>
      </c>
      <c r="AM217">
        <v>1</v>
      </c>
      <c r="AN217" t="s">
        <v>768</v>
      </c>
      <c r="AO217" t="s">
        <v>41</v>
      </c>
    </row>
    <row r="218" spans="1:41" x14ac:dyDescent="0.25">
      <c r="A218">
        <v>34</v>
      </c>
      <c r="B218" t="s">
        <v>32</v>
      </c>
      <c r="C218" t="s">
        <v>33</v>
      </c>
      <c r="D218">
        <v>19</v>
      </c>
      <c r="E218" t="s">
        <v>34</v>
      </c>
      <c r="F218">
        <v>3</v>
      </c>
      <c r="G218">
        <v>1</v>
      </c>
      <c r="H218" t="s">
        <v>35</v>
      </c>
      <c r="I218">
        <v>4</v>
      </c>
      <c r="J218" t="s">
        <v>57</v>
      </c>
      <c r="K218">
        <v>2661</v>
      </c>
      <c r="L218">
        <v>0</v>
      </c>
      <c r="M218" t="s">
        <v>41</v>
      </c>
      <c r="N218">
        <v>11</v>
      </c>
      <c r="O218">
        <v>3</v>
      </c>
      <c r="P218">
        <v>1</v>
      </c>
      <c r="Q218">
        <v>3</v>
      </c>
      <c r="R218">
        <v>2</v>
      </c>
      <c r="S218">
        <v>2</v>
      </c>
      <c r="T218">
        <v>1</v>
      </c>
      <c r="U218">
        <v>2</v>
      </c>
      <c r="V218" t="s">
        <v>58</v>
      </c>
      <c r="W218" s="2">
        <v>43470</v>
      </c>
      <c r="Y218" t="s">
        <v>69</v>
      </c>
      <c r="Z218" t="s">
        <v>40</v>
      </c>
      <c r="AA218">
        <v>2</v>
      </c>
      <c r="AB218">
        <v>2</v>
      </c>
      <c r="AC218" t="s">
        <v>31</v>
      </c>
      <c r="AD218" t="s">
        <v>42</v>
      </c>
      <c r="AE218" t="s">
        <v>60</v>
      </c>
      <c r="AF218" s="3">
        <v>299</v>
      </c>
      <c r="AG218" s="3">
        <v>52</v>
      </c>
      <c r="AH218">
        <v>80</v>
      </c>
      <c r="AI218">
        <v>3</v>
      </c>
      <c r="AJ218">
        <v>1</v>
      </c>
      <c r="AK218">
        <v>1</v>
      </c>
      <c r="AL218">
        <v>1</v>
      </c>
      <c r="AM218">
        <v>0</v>
      </c>
      <c r="AN218" t="s">
        <v>767</v>
      </c>
      <c r="AO218" t="s">
        <v>31</v>
      </c>
    </row>
    <row r="219" spans="1:41" x14ac:dyDescent="0.25">
      <c r="A219">
        <v>46</v>
      </c>
      <c r="B219" t="s">
        <v>32</v>
      </c>
      <c r="C219" t="s">
        <v>55</v>
      </c>
      <c r="D219">
        <v>2</v>
      </c>
      <c r="E219" t="s">
        <v>61</v>
      </c>
      <c r="F219">
        <v>3</v>
      </c>
      <c r="G219">
        <v>5</v>
      </c>
      <c r="H219" t="s">
        <v>75</v>
      </c>
      <c r="I219">
        <v>1</v>
      </c>
      <c r="J219" t="s">
        <v>36</v>
      </c>
      <c r="K219">
        <v>18947</v>
      </c>
      <c r="L219">
        <v>3</v>
      </c>
      <c r="M219" t="s">
        <v>41</v>
      </c>
      <c r="N219">
        <v>12</v>
      </c>
      <c r="O219">
        <v>3</v>
      </c>
      <c r="P219">
        <v>0</v>
      </c>
      <c r="Q219">
        <v>22</v>
      </c>
      <c r="R219">
        <v>2</v>
      </c>
      <c r="S219">
        <v>2</v>
      </c>
      <c r="T219">
        <v>2</v>
      </c>
      <c r="U219">
        <v>1</v>
      </c>
      <c r="V219" t="s">
        <v>52</v>
      </c>
      <c r="W219" s="1" t="s">
        <v>167</v>
      </c>
      <c r="Y219" t="s">
        <v>46</v>
      </c>
      <c r="Z219" t="s">
        <v>47</v>
      </c>
      <c r="AA219">
        <v>2</v>
      </c>
      <c r="AB219">
        <v>2</v>
      </c>
      <c r="AC219" t="s">
        <v>41</v>
      </c>
      <c r="AD219" t="s">
        <v>48</v>
      </c>
      <c r="AE219" t="s">
        <v>49</v>
      </c>
      <c r="AF219" s="3">
        <v>300</v>
      </c>
      <c r="AG219" s="3">
        <v>85</v>
      </c>
      <c r="AH219">
        <v>80</v>
      </c>
      <c r="AI219">
        <v>2</v>
      </c>
      <c r="AJ219">
        <v>1</v>
      </c>
      <c r="AK219">
        <v>1</v>
      </c>
      <c r="AL219">
        <v>1</v>
      </c>
      <c r="AM219">
        <v>0</v>
      </c>
      <c r="AN219" t="s">
        <v>767</v>
      </c>
      <c r="AO219" t="s">
        <v>31</v>
      </c>
    </row>
    <row r="220" spans="1:41" x14ac:dyDescent="0.25">
      <c r="A220">
        <v>24</v>
      </c>
      <c r="B220" t="s">
        <v>32</v>
      </c>
      <c r="C220" t="s">
        <v>33</v>
      </c>
      <c r="D220">
        <v>1</v>
      </c>
      <c r="E220" t="s">
        <v>34</v>
      </c>
      <c r="F220">
        <v>3</v>
      </c>
      <c r="G220">
        <v>1</v>
      </c>
      <c r="H220" t="s">
        <v>44</v>
      </c>
      <c r="I220">
        <v>4</v>
      </c>
      <c r="J220" t="s">
        <v>51</v>
      </c>
      <c r="K220">
        <v>2293</v>
      </c>
      <c r="L220">
        <v>2</v>
      </c>
      <c r="M220" t="s">
        <v>31</v>
      </c>
      <c r="N220">
        <v>16</v>
      </c>
      <c r="O220">
        <v>3</v>
      </c>
      <c r="P220">
        <v>1</v>
      </c>
      <c r="Q220">
        <v>6</v>
      </c>
      <c r="R220">
        <v>2</v>
      </c>
      <c r="S220">
        <v>2</v>
      </c>
      <c r="T220">
        <v>2</v>
      </c>
      <c r="U220">
        <v>0</v>
      </c>
      <c r="V220" t="s">
        <v>37</v>
      </c>
      <c r="W220" s="1" t="s">
        <v>168</v>
      </c>
      <c r="Y220" t="s">
        <v>69</v>
      </c>
      <c r="Z220" t="s">
        <v>47</v>
      </c>
      <c r="AA220">
        <v>1</v>
      </c>
      <c r="AB220">
        <v>3</v>
      </c>
      <c r="AC220" t="s">
        <v>31</v>
      </c>
      <c r="AD220" t="s">
        <v>42</v>
      </c>
      <c r="AE220" t="s">
        <v>49</v>
      </c>
      <c r="AF220" s="3">
        <v>302</v>
      </c>
      <c r="AG220" s="3">
        <v>57</v>
      </c>
      <c r="AH220">
        <v>80</v>
      </c>
      <c r="AI220">
        <v>7</v>
      </c>
      <c r="AJ220">
        <v>0</v>
      </c>
      <c r="AL220">
        <v>0</v>
      </c>
      <c r="AM220">
        <v>1</v>
      </c>
      <c r="AN220" t="s">
        <v>768</v>
      </c>
      <c r="AO220" t="s">
        <v>41</v>
      </c>
    </row>
    <row r="221" spans="1:41" x14ac:dyDescent="0.25">
      <c r="A221">
        <v>35</v>
      </c>
      <c r="B221" t="s">
        <v>32</v>
      </c>
      <c r="C221" t="s">
        <v>55</v>
      </c>
      <c r="D221">
        <v>2</v>
      </c>
      <c r="E221" t="s">
        <v>61</v>
      </c>
      <c r="F221">
        <v>3</v>
      </c>
      <c r="G221">
        <v>1</v>
      </c>
      <c r="H221" t="s">
        <v>56</v>
      </c>
      <c r="I221">
        <v>4</v>
      </c>
      <c r="J221" t="s">
        <v>51</v>
      </c>
      <c r="K221">
        <v>2014</v>
      </c>
      <c r="L221">
        <v>1</v>
      </c>
      <c r="M221" t="s">
        <v>41</v>
      </c>
      <c r="N221">
        <v>13</v>
      </c>
      <c r="O221">
        <v>3</v>
      </c>
      <c r="P221">
        <v>0</v>
      </c>
      <c r="Q221">
        <v>2</v>
      </c>
      <c r="R221">
        <v>3</v>
      </c>
      <c r="S221">
        <v>2</v>
      </c>
      <c r="T221">
        <v>2</v>
      </c>
      <c r="U221">
        <v>2</v>
      </c>
      <c r="V221" t="s">
        <v>72</v>
      </c>
      <c r="W221" s="1" t="s">
        <v>169</v>
      </c>
      <c r="Y221" t="s">
        <v>39</v>
      </c>
      <c r="Z221" t="s">
        <v>40</v>
      </c>
      <c r="AA221">
        <v>1</v>
      </c>
      <c r="AB221">
        <v>1</v>
      </c>
      <c r="AC221" t="s">
        <v>41</v>
      </c>
      <c r="AD221" t="s">
        <v>42</v>
      </c>
      <c r="AE221" t="s">
        <v>60</v>
      </c>
      <c r="AF221" s="3">
        <v>303</v>
      </c>
      <c r="AG221" s="3">
        <v>52</v>
      </c>
      <c r="AH221">
        <v>80</v>
      </c>
      <c r="AI221">
        <v>2</v>
      </c>
      <c r="AJ221">
        <v>0</v>
      </c>
      <c r="AL221">
        <v>0</v>
      </c>
      <c r="AM221">
        <v>1</v>
      </c>
      <c r="AN221" t="s">
        <v>768</v>
      </c>
      <c r="AO221" t="s">
        <v>41</v>
      </c>
    </row>
    <row r="222" spans="1:41" x14ac:dyDescent="0.25">
      <c r="A222">
        <v>28</v>
      </c>
      <c r="B222" t="s">
        <v>32</v>
      </c>
      <c r="C222" t="s">
        <v>33</v>
      </c>
      <c r="D222">
        <v>5</v>
      </c>
      <c r="E222" t="s">
        <v>34</v>
      </c>
      <c r="F222">
        <v>3</v>
      </c>
      <c r="G222">
        <v>1</v>
      </c>
      <c r="H222" t="s">
        <v>35</v>
      </c>
      <c r="I222">
        <v>3</v>
      </c>
      <c r="J222" t="s">
        <v>36</v>
      </c>
      <c r="K222">
        <v>3441</v>
      </c>
      <c r="L222">
        <v>1</v>
      </c>
      <c r="M222" t="s">
        <v>31</v>
      </c>
      <c r="N222">
        <v>13</v>
      </c>
      <c r="O222">
        <v>3</v>
      </c>
      <c r="P222">
        <v>0</v>
      </c>
      <c r="Q222">
        <v>2</v>
      </c>
      <c r="R222">
        <v>3</v>
      </c>
      <c r="S222">
        <v>2</v>
      </c>
      <c r="T222">
        <v>2</v>
      </c>
      <c r="U222">
        <v>2</v>
      </c>
      <c r="V222" t="s">
        <v>58</v>
      </c>
      <c r="W222" s="2">
        <v>43529</v>
      </c>
      <c r="Y222" t="s">
        <v>39</v>
      </c>
      <c r="Z222" t="s">
        <v>40</v>
      </c>
      <c r="AA222">
        <v>2</v>
      </c>
      <c r="AB222">
        <v>2</v>
      </c>
      <c r="AC222" t="s">
        <v>31</v>
      </c>
      <c r="AD222" t="s">
        <v>42</v>
      </c>
      <c r="AE222" t="s">
        <v>43</v>
      </c>
      <c r="AF222" s="3">
        <v>304</v>
      </c>
      <c r="AG222" s="3">
        <v>62</v>
      </c>
      <c r="AH222">
        <v>80</v>
      </c>
      <c r="AI222">
        <v>11</v>
      </c>
      <c r="AJ222">
        <v>0</v>
      </c>
      <c r="AL222">
        <v>0</v>
      </c>
      <c r="AM222">
        <v>1</v>
      </c>
      <c r="AN222" t="s">
        <v>768</v>
      </c>
      <c r="AO222" t="s">
        <v>41</v>
      </c>
    </row>
    <row r="223" spans="1:41" x14ac:dyDescent="0.25">
      <c r="A223">
        <v>26</v>
      </c>
      <c r="B223" t="s">
        <v>32</v>
      </c>
      <c r="C223" t="s">
        <v>55</v>
      </c>
      <c r="D223">
        <v>23</v>
      </c>
      <c r="E223" t="s">
        <v>61</v>
      </c>
      <c r="F223">
        <v>2</v>
      </c>
      <c r="G223">
        <v>2</v>
      </c>
      <c r="H223" t="s">
        <v>70</v>
      </c>
      <c r="I223">
        <v>4</v>
      </c>
      <c r="J223" t="s">
        <v>51</v>
      </c>
      <c r="K223">
        <v>4157</v>
      </c>
      <c r="L223">
        <v>7</v>
      </c>
      <c r="M223" t="s">
        <v>31</v>
      </c>
      <c r="N223">
        <v>19</v>
      </c>
      <c r="O223">
        <v>3</v>
      </c>
      <c r="P223">
        <v>1</v>
      </c>
      <c r="Q223">
        <v>5</v>
      </c>
      <c r="R223">
        <v>2</v>
      </c>
      <c r="S223">
        <v>2</v>
      </c>
      <c r="T223">
        <v>0</v>
      </c>
      <c r="U223">
        <v>0</v>
      </c>
      <c r="V223" t="s">
        <v>52</v>
      </c>
      <c r="W223" s="1" t="s">
        <v>170</v>
      </c>
      <c r="Y223" t="s">
        <v>46</v>
      </c>
      <c r="Z223" t="s">
        <v>47</v>
      </c>
      <c r="AA223">
        <v>4</v>
      </c>
      <c r="AB223">
        <v>3</v>
      </c>
      <c r="AC223" t="s">
        <v>31</v>
      </c>
      <c r="AD223" t="s">
        <v>48</v>
      </c>
      <c r="AE223" t="s">
        <v>60</v>
      </c>
      <c r="AF223" s="3">
        <v>305</v>
      </c>
      <c r="AG223" s="3">
        <v>47</v>
      </c>
      <c r="AH223">
        <v>80</v>
      </c>
      <c r="AI223">
        <v>2</v>
      </c>
      <c r="AJ223">
        <v>0</v>
      </c>
      <c r="AL223">
        <v>0</v>
      </c>
      <c r="AM223">
        <v>1</v>
      </c>
      <c r="AN223" t="s">
        <v>768</v>
      </c>
      <c r="AO223" t="s">
        <v>41</v>
      </c>
    </row>
    <row r="224" spans="1:41" x14ac:dyDescent="0.25">
      <c r="A224">
        <v>35</v>
      </c>
      <c r="B224" t="s">
        <v>32</v>
      </c>
      <c r="C224" t="s">
        <v>33</v>
      </c>
      <c r="D224">
        <v>23</v>
      </c>
      <c r="E224" t="s">
        <v>61</v>
      </c>
      <c r="F224">
        <v>3</v>
      </c>
      <c r="G224">
        <v>1</v>
      </c>
      <c r="H224" t="s">
        <v>35</v>
      </c>
      <c r="I224">
        <v>1</v>
      </c>
      <c r="J224" t="s">
        <v>51</v>
      </c>
      <c r="K224">
        <v>4014</v>
      </c>
      <c r="L224">
        <v>3</v>
      </c>
      <c r="M224" t="s">
        <v>31</v>
      </c>
      <c r="N224">
        <v>15</v>
      </c>
      <c r="O224">
        <v>3</v>
      </c>
      <c r="P224">
        <v>1</v>
      </c>
      <c r="Q224">
        <v>4</v>
      </c>
      <c r="R224">
        <v>3</v>
      </c>
      <c r="S224">
        <v>2</v>
      </c>
      <c r="T224">
        <v>2</v>
      </c>
      <c r="U224">
        <v>2</v>
      </c>
      <c r="V224" t="s">
        <v>58</v>
      </c>
      <c r="W224" s="2">
        <v>43557</v>
      </c>
      <c r="Y224" t="s">
        <v>69</v>
      </c>
      <c r="Z224" t="s">
        <v>47</v>
      </c>
      <c r="AA224">
        <v>3</v>
      </c>
      <c r="AB224">
        <v>0</v>
      </c>
      <c r="AC224" t="s">
        <v>41</v>
      </c>
      <c r="AD224" t="s">
        <v>65</v>
      </c>
      <c r="AE224" t="s">
        <v>49</v>
      </c>
      <c r="AF224" s="3">
        <v>306</v>
      </c>
      <c r="AG224" s="3">
        <v>47</v>
      </c>
      <c r="AH224">
        <v>80</v>
      </c>
      <c r="AI224">
        <v>8</v>
      </c>
      <c r="AJ224">
        <v>0</v>
      </c>
      <c r="AL224">
        <v>0</v>
      </c>
      <c r="AM224">
        <v>1</v>
      </c>
      <c r="AN224" t="s">
        <v>768</v>
      </c>
      <c r="AO224" t="s">
        <v>41</v>
      </c>
    </row>
    <row r="225" spans="1:41" x14ac:dyDescent="0.25">
      <c r="A225">
        <v>25</v>
      </c>
      <c r="B225" t="s">
        <v>32</v>
      </c>
      <c r="C225" t="s">
        <v>33</v>
      </c>
      <c r="D225">
        <v>7</v>
      </c>
      <c r="E225" t="s">
        <v>34</v>
      </c>
      <c r="F225">
        <v>2</v>
      </c>
      <c r="G225">
        <v>1</v>
      </c>
      <c r="H225" t="s">
        <v>44</v>
      </c>
      <c r="I225">
        <v>4</v>
      </c>
      <c r="J225" t="s">
        <v>51</v>
      </c>
      <c r="K225">
        <v>2889</v>
      </c>
      <c r="L225">
        <v>1</v>
      </c>
      <c r="M225" t="s">
        <v>41</v>
      </c>
      <c r="N225">
        <v>11</v>
      </c>
      <c r="O225">
        <v>3</v>
      </c>
      <c r="P225">
        <v>2</v>
      </c>
      <c r="Q225">
        <v>2</v>
      </c>
      <c r="R225">
        <v>2</v>
      </c>
      <c r="S225">
        <v>2</v>
      </c>
      <c r="T225">
        <v>2</v>
      </c>
      <c r="U225">
        <v>1</v>
      </c>
      <c r="V225" t="s">
        <v>72</v>
      </c>
      <c r="W225" s="1" t="s">
        <v>171</v>
      </c>
      <c r="Y225" t="s">
        <v>54</v>
      </c>
      <c r="Z225" t="s">
        <v>47</v>
      </c>
      <c r="AA225">
        <v>4</v>
      </c>
      <c r="AB225">
        <v>0</v>
      </c>
      <c r="AC225" t="s">
        <v>41</v>
      </c>
      <c r="AD225" t="s">
        <v>65</v>
      </c>
      <c r="AE225" t="s">
        <v>43</v>
      </c>
      <c r="AF225" s="3">
        <v>307</v>
      </c>
      <c r="AG225" s="3">
        <v>76</v>
      </c>
      <c r="AH225">
        <v>80</v>
      </c>
      <c r="AI225">
        <v>10</v>
      </c>
      <c r="AJ225">
        <v>0</v>
      </c>
      <c r="AL225">
        <v>0</v>
      </c>
      <c r="AM225">
        <v>1</v>
      </c>
      <c r="AN225" t="s">
        <v>768</v>
      </c>
      <c r="AO225" t="s">
        <v>41</v>
      </c>
    </row>
    <row r="226" spans="1:41" x14ac:dyDescent="0.25">
      <c r="A226">
        <v>22</v>
      </c>
      <c r="B226" t="s">
        <v>32</v>
      </c>
      <c r="C226" t="s">
        <v>33</v>
      </c>
      <c r="D226">
        <v>2</v>
      </c>
      <c r="E226" t="s">
        <v>34</v>
      </c>
      <c r="F226">
        <v>3</v>
      </c>
      <c r="G226">
        <v>1</v>
      </c>
      <c r="H226" t="s">
        <v>35</v>
      </c>
      <c r="I226">
        <v>4</v>
      </c>
      <c r="J226" t="s">
        <v>51</v>
      </c>
      <c r="K226">
        <v>2523</v>
      </c>
      <c r="L226">
        <v>0</v>
      </c>
      <c r="M226" t="s">
        <v>41</v>
      </c>
      <c r="N226">
        <v>14</v>
      </c>
      <c r="O226">
        <v>3</v>
      </c>
      <c r="P226">
        <v>1</v>
      </c>
      <c r="Q226">
        <v>3</v>
      </c>
      <c r="R226">
        <v>2</v>
      </c>
      <c r="S226">
        <v>2</v>
      </c>
      <c r="T226">
        <v>2</v>
      </c>
      <c r="U226">
        <v>1</v>
      </c>
      <c r="V226" t="s">
        <v>37</v>
      </c>
      <c r="W226" s="1" t="s">
        <v>172</v>
      </c>
      <c r="Y226" t="s">
        <v>54</v>
      </c>
      <c r="Z226" t="s">
        <v>40</v>
      </c>
      <c r="AA226">
        <v>4</v>
      </c>
      <c r="AB226">
        <v>0</v>
      </c>
      <c r="AC226" t="s">
        <v>31</v>
      </c>
      <c r="AD226" t="s">
        <v>67</v>
      </c>
      <c r="AE226" t="s">
        <v>60</v>
      </c>
      <c r="AF226" s="3">
        <v>308</v>
      </c>
      <c r="AG226" s="3">
        <v>90</v>
      </c>
      <c r="AH226">
        <v>80</v>
      </c>
      <c r="AI226">
        <v>4</v>
      </c>
      <c r="AJ226">
        <v>0</v>
      </c>
      <c r="AL226">
        <v>0</v>
      </c>
      <c r="AM226">
        <v>1</v>
      </c>
      <c r="AN226" t="s">
        <v>768</v>
      </c>
      <c r="AO226" t="s">
        <v>41</v>
      </c>
    </row>
    <row r="227" spans="1:41" x14ac:dyDescent="0.25">
      <c r="A227">
        <v>50</v>
      </c>
      <c r="B227" t="s">
        <v>66</v>
      </c>
      <c r="C227" t="s">
        <v>55</v>
      </c>
      <c r="D227">
        <v>12</v>
      </c>
      <c r="E227" t="s">
        <v>61</v>
      </c>
      <c r="F227">
        <v>3</v>
      </c>
      <c r="G227">
        <v>3</v>
      </c>
      <c r="H227" t="s">
        <v>70</v>
      </c>
      <c r="I227">
        <v>4</v>
      </c>
      <c r="J227" t="s">
        <v>36</v>
      </c>
      <c r="K227">
        <v>9208</v>
      </c>
      <c r="L227">
        <v>4</v>
      </c>
      <c r="M227" t="s">
        <v>41</v>
      </c>
      <c r="N227">
        <v>11</v>
      </c>
      <c r="O227">
        <v>3</v>
      </c>
      <c r="P227">
        <v>0</v>
      </c>
      <c r="Q227">
        <v>16</v>
      </c>
      <c r="R227">
        <v>3</v>
      </c>
      <c r="S227">
        <v>2</v>
      </c>
      <c r="T227">
        <v>2</v>
      </c>
      <c r="U227">
        <v>1</v>
      </c>
      <c r="V227" t="s">
        <v>72</v>
      </c>
      <c r="W227" s="1" t="s">
        <v>169</v>
      </c>
      <c r="Y227" t="s">
        <v>39</v>
      </c>
      <c r="Z227" t="s">
        <v>40</v>
      </c>
      <c r="AA227">
        <v>5</v>
      </c>
      <c r="AB227">
        <v>0</v>
      </c>
      <c r="AC227" t="s">
        <v>41</v>
      </c>
      <c r="AD227" t="s">
        <v>65</v>
      </c>
      <c r="AE227" t="s">
        <v>43</v>
      </c>
      <c r="AF227" s="3">
        <v>309</v>
      </c>
      <c r="AG227" s="3">
        <v>70</v>
      </c>
      <c r="AH227">
        <v>80</v>
      </c>
      <c r="AI227">
        <v>0</v>
      </c>
      <c r="AJ227">
        <v>0</v>
      </c>
      <c r="AL227">
        <v>0</v>
      </c>
      <c r="AM227">
        <v>1</v>
      </c>
      <c r="AN227" t="s">
        <v>768</v>
      </c>
      <c r="AO227" t="s">
        <v>41</v>
      </c>
    </row>
    <row r="228" spans="1:41" x14ac:dyDescent="0.25">
      <c r="A228">
        <v>31</v>
      </c>
      <c r="B228" t="s">
        <v>32</v>
      </c>
      <c r="C228" t="s">
        <v>55</v>
      </c>
      <c r="D228">
        <v>20</v>
      </c>
      <c r="E228" t="s">
        <v>61</v>
      </c>
      <c r="F228">
        <v>1</v>
      </c>
      <c r="G228">
        <v>2</v>
      </c>
      <c r="H228" t="s">
        <v>70</v>
      </c>
      <c r="I228">
        <v>3</v>
      </c>
      <c r="J228" t="s">
        <v>51</v>
      </c>
      <c r="K228">
        <v>4559</v>
      </c>
      <c r="L228">
        <v>3</v>
      </c>
      <c r="M228" t="s">
        <v>31</v>
      </c>
      <c r="N228">
        <v>11</v>
      </c>
      <c r="O228">
        <v>3</v>
      </c>
      <c r="P228">
        <v>1</v>
      </c>
      <c r="Q228">
        <v>4</v>
      </c>
      <c r="R228">
        <v>2</v>
      </c>
      <c r="S228">
        <v>2</v>
      </c>
      <c r="T228">
        <v>2</v>
      </c>
      <c r="U228">
        <v>2</v>
      </c>
      <c r="V228" t="s">
        <v>37</v>
      </c>
      <c r="W228" s="2">
        <v>43652</v>
      </c>
      <c r="Y228" t="s">
        <v>39</v>
      </c>
      <c r="Z228" t="s">
        <v>40</v>
      </c>
      <c r="AA228">
        <v>0</v>
      </c>
      <c r="AB228">
        <v>3</v>
      </c>
      <c r="AC228" t="s">
        <v>41</v>
      </c>
      <c r="AD228" t="s">
        <v>67</v>
      </c>
      <c r="AE228" t="s">
        <v>49</v>
      </c>
      <c r="AF228" s="3">
        <v>311</v>
      </c>
      <c r="AG228" s="3">
        <v>41</v>
      </c>
      <c r="AH228">
        <v>80</v>
      </c>
      <c r="AI228">
        <v>8</v>
      </c>
      <c r="AJ228">
        <v>0</v>
      </c>
      <c r="AL228">
        <v>0</v>
      </c>
      <c r="AM228">
        <v>1</v>
      </c>
      <c r="AN228" t="s">
        <v>768</v>
      </c>
      <c r="AO228" t="s">
        <v>41</v>
      </c>
    </row>
    <row r="229" spans="1:41" x14ac:dyDescent="0.25">
      <c r="A229">
        <v>25</v>
      </c>
      <c r="B229" t="s">
        <v>32</v>
      </c>
      <c r="C229" t="s">
        <v>55</v>
      </c>
      <c r="D229">
        <v>28</v>
      </c>
      <c r="E229" t="s">
        <v>34</v>
      </c>
      <c r="F229">
        <v>2</v>
      </c>
      <c r="G229">
        <v>2</v>
      </c>
      <c r="H229" t="s">
        <v>70</v>
      </c>
      <c r="I229">
        <v>3</v>
      </c>
      <c r="J229" t="s">
        <v>51</v>
      </c>
      <c r="K229">
        <v>8639</v>
      </c>
      <c r="L229">
        <v>2</v>
      </c>
      <c r="M229" t="s">
        <v>41</v>
      </c>
      <c r="N229">
        <v>18</v>
      </c>
      <c r="O229">
        <v>3</v>
      </c>
      <c r="P229">
        <v>0</v>
      </c>
      <c r="Q229">
        <v>6</v>
      </c>
      <c r="R229">
        <v>3</v>
      </c>
      <c r="S229">
        <v>2</v>
      </c>
      <c r="T229">
        <v>2</v>
      </c>
      <c r="U229">
        <v>2</v>
      </c>
      <c r="V229" t="s">
        <v>52</v>
      </c>
      <c r="W229" s="2">
        <v>43771</v>
      </c>
      <c r="Y229" t="s">
        <v>69</v>
      </c>
      <c r="Z229" t="s">
        <v>40</v>
      </c>
      <c r="AA229">
        <v>1</v>
      </c>
      <c r="AB229">
        <v>2</v>
      </c>
      <c r="AC229" t="s">
        <v>31</v>
      </c>
      <c r="AD229" t="s">
        <v>65</v>
      </c>
      <c r="AE229" t="s">
        <v>43</v>
      </c>
      <c r="AF229" s="3">
        <v>312</v>
      </c>
      <c r="AG229" s="3">
        <v>42</v>
      </c>
      <c r="AH229">
        <v>80</v>
      </c>
      <c r="AI229">
        <v>10</v>
      </c>
      <c r="AJ229">
        <v>0</v>
      </c>
      <c r="AL229">
        <v>0</v>
      </c>
      <c r="AM229">
        <v>1</v>
      </c>
      <c r="AN229" t="s">
        <v>768</v>
      </c>
      <c r="AO229" t="s">
        <v>41</v>
      </c>
    </row>
    <row r="230" spans="1:41" x14ac:dyDescent="0.25">
      <c r="A230">
        <v>22</v>
      </c>
      <c r="B230" t="s">
        <v>32</v>
      </c>
      <c r="C230" t="s">
        <v>33</v>
      </c>
      <c r="D230">
        <v>19</v>
      </c>
      <c r="E230" t="s">
        <v>34</v>
      </c>
      <c r="F230">
        <v>3</v>
      </c>
      <c r="G230">
        <v>1</v>
      </c>
      <c r="H230" t="s">
        <v>44</v>
      </c>
      <c r="I230">
        <v>4</v>
      </c>
      <c r="J230" t="s">
        <v>51</v>
      </c>
      <c r="K230">
        <v>2323</v>
      </c>
      <c r="L230">
        <v>1</v>
      </c>
      <c r="M230" t="s">
        <v>41</v>
      </c>
      <c r="N230">
        <v>24</v>
      </c>
      <c r="O230">
        <v>4</v>
      </c>
      <c r="P230">
        <v>2</v>
      </c>
      <c r="Q230">
        <v>2</v>
      </c>
      <c r="R230">
        <v>6</v>
      </c>
      <c r="S230">
        <v>2</v>
      </c>
      <c r="T230">
        <v>2</v>
      </c>
      <c r="U230">
        <v>2</v>
      </c>
      <c r="V230" t="s">
        <v>72</v>
      </c>
      <c r="W230" s="1" t="s">
        <v>173</v>
      </c>
      <c r="Y230" t="s">
        <v>69</v>
      </c>
      <c r="Z230" t="s">
        <v>47</v>
      </c>
      <c r="AA230">
        <v>5</v>
      </c>
      <c r="AB230">
        <v>0</v>
      </c>
      <c r="AC230" t="s">
        <v>31</v>
      </c>
      <c r="AD230" t="s">
        <v>67</v>
      </c>
      <c r="AE230" t="s">
        <v>49</v>
      </c>
      <c r="AF230" s="3">
        <v>314</v>
      </c>
      <c r="AG230" s="3">
        <v>92</v>
      </c>
      <c r="AH230">
        <v>80</v>
      </c>
      <c r="AI230">
        <v>7</v>
      </c>
      <c r="AJ230">
        <v>0</v>
      </c>
      <c r="AL230">
        <v>0</v>
      </c>
      <c r="AM230">
        <v>1</v>
      </c>
      <c r="AN230" t="s">
        <v>768</v>
      </c>
      <c r="AO230" t="s">
        <v>41</v>
      </c>
    </row>
    <row r="231" spans="1:41" x14ac:dyDescent="0.25">
      <c r="A231">
        <v>27</v>
      </c>
      <c r="B231" t="s">
        <v>81</v>
      </c>
      <c r="C231" t="s">
        <v>33</v>
      </c>
      <c r="D231">
        <v>9</v>
      </c>
      <c r="E231" t="s">
        <v>34</v>
      </c>
      <c r="F231">
        <v>3</v>
      </c>
      <c r="G231">
        <v>1</v>
      </c>
      <c r="H231" t="s">
        <v>44</v>
      </c>
      <c r="I231">
        <v>2</v>
      </c>
      <c r="J231" t="s">
        <v>57</v>
      </c>
      <c r="K231">
        <v>2024</v>
      </c>
      <c r="L231">
        <v>6</v>
      </c>
      <c r="M231" t="s">
        <v>41</v>
      </c>
      <c r="N231">
        <v>18</v>
      </c>
      <c r="O231">
        <v>3</v>
      </c>
      <c r="P231">
        <v>1</v>
      </c>
      <c r="Q231">
        <v>6</v>
      </c>
      <c r="R231">
        <v>1</v>
      </c>
      <c r="S231">
        <v>2</v>
      </c>
      <c r="T231">
        <v>2</v>
      </c>
      <c r="U231">
        <v>2</v>
      </c>
      <c r="V231" t="s">
        <v>52</v>
      </c>
      <c r="W231" s="1" t="s">
        <v>174</v>
      </c>
      <c r="Y231" t="s">
        <v>54</v>
      </c>
      <c r="Z231" t="s">
        <v>40</v>
      </c>
      <c r="AA231">
        <v>4</v>
      </c>
      <c r="AB231">
        <v>1</v>
      </c>
      <c r="AC231" t="s">
        <v>41</v>
      </c>
      <c r="AD231" t="s">
        <v>65</v>
      </c>
      <c r="AE231" t="s">
        <v>43</v>
      </c>
      <c r="AF231" s="3">
        <v>315</v>
      </c>
      <c r="AG231" s="3">
        <v>86</v>
      </c>
      <c r="AH231">
        <v>80</v>
      </c>
      <c r="AI231">
        <v>3</v>
      </c>
      <c r="AJ231">
        <v>1</v>
      </c>
      <c r="AK231">
        <v>1</v>
      </c>
      <c r="AL231">
        <v>1</v>
      </c>
      <c r="AM231">
        <v>0</v>
      </c>
      <c r="AN231" t="s">
        <v>767</v>
      </c>
      <c r="AO231" t="s">
        <v>31</v>
      </c>
    </row>
    <row r="232" spans="1:41" x14ac:dyDescent="0.25">
      <c r="A232">
        <v>56</v>
      </c>
      <c r="B232" t="s">
        <v>32</v>
      </c>
      <c r="C232" t="s">
        <v>33</v>
      </c>
      <c r="D232">
        <v>8</v>
      </c>
      <c r="E232" t="s">
        <v>61</v>
      </c>
      <c r="F232">
        <v>3</v>
      </c>
      <c r="G232">
        <v>1</v>
      </c>
      <c r="H232" t="s">
        <v>44</v>
      </c>
      <c r="I232">
        <v>1</v>
      </c>
      <c r="J232" t="s">
        <v>57</v>
      </c>
      <c r="K232">
        <v>4257</v>
      </c>
      <c r="L232">
        <v>4</v>
      </c>
      <c r="M232" t="s">
        <v>31</v>
      </c>
      <c r="N232">
        <v>18</v>
      </c>
      <c r="O232">
        <v>3</v>
      </c>
      <c r="P232">
        <v>1</v>
      </c>
      <c r="Q232">
        <v>19</v>
      </c>
      <c r="R232">
        <v>3</v>
      </c>
      <c r="S232">
        <v>2</v>
      </c>
      <c r="T232">
        <v>2</v>
      </c>
      <c r="U232">
        <v>2</v>
      </c>
      <c r="V232" t="s">
        <v>37</v>
      </c>
      <c r="W232" s="1" t="s">
        <v>175</v>
      </c>
      <c r="Y232" t="s">
        <v>54</v>
      </c>
      <c r="Z232" t="s">
        <v>40</v>
      </c>
      <c r="AA232">
        <v>1</v>
      </c>
      <c r="AB232">
        <v>1</v>
      </c>
      <c r="AC232" t="s">
        <v>41</v>
      </c>
      <c r="AD232" t="s">
        <v>48</v>
      </c>
      <c r="AE232" t="s">
        <v>49</v>
      </c>
      <c r="AF232" s="3">
        <v>316</v>
      </c>
      <c r="AG232" s="3">
        <v>89</v>
      </c>
      <c r="AH232">
        <v>80</v>
      </c>
      <c r="AI232">
        <v>2</v>
      </c>
      <c r="AJ232">
        <v>0</v>
      </c>
      <c r="AL232">
        <v>0</v>
      </c>
      <c r="AM232">
        <v>1</v>
      </c>
      <c r="AN232" t="s">
        <v>768</v>
      </c>
      <c r="AO232" t="s">
        <v>41</v>
      </c>
    </row>
    <row r="233" spans="1:41" x14ac:dyDescent="0.25">
      <c r="A233">
        <v>38</v>
      </c>
      <c r="B233" t="s">
        <v>32</v>
      </c>
      <c r="C233" t="s">
        <v>33</v>
      </c>
      <c r="D233">
        <v>9</v>
      </c>
      <c r="E233" t="s">
        <v>61</v>
      </c>
      <c r="F233">
        <v>3</v>
      </c>
      <c r="G233">
        <v>1</v>
      </c>
      <c r="H233" t="s">
        <v>35</v>
      </c>
      <c r="I233">
        <v>4</v>
      </c>
      <c r="J233" t="s">
        <v>36</v>
      </c>
      <c r="K233">
        <v>2288</v>
      </c>
      <c r="L233">
        <v>1</v>
      </c>
      <c r="M233" t="s">
        <v>41</v>
      </c>
      <c r="N233">
        <v>12</v>
      </c>
      <c r="O233">
        <v>3</v>
      </c>
      <c r="P233">
        <v>0</v>
      </c>
      <c r="Q233">
        <v>2</v>
      </c>
      <c r="R233">
        <v>3</v>
      </c>
      <c r="S233">
        <v>2</v>
      </c>
      <c r="T233">
        <v>2</v>
      </c>
      <c r="U233">
        <v>1</v>
      </c>
      <c r="V233" t="s">
        <v>52</v>
      </c>
      <c r="W233" s="1" t="s">
        <v>176</v>
      </c>
      <c r="Y233" t="s">
        <v>69</v>
      </c>
      <c r="Z233" t="s">
        <v>47</v>
      </c>
      <c r="AA233">
        <v>5</v>
      </c>
      <c r="AB233">
        <v>1</v>
      </c>
      <c r="AC233" t="s">
        <v>31</v>
      </c>
      <c r="AD233" t="s">
        <v>48</v>
      </c>
      <c r="AE233" t="s">
        <v>60</v>
      </c>
      <c r="AF233" s="3">
        <v>319</v>
      </c>
      <c r="AG233" s="3">
        <v>58</v>
      </c>
      <c r="AH233">
        <v>80</v>
      </c>
      <c r="AI233">
        <v>17</v>
      </c>
      <c r="AJ233">
        <v>0</v>
      </c>
      <c r="AL233">
        <v>0</v>
      </c>
      <c r="AM233">
        <v>1</v>
      </c>
      <c r="AN233" t="s">
        <v>768</v>
      </c>
      <c r="AO233" t="s">
        <v>41</v>
      </c>
    </row>
    <row r="234" spans="1:41" x14ac:dyDescent="0.25">
      <c r="A234">
        <v>27</v>
      </c>
      <c r="B234" t="s">
        <v>66</v>
      </c>
      <c r="C234" t="s">
        <v>33</v>
      </c>
      <c r="D234">
        <v>1</v>
      </c>
      <c r="E234" t="s">
        <v>34</v>
      </c>
      <c r="F234">
        <v>2</v>
      </c>
      <c r="G234">
        <v>2</v>
      </c>
      <c r="H234" t="s">
        <v>78</v>
      </c>
      <c r="I234">
        <v>1</v>
      </c>
      <c r="J234" t="s">
        <v>51</v>
      </c>
      <c r="K234">
        <v>4298</v>
      </c>
      <c r="L234">
        <v>5</v>
      </c>
      <c r="M234" t="s">
        <v>41</v>
      </c>
      <c r="N234">
        <v>19</v>
      </c>
      <c r="O234">
        <v>3</v>
      </c>
      <c r="P234">
        <v>1</v>
      </c>
      <c r="Q234">
        <v>6</v>
      </c>
      <c r="R234">
        <v>1</v>
      </c>
      <c r="S234">
        <v>2</v>
      </c>
      <c r="T234">
        <v>2</v>
      </c>
      <c r="U234">
        <v>0</v>
      </c>
      <c r="V234" t="s">
        <v>52</v>
      </c>
      <c r="W234" s="2">
        <v>43590</v>
      </c>
      <c r="Y234" t="s">
        <v>46</v>
      </c>
      <c r="Z234" t="s">
        <v>47</v>
      </c>
      <c r="AA234">
        <v>4</v>
      </c>
      <c r="AB234">
        <v>3</v>
      </c>
      <c r="AC234" t="s">
        <v>31</v>
      </c>
      <c r="AD234" t="s">
        <v>67</v>
      </c>
      <c r="AE234" t="s">
        <v>43</v>
      </c>
      <c r="AF234" s="3">
        <v>321</v>
      </c>
      <c r="AG234" s="3">
        <v>52</v>
      </c>
      <c r="AH234">
        <v>80</v>
      </c>
      <c r="AI234">
        <v>2</v>
      </c>
      <c r="AJ234">
        <v>0</v>
      </c>
      <c r="AL234">
        <v>0</v>
      </c>
      <c r="AM234">
        <v>1</v>
      </c>
      <c r="AN234" t="s">
        <v>768</v>
      </c>
      <c r="AO234" t="s">
        <v>41</v>
      </c>
    </row>
    <row r="235" spans="1:41" x14ac:dyDescent="0.25">
      <c r="A235">
        <v>52</v>
      </c>
      <c r="B235" t="s">
        <v>32</v>
      </c>
      <c r="C235" t="s">
        <v>33</v>
      </c>
      <c r="D235">
        <v>2</v>
      </c>
      <c r="E235" t="s">
        <v>61</v>
      </c>
      <c r="F235">
        <v>2</v>
      </c>
      <c r="G235">
        <v>1</v>
      </c>
      <c r="H235" t="s">
        <v>35</v>
      </c>
      <c r="I235">
        <v>4</v>
      </c>
      <c r="J235" t="s">
        <v>36</v>
      </c>
      <c r="K235">
        <v>3212</v>
      </c>
      <c r="L235">
        <v>7</v>
      </c>
      <c r="M235" t="s">
        <v>41</v>
      </c>
      <c r="N235">
        <v>15</v>
      </c>
      <c r="O235">
        <v>3</v>
      </c>
      <c r="P235">
        <v>0</v>
      </c>
      <c r="Q235">
        <v>6</v>
      </c>
      <c r="R235">
        <v>3</v>
      </c>
      <c r="S235">
        <v>2</v>
      </c>
      <c r="T235">
        <v>2</v>
      </c>
      <c r="U235">
        <v>2</v>
      </c>
      <c r="V235" t="s">
        <v>52</v>
      </c>
      <c r="W235" s="2">
        <v>43499</v>
      </c>
      <c r="Y235" t="s">
        <v>54</v>
      </c>
      <c r="Z235" t="s">
        <v>47</v>
      </c>
      <c r="AA235">
        <v>2</v>
      </c>
      <c r="AB235">
        <v>3</v>
      </c>
      <c r="AC235" t="s">
        <v>31</v>
      </c>
      <c r="AD235" t="s">
        <v>65</v>
      </c>
      <c r="AE235" t="s">
        <v>43</v>
      </c>
      <c r="AF235" s="3">
        <v>323</v>
      </c>
      <c r="AG235" s="3">
        <v>68</v>
      </c>
      <c r="AH235">
        <v>80</v>
      </c>
      <c r="AI235">
        <v>0</v>
      </c>
      <c r="AJ235">
        <v>0</v>
      </c>
      <c r="AL235">
        <v>0</v>
      </c>
      <c r="AM235">
        <v>1</v>
      </c>
      <c r="AN235" t="s">
        <v>768</v>
      </c>
      <c r="AO235" t="s">
        <v>41</v>
      </c>
    </row>
    <row r="236" spans="1:41" x14ac:dyDescent="0.25">
      <c r="A236">
        <v>59</v>
      </c>
      <c r="B236" t="s">
        <v>32</v>
      </c>
      <c r="C236" t="s">
        <v>120</v>
      </c>
      <c r="D236">
        <v>6</v>
      </c>
      <c r="E236" t="s">
        <v>34</v>
      </c>
      <c r="F236">
        <v>3</v>
      </c>
      <c r="G236">
        <v>1</v>
      </c>
      <c r="H236" t="s">
        <v>120</v>
      </c>
      <c r="I236">
        <v>3</v>
      </c>
      <c r="J236" t="s">
        <v>51</v>
      </c>
      <c r="K236">
        <v>2267</v>
      </c>
      <c r="L236">
        <v>8</v>
      </c>
      <c r="M236" t="s">
        <v>41</v>
      </c>
      <c r="N236">
        <v>17</v>
      </c>
      <c r="O236">
        <v>3</v>
      </c>
      <c r="P236">
        <v>0</v>
      </c>
      <c r="Q236">
        <v>7</v>
      </c>
      <c r="R236">
        <v>2</v>
      </c>
      <c r="S236">
        <v>2</v>
      </c>
      <c r="T236">
        <v>2</v>
      </c>
      <c r="U236">
        <v>2</v>
      </c>
      <c r="V236" t="s">
        <v>72</v>
      </c>
      <c r="W236" s="2">
        <v>43770</v>
      </c>
      <c r="Y236" t="s">
        <v>46</v>
      </c>
      <c r="Z236" t="s">
        <v>40</v>
      </c>
      <c r="AA236">
        <v>2</v>
      </c>
      <c r="AB236">
        <v>3</v>
      </c>
      <c r="AC236" t="s">
        <v>31</v>
      </c>
      <c r="AD236" t="s">
        <v>67</v>
      </c>
      <c r="AE236" t="s">
        <v>43</v>
      </c>
      <c r="AF236" s="3">
        <v>325</v>
      </c>
      <c r="AG236" s="3">
        <v>58</v>
      </c>
      <c r="AH236">
        <v>80</v>
      </c>
      <c r="AI236">
        <v>4</v>
      </c>
      <c r="AJ236">
        <v>1</v>
      </c>
      <c r="AK236">
        <v>1</v>
      </c>
      <c r="AL236">
        <v>1</v>
      </c>
      <c r="AM236">
        <v>0</v>
      </c>
      <c r="AN236" t="s">
        <v>767</v>
      </c>
      <c r="AO236" t="s">
        <v>31</v>
      </c>
    </row>
    <row r="237" spans="1:41" x14ac:dyDescent="0.25">
      <c r="A237">
        <v>31</v>
      </c>
      <c r="B237" t="s">
        <v>66</v>
      </c>
      <c r="C237" t="s">
        <v>33</v>
      </c>
      <c r="D237">
        <v>3</v>
      </c>
      <c r="E237" t="s">
        <v>34</v>
      </c>
      <c r="F237">
        <v>3</v>
      </c>
      <c r="G237">
        <v>3</v>
      </c>
      <c r="H237" t="s">
        <v>50</v>
      </c>
      <c r="I237">
        <v>3</v>
      </c>
      <c r="J237" t="s">
        <v>57</v>
      </c>
      <c r="K237">
        <v>13675</v>
      </c>
      <c r="L237">
        <v>9</v>
      </c>
      <c r="M237" t="s">
        <v>41</v>
      </c>
      <c r="N237">
        <v>12</v>
      </c>
      <c r="O237">
        <v>3</v>
      </c>
      <c r="P237">
        <v>1</v>
      </c>
      <c r="Q237">
        <v>9</v>
      </c>
      <c r="R237">
        <v>3</v>
      </c>
      <c r="S237">
        <v>2</v>
      </c>
      <c r="T237">
        <v>2</v>
      </c>
      <c r="U237">
        <v>2</v>
      </c>
      <c r="V237" t="s">
        <v>72</v>
      </c>
      <c r="W237" s="1" t="s">
        <v>177</v>
      </c>
      <c r="Y237" t="s">
        <v>54</v>
      </c>
      <c r="Z237" t="s">
        <v>47</v>
      </c>
      <c r="AA237">
        <v>1</v>
      </c>
      <c r="AB237">
        <v>3</v>
      </c>
      <c r="AC237" t="s">
        <v>41</v>
      </c>
      <c r="AD237" t="s">
        <v>65</v>
      </c>
      <c r="AE237" t="s">
        <v>43</v>
      </c>
      <c r="AF237" s="3">
        <v>327</v>
      </c>
      <c r="AG237" s="3">
        <v>80</v>
      </c>
      <c r="AH237">
        <v>80</v>
      </c>
      <c r="AI237">
        <v>13</v>
      </c>
      <c r="AJ237">
        <v>0</v>
      </c>
      <c r="AL237">
        <v>0</v>
      </c>
      <c r="AM237">
        <v>1</v>
      </c>
      <c r="AN237" t="s">
        <v>768</v>
      </c>
      <c r="AO237" t="s">
        <v>41</v>
      </c>
    </row>
    <row r="238" spans="1:41" x14ac:dyDescent="0.25">
      <c r="A238">
        <v>33</v>
      </c>
      <c r="B238" t="s">
        <v>32</v>
      </c>
      <c r="C238" t="s">
        <v>33</v>
      </c>
      <c r="D238">
        <v>5</v>
      </c>
      <c r="E238" t="s">
        <v>61</v>
      </c>
      <c r="F238">
        <v>2</v>
      </c>
      <c r="G238">
        <v>1</v>
      </c>
      <c r="H238" t="s">
        <v>44</v>
      </c>
      <c r="I238">
        <v>4</v>
      </c>
      <c r="J238" t="s">
        <v>51</v>
      </c>
      <c r="K238">
        <v>2911</v>
      </c>
      <c r="L238">
        <v>1</v>
      </c>
      <c r="M238" t="s">
        <v>41</v>
      </c>
      <c r="N238">
        <v>13</v>
      </c>
      <c r="O238">
        <v>3</v>
      </c>
      <c r="P238">
        <v>1</v>
      </c>
      <c r="Q238">
        <v>2</v>
      </c>
      <c r="R238">
        <v>2</v>
      </c>
      <c r="S238">
        <v>2</v>
      </c>
      <c r="T238">
        <v>0</v>
      </c>
      <c r="U238">
        <v>2</v>
      </c>
      <c r="V238" t="s">
        <v>52</v>
      </c>
      <c r="W238" s="2">
        <v>43652</v>
      </c>
      <c r="Y238" t="s">
        <v>63</v>
      </c>
      <c r="Z238" t="s">
        <v>47</v>
      </c>
      <c r="AA238">
        <v>4</v>
      </c>
      <c r="AB238">
        <v>2</v>
      </c>
      <c r="AC238" t="s">
        <v>31</v>
      </c>
      <c r="AD238" t="s">
        <v>48</v>
      </c>
      <c r="AE238" t="s">
        <v>49</v>
      </c>
      <c r="AF238" s="3">
        <v>328</v>
      </c>
      <c r="AG238" s="3">
        <v>39</v>
      </c>
      <c r="AH238">
        <v>80</v>
      </c>
      <c r="AI238">
        <v>7</v>
      </c>
      <c r="AJ238">
        <v>1</v>
      </c>
      <c r="AK238">
        <v>1</v>
      </c>
      <c r="AL238">
        <v>1</v>
      </c>
      <c r="AM238">
        <v>0</v>
      </c>
      <c r="AN238" t="s">
        <v>767</v>
      </c>
      <c r="AO238" t="s">
        <v>31</v>
      </c>
    </row>
    <row r="239" spans="1:41" x14ac:dyDescent="0.25">
      <c r="A239">
        <v>38</v>
      </c>
      <c r="B239" t="s">
        <v>32</v>
      </c>
      <c r="C239" t="s">
        <v>33</v>
      </c>
      <c r="D239">
        <v>23</v>
      </c>
      <c r="E239" t="s">
        <v>34</v>
      </c>
      <c r="F239">
        <v>3</v>
      </c>
      <c r="G239">
        <v>2</v>
      </c>
      <c r="H239" t="s">
        <v>89</v>
      </c>
      <c r="I239">
        <v>4</v>
      </c>
      <c r="J239" t="s">
        <v>57</v>
      </c>
      <c r="K239">
        <v>5745</v>
      </c>
      <c r="L239">
        <v>9</v>
      </c>
      <c r="M239" t="s">
        <v>41</v>
      </c>
      <c r="N239">
        <v>14</v>
      </c>
      <c r="O239">
        <v>3</v>
      </c>
      <c r="P239">
        <v>1</v>
      </c>
      <c r="Q239">
        <v>10</v>
      </c>
      <c r="R239">
        <v>2</v>
      </c>
      <c r="S239">
        <v>2</v>
      </c>
      <c r="T239">
        <v>1</v>
      </c>
      <c r="U239">
        <v>2</v>
      </c>
      <c r="V239" t="s">
        <v>72</v>
      </c>
      <c r="W239" s="1" t="s">
        <v>178</v>
      </c>
      <c r="Y239" t="s">
        <v>63</v>
      </c>
      <c r="Z239" t="s">
        <v>40</v>
      </c>
      <c r="AA239">
        <v>5</v>
      </c>
      <c r="AB239">
        <v>2</v>
      </c>
      <c r="AC239" t="s">
        <v>31</v>
      </c>
      <c r="AD239" t="s">
        <v>67</v>
      </c>
      <c r="AE239" t="s">
        <v>60</v>
      </c>
      <c r="AF239" s="3">
        <v>329</v>
      </c>
      <c r="AG239" s="3">
        <v>79</v>
      </c>
      <c r="AH239">
        <v>80</v>
      </c>
      <c r="AI239">
        <v>7</v>
      </c>
      <c r="AJ239">
        <v>0</v>
      </c>
      <c r="AL239">
        <v>0</v>
      </c>
      <c r="AM239">
        <v>1</v>
      </c>
      <c r="AN239" t="s">
        <v>768</v>
      </c>
      <c r="AO239" t="s">
        <v>41</v>
      </c>
    </row>
    <row r="240" spans="1:41" x14ac:dyDescent="0.25">
      <c r="A240">
        <v>31</v>
      </c>
      <c r="B240" t="s">
        <v>66</v>
      </c>
      <c r="C240" t="s">
        <v>55</v>
      </c>
      <c r="D240">
        <v>5</v>
      </c>
      <c r="E240" t="s">
        <v>61</v>
      </c>
      <c r="F240">
        <v>3</v>
      </c>
      <c r="G240">
        <v>1</v>
      </c>
      <c r="H240" t="s">
        <v>56</v>
      </c>
      <c r="I240">
        <v>2</v>
      </c>
      <c r="J240" t="s">
        <v>57</v>
      </c>
      <c r="K240">
        <v>2789</v>
      </c>
      <c r="L240">
        <v>1</v>
      </c>
      <c r="M240" t="s">
        <v>41</v>
      </c>
      <c r="N240">
        <v>11</v>
      </c>
      <c r="O240">
        <v>3</v>
      </c>
      <c r="P240">
        <v>1</v>
      </c>
      <c r="Q240">
        <v>2</v>
      </c>
      <c r="R240">
        <v>5</v>
      </c>
      <c r="S240">
        <v>2</v>
      </c>
      <c r="T240">
        <v>2</v>
      </c>
      <c r="U240">
        <v>2</v>
      </c>
      <c r="V240" t="s">
        <v>72</v>
      </c>
      <c r="W240" s="2">
        <v>43466</v>
      </c>
      <c r="Y240" t="s">
        <v>46</v>
      </c>
      <c r="Z240" t="s">
        <v>47</v>
      </c>
      <c r="AA240">
        <v>0</v>
      </c>
      <c r="AB240">
        <v>2</v>
      </c>
      <c r="AC240" t="s">
        <v>41</v>
      </c>
      <c r="AD240" t="s">
        <v>48</v>
      </c>
      <c r="AE240" t="s">
        <v>60</v>
      </c>
      <c r="AF240" s="3">
        <v>330</v>
      </c>
      <c r="AG240" s="3">
        <v>56</v>
      </c>
      <c r="AH240">
        <v>80</v>
      </c>
      <c r="AI240">
        <v>3</v>
      </c>
      <c r="AJ240">
        <v>0</v>
      </c>
      <c r="AL240">
        <v>0</v>
      </c>
      <c r="AM240">
        <v>1</v>
      </c>
      <c r="AN240" t="s">
        <v>768</v>
      </c>
      <c r="AO240" t="s">
        <v>41</v>
      </c>
    </row>
    <row r="241" spans="1:41" x14ac:dyDescent="0.25">
      <c r="A241">
        <v>31</v>
      </c>
      <c r="B241" t="s">
        <v>32</v>
      </c>
      <c r="C241" t="s">
        <v>120</v>
      </c>
      <c r="D241">
        <v>2</v>
      </c>
      <c r="E241" t="s">
        <v>34</v>
      </c>
      <c r="F241">
        <v>2</v>
      </c>
      <c r="G241">
        <v>2</v>
      </c>
      <c r="H241" t="s">
        <v>120</v>
      </c>
      <c r="I241">
        <v>1</v>
      </c>
      <c r="J241" t="s">
        <v>51</v>
      </c>
      <c r="K241">
        <v>6410</v>
      </c>
      <c r="L241">
        <v>3</v>
      </c>
      <c r="M241" t="s">
        <v>41</v>
      </c>
      <c r="N241">
        <v>12</v>
      </c>
      <c r="O241">
        <v>3</v>
      </c>
      <c r="P241">
        <v>0</v>
      </c>
      <c r="Q241">
        <v>9</v>
      </c>
      <c r="R241">
        <v>1</v>
      </c>
      <c r="S241">
        <v>2</v>
      </c>
      <c r="T241">
        <v>1</v>
      </c>
      <c r="U241">
        <v>0</v>
      </c>
      <c r="V241" t="s">
        <v>37</v>
      </c>
      <c r="W241" s="1" t="s">
        <v>166</v>
      </c>
      <c r="Y241" t="s">
        <v>39</v>
      </c>
      <c r="Z241" t="s">
        <v>40</v>
      </c>
      <c r="AA241">
        <v>1</v>
      </c>
      <c r="AB241">
        <v>1</v>
      </c>
      <c r="AC241" t="s">
        <v>31</v>
      </c>
      <c r="AD241" t="s">
        <v>65</v>
      </c>
      <c r="AE241" t="s">
        <v>43</v>
      </c>
      <c r="AF241" s="3">
        <v>331</v>
      </c>
      <c r="AG241" s="3">
        <v>62</v>
      </c>
      <c r="AH241">
        <v>80</v>
      </c>
      <c r="AI241">
        <v>2</v>
      </c>
      <c r="AJ241">
        <v>1</v>
      </c>
      <c r="AK241">
        <v>1</v>
      </c>
      <c r="AL241">
        <v>1</v>
      </c>
      <c r="AM241">
        <v>0</v>
      </c>
      <c r="AN241" t="s">
        <v>767</v>
      </c>
      <c r="AO241" t="s">
        <v>31</v>
      </c>
    </row>
    <row r="242" spans="1:41" x14ac:dyDescent="0.25">
      <c r="A242">
        <v>31</v>
      </c>
      <c r="B242" t="s">
        <v>32</v>
      </c>
      <c r="C242" t="s">
        <v>33</v>
      </c>
      <c r="D242">
        <v>2</v>
      </c>
      <c r="E242" t="s">
        <v>34</v>
      </c>
      <c r="F242">
        <v>3</v>
      </c>
      <c r="G242">
        <v>1</v>
      </c>
      <c r="H242" t="s">
        <v>44</v>
      </c>
      <c r="I242">
        <v>4</v>
      </c>
      <c r="J242" t="s">
        <v>57</v>
      </c>
      <c r="K242">
        <v>2695</v>
      </c>
      <c r="L242">
        <v>0</v>
      </c>
      <c r="M242" t="s">
        <v>31</v>
      </c>
      <c r="N242">
        <v>18</v>
      </c>
      <c r="O242">
        <v>3</v>
      </c>
      <c r="P242">
        <v>1</v>
      </c>
      <c r="Q242">
        <v>3</v>
      </c>
      <c r="R242">
        <v>2</v>
      </c>
      <c r="S242">
        <v>2</v>
      </c>
      <c r="T242">
        <v>2</v>
      </c>
      <c r="U242">
        <v>2</v>
      </c>
      <c r="V242" t="s">
        <v>37</v>
      </c>
      <c r="W242" s="2">
        <v>43680</v>
      </c>
      <c r="Y242" t="s">
        <v>63</v>
      </c>
      <c r="Z242" t="s">
        <v>47</v>
      </c>
      <c r="AA242">
        <v>2</v>
      </c>
      <c r="AB242">
        <v>3</v>
      </c>
      <c r="AC242" t="s">
        <v>31</v>
      </c>
      <c r="AD242" t="s">
        <v>42</v>
      </c>
      <c r="AE242" t="s">
        <v>49</v>
      </c>
      <c r="AF242" s="3">
        <v>332</v>
      </c>
      <c r="AG242" s="3">
        <v>96</v>
      </c>
      <c r="AH242">
        <v>80</v>
      </c>
      <c r="AI242">
        <v>2</v>
      </c>
      <c r="AJ242">
        <v>0</v>
      </c>
      <c r="AL242">
        <v>0</v>
      </c>
      <c r="AM242">
        <v>1</v>
      </c>
      <c r="AN242" t="s">
        <v>768</v>
      </c>
      <c r="AO242" t="s">
        <v>41</v>
      </c>
    </row>
    <row r="243" spans="1:41" x14ac:dyDescent="0.25">
      <c r="A243">
        <v>30</v>
      </c>
      <c r="B243" t="s">
        <v>81</v>
      </c>
      <c r="C243" t="s">
        <v>55</v>
      </c>
      <c r="D243">
        <v>25</v>
      </c>
      <c r="E243" t="s">
        <v>61</v>
      </c>
      <c r="F243">
        <v>3</v>
      </c>
      <c r="G243">
        <v>2</v>
      </c>
      <c r="H243" t="s">
        <v>70</v>
      </c>
      <c r="I243">
        <v>3</v>
      </c>
      <c r="J243" t="s">
        <v>51</v>
      </c>
      <c r="K243">
        <v>4736</v>
      </c>
      <c r="L243">
        <v>7</v>
      </c>
      <c r="M243" t="s">
        <v>31</v>
      </c>
      <c r="N243">
        <v>12</v>
      </c>
      <c r="O243">
        <v>3</v>
      </c>
      <c r="P243">
        <v>1</v>
      </c>
      <c r="Q243">
        <v>4</v>
      </c>
      <c r="R243">
        <v>2</v>
      </c>
      <c r="S243">
        <v>2</v>
      </c>
      <c r="T243">
        <v>2</v>
      </c>
      <c r="U243">
        <v>2</v>
      </c>
      <c r="V243" t="s">
        <v>52</v>
      </c>
      <c r="W243" s="1" t="s">
        <v>179</v>
      </c>
      <c r="Y243" t="s">
        <v>54</v>
      </c>
      <c r="Z243" t="s">
        <v>40</v>
      </c>
      <c r="AA243">
        <v>0</v>
      </c>
      <c r="AB243">
        <v>3</v>
      </c>
      <c r="AC243" t="s">
        <v>41</v>
      </c>
      <c r="AD243" t="s">
        <v>67</v>
      </c>
      <c r="AE243" t="s">
        <v>49</v>
      </c>
      <c r="AF243" s="3">
        <v>333</v>
      </c>
      <c r="AG243" s="3">
        <v>100</v>
      </c>
      <c r="AH243">
        <v>80</v>
      </c>
      <c r="AI243">
        <v>2</v>
      </c>
      <c r="AJ243">
        <v>0</v>
      </c>
      <c r="AL243">
        <v>0</v>
      </c>
      <c r="AM243">
        <v>1</v>
      </c>
      <c r="AN243" t="s">
        <v>768</v>
      </c>
      <c r="AO243" t="s">
        <v>41</v>
      </c>
    </row>
    <row r="244" spans="1:41" x14ac:dyDescent="0.25">
      <c r="A244">
        <v>31</v>
      </c>
      <c r="B244" t="s">
        <v>32</v>
      </c>
      <c r="C244" t="s">
        <v>33</v>
      </c>
      <c r="D244">
        <v>9</v>
      </c>
      <c r="E244" t="s">
        <v>34</v>
      </c>
      <c r="F244">
        <v>2</v>
      </c>
      <c r="G244">
        <v>1</v>
      </c>
      <c r="H244" t="s">
        <v>44</v>
      </c>
      <c r="I244">
        <v>2</v>
      </c>
      <c r="J244" t="s">
        <v>36</v>
      </c>
      <c r="K244">
        <v>2657</v>
      </c>
      <c r="L244">
        <v>0</v>
      </c>
      <c r="M244" t="s">
        <v>31</v>
      </c>
      <c r="N244">
        <v>16</v>
      </c>
      <c r="O244">
        <v>3</v>
      </c>
      <c r="P244">
        <v>0</v>
      </c>
      <c r="Q244">
        <v>3</v>
      </c>
      <c r="R244">
        <v>5</v>
      </c>
      <c r="S244">
        <v>2</v>
      </c>
      <c r="T244">
        <v>2</v>
      </c>
      <c r="U244">
        <v>2</v>
      </c>
      <c r="V244" t="s">
        <v>52</v>
      </c>
      <c r="W244" s="1" t="s">
        <v>167</v>
      </c>
      <c r="Y244" t="s">
        <v>39</v>
      </c>
      <c r="Z244" t="s">
        <v>47</v>
      </c>
      <c r="AA244">
        <v>5</v>
      </c>
      <c r="AB244">
        <v>2</v>
      </c>
      <c r="AC244" t="s">
        <v>31</v>
      </c>
      <c r="AD244" t="s">
        <v>48</v>
      </c>
      <c r="AE244" t="s">
        <v>49</v>
      </c>
      <c r="AF244" s="3">
        <v>334</v>
      </c>
      <c r="AG244" s="3">
        <v>36</v>
      </c>
      <c r="AH244">
        <v>80</v>
      </c>
      <c r="AI244">
        <v>0</v>
      </c>
      <c r="AJ244">
        <v>0</v>
      </c>
      <c r="AL244">
        <v>0</v>
      </c>
      <c r="AM244">
        <v>1</v>
      </c>
      <c r="AN244" t="s">
        <v>768</v>
      </c>
      <c r="AO244" t="s">
        <v>41</v>
      </c>
    </row>
    <row r="245" spans="1:41" x14ac:dyDescent="0.25">
      <c r="A245">
        <v>36</v>
      </c>
      <c r="B245" t="s">
        <v>32</v>
      </c>
      <c r="C245" t="s">
        <v>33</v>
      </c>
      <c r="D245">
        <v>2</v>
      </c>
      <c r="E245" t="s">
        <v>61</v>
      </c>
      <c r="F245">
        <v>3</v>
      </c>
      <c r="G245">
        <v>1</v>
      </c>
      <c r="H245" t="s">
        <v>44</v>
      </c>
      <c r="I245">
        <v>3</v>
      </c>
      <c r="J245" t="s">
        <v>51</v>
      </c>
      <c r="K245">
        <v>2543</v>
      </c>
      <c r="L245">
        <v>4</v>
      </c>
      <c r="M245" t="s">
        <v>41</v>
      </c>
      <c r="N245">
        <v>13</v>
      </c>
      <c r="O245">
        <v>3</v>
      </c>
      <c r="P245">
        <v>1</v>
      </c>
      <c r="Q245">
        <v>6</v>
      </c>
      <c r="R245">
        <v>3</v>
      </c>
      <c r="S245">
        <v>2</v>
      </c>
      <c r="T245">
        <v>2</v>
      </c>
      <c r="U245">
        <v>2</v>
      </c>
      <c r="V245" t="s">
        <v>52</v>
      </c>
      <c r="W245" s="1" t="s">
        <v>180</v>
      </c>
      <c r="Y245" t="s">
        <v>63</v>
      </c>
      <c r="Z245" t="s">
        <v>40</v>
      </c>
      <c r="AA245">
        <v>4</v>
      </c>
      <c r="AB245">
        <v>3</v>
      </c>
      <c r="AC245" t="s">
        <v>31</v>
      </c>
      <c r="AD245" t="s">
        <v>48</v>
      </c>
      <c r="AE245" t="s">
        <v>43</v>
      </c>
      <c r="AF245" s="3">
        <v>335</v>
      </c>
      <c r="AG245" s="3">
        <v>62</v>
      </c>
      <c r="AH245">
        <v>80</v>
      </c>
      <c r="AI245">
        <v>8</v>
      </c>
      <c r="AJ245">
        <v>0</v>
      </c>
      <c r="AL245">
        <v>0</v>
      </c>
      <c r="AM245">
        <v>1</v>
      </c>
      <c r="AN245" t="s">
        <v>768</v>
      </c>
      <c r="AO245" t="s">
        <v>41</v>
      </c>
    </row>
    <row r="246" spans="1:41" x14ac:dyDescent="0.25">
      <c r="A246">
        <v>22</v>
      </c>
      <c r="B246" t="s">
        <v>32</v>
      </c>
      <c r="C246" t="s">
        <v>33</v>
      </c>
      <c r="D246">
        <v>11</v>
      </c>
      <c r="E246" t="s">
        <v>61</v>
      </c>
      <c r="F246">
        <v>3</v>
      </c>
      <c r="G246">
        <v>1</v>
      </c>
      <c r="H246" t="s">
        <v>44</v>
      </c>
      <c r="I246">
        <v>2</v>
      </c>
      <c r="J246" t="s">
        <v>51</v>
      </c>
      <c r="K246">
        <v>2244</v>
      </c>
      <c r="L246">
        <v>1</v>
      </c>
      <c r="M246" t="s">
        <v>41</v>
      </c>
      <c r="N246">
        <v>13</v>
      </c>
      <c r="O246">
        <v>3</v>
      </c>
      <c r="P246">
        <v>1</v>
      </c>
      <c r="Q246">
        <v>2</v>
      </c>
      <c r="R246">
        <v>1</v>
      </c>
      <c r="S246">
        <v>2</v>
      </c>
      <c r="T246">
        <v>1</v>
      </c>
      <c r="U246">
        <v>2</v>
      </c>
      <c r="V246" t="s">
        <v>58</v>
      </c>
      <c r="W246" s="2">
        <v>43530</v>
      </c>
      <c r="Y246" t="s">
        <v>39</v>
      </c>
      <c r="Z246" t="s">
        <v>40</v>
      </c>
      <c r="AA246">
        <v>4</v>
      </c>
      <c r="AB246">
        <v>2</v>
      </c>
      <c r="AC246" t="s">
        <v>31</v>
      </c>
      <c r="AD246" t="s">
        <v>42</v>
      </c>
      <c r="AE246" t="s">
        <v>43</v>
      </c>
      <c r="AF246" s="3">
        <v>336</v>
      </c>
      <c r="AG246" s="3">
        <v>70</v>
      </c>
      <c r="AH246">
        <v>80</v>
      </c>
      <c r="AI246">
        <v>0</v>
      </c>
      <c r="AJ246">
        <v>0</v>
      </c>
      <c r="AL246">
        <v>0</v>
      </c>
      <c r="AM246">
        <v>1</v>
      </c>
      <c r="AN246" t="s">
        <v>768</v>
      </c>
      <c r="AO246" t="s">
        <v>41</v>
      </c>
    </row>
    <row r="247" spans="1:41" x14ac:dyDescent="0.25">
      <c r="A247">
        <v>25</v>
      </c>
      <c r="B247" t="s">
        <v>32</v>
      </c>
      <c r="C247" t="s">
        <v>33</v>
      </c>
      <c r="D247">
        <v>3</v>
      </c>
      <c r="E247" t="s">
        <v>34</v>
      </c>
      <c r="F247">
        <v>3</v>
      </c>
      <c r="G247">
        <v>1</v>
      </c>
      <c r="H247" t="s">
        <v>35</v>
      </c>
      <c r="I247">
        <v>1</v>
      </c>
      <c r="J247" t="s">
        <v>51</v>
      </c>
      <c r="K247">
        <v>4031</v>
      </c>
      <c r="L247">
        <v>5</v>
      </c>
      <c r="M247" t="s">
        <v>41</v>
      </c>
      <c r="N247">
        <v>13</v>
      </c>
      <c r="O247">
        <v>3</v>
      </c>
      <c r="P247">
        <v>1</v>
      </c>
      <c r="Q247">
        <v>6</v>
      </c>
      <c r="R247">
        <v>5</v>
      </c>
      <c r="S247">
        <v>2</v>
      </c>
      <c r="T247">
        <v>0</v>
      </c>
      <c r="U247">
        <v>2</v>
      </c>
      <c r="V247" t="s">
        <v>58</v>
      </c>
      <c r="W247" s="1" t="s">
        <v>181</v>
      </c>
      <c r="Y247" t="s">
        <v>46</v>
      </c>
      <c r="Z247" t="s">
        <v>40</v>
      </c>
      <c r="AA247">
        <v>2</v>
      </c>
      <c r="AB247">
        <v>1</v>
      </c>
      <c r="AC247" t="s">
        <v>41</v>
      </c>
      <c r="AD247" t="s">
        <v>48</v>
      </c>
      <c r="AE247" t="s">
        <v>43</v>
      </c>
      <c r="AF247" s="3">
        <v>337</v>
      </c>
      <c r="AG247" s="3">
        <v>73</v>
      </c>
      <c r="AH247">
        <v>80</v>
      </c>
      <c r="AI247">
        <v>2</v>
      </c>
      <c r="AJ247">
        <v>0</v>
      </c>
      <c r="AL247">
        <v>0</v>
      </c>
      <c r="AM247">
        <v>1</v>
      </c>
      <c r="AN247" t="s">
        <v>768</v>
      </c>
      <c r="AO247" t="s">
        <v>41</v>
      </c>
    </row>
    <row r="248" spans="1:41" x14ac:dyDescent="0.25">
      <c r="A248">
        <v>45</v>
      </c>
      <c r="B248" t="s">
        <v>32</v>
      </c>
      <c r="C248" t="s">
        <v>33</v>
      </c>
      <c r="D248">
        <v>10</v>
      </c>
      <c r="E248" t="s">
        <v>34</v>
      </c>
      <c r="F248">
        <v>3</v>
      </c>
      <c r="G248">
        <v>1</v>
      </c>
      <c r="H248" t="s">
        <v>44</v>
      </c>
      <c r="I248">
        <v>4</v>
      </c>
      <c r="J248" t="s">
        <v>51</v>
      </c>
      <c r="K248">
        <v>2654</v>
      </c>
      <c r="L248">
        <v>3</v>
      </c>
      <c r="M248" t="s">
        <v>41</v>
      </c>
      <c r="N248">
        <v>21</v>
      </c>
      <c r="O248">
        <v>4</v>
      </c>
      <c r="P248">
        <v>2</v>
      </c>
      <c r="Q248">
        <v>8</v>
      </c>
      <c r="R248">
        <v>3</v>
      </c>
      <c r="S248">
        <v>2</v>
      </c>
      <c r="T248">
        <v>0</v>
      </c>
      <c r="U248">
        <v>2</v>
      </c>
      <c r="V248" t="s">
        <v>52</v>
      </c>
      <c r="W248" s="2">
        <v>43741</v>
      </c>
      <c r="Y248" t="s">
        <v>69</v>
      </c>
      <c r="Z248" t="s">
        <v>47</v>
      </c>
      <c r="AA248">
        <v>2</v>
      </c>
      <c r="AB248">
        <v>2</v>
      </c>
      <c r="AC248" t="s">
        <v>31</v>
      </c>
      <c r="AD248" t="s">
        <v>67</v>
      </c>
      <c r="AE248" t="s">
        <v>60</v>
      </c>
      <c r="AF248" s="3">
        <v>338</v>
      </c>
      <c r="AG248" s="3">
        <v>63</v>
      </c>
      <c r="AH248">
        <v>80</v>
      </c>
      <c r="AI248">
        <v>2</v>
      </c>
      <c r="AJ248">
        <v>0</v>
      </c>
      <c r="AL248">
        <v>0</v>
      </c>
      <c r="AM248">
        <v>1</v>
      </c>
      <c r="AN248" t="s">
        <v>768</v>
      </c>
      <c r="AO248" t="s">
        <v>41</v>
      </c>
    </row>
    <row r="249" spans="1:41" x14ac:dyDescent="0.25">
      <c r="A249">
        <v>34</v>
      </c>
      <c r="B249" t="s">
        <v>66</v>
      </c>
      <c r="C249" t="s">
        <v>55</v>
      </c>
      <c r="D249">
        <v>6</v>
      </c>
      <c r="E249" t="s">
        <v>61</v>
      </c>
      <c r="F249">
        <v>1</v>
      </c>
      <c r="G249">
        <v>1</v>
      </c>
      <c r="H249" t="s">
        <v>56</v>
      </c>
      <c r="I249">
        <v>3</v>
      </c>
      <c r="J249" t="s">
        <v>57</v>
      </c>
      <c r="K249">
        <v>2351</v>
      </c>
      <c r="L249">
        <v>0</v>
      </c>
      <c r="M249" t="s">
        <v>41</v>
      </c>
      <c r="N249">
        <v>16</v>
      </c>
      <c r="O249">
        <v>3</v>
      </c>
      <c r="P249">
        <v>1</v>
      </c>
      <c r="Q249">
        <v>3</v>
      </c>
      <c r="R249">
        <v>3</v>
      </c>
      <c r="S249">
        <v>2</v>
      </c>
      <c r="T249">
        <v>1</v>
      </c>
      <c r="U249">
        <v>0</v>
      </c>
      <c r="V249" t="s">
        <v>58</v>
      </c>
      <c r="W249" s="1" t="s">
        <v>182</v>
      </c>
      <c r="Y249" t="s">
        <v>46</v>
      </c>
      <c r="Z249" t="s">
        <v>47</v>
      </c>
      <c r="AA249">
        <v>1</v>
      </c>
      <c r="AB249">
        <v>2</v>
      </c>
      <c r="AC249" t="s">
        <v>41</v>
      </c>
      <c r="AD249" t="s">
        <v>48</v>
      </c>
      <c r="AE249" t="s">
        <v>60</v>
      </c>
      <c r="AF249" s="3">
        <v>339</v>
      </c>
      <c r="AG249" s="3">
        <v>84</v>
      </c>
      <c r="AH249">
        <v>80</v>
      </c>
      <c r="AI249">
        <v>9</v>
      </c>
      <c r="AJ249">
        <v>0</v>
      </c>
      <c r="AL249">
        <v>0</v>
      </c>
      <c r="AM249">
        <v>1</v>
      </c>
      <c r="AN249" t="s">
        <v>768</v>
      </c>
      <c r="AO249" t="s">
        <v>41</v>
      </c>
    </row>
    <row r="250" spans="1:41" x14ac:dyDescent="0.25">
      <c r="A250">
        <v>29</v>
      </c>
      <c r="B250" t="s">
        <v>32</v>
      </c>
      <c r="C250" t="s">
        <v>33</v>
      </c>
      <c r="D250">
        <v>25</v>
      </c>
      <c r="E250" t="s">
        <v>61</v>
      </c>
      <c r="F250">
        <v>2</v>
      </c>
      <c r="G250">
        <v>1</v>
      </c>
      <c r="H250" t="s">
        <v>44</v>
      </c>
      <c r="I250">
        <v>2</v>
      </c>
      <c r="J250" t="s">
        <v>51</v>
      </c>
      <c r="K250">
        <v>2546</v>
      </c>
      <c r="L250">
        <v>5</v>
      </c>
      <c r="M250" t="s">
        <v>41</v>
      </c>
      <c r="N250">
        <v>16</v>
      </c>
      <c r="O250">
        <v>3</v>
      </c>
      <c r="P250">
        <v>0</v>
      </c>
      <c r="Q250">
        <v>6</v>
      </c>
      <c r="R250">
        <v>2</v>
      </c>
      <c r="S250">
        <v>2</v>
      </c>
      <c r="T250">
        <v>1</v>
      </c>
      <c r="U250">
        <v>1</v>
      </c>
      <c r="V250" t="s">
        <v>37</v>
      </c>
      <c r="W250" s="1" t="s">
        <v>168</v>
      </c>
      <c r="Y250" t="s">
        <v>54</v>
      </c>
      <c r="Z250" t="s">
        <v>47</v>
      </c>
      <c r="AA250">
        <v>4</v>
      </c>
      <c r="AB250">
        <v>3</v>
      </c>
      <c r="AC250" t="s">
        <v>31</v>
      </c>
      <c r="AD250" t="s">
        <v>65</v>
      </c>
      <c r="AE250" t="s">
        <v>60</v>
      </c>
      <c r="AF250" s="3">
        <v>340</v>
      </c>
      <c r="AG250" s="3">
        <v>83</v>
      </c>
      <c r="AH250">
        <v>80</v>
      </c>
      <c r="AI250">
        <v>1</v>
      </c>
      <c r="AJ250">
        <v>0</v>
      </c>
      <c r="AL250">
        <v>0</v>
      </c>
      <c r="AM250">
        <v>1</v>
      </c>
      <c r="AN250" t="s">
        <v>768</v>
      </c>
      <c r="AO250" t="s">
        <v>41</v>
      </c>
    </row>
    <row r="251" spans="1:41" x14ac:dyDescent="0.25">
      <c r="A251">
        <v>42</v>
      </c>
      <c r="B251" t="s">
        <v>66</v>
      </c>
      <c r="C251" t="s">
        <v>33</v>
      </c>
      <c r="D251">
        <v>5</v>
      </c>
      <c r="E251" t="s">
        <v>34</v>
      </c>
      <c r="F251">
        <v>3</v>
      </c>
      <c r="G251">
        <v>1</v>
      </c>
      <c r="H251" t="s">
        <v>35</v>
      </c>
      <c r="I251">
        <v>3</v>
      </c>
      <c r="J251" t="s">
        <v>51</v>
      </c>
      <c r="K251">
        <v>2093</v>
      </c>
      <c r="L251">
        <v>4</v>
      </c>
      <c r="M251" t="s">
        <v>41</v>
      </c>
      <c r="N251">
        <v>17</v>
      </c>
      <c r="O251">
        <v>3</v>
      </c>
      <c r="P251">
        <v>1</v>
      </c>
      <c r="Q251">
        <v>8</v>
      </c>
      <c r="R251">
        <v>4</v>
      </c>
      <c r="S251">
        <v>2</v>
      </c>
      <c r="T251">
        <v>2</v>
      </c>
      <c r="U251">
        <v>0</v>
      </c>
      <c r="V251" t="s">
        <v>52</v>
      </c>
      <c r="W251" s="1" t="s">
        <v>183</v>
      </c>
      <c r="Y251" t="s">
        <v>69</v>
      </c>
      <c r="Z251" t="s">
        <v>47</v>
      </c>
      <c r="AA251">
        <v>2</v>
      </c>
      <c r="AB251">
        <v>1</v>
      </c>
      <c r="AC251" t="s">
        <v>31</v>
      </c>
      <c r="AD251" t="s">
        <v>42</v>
      </c>
      <c r="AE251" t="s">
        <v>43</v>
      </c>
      <c r="AF251" s="3">
        <v>341</v>
      </c>
      <c r="AG251" s="3">
        <v>77</v>
      </c>
      <c r="AH251">
        <v>80</v>
      </c>
      <c r="AI251">
        <v>2</v>
      </c>
      <c r="AJ251">
        <v>0</v>
      </c>
      <c r="AL251">
        <v>0</v>
      </c>
      <c r="AM251">
        <v>1</v>
      </c>
      <c r="AN251" t="s">
        <v>768</v>
      </c>
      <c r="AO251" t="s">
        <v>41</v>
      </c>
    </row>
    <row r="252" spans="1:41" x14ac:dyDescent="0.25">
      <c r="A252">
        <v>22</v>
      </c>
      <c r="B252" t="s">
        <v>66</v>
      </c>
      <c r="C252" t="s">
        <v>33</v>
      </c>
      <c r="D252">
        <v>4</v>
      </c>
      <c r="E252" t="s">
        <v>34</v>
      </c>
      <c r="F252">
        <v>2</v>
      </c>
      <c r="G252">
        <v>1</v>
      </c>
      <c r="H252" t="s">
        <v>35</v>
      </c>
      <c r="I252">
        <v>3</v>
      </c>
      <c r="J252" t="s">
        <v>36</v>
      </c>
      <c r="K252">
        <v>3894</v>
      </c>
      <c r="L252">
        <v>5</v>
      </c>
      <c r="M252" t="s">
        <v>41</v>
      </c>
      <c r="N252">
        <v>16</v>
      </c>
      <c r="O252">
        <v>3</v>
      </c>
      <c r="P252">
        <v>0</v>
      </c>
      <c r="Q252">
        <v>4</v>
      </c>
      <c r="R252">
        <v>3</v>
      </c>
      <c r="S252">
        <v>2</v>
      </c>
      <c r="T252">
        <v>1</v>
      </c>
      <c r="U252">
        <v>2</v>
      </c>
      <c r="V252" t="s">
        <v>52</v>
      </c>
      <c r="W252" s="2">
        <v>43558</v>
      </c>
      <c r="Y252" t="s">
        <v>54</v>
      </c>
      <c r="Z252" t="s">
        <v>40</v>
      </c>
      <c r="AA252">
        <v>2</v>
      </c>
      <c r="AB252">
        <v>1</v>
      </c>
      <c r="AC252" t="s">
        <v>41</v>
      </c>
      <c r="AD252" t="s">
        <v>42</v>
      </c>
      <c r="AE252" t="s">
        <v>43</v>
      </c>
      <c r="AF252" s="3">
        <v>342</v>
      </c>
      <c r="AG252" s="3">
        <v>61</v>
      </c>
      <c r="AH252">
        <v>80</v>
      </c>
      <c r="AI252">
        <v>0</v>
      </c>
      <c r="AJ252">
        <v>1</v>
      </c>
      <c r="AK252">
        <v>1</v>
      </c>
      <c r="AL252">
        <v>1</v>
      </c>
      <c r="AM252">
        <v>0</v>
      </c>
      <c r="AN252" t="s">
        <v>767</v>
      </c>
      <c r="AO252" t="s">
        <v>31</v>
      </c>
    </row>
    <row r="253" spans="1:41" x14ac:dyDescent="0.25">
      <c r="A253">
        <v>46</v>
      </c>
      <c r="B253" t="s">
        <v>66</v>
      </c>
      <c r="C253" t="s">
        <v>33</v>
      </c>
      <c r="D253">
        <v>18</v>
      </c>
      <c r="E253" t="s">
        <v>61</v>
      </c>
      <c r="F253">
        <v>3</v>
      </c>
      <c r="G253">
        <v>3</v>
      </c>
      <c r="H253" t="s">
        <v>89</v>
      </c>
      <c r="I253">
        <v>3</v>
      </c>
      <c r="J253" t="s">
        <v>51</v>
      </c>
      <c r="K253">
        <v>10527</v>
      </c>
      <c r="L253">
        <v>5</v>
      </c>
      <c r="M253" t="s">
        <v>41</v>
      </c>
      <c r="N253">
        <v>11</v>
      </c>
      <c r="O253">
        <v>3</v>
      </c>
      <c r="P253">
        <v>0</v>
      </c>
      <c r="Q253">
        <v>28</v>
      </c>
      <c r="R253">
        <v>3</v>
      </c>
      <c r="S253">
        <v>2</v>
      </c>
      <c r="T253">
        <v>1</v>
      </c>
      <c r="U253">
        <v>2</v>
      </c>
      <c r="V253" t="s">
        <v>52</v>
      </c>
      <c r="W253" s="1" t="s">
        <v>175</v>
      </c>
      <c r="Y253" t="s">
        <v>63</v>
      </c>
      <c r="Z253" t="s">
        <v>47</v>
      </c>
      <c r="AA253">
        <v>1</v>
      </c>
      <c r="AB253">
        <v>0</v>
      </c>
      <c r="AC253" t="s">
        <v>31</v>
      </c>
      <c r="AD253" t="s">
        <v>65</v>
      </c>
      <c r="AE253" t="s">
        <v>43</v>
      </c>
      <c r="AF253" s="3">
        <v>343</v>
      </c>
      <c r="AG253" s="3">
        <v>64</v>
      </c>
      <c r="AH253">
        <v>80</v>
      </c>
      <c r="AI253">
        <v>6</v>
      </c>
      <c r="AJ253">
        <v>0</v>
      </c>
      <c r="AL253">
        <v>0</v>
      </c>
      <c r="AM253">
        <v>1</v>
      </c>
      <c r="AN253" t="s">
        <v>768</v>
      </c>
      <c r="AO253" t="s">
        <v>41</v>
      </c>
    </row>
    <row r="254" spans="1:41" x14ac:dyDescent="0.25">
      <c r="A254">
        <v>24</v>
      </c>
      <c r="B254" t="s">
        <v>66</v>
      </c>
      <c r="C254" t="s">
        <v>55</v>
      </c>
      <c r="D254">
        <v>24</v>
      </c>
      <c r="E254" t="s">
        <v>34</v>
      </c>
      <c r="F254">
        <v>3</v>
      </c>
      <c r="G254">
        <v>1</v>
      </c>
      <c r="H254" t="s">
        <v>56</v>
      </c>
      <c r="I254">
        <v>4</v>
      </c>
      <c r="J254" t="s">
        <v>51</v>
      </c>
      <c r="K254">
        <v>2400</v>
      </c>
      <c r="L254">
        <v>0</v>
      </c>
      <c r="M254" t="s">
        <v>41</v>
      </c>
      <c r="N254">
        <v>13</v>
      </c>
      <c r="O254">
        <v>3</v>
      </c>
      <c r="P254">
        <v>2</v>
      </c>
      <c r="Q254">
        <v>3</v>
      </c>
      <c r="R254">
        <v>3</v>
      </c>
      <c r="S254">
        <v>2</v>
      </c>
      <c r="T254">
        <v>2</v>
      </c>
      <c r="U254">
        <v>1</v>
      </c>
      <c r="V254" t="s">
        <v>58</v>
      </c>
      <c r="W254" s="2">
        <v>43557</v>
      </c>
      <c r="Y254" t="s">
        <v>63</v>
      </c>
      <c r="Z254" t="s">
        <v>40</v>
      </c>
      <c r="AA254">
        <v>2</v>
      </c>
      <c r="AB254">
        <v>3</v>
      </c>
      <c r="AC254" t="s">
        <v>41</v>
      </c>
      <c r="AD254" t="s">
        <v>67</v>
      </c>
      <c r="AE254" t="s">
        <v>60</v>
      </c>
      <c r="AF254" s="3">
        <v>346</v>
      </c>
      <c r="AG254" s="3">
        <v>60</v>
      </c>
      <c r="AH254">
        <v>80</v>
      </c>
      <c r="AI254">
        <v>5</v>
      </c>
      <c r="AJ254">
        <v>0</v>
      </c>
      <c r="AL254">
        <v>0</v>
      </c>
      <c r="AM254">
        <v>1</v>
      </c>
      <c r="AN254" t="s">
        <v>768</v>
      </c>
      <c r="AO254" t="s">
        <v>41</v>
      </c>
    </row>
    <row r="255" spans="1:41" x14ac:dyDescent="0.25">
      <c r="A255">
        <v>44</v>
      </c>
      <c r="B255" t="s">
        <v>32</v>
      </c>
      <c r="C255" t="s">
        <v>120</v>
      </c>
      <c r="D255">
        <v>1</v>
      </c>
      <c r="E255" t="s">
        <v>61</v>
      </c>
      <c r="F255">
        <v>2</v>
      </c>
      <c r="G255">
        <v>2</v>
      </c>
      <c r="H255" t="s">
        <v>120</v>
      </c>
      <c r="I255">
        <v>3</v>
      </c>
      <c r="J255" t="s">
        <v>36</v>
      </c>
      <c r="K255">
        <v>5985</v>
      </c>
      <c r="L255">
        <v>4</v>
      </c>
      <c r="M255" t="s">
        <v>41</v>
      </c>
      <c r="N255">
        <v>11</v>
      </c>
      <c r="O255">
        <v>3</v>
      </c>
      <c r="P255">
        <v>0</v>
      </c>
      <c r="Q255">
        <v>10</v>
      </c>
      <c r="R255">
        <v>1</v>
      </c>
      <c r="S255">
        <v>2</v>
      </c>
      <c r="T255">
        <v>0</v>
      </c>
      <c r="U255">
        <v>2</v>
      </c>
      <c r="V255" t="s">
        <v>72</v>
      </c>
      <c r="W255" s="2">
        <v>43803</v>
      </c>
      <c r="Y255" t="s">
        <v>69</v>
      </c>
      <c r="Z255" t="s">
        <v>40</v>
      </c>
      <c r="AA255">
        <v>0</v>
      </c>
      <c r="AB255">
        <v>0</v>
      </c>
      <c r="AC255" t="s">
        <v>41</v>
      </c>
      <c r="AD255" t="s">
        <v>42</v>
      </c>
      <c r="AE255" t="s">
        <v>49</v>
      </c>
      <c r="AF255" s="3">
        <v>347</v>
      </c>
      <c r="AG255" s="3">
        <v>82</v>
      </c>
      <c r="AH255">
        <v>80</v>
      </c>
      <c r="AI255">
        <v>2</v>
      </c>
      <c r="AJ255">
        <v>0</v>
      </c>
      <c r="AL255">
        <v>0</v>
      </c>
      <c r="AM255">
        <v>1</v>
      </c>
      <c r="AN255" t="s">
        <v>768</v>
      </c>
      <c r="AO255" t="s">
        <v>41</v>
      </c>
    </row>
    <row r="256" spans="1:41" x14ac:dyDescent="0.25">
      <c r="A256">
        <v>44</v>
      </c>
      <c r="B256" t="s">
        <v>32</v>
      </c>
      <c r="C256" t="s">
        <v>33</v>
      </c>
      <c r="D256">
        <v>3</v>
      </c>
      <c r="E256" t="s">
        <v>34</v>
      </c>
      <c r="F256">
        <v>3</v>
      </c>
      <c r="G256">
        <v>5</v>
      </c>
      <c r="H256" t="s">
        <v>75</v>
      </c>
      <c r="I256">
        <v>4</v>
      </c>
      <c r="J256" t="s">
        <v>51</v>
      </c>
      <c r="K256">
        <v>19513</v>
      </c>
      <c r="L256">
        <v>4</v>
      </c>
      <c r="M256" t="s">
        <v>31</v>
      </c>
      <c r="N256">
        <v>12</v>
      </c>
      <c r="O256">
        <v>3</v>
      </c>
      <c r="P256">
        <v>1</v>
      </c>
      <c r="Q256">
        <v>26</v>
      </c>
      <c r="R256">
        <v>2</v>
      </c>
      <c r="S256">
        <v>2</v>
      </c>
      <c r="T256">
        <v>0</v>
      </c>
      <c r="U256">
        <v>1</v>
      </c>
      <c r="V256" t="s">
        <v>52</v>
      </c>
      <c r="W256" s="2">
        <v>43466</v>
      </c>
      <c r="Y256" t="s">
        <v>69</v>
      </c>
      <c r="Z256" t="s">
        <v>40</v>
      </c>
      <c r="AA256">
        <v>2</v>
      </c>
      <c r="AB256">
        <v>2</v>
      </c>
      <c r="AC256" t="s">
        <v>41</v>
      </c>
      <c r="AD256" t="s">
        <v>48</v>
      </c>
      <c r="AE256" t="s">
        <v>60</v>
      </c>
      <c r="AF256" s="3">
        <v>349</v>
      </c>
      <c r="AG256" s="3">
        <v>45</v>
      </c>
      <c r="AH256">
        <v>80</v>
      </c>
      <c r="AI256">
        <v>2</v>
      </c>
      <c r="AJ256">
        <v>0</v>
      </c>
      <c r="AL256">
        <v>0</v>
      </c>
      <c r="AM256">
        <v>1</v>
      </c>
      <c r="AN256" t="s">
        <v>768</v>
      </c>
      <c r="AO256" t="s">
        <v>41</v>
      </c>
    </row>
    <row r="257" spans="1:41" x14ac:dyDescent="0.25">
      <c r="A257">
        <v>22</v>
      </c>
      <c r="B257" t="s">
        <v>32</v>
      </c>
      <c r="C257" t="s">
        <v>33</v>
      </c>
      <c r="D257">
        <v>6</v>
      </c>
      <c r="E257" t="s">
        <v>34</v>
      </c>
      <c r="F257">
        <v>3</v>
      </c>
      <c r="G257">
        <v>1</v>
      </c>
      <c r="H257" t="s">
        <v>44</v>
      </c>
      <c r="I257">
        <v>3</v>
      </c>
      <c r="J257" t="s">
        <v>51</v>
      </c>
      <c r="K257">
        <v>2773</v>
      </c>
      <c r="L257">
        <v>0</v>
      </c>
      <c r="M257" t="s">
        <v>41</v>
      </c>
      <c r="N257">
        <v>20</v>
      </c>
      <c r="O257">
        <v>4</v>
      </c>
      <c r="P257">
        <v>0</v>
      </c>
      <c r="Q257">
        <v>3</v>
      </c>
      <c r="R257">
        <v>3</v>
      </c>
      <c r="S257">
        <v>2</v>
      </c>
      <c r="T257">
        <v>2</v>
      </c>
      <c r="U257">
        <v>2</v>
      </c>
      <c r="V257" t="s">
        <v>72</v>
      </c>
      <c r="W257" s="1" t="s">
        <v>172</v>
      </c>
      <c r="Y257" t="s">
        <v>54</v>
      </c>
      <c r="Z257" t="s">
        <v>40</v>
      </c>
      <c r="AA257">
        <v>1</v>
      </c>
      <c r="AB257">
        <v>1</v>
      </c>
      <c r="AC257" t="s">
        <v>31</v>
      </c>
      <c r="AD257" t="s">
        <v>67</v>
      </c>
      <c r="AE257" t="s">
        <v>60</v>
      </c>
      <c r="AF257" s="3">
        <v>350</v>
      </c>
      <c r="AG257" s="3">
        <v>62</v>
      </c>
      <c r="AH257">
        <v>80</v>
      </c>
      <c r="AI257">
        <v>2</v>
      </c>
      <c r="AJ257">
        <v>0</v>
      </c>
      <c r="AL257">
        <v>0</v>
      </c>
      <c r="AM257">
        <v>1</v>
      </c>
      <c r="AN257" t="s">
        <v>768</v>
      </c>
      <c r="AO257" t="s">
        <v>41</v>
      </c>
    </row>
    <row r="258" spans="1:41" x14ac:dyDescent="0.25">
      <c r="A258">
        <v>48</v>
      </c>
      <c r="B258" t="s">
        <v>32</v>
      </c>
      <c r="C258" t="s">
        <v>55</v>
      </c>
      <c r="D258">
        <v>2</v>
      </c>
      <c r="E258" t="s">
        <v>34</v>
      </c>
      <c r="F258">
        <v>4</v>
      </c>
      <c r="G258">
        <v>2</v>
      </c>
      <c r="H258" t="s">
        <v>70</v>
      </c>
      <c r="I258">
        <v>2</v>
      </c>
      <c r="J258" t="s">
        <v>51</v>
      </c>
      <c r="K258">
        <v>8120</v>
      </c>
      <c r="L258">
        <v>3</v>
      </c>
      <c r="M258" t="s">
        <v>41</v>
      </c>
      <c r="N258">
        <v>12</v>
      </c>
      <c r="O258">
        <v>3</v>
      </c>
      <c r="P258">
        <v>0</v>
      </c>
      <c r="Q258">
        <v>12</v>
      </c>
      <c r="R258">
        <v>3</v>
      </c>
      <c r="S258">
        <v>2</v>
      </c>
      <c r="T258">
        <v>2</v>
      </c>
      <c r="U258">
        <v>2</v>
      </c>
      <c r="V258" t="s">
        <v>52</v>
      </c>
      <c r="W258" s="1" t="s">
        <v>184</v>
      </c>
      <c r="Y258" t="s">
        <v>39</v>
      </c>
      <c r="Z258" t="s">
        <v>40</v>
      </c>
      <c r="AA258">
        <v>4</v>
      </c>
      <c r="AB258">
        <v>1</v>
      </c>
      <c r="AC258" t="s">
        <v>41</v>
      </c>
      <c r="AD258" t="s">
        <v>67</v>
      </c>
      <c r="AE258" t="s">
        <v>49</v>
      </c>
      <c r="AF258" s="3">
        <v>351</v>
      </c>
      <c r="AG258" s="3">
        <v>56</v>
      </c>
      <c r="AH258">
        <v>80</v>
      </c>
      <c r="AI258">
        <v>6</v>
      </c>
      <c r="AJ258">
        <v>0</v>
      </c>
      <c r="AL258">
        <v>0</v>
      </c>
      <c r="AM258">
        <v>1</v>
      </c>
      <c r="AN258" t="s">
        <v>768</v>
      </c>
      <c r="AO258" t="s">
        <v>41</v>
      </c>
    </row>
    <row r="259" spans="1:41" x14ac:dyDescent="0.25">
      <c r="A259">
        <v>24</v>
      </c>
      <c r="B259" t="s">
        <v>32</v>
      </c>
      <c r="C259" t="s">
        <v>55</v>
      </c>
      <c r="D259">
        <v>3</v>
      </c>
      <c r="E259" t="s">
        <v>61</v>
      </c>
      <c r="F259">
        <v>3</v>
      </c>
      <c r="G259">
        <v>2</v>
      </c>
      <c r="H259" t="s">
        <v>70</v>
      </c>
      <c r="I259">
        <v>3</v>
      </c>
      <c r="J259" t="s">
        <v>36</v>
      </c>
      <c r="K259">
        <v>4577</v>
      </c>
      <c r="L259">
        <v>9</v>
      </c>
      <c r="M259" t="s">
        <v>41</v>
      </c>
      <c r="N259">
        <v>14</v>
      </c>
      <c r="O259">
        <v>3</v>
      </c>
      <c r="P259">
        <v>0</v>
      </c>
      <c r="Q259">
        <v>4</v>
      </c>
      <c r="R259">
        <v>3</v>
      </c>
      <c r="S259">
        <v>2</v>
      </c>
      <c r="T259">
        <v>2</v>
      </c>
      <c r="U259">
        <v>0</v>
      </c>
      <c r="V259" t="s">
        <v>72</v>
      </c>
      <c r="W259" s="2">
        <v>43468</v>
      </c>
      <c r="Y259" t="s">
        <v>39</v>
      </c>
      <c r="Z259" t="s">
        <v>40</v>
      </c>
      <c r="AA259">
        <v>3</v>
      </c>
      <c r="AB259">
        <v>0</v>
      </c>
      <c r="AC259" t="s">
        <v>41</v>
      </c>
      <c r="AD259" t="s">
        <v>42</v>
      </c>
      <c r="AE259" t="s">
        <v>43</v>
      </c>
      <c r="AF259" s="3">
        <v>352</v>
      </c>
      <c r="AG259" s="3">
        <v>49</v>
      </c>
      <c r="AH259">
        <v>80</v>
      </c>
      <c r="AI259">
        <v>7</v>
      </c>
      <c r="AJ259">
        <v>0</v>
      </c>
      <c r="AL259">
        <v>0</v>
      </c>
      <c r="AM259">
        <v>1</v>
      </c>
      <c r="AN259" t="s">
        <v>768</v>
      </c>
      <c r="AO259" t="s">
        <v>41</v>
      </c>
    </row>
    <row r="260" spans="1:41" x14ac:dyDescent="0.25">
      <c r="A260">
        <v>60</v>
      </c>
      <c r="B260" t="s">
        <v>32</v>
      </c>
      <c r="C260" t="s">
        <v>55</v>
      </c>
      <c r="D260">
        <v>16</v>
      </c>
      <c r="E260" t="s">
        <v>34</v>
      </c>
      <c r="F260">
        <v>3</v>
      </c>
      <c r="G260">
        <v>2</v>
      </c>
      <c r="H260" t="s">
        <v>70</v>
      </c>
      <c r="I260">
        <v>1</v>
      </c>
      <c r="J260" t="s">
        <v>36</v>
      </c>
      <c r="K260">
        <v>5405</v>
      </c>
      <c r="L260">
        <v>8</v>
      </c>
      <c r="M260" t="s">
        <v>41</v>
      </c>
      <c r="N260">
        <v>14</v>
      </c>
      <c r="O260">
        <v>3</v>
      </c>
      <c r="P260">
        <v>0</v>
      </c>
      <c r="Q260">
        <v>10</v>
      </c>
      <c r="R260">
        <v>1</v>
      </c>
      <c r="S260">
        <v>2</v>
      </c>
      <c r="T260">
        <v>2</v>
      </c>
      <c r="U260">
        <v>2</v>
      </c>
      <c r="V260" t="s">
        <v>58</v>
      </c>
      <c r="W260" s="2">
        <v>43709</v>
      </c>
      <c r="Y260" t="s">
        <v>46</v>
      </c>
      <c r="Z260" t="s">
        <v>47</v>
      </c>
      <c r="AA260">
        <v>1</v>
      </c>
      <c r="AB260">
        <v>1</v>
      </c>
      <c r="AC260" t="s">
        <v>31</v>
      </c>
      <c r="AD260" t="s">
        <v>65</v>
      </c>
      <c r="AE260" t="s">
        <v>60</v>
      </c>
      <c r="AF260" s="3">
        <v>353</v>
      </c>
      <c r="AG260" s="3">
        <v>96</v>
      </c>
      <c r="AH260">
        <v>80</v>
      </c>
      <c r="AI260">
        <v>0</v>
      </c>
      <c r="AJ260">
        <v>0</v>
      </c>
      <c r="AL260">
        <v>0</v>
      </c>
      <c r="AM260">
        <v>1</v>
      </c>
      <c r="AN260" t="s">
        <v>768</v>
      </c>
      <c r="AO260" t="s">
        <v>41</v>
      </c>
    </row>
    <row r="261" spans="1:41" x14ac:dyDescent="0.25">
      <c r="A261">
        <v>50</v>
      </c>
      <c r="B261" t="s">
        <v>32</v>
      </c>
      <c r="C261" t="s">
        <v>55</v>
      </c>
      <c r="D261">
        <v>8</v>
      </c>
      <c r="E261" t="s">
        <v>34</v>
      </c>
      <c r="F261">
        <v>3</v>
      </c>
      <c r="G261">
        <v>1</v>
      </c>
      <c r="H261" t="s">
        <v>56</v>
      </c>
      <c r="I261">
        <v>2</v>
      </c>
      <c r="J261" t="s">
        <v>51</v>
      </c>
      <c r="K261">
        <v>3875</v>
      </c>
      <c r="L261">
        <v>7</v>
      </c>
      <c r="M261" t="s">
        <v>41</v>
      </c>
      <c r="N261">
        <v>15</v>
      </c>
      <c r="O261">
        <v>3</v>
      </c>
      <c r="P261">
        <v>1</v>
      </c>
      <c r="Q261">
        <v>4</v>
      </c>
      <c r="R261">
        <v>2</v>
      </c>
      <c r="S261">
        <v>2</v>
      </c>
      <c r="T261">
        <v>2</v>
      </c>
      <c r="U261">
        <v>2</v>
      </c>
      <c r="V261" t="s">
        <v>37</v>
      </c>
      <c r="W261" s="1" t="s">
        <v>175</v>
      </c>
      <c r="Y261" t="s">
        <v>69</v>
      </c>
      <c r="Z261" t="s">
        <v>47</v>
      </c>
      <c r="AA261">
        <v>3</v>
      </c>
      <c r="AB261">
        <v>1</v>
      </c>
      <c r="AC261" t="s">
        <v>41</v>
      </c>
      <c r="AD261" t="s">
        <v>65</v>
      </c>
      <c r="AE261" t="s">
        <v>49</v>
      </c>
      <c r="AF261" s="3">
        <v>355</v>
      </c>
      <c r="AG261" s="3">
        <v>71</v>
      </c>
      <c r="AH261">
        <v>80</v>
      </c>
      <c r="AI261">
        <v>4</v>
      </c>
      <c r="AJ261">
        <v>1</v>
      </c>
      <c r="AK261">
        <v>1</v>
      </c>
      <c r="AL261">
        <v>1</v>
      </c>
      <c r="AM261">
        <v>0</v>
      </c>
      <c r="AN261" t="s">
        <v>767</v>
      </c>
      <c r="AO261" t="s">
        <v>31</v>
      </c>
    </row>
    <row r="262" spans="1:41" x14ac:dyDescent="0.25">
      <c r="A262">
        <v>42</v>
      </c>
      <c r="B262" t="s">
        <v>66</v>
      </c>
      <c r="C262" t="s">
        <v>33</v>
      </c>
      <c r="D262">
        <v>19</v>
      </c>
      <c r="E262" t="s">
        <v>34</v>
      </c>
      <c r="F262">
        <v>4</v>
      </c>
      <c r="G262">
        <v>1</v>
      </c>
      <c r="H262" t="s">
        <v>44</v>
      </c>
      <c r="I262">
        <v>3</v>
      </c>
      <c r="J262" t="s">
        <v>57</v>
      </c>
      <c r="K262">
        <v>2759</v>
      </c>
      <c r="L262">
        <v>6</v>
      </c>
      <c r="M262" t="s">
        <v>31</v>
      </c>
      <c r="N262">
        <v>12</v>
      </c>
      <c r="O262">
        <v>3</v>
      </c>
      <c r="P262">
        <v>0</v>
      </c>
      <c r="Q262">
        <v>7</v>
      </c>
      <c r="R262">
        <v>2</v>
      </c>
      <c r="S262">
        <v>2</v>
      </c>
      <c r="T262">
        <v>2</v>
      </c>
      <c r="U262">
        <v>2</v>
      </c>
      <c r="V262" t="s">
        <v>52</v>
      </c>
      <c r="W262" s="2">
        <v>43679</v>
      </c>
      <c r="Y262" t="s">
        <v>69</v>
      </c>
      <c r="Z262" t="s">
        <v>40</v>
      </c>
      <c r="AA262">
        <v>4</v>
      </c>
      <c r="AB262">
        <v>0</v>
      </c>
      <c r="AC262" t="s">
        <v>31</v>
      </c>
      <c r="AD262" t="s">
        <v>65</v>
      </c>
      <c r="AE262" t="s">
        <v>60</v>
      </c>
      <c r="AF262" s="3">
        <v>359</v>
      </c>
      <c r="AG262" s="3">
        <v>100</v>
      </c>
      <c r="AH262">
        <v>80</v>
      </c>
      <c r="AI262">
        <v>1</v>
      </c>
      <c r="AJ262">
        <v>0</v>
      </c>
      <c r="AL262">
        <v>0</v>
      </c>
      <c r="AM262">
        <v>1</v>
      </c>
      <c r="AN262" t="s">
        <v>768</v>
      </c>
      <c r="AO262" t="s">
        <v>41</v>
      </c>
    </row>
    <row r="263" spans="1:41" x14ac:dyDescent="0.25">
      <c r="A263">
        <v>43</v>
      </c>
      <c r="B263" t="s">
        <v>66</v>
      </c>
      <c r="C263" t="s">
        <v>55</v>
      </c>
      <c r="D263">
        <v>15</v>
      </c>
      <c r="E263" t="s">
        <v>34</v>
      </c>
      <c r="F263">
        <v>2</v>
      </c>
      <c r="G263">
        <v>2</v>
      </c>
      <c r="H263" t="s">
        <v>70</v>
      </c>
      <c r="I263">
        <v>4</v>
      </c>
      <c r="J263" t="s">
        <v>51</v>
      </c>
      <c r="K263">
        <v>6804</v>
      </c>
      <c r="L263">
        <v>3</v>
      </c>
      <c r="M263" t="s">
        <v>41</v>
      </c>
      <c r="N263">
        <v>18</v>
      </c>
      <c r="O263">
        <v>3</v>
      </c>
      <c r="P263">
        <v>1</v>
      </c>
      <c r="Q263">
        <v>7</v>
      </c>
      <c r="R263">
        <v>5</v>
      </c>
      <c r="S263">
        <v>2</v>
      </c>
      <c r="T263">
        <v>2</v>
      </c>
      <c r="U263">
        <v>2</v>
      </c>
      <c r="V263" t="s">
        <v>72</v>
      </c>
      <c r="W263" s="2">
        <v>43558</v>
      </c>
      <c r="Y263" t="s">
        <v>39</v>
      </c>
      <c r="Z263" t="s">
        <v>47</v>
      </c>
      <c r="AA263">
        <v>5</v>
      </c>
      <c r="AB263">
        <v>2</v>
      </c>
      <c r="AC263" t="s">
        <v>31</v>
      </c>
      <c r="AD263" t="s">
        <v>67</v>
      </c>
      <c r="AE263" t="s">
        <v>60</v>
      </c>
      <c r="AF263" s="3">
        <v>361</v>
      </c>
      <c r="AG263" s="3">
        <v>39</v>
      </c>
      <c r="AH263">
        <v>80</v>
      </c>
      <c r="AI263">
        <v>7</v>
      </c>
      <c r="AJ263">
        <v>0</v>
      </c>
      <c r="AL263">
        <v>0</v>
      </c>
      <c r="AM263">
        <v>1</v>
      </c>
      <c r="AN263" t="s">
        <v>768</v>
      </c>
      <c r="AO263" t="s">
        <v>41</v>
      </c>
    </row>
    <row r="264" spans="1:41" x14ac:dyDescent="0.25">
      <c r="A264">
        <v>29</v>
      </c>
      <c r="B264" t="s">
        <v>32</v>
      </c>
      <c r="C264" t="s">
        <v>55</v>
      </c>
      <c r="D264">
        <v>10</v>
      </c>
      <c r="E264" t="s">
        <v>34</v>
      </c>
      <c r="F264">
        <v>3</v>
      </c>
      <c r="G264">
        <v>1</v>
      </c>
      <c r="H264" t="s">
        <v>56</v>
      </c>
      <c r="I264">
        <v>2</v>
      </c>
      <c r="J264" t="s">
        <v>57</v>
      </c>
      <c r="K264">
        <v>2297</v>
      </c>
      <c r="L264">
        <v>1</v>
      </c>
      <c r="M264" t="s">
        <v>41</v>
      </c>
      <c r="N264">
        <v>14</v>
      </c>
      <c r="O264">
        <v>3</v>
      </c>
      <c r="P264">
        <v>2</v>
      </c>
      <c r="Q264">
        <v>2</v>
      </c>
      <c r="R264">
        <v>2</v>
      </c>
      <c r="S264">
        <v>2</v>
      </c>
      <c r="T264">
        <v>2</v>
      </c>
      <c r="U264">
        <v>2</v>
      </c>
      <c r="V264" t="s">
        <v>37</v>
      </c>
      <c r="W264" s="1" t="s">
        <v>185</v>
      </c>
      <c r="Y264" t="s">
        <v>69</v>
      </c>
      <c r="Z264" t="s">
        <v>47</v>
      </c>
      <c r="AA264">
        <v>5</v>
      </c>
      <c r="AB264">
        <v>2</v>
      </c>
      <c r="AC264" t="s">
        <v>41</v>
      </c>
      <c r="AD264" t="s">
        <v>67</v>
      </c>
      <c r="AE264" t="s">
        <v>60</v>
      </c>
      <c r="AF264" s="3">
        <v>362</v>
      </c>
      <c r="AG264" s="3">
        <v>84</v>
      </c>
      <c r="AH264">
        <v>80</v>
      </c>
      <c r="AI264">
        <v>2</v>
      </c>
      <c r="AJ264">
        <v>0</v>
      </c>
      <c r="AL264">
        <v>0</v>
      </c>
      <c r="AM264">
        <v>1</v>
      </c>
      <c r="AN264" t="s">
        <v>768</v>
      </c>
      <c r="AO264" t="s">
        <v>41</v>
      </c>
    </row>
    <row r="265" spans="1:41" x14ac:dyDescent="0.25">
      <c r="A265">
        <v>53</v>
      </c>
      <c r="B265" t="s">
        <v>32</v>
      </c>
      <c r="C265" t="s">
        <v>33</v>
      </c>
      <c r="D265">
        <v>6</v>
      </c>
      <c r="E265" t="s">
        <v>34</v>
      </c>
      <c r="F265">
        <v>3</v>
      </c>
      <c r="G265">
        <v>2</v>
      </c>
      <c r="H265" t="s">
        <v>35</v>
      </c>
      <c r="I265">
        <v>4</v>
      </c>
      <c r="J265" t="s">
        <v>36</v>
      </c>
      <c r="K265">
        <v>2450</v>
      </c>
      <c r="L265">
        <v>2</v>
      </c>
      <c r="M265" t="s">
        <v>41</v>
      </c>
      <c r="N265">
        <v>17</v>
      </c>
      <c r="O265">
        <v>3</v>
      </c>
      <c r="P265">
        <v>0</v>
      </c>
      <c r="Q265">
        <v>19</v>
      </c>
      <c r="R265">
        <v>4</v>
      </c>
      <c r="S265">
        <v>2</v>
      </c>
      <c r="T265">
        <v>2</v>
      </c>
      <c r="U265">
        <v>2</v>
      </c>
      <c r="V265" t="s">
        <v>58</v>
      </c>
      <c r="W265" s="1" t="s">
        <v>186</v>
      </c>
      <c r="Y265" t="s">
        <v>54</v>
      </c>
      <c r="Z265" t="s">
        <v>40</v>
      </c>
      <c r="AA265">
        <v>5</v>
      </c>
      <c r="AB265">
        <v>3</v>
      </c>
      <c r="AC265" t="s">
        <v>31</v>
      </c>
      <c r="AD265" t="s">
        <v>67</v>
      </c>
      <c r="AE265" t="s">
        <v>60</v>
      </c>
      <c r="AF265" s="3">
        <v>363</v>
      </c>
      <c r="AG265" s="3">
        <v>75</v>
      </c>
      <c r="AH265">
        <v>80</v>
      </c>
      <c r="AI265">
        <v>7</v>
      </c>
      <c r="AJ265">
        <v>0</v>
      </c>
      <c r="AL265">
        <v>0</v>
      </c>
      <c r="AM265">
        <v>1</v>
      </c>
      <c r="AN265" t="s">
        <v>768</v>
      </c>
      <c r="AO265" t="s">
        <v>41</v>
      </c>
    </row>
    <row r="266" spans="1:41" x14ac:dyDescent="0.25">
      <c r="A266">
        <v>23</v>
      </c>
      <c r="B266" t="s">
        <v>32</v>
      </c>
      <c r="C266" t="s">
        <v>33</v>
      </c>
      <c r="D266">
        <v>10</v>
      </c>
      <c r="E266" t="s">
        <v>34</v>
      </c>
      <c r="F266">
        <v>4</v>
      </c>
      <c r="G266">
        <v>1</v>
      </c>
      <c r="H266" t="s">
        <v>44</v>
      </c>
      <c r="I266">
        <v>3</v>
      </c>
      <c r="J266" t="s">
        <v>36</v>
      </c>
      <c r="K266">
        <v>3505</v>
      </c>
      <c r="L266">
        <v>1</v>
      </c>
      <c r="M266" t="s">
        <v>41</v>
      </c>
      <c r="N266">
        <v>18</v>
      </c>
      <c r="O266">
        <v>3</v>
      </c>
      <c r="P266">
        <v>0</v>
      </c>
      <c r="Q266">
        <v>2</v>
      </c>
      <c r="R266">
        <v>3</v>
      </c>
      <c r="S266">
        <v>2</v>
      </c>
      <c r="T266">
        <v>0</v>
      </c>
      <c r="U266">
        <v>2</v>
      </c>
      <c r="V266" t="s">
        <v>52</v>
      </c>
      <c r="W266" s="1" t="s">
        <v>187</v>
      </c>
      <c r="Y266" t="s">
        <v>63</v>
      </c>
      <c r="Z266" t="s">
        <v>40</v>
      </c>
      <c r="AA266">
        <v>2</v>
      </c>
      <c r="AB266">
        <v>0</v>
      </c>
      <c r="AC266" t="s">
        <v>41</v>
      </c>
      <c r="AD266" t="s">
        <v>48</v>
      </c>
      <c r="AE266" t="s">
        <v>43</v>
      </c>
      <c r="AF266" s="3">
        <v>364</v>
      </c>
      <c r="AG266" s="3">
        <v>79</v>
      </c>
      <c r="AH266">
        <v>80</v>
      </c>
      <c r="AI266">
        <v>0</v>
      </c>
      <c r="AJ266">
        <v>1</v>
      </c>
      <c r="AK266">
        <v>1</v>
      </c>
      <c r="AL266">
        <v>1</v>
      </c>
      <c r="AM266">
        <v>0</v>
      </c>
      <c r="AN266" t="s">
        <v>767</v>
      </c>
      <c r="AO266" t="s">
        <v>31</v>
      </c>
    </row>
    <row r="267" spans="1:41" x14ac:dyDescent="0.25">
      <c r="A267">
        <v>26</v>
      </c>
      <c r="B267" t="s">
        <v>66</v>
      </c>
      <c r="C267" t="s">
        <v>33</v>
      </c>
      <c r="D267">
        <v>1</v>
      </c>
      <c r="E267" t="s">
        <v>61</v>
      </c>
      <c r="F267">
        <v>1</v>
      </c>
      <c r="G267">
        <v>1</v>
      </c>
      <c r="H267" t="s">
        <v>35</v>
      </c>
      <c r="I267">
        <v>4</v>
      </c>
      <c r="J267" t="s">
        <v>57</v>
      </c>
      <c r="K267">
        <v>4364</v>
      </c>
      <c r="L267">
        <v>3</v>
      </c>
      <c r="M267" t="s">
        <v>41</v>
      </c>
      <c r="N267">
        <v>14</v>
      </c>
      <c r="O267">
        <v>3</v>
      </c>
      <c r="P267">
        <v>1</v>
      </c>
      <c r="Q267">
        <v>5</v>
      </c>
      <c r="R267">
        <v>2</v>
      </c>
      <c r="S267">
        <v>2</v>
      </c>
      <c r="T267">
        <v>2</v>
      </c>
      <c r="U267">
        <v>0</v>
      </c>
      <c r="V267" t="s">
        <v>58</v>
      </c>
      <c r="W267" s="1" t="s">
        <v>188</v>
      </c>
      <c r="Y267" t="s">
        <v>54</v>
      </c>
      <c r="Z267" t="s">
        <v>47</v>
      </c>
      <c r="AA267">
        <v>5</v>
      </c>
      <c r="AB267">
        <v>2</v>
      </c>
      <c r="AC267" t="s">
        <v>31</v>
      </c>
      <c r="AD267" t="s">
        <v>65</v>
      </c>
      <c r="AE267" t="s">
        <v>43</v>
      </c>
      <c r="AF267" s="3">
        <v>366</v>
      </c>
      <c r="AG267" s="3">
        <v>78</v>
      </c>
      <c r="AH267">
        <v>80</v>
      </c>
      <c r="AI267">
        <v>0</v>
      </c>
      <c r="AJ267">
        <v>0</v>
      </c>
      <c r="AL267">
        <v>0</v>
      </c>
      <c r="AM267">
        <v>1</v>
      </c>
      <c r="AN267" t="s">
        <v>768</v>
      </c>
      <c r="AO267" t="s">
        <v>41</v>
      </c>
    </row>
    <row r="268" spans="1:41" x14ac:dyDescent="0.25">
      <c r="A268">
        <v>30</v>
      </c>
      <c r="B268" t="s">
        <v>32</v>
      </c>
      <c r="C268" t="s">
        <v>33</v>
      </c>
      <c r="D268">
        <v>1</v>
      </c>
      <c r="E268" t="s">
        <v>34</v>
      </c>
      <c r="F268">
        <v>1</v>
      </c>
      <c r="G268">
        <v>1</v>
      </c>
      <c r="H268" t="s">
        <v>35</v>
      </c>
      <c r="I268">
        <v>3</v>
      </c>
      <c r="J268" t="s">
        <v>51</v>
      </c>
      <c r="K268">
        <v>3833</v>
      </c>
      <c r="L268">
        <v>3</v>
      </c>
      <c r="M268" t="s">
        <v>41</v>
      </c>
      <c r="N268">
        <v>21</v>
      </c>
      <c r="O268">
        <v>4</v>
      </c>
      <c r="P268">
        <v>2</v>
      </c>
      <c r="Q268">
        <v>7</v>
      </c>
      <c r="R268">
        <v>2</v>
      </c>
      <c r="S268">
        <v>2</v>
      </c>
      <c r="T268">
        <v>0</v>
      </c>
      <c r="U268">
        <v>2</v>
      </c>
      <c r="V268" t="s">
        <v>72</v>
      </c>
      <c r="W268" s="1" t="s">
        <v>189</v>
      </c>
      <c r="Y268" t="s">
        <v>69</v>
      </c>
      <c r="Z268" t="s">
        <v>40</v>
      </c>
      <c r="AA268">
        <v>0</v>
      </c>
      <c r="AB268">
        <v>2</v>
      </c>
      <c r="AC268" t="s">
        <v>31</v>
      </c>
      <c r="AD268" t="s">
        <v>48</v>
      </c>
      <c r="AE268" t="s">
        <v>60</v>
      </c>
      <c r="AF268" s="3">
        <v>367</v>
      </c>
      <c r="AG268" s="3">
        <v>64</v>
      </c>
      <c r="AH268">
        <v>80</v>
      </c>
      <c r="AI268">
        <v>0</v>
      </c>
      <c r="AJ268">
        <v>0</v>
      </c>
      <c r="AL268">
        <v>0</v>
      </c>
      <c r="AM268">
        <v>1</v>
      </c>
      <c r="AN268" t="s">
        <v>768</v>
      </c>
      <c r="AO268" t="s">
        <v>41</v>
      </c>
    </row>
    <row r="269" spans="1:41" x14ac:dyDescent="0.25">
      <c r="A269">
        <v>35</v>
      </c>
      <c r="B269" t="s">
        <v>32</v>
      </c>
      <c r="C269" t="s">
        <v>33</v>
      </c>
      <c r="D269">
        <v>1</v>
      </c>
      <c r="E269" t="s">
        <v>61</v>
      </c>
      <c r="F269">
        <v>4</v>
      </c>
      <c r="G269">
        <v>1</v>
      </c>
      <c r="H269" t="s">
        <v>44</v>
      </c>
      <c r="I269">
        <v>3</v>
      </c>
      <c r="J269" t="s">
        <v>36</v>
      </c>
      <c r="K269">
        <v>2506</v>
      </c>
      <c r="L269">
        <v>3</v>
      </c>
      <c r="M269" t="s">
        <v>41</v>
      </c>
      <c r="N269">
        <v>13</v>
      </c>
      <c r="O269">
        <v>3</v>
      </c>
      <c r="P269">
        <v>0</v>
      </c>
      <c r="Q269">
        <v>7</v>
      </c>
      <c r="R269">
        <v>0</v>
      </c>
      <c r="S269">
        <v>2</v>
      </c>
      <c r="T269">
        <v>2</v>
      </c>
      <c r="U269">
        <v>2</v>
      </c>
      <c r="V269" t="s">
        <v>58</v>
      </c>
      <c r="W269" s="2">
        <v>43800</v>
      </c>
      <c r="Y269" t="s">
        <v>46</v>
      </c>
      <c r="Z269" t="s">
        <v>40</v>
      </c>
      <c r="AA269">
        <v>3</v>
      </c>
      <c r="AB269">
        <v>3</v>
      </c>
      <c r="AC269" t="s">
        <v>31</v>
      </c>
      <c r="AD269" t="s">
        <v>48</v>
      </c>
      <c r="AE269" t="s">
        <v>49</v>
      </c>
      <c r="AF269" s="3">
        <v>369</v>
      </c>
      <c r="AG269" s="3">
        <v>85</v>
      </c>
      <c r="AH269">
        <v>80</v>
      </c>
      <c r="AI269">
        <v>3</v>
      </c>
      <c r="AJ269">
        <v>0</v>
      </c>
      <c r="AL269">
        <v>0</v>
      </c>
      <c r="AM269">
        <v>1</v>
      </c>
      <c r="AN269" t="s">
        <v>768</v>
      </c>
      <c r="AO269" t="s">
        <v>41</v>
      </c>
    </row>
    <row r="270" spans="1:41" x14ac:dyDescent="0.25">
      <c r="A270">
        <v>28</v>
      </c>
      <c r="B270" t="s">
        <v>32</v>
      </c>
      <c r="C270" t="s">
        <v>33</v>
      </c>
      <c r="D270">
        <v>2</v>
      </c>
      <c r="E270" t="s">
        <v>34</v>
      </c>
      <c r="F270">
        <v>3</v>
      </c>
      <c r="G270">
        <v>1</v>
      </c>
      <c r="H270" t="s">
        <v>44</v>
      </c>
      <c r="I270">
        <v>3</v>
      </c>
      <c r="J270" t="s">
        <v>36</v>
      </c>
      <c r="K270">
        <v>4382</v>
      </c>
      <c r="L270">
        <v>6</v>
      </c>
      <c r="M270" t="s">
        <v>41</v>
      </c>
      <c r="N270">
        <v>17</v>
      </c>
      <c r="O270">
        <v>3</v>
      </c>
      <c r="P270">
        <v>0</v>
      </c>
      <c r="Q270">
        <v>5</v>
      </c>
      <c r="R270">
        <v>3</v>
      </c>
      <c r="S270">
        <v>2</v>
      </c>
      <c r="T270">
        <v>2</v>
      </c>
      <c r="U270">
        <v>1</v>
      </c>
      <c r="V270" t="s">
        <v>58</v>
      </c>
      <c r="W270" s="1" t="s">
        <v>190</v>
      </c>
      <c r="Y270" t="s">
        <v>63</v>
      </c>
      <c r="Z270" t="s">
        <v>47</v>
      </c>
      <c r="AA270">
        <v>0</v>
      </c>
      <c r="AB270">
        <v>2</v>
      </c>
      <c r="AC270" t="s">
        <v>41</v>
      </c>
      <c r="AD270" t="s">
        <v>67</v>
      </c>
      <c r="AE270" t="s">
        <v>43</v>
      </c>
      <c r="AF270" s="3">
        <v>372</v>
      </c>
      <c r="AG270" s="3">
        <v>79</v>
      </c>
      <c r="AH270">
        <v>80</v>
      </c>
      <c r="AI270">
        <v>7</v>
      </c>
      <c r="AJ270">
        <v>0</v>
      </c>
      <c r="AL270">
        <v>0</v>
      </c>
      <c r="AM270">
        <v>1</v>
      </c>
      <c r="AN270" t="s">
        <v>768</v>
      </c>
      <c r="AO270" t="s">
        <v>41</v>
      </c>
    </row>
    <row r="271" spans="1:41" x14ac:dyDescent="0.25">
      <c r="A271">
        <v>22</v>
      </c>
      <c r="B271" t="s">
        <v>32</v>
      </c>
      <c r="C271" t="s">
        <v>33</v>
      </c>
      <c r="D271">
        <v>1</v>
      </c>
      <c r="E271" t="s">
        <v>34</v>
      </c>
      <c r="F271">
        <v>2</v>
      </c>
      <c r="G271">
        <v>2</v>
      </c>
      <c r="H271" t="s">
        <v>78</v>
      </c>
      <c r="I271">
        <v>4</v>
      </c>
      <c r="J271" t="s">
        <v>51</v>
      </c>
      <c r="K271">
        <v>4775</v>
      </c>
      <c r="L271">
        <v>6</v>
      </c>
      <c r="M271" t="s">
        <v>41</v>
      </c>
      <c r="N271">
        <v>22</v>
      </c>
      <c r="O271">
        <v>4</v>
      </c>
      <c r="P271">
        <v>2</v>
      </c>
      <c r="Q271">
        <v>4</v>
      </c>
      <c r="R271">
        <v>2</v>
      </c>
      <c r="S271">
        <v>2</v>
      </c>
      <c r="T271">
        <v>2</v>
      </c>
      <c r="U271">
        <v>2</v>
      </c>
      <c r="V271" t="s">
        <v>37</v>
      </c>
      <c r="W271" s="1" t="s">
        <v>191</v>
      </c>
      <c r="Y271" t="s">
        <v>63</v>
      </c>
      <c r="Z271" t="s">
        <v>40</v>
      </c>
      <c r="AA271">
        <v>3</v>
      </c>
      <c r="AB271">
        <v>2</v>
      </c>
      <c r="AC271" t="s">
        <v>31</v>
      </c>
      <c r="AD271" t="s">
        <v>65</v>
      </c>
      <c r="AE271" t="s">
        <v>43</v>
      </c>
      <c r="AF271" s="3">
        <v>373</v>
      </c>
      <c r="AG271" s="3">
        <v>47</v>
      </c>
      <c r="AH271">
        <v>80</v>
      </c>
      <c r="AI271">
        <v>13</v>
      </c>
      <c r="AJ271">
        <v>0</v>
      </c>
      <c r="AL271">
        <v>0</v>
      </c>
      <c r="AM271">
        <v>1</v>
      </c>
      <c r="AN271" t="s">
        <v>768</v>
      </c>
      <c r="AO271" t="s">
        <v>41</v>
      </c>
    </row>
    <row r="272" spans="1:41" x14ac:dyDescent="0.25">
      <c r="A272">
        <v>42</v>
      </c>
      <c r="B272" t="s">
        <v>66</v>
      </c>
      <c r="C272" t="s">
        <v>33</v>
      </c>
      <c r="D272">
        <v>2</v>
      </c>
      <c r="E272" t="s">
        <v>34</v>
      </c>
      <c r="F272">
        <v>3</v>
      </c>
      <c r="G272">
        <v>1</v>
      </c>
      <c r="H272" t="s">
        <v>44</v>
      </c>
      <c r="I272">
        <v>4</v>
      </c>
      <c r="J272" t="s">
        <v>36</v>
      </c>
      <c r="K272">
        <v>2515</v>
      </c>
      <c r="L272">
        <v>5</v>
      </c>
      <c r="M272" t="s">
        <v>31</v>
      </c>
      <c r="N272">
        <v>14</v>
      </c>
      <c r="O272">
        <v>3</v>
      </c>
      <c r="P272">
        <v>0</v>
      </c>
      <c r="Q272">
        <v>8</v>
      </c>
      <c r="R272">
        <v>2</v>
      </c>
      <c r="S272">
        <v>2</v>
      </c>
      <c r="T272">
        <v>2</v>
      </c>
      <c r="U272">
        <v>2</v>
      </c>
      <c r="V272" t="s">
        <v>72</v>
      </c>
      <c r="W272" s="2">
        <v>43800</v>
      </c>
      <c r="Y272" t="s">
        <v>39</v>
      </c>
      <c r="Z272" t="s">
        <v>47</v>
      </c>
      <c r="AA272">
        <v>1</v>
      </c>
      <c r="AB272">
        <v>3</v>
      </c>
      <c r="AC272" t="s">
        <v>41</v>
      </c>
      <c r="AD272" t="s">
        <v>48</v>
      </c>
      <c r="AE272" t="s">
        <v>43</v>
      </c>
      <c r="AF272" s="3">
        <v>374</v>
      </c>
      <c r="AG272" s="3">
        <v>81</v>
      </c>
      <c r="AH272">
        <v>80</v>
      </c>
      <c r="AI272">
        <v>10</v>
      </c>
      <c r="AJ272">
        <v>0</v>
      </c>
      <c r="AL272">
        <v>0</v>
      </c>
      <c r="AM272">
        <v>1</v>
      </c>
      <c r="AN272" t="s">
        <v>768</v>
      </c>
      <c r="AO272" t="s">
        <v>41</v>
      </c>
    </row>
    <row r="273" spans="1:41" x14ac:dyDescent="0.25">
      <c r="A273">
        <v>38</v>
      </c>
      <c r="B273" t="s">
        <v>32</v>
      </c>
      <c r="C273" t="s">
        <v>55</v>
      </c>
      <c r="D273">
        <v>9</v>
      </c>
      <c r="E273" t="s">
        <v>34</v>
      </c>
      <c r="F273">
        <v>2</v>
      </c>
      <c r="G273">
        <v>1</v>
      </c>
      <c r="H273" t="s">
        <v>56</v>
      </c>
      <c r="I273">
        <v>2</v>
      </c>
      <c r="J273" t="s">
        <v>51</v>
      </c>
      <c r="K273">
        <v>2899</v>
      </c>
      <c r="L273">
        <v>0</v>
      </c>
      <c r="M273" t="s">
        <v>41</v>
      </c>
      <c r="N273">
        <v>19</v>
      </c>
      <c r="O273">
        <v>3</v>
      </c>
      <c r="P273">
        <v>1</v>
      </c>
      <c r="Q273">
        <v>3</v>
      </c>
      <c r="R273">
        <v>3</v>
      </c>
      <c r="S273">
        <v>2</v>
      </c>
      <c r="T273">
        <v>1</v>
      </c>
      <c r="U273">
        <v>2</v>
      </c>
      <c r="V273" t="s">
        <v>37</v>
      </c>
      <c r="W273" s="1" t="s">
        <v>192</v>
      </c>
      <c r="Y273" t="s">
        <v>46</v>
      </c>
      <c r="Z273" t="s">
        <v>47</v>
      </c>
      <c r="AA273">
        <v>4</v>
      </c>
      <c r="AB273">
        <v>0</v>
      </c>
      <c r="AC273" t="s">
        <v>31</v>
      </c>
      <c r="AD273" t="s">
        <v>67</v>
      </c>
      <c r="AE273" t="s">
        <v>49</v>
      </c>
      <c r="AF273" s="3">
        <v>376</v>
      </c>
      <c r="AG273" s="3">
        <v>88</v>
      </c>
      <c r="AH273">
        <v>80</v>
      </c>
      <c r="AI273">
        <v>7</v>
      </c>
      <c r="AJ273">
        <v>1</v>
      </c>
      <c r="AK273">
        <v>1</v>
      </c>
      <c r="AL273">
        <v>1</v>
      </c>
      <c r="AM273">
        <v>0</v>
      </c>
      <c r="AN273" t="s">
        <v>767</v>
      </c>
      <c r="AO273" t="s">
        <v>31</v>
      </c>
    </row>
    <row r="274" spans="1:41" x14ac:dyDescent="0.25">
      <c r="A274">
        <v>53</v>
      </c>
      <c r="B274" t="s">
        <v>32</v>
      </c>
      <c r="C274" t="s">
        <v>55</v>
      </c>
      <c r="D274">
        <v>8</v>
      </c>
      <c r="E274" t="s">
        <v>34</v>
      </c>
      <c r="F274">
        <v>3</v>
      </c>
      <c r="G274">
        <v>4</v>
      </c>
      <c r="H274" t="s">
        <v>70</v>
      </c>
      <c r="I274">
        <v>4</v>
      </c>
      <c r="J274" t="s">
        <v>51</v>
      </c>
      <c r="K274">
        <v>11836</v>
      </c>
      <c r="L274">
        <v>5</v>
      </c>
      <c r="M274" t="s">
        <v>41</v>
      </c>
      <c r="N274">
        <v>14</v>
      </c>
      <c r="O274">
        <v>3</v>
      </c>
      <c r="P274">
        <v>1</v>
      </c>
      <c r="Q274">
        <v>28</v>
      </c>
      <c r="R274">
        <v>3</v>
      </c>
      <c r="S274">
        <v>2</v>
      </c>
      <c r="T274">
        <v>2</v>
      </c>
      <c r="U274">
        <v>2</v>
      </c>
      <c r="V274" t="s">
        <v>37</v>
      </c>
      <c r="W274" s="2">
        <v>43527</v>
      </c>
      <c r="Y274" t="s">
        <v>69</v>
      </c>
      <c r="Z274" t="s">
        <v>47</v>
      </c>
      <c r="AA274">
        <v>3</v>
      </c>
      <c r="AB274">
        <v>0</v>
      </c>
      <c r="AC274" t="s">
        <v>31</v>
      </c>
      <c r="AD274" t="s">
        <v>48</v>
      </c>
      <c r="AE274" t="s">
        <v>60</v>
      </c>
      <c r="AF274" s="3">
        <v>377</v>
      </c>
      <c r="AG274" s="3">
        <v>94</v>
      </c>
      <c r="AH274">
        <v>80</v>
      </c>
      <c r="AI274">
        <v>2</v>
      </c>
      <c r="AJ274">
        <v>0</v>
      </c>
      <c r="AL274">
        <v>0</v>
      </c>
      <c r="AM274">
        <v>1</v>
      </c>
      <c r="AN274" t="s">
        <v>768</v>
      </c>
      <c r="AO274" t="s">
        <v>41</v>
      </c>
    </row>
    <row r="275" spans="1:41" x14ac:dyDescent="0.25">
      <c r="A275">
        <v>20</v>
      </c>
      <c r="B275" t="s">
        <v>32</v>
      </c>
      <c r="C275" t="s">
        <v>55</v>
      </c>
      <c r="D275">
        <v>2</v>
      </c>
      <c r="E275" t="s">
        <v>61</v>
      </c>
      <c r="F275">
        <v>2</v>
      </c>
      <c r="G275">
        <v>1</v>
      </c>
      <c r="H275" t="s">
        <v>56</v>
      </c>
      <c r="I275">
        <v>3</v>
      </c>
      <c r="J275" t="s">
        <v>36</v>
      </c>
      <c r="K275">
        <v>2044</v>
      </c>
      <c r="L275">
        <v>1</v>
      </c>
      <c r="M275" t="s">
        <v>41</v>
      </c>
      <c r="N275">
        <v>13</v>
      </c>
      <c r="O275">
        <v>3</v>
      </c>
      <c r="P275">
        <v>0</v>
      </c>
      <c r="Q275">
        <v>2</v>
      </c>
      <c r="R275">
        <v>3</v>
      </c>
      <c r="S275">
        <v>2</v>
      </c>
      <c r="T275">
        <v>0</v>
      </c>
      <c r="U275">
        <v>2</v>
      </c>
      <c r="V275" t="s">
        <v>72</v>
      </c>
      <c r="W275" s="1" t="s">
        <v>193</v>
      </c>
      <c r="Y275" t="s">
        <v>39</v>
      </c>
      <c r="Z275" t="s">
        <v>47</v>
      </c>
      <c r="AA275">
        <v>5</v>
      </c>
      <c r="AB275">
        <v>3</v>
      </c>
      <c r="AC275" t="s">
        <v>31</v>
      </c>
      <c r="AD275" t="s">
        <v>67</v>
      </c>
      <c r="AE275" t="s">
        <v>60</v>
      </c>
      <c r="AF275" s="3">
        <v>378</v>
      </c>
      <c r="AG275" s="3">
        <v>98</v>
      </c>
      <c r="AH275">
        <v>80</v>
      </c>
      <c r="AI275">
        <v>4</v>
      </c>
      <c r="AJ275">
        <v>0</v>
      </c>
      <c r="AL275">
        <v>0</v>
      </c>
      <c r="AM275">
        <v>1</v>
      </c>
      <c r="AN275" t="s">
        <v>768</v>
      </c>
      <c r="AO275" t="s">
        <v>41</v>
      </c>
    </row>
    <row r="276" spans="1:41" x14ac:dyDescent="0.25">
      <c r="A276">
        <v>28</v>
      </c>
      <c r="B276" t="s">
        <v>32</v>
      </c>
      <c r="C276" t="s">
        <v>33</v>
      </c>
      <c r="D276">
        <v>9</v>
      </c>
      <c r="E276" t="s">
        <v>61</v>
      </c>
      <c r="F276">
        <v>3</v>
      </c>
      <c r="G276">
        <v>1</v>
      </c>
      <c r="H276" t="s">
        <v>44</v>
      </c>
      <c r="I276">
        <v>3</v>
      </c>
      <c r="J276" t="s">
        <v>57</v>
      </c>
      <c r="K276">
        <v>2377</v>
      </c>
      <c r="L276">
        <v>5</v>
      </c>
      <c r="M276" t="s">
        <v>41</v>
      </c>
      <c r="N276">
        <v>18</v>
      </c>
      <c r="O276">
        <v>3</v>
      </c>
      <c r="P276">
        <v>1</v>
      </c>
      <c r="Q276">
        <v>6</v>
      </c>
      <c r="R276">
        <v>2</v>
      </c>
      <c r="S276">
        <v>2</v>
      </c>
      <c r="T276">
        <v>2</v>
      </c>
      <c r="U276">
        <v>2</v>
      </c>
      <c r="V276" t="s">
        <v>37</v>
      </c>
      <c r="W276" s="1" t="s">
        <v>194</v>
      </c>
      <c r="Y276" t="s">
        <v>54</v>
      </c>
      <c r="Z276" t="s">
        <v>47</v>
      </c>
      <c r="AA276">
        <v>1</v>
      </c>
      <c r="AB276">
        <v>0</v>
      </c>
      <c r="AC276" t="s">
        <v>41</v>
      </c>
      <c r="AD276" t="s">
        <v>67</v>
      </c>
      <c r="AE276" t="s">
        <v>60</v>
      </c>
      <c r="AF276" s="3">
        <v>379</v>
      </c>
      <c r="AG276" s="3">
        <v>100</v>
      </c>
      <c r="AH276">
        <v>80</v>
      </c>
      <c r="AI276">
        <v>2</v>
      </c>
      <c r="AJ276">
        <v>0</v>
      </c>
      <c r="AL276">
        <v>0</v>
      </c>
      <c r="AM276">
        <v>1</v>
      </c>
      <c r="AN276" t="s">
        <v>768</v>
      </c>
      <c r="AO276" t="s">
        <v>41</v>
      </c>
    </row>
    <row r="277" spans="1:41" x14ac:dyDescent="0.25">
      <c r="A277">
        <v>39</v>
      </c>
      <c r="B277" t="s">
        <v>32</v>
      </c>
      <c r="C277" t="s">
        <v>33</v>
      </c>
      <c r="D277">
        <v>6</v>
      </c>
      <c r="E277" t="s">
        <v>34</v>
      </c>
      <c r="F277">
        <v>3</v>
      </c>
      <c r="G277">
        <v>1</v>
      </c>
      <c r="H277" t="s">
        <v>35</v>
      </c>
      <c r="I277">
        <v>1</v>
      </c>
      <c r="J277" t="s">
        <v>51</v>
      </c>
      <c r="K277">
        <v>2404</v>
      </c>
      <c r="L277">
        <v>7</v>
      </c>
      <c r="M277" t="s">
        <v>31</v>
      </c>
      <c r="N277">
        <v>21</v>
      </c>
      <c r="O277">
        <v>4</v>
      </c>
      <c r="P277">
        <v>0</v>
      </c>
      <c r="Q277">
        <v>8</v>
      </c>
      <c r="R277">
        <v>2</v>
      </c>
      <c r="S277">
        <v>2</v>
      </c>
      <c r="T277">
        <v>2</v>
      </c>
      <c r="U277">
        <v>2</v>
      </c>
      <c r="V277" t="s">
        <v>52</v>
      </c>
      <c r="W277" s="1" t="s">
        <v>195</v>
      </c>
      <c r="Y277" t="s">
        <v>39</v>
      </c>
      <c r="Z277" t="s">
        <v>47</v>
      </c>
      <c r="AA277">
        <v>0</v>
      </c>
      <c r="AB277">
        <v>3</v>
      </c>
      <c r="AC277" t="s">
        <v>31</v>
      </c>
      <c r="AD277" t="s">
        <v>67</v>
      </c>
      <c r="AE277" t="s">
        <v>60</v>
      </c>
      <c r="AF277" s="3">
        <v>380</v>
      </c>
      <c r="AG277" s="3">
        <v>80</v>
      </c>
      <c r="AH277">
        <v>80</v>
      </c>
      <c r="AI277">
        <v>2</v>
      </c>
      <c r="AJ277">
        <v>0</v>
      </c>
      <c r="AL277">
        <v>0</v>
      </c>
      <c r="AM277">
        <v>1</v>
      </c>
      <c r="AN277" t="s">
        <v>768</v>
      </c>
      <c r="AO277" t="s">
        <v>41</v>
      </c>
    </row>
    <row r="278" spans="1:41" x14ac:dyDescent="0.25">
      <c r="A278">
        <v>27</v>
      </c>
      <c r="B278" t="s">
        <v>32</v>
      </c>
      <c r="C278" t="s">
        <v>33</v>
      </c>
      <c r="D278">
        <v>16</v>
      </c>
      <c r="E278" t="s">
        <v>61</v>
      </c>
      <c r="F278">
        <v>3</v>
      </c>
      <c r="G278">
        <v>1</v>
      </c>
      <c r="H278" t="s">
        <v>35</v>
      </c>
      <c r="I278">
        <v>2</v>
      </c>
      <c r="J278" t="s">
        <v>51</v>
      </c>
      <c r="K278">
        <v>2811</v>
      </c>
      <c r="L278">
        <v>9</v>
      </c>
      <c r="M278" t="s">
        <v>41</v>
      </c>
      <c r="N278">
        <v>14</v>
      </c>
      <c r="O278">
        <v>3</v>
      </c>
      <c r="P278">
        <v>1</v>
      </c>
      <c r="Q278">
        <v>4</v>
      </c>
      <c r="R278">
        <v>2</v>
      </c>
      <c r="S278">
        <v>2</v>
      </c>
      <c r="T278">
        <v>2</v>
      </c>
      <c r="U278">
        <v>2</v>
      </c>
      <c r="V278" t="s">
        <v>37</v>
      </c>
      <c r="W278" s="1" t="s">
        <v>196</v>
      </c>
      <c r="Y278" t="s">
        <v>69</v>
      </c>
      <c r="Z278" t="s">
        <v>47</v>
      </c>
      <c r="AA278">
        <v>5</v>
      </c>
      <c r="AB278">
        <v>2</v>
      </c>
      <c r="AC278" t="s">
        <v>31</v>
      </c>
      <c r="AD278" t="s">
        <v>65</v>
      </c>
      <c r="AE278" t="s">
        <v>49</v>
      </c>
      <c r="AF278" s="3">
        <v>381</v>
      </c>
      <c r="AG278" s="3">
        <v>71</v>
      </c>
      <c r="AH278">
        <v>80</v>
      </c>
      <c r="AI278">
        <v>7</v>
      </c>
      <c r="AJ278">
        <v>0</v>
      </c>
      <c r="AL278">
        <v>0</v>
      </c>
      <c r="AM278">
        <v>1</v>
      </c>
      <c r="AN278" t="s">
        <v>768</v>
      </c>
      <c r="AO278" t="s">
        <v>41</v>
      </c>
    </row>
    <row r="279" spans="1:41" x14ac:dyDescent="0.25">
      <c r="A279">
        <v>38</v>
      </c>
      <c r="B279" t="s">
        <v>66</v>
      </c>
      <c r="C279" t="s">
        <v>33</v>
      </c>
      <c r="D279">
        <v>10</v>
      </c>
      <c r="E279" t="s">
        <v>34</v>
      </c>
      <c r="F279">
        <v>3</v>
      </c>
      <c r="G279">
        <v>1</v>
      </c>
      <c r="H279" t="s">
        <v>44</v>
      </c>
      <c r="I279">
        <v>3</v>
      </c>
      <c r="J279" t="s">
        <v>51</v>
      </c>
      <c r="K279">
        <v>2684</v>
      </c>
      <c r="L279">
        <v>0</v>
      </c>
      <c r="M279" t="s">
        <v>41</v>
      </c>
      <c r="N279">
        <v>17</v>
      </c>
      <c r="O279">
        <v>3</v>
      </c>
      <c r="P279">
        <v>1</v>
      </c>
      <c r="Q279">
        <v>3</v>
      </c>
      <c r="R279">
        <v>0</v>
      </c>
      <c r="S279">
        <v>2</v>
      </c>
      <c r="T279">
        <v>0</v>
      </c>
      <c r="U279">
        <v>2</v>
      </c>
      <c r="V279" t="s">
        <v>58</v>
      </c>
      <c r="W279" s="2">
        <v>43499</v>
      </c>
      <c r="Y279" t="s">
        <v>39</v>
      </c>
      <c r="Z279" t="s">
        <v>47</v>
      </c>
      <c r="AA279">
        <v>3</v>
      </c>
      <c r="AB279">
        <v>1</v>
      </c>
      <c r="AC279" t="s">
        <v>41</v>
      </c>
      <c r="AD279" t="s">
        <v>65</v>
      </c>
      <c r="AE279" t="s">
        <v>49</v>
      </c>
      <c r="AF279" s="3">
        <v>382</v>
      </c>
      <c r="AG279" s="3">
        <v>44</v>
      </c>
      <c r="AH279">
        <v>80</v>
      </c>
      <c r="AI279">
        <v>0</v>
      </c>
      <c r="AJ279">
        <v>0</v>
      </c>
      <c r="AL279">
        <v>0</v>
      </c>
      <c r="AM279">
        <v>1</v>
      </c>
      <c r="AN279" t="s">
        <v>768</v>
      </c>
      <c r="AO279" t="s">
        <v>41</v>
      </c>
    </row>
    <row r="280" spans="1:41" x14ac:dyDescent="0.25">
      <c r="A280">
        <v>48</v>
      </c>
      <c r="B280" t="s">
        <v>32</v>
      </c>
      <c r="C280" t="s">
        <v>33</v>
      </c>
      <c r="D280">
        <v>6</v>
      </c>
      <c r="E280" t="s">
        <v>34</v>
      </c>
      <c r="F280">
        <v>2</v>
      </c>
      <c r="G280">
        <v>2</v>
      </c>
      <c r="H280" t="s">
        <v>89</v>
      </c>
      <c r="I280">
        <v>3</v>
      </c>
      <c r="J280" t="s">
        <v>36</v>
      </c>
      <c r="K280">
        <v>4240</v>
      </c>
      <c r="L280">
        <v>2</v>
      </c>
      <c r="M280" t="s">
        <v>41</v>
      </c>
      <c r="N280">
        <v>13</v>
      </c>
      <c r="O280">
        <v>3</v>
      </c>
      <c r="P280">
        <v>0</v>
      </c>
      <c r="Q280">
        <v>19</v>
      </c>
      <c r="R280">
        <v>0</v>
      </c>
      <c r="S280">
        <v>2</v>
      </c>
      <c r="T280">
        <v>2</v>
      </c>
      <c r="U280">
        <v>2</v>
      </c>
      <c r="V280" t="s">
        <v>72</v>
      </c>
      <c r="W280" s="1" t="s">
        <v>197</v>
      </c>
      <c r="Y280" t="s">
        <v>39</v>
      </c>
      <c r="Z280" t="s">
        <v>47</v>
      </c>
      <c r="AA280">
        <v>2</v>
      </c>
      <c r="AB280">
        <v>3</v>
      </c>
      <c r="AC280" t="s">
        <v>41</v>
      </c>
      <c r="AD280" t="s">
        <v>67</v>
      </c>
      <c r="AE280" t="s">
        <v>60</v>
      </c>
      <c r="AF280" s="3">
        <v>384</v>
      </c>
      <c r="AG280" s="3">
        <v>84</v>
      </c>
      <c r="AH280">
        <v>80</v>
      </c>
      <c r="AI280">
        <v>5</v>
      </c>
      <c r="AJ280">
        <v>0</v>
      </c>
      <c r="AL280">
        <v>0</v>
      </c>
      <c r="AM280">
        <v>1</v>
      </c>
      <c r="AN280" t="s">
        <v>768</v>
      </c>
      <c r="AO280" t="s">
        <v>41</v>
      </c>
    </row>
    <row r="281" spans="1:41" x14ac:dyDescent="0.25">
      <c r="A281">
        <v>41</v>
      </c>
      <c r="B281" t="s">
        <v>32</v>
      </c>
      <c r="C281" t="s">
        <v>33</v>
      </c>
      <c r="D281">
        <v>7</v>
      </c>
      <c r="E281" t="s">
        <v>61</v>
      </c>
      <c r="F281">
        <v>3</v>
      </c>
      <c r="G281">
        <v>2</v>
      </c>
      <c r="H281" t="s">
        <v>78</v>
      </c>
      <c r="I281">
        <v>3</v>
      </c>
      <c r="J281" t="s">
        <v>36</v>
      </c>
      <c r="K281">
        <v>5003</v>
      </c>
      <c r="L281">
        <v>6</v>
      </c>
      <c r="M281" t="s">
        <v>41</v>
      </c>
      <c r="N281">
        <v>14</v>
      </c>
      <c r="O281">
        <v>3</v>
      </c>
      <c r="P281">
        <v>0</v>
      </c>
      <c r="Q281">
        <v>8</v>
      </c>
      <c r="R281">
        <v>6</v>
      </c>
      <c r="S281">
        <v>2</v>
      </c>
      <c r="T281">
        <v>2</v>
      </c>
      <c r="U281">
        <v>1</v>
      </c>
      <c r="V281" t="s">
        <v>37</v>
      </c>
      <c r="W281" s="2">
        <v>43712</v>
      </c>
      <c r="Y281" t="s">
        <v>54</v>
      </c>
      <c r="Z281" t="s">
        <v>47</v>
      </c>
      <c r="AA281">
        <v>4</v>
      </c>
      <c r="AB281">
        <v>2</v>
      </c>
      <c r="AC281" t="s">
        <v>41</v>
      </c>
      <c r="AD281" t="s">
        <v>42</v>
      </c>
      <c r="AE281" t="s">
        <v>49</v>
      </c>
      <c r="AF281" s="3">
        <v>385</v>
      </c>
      <c r="AG281" s="3">
        <v>96</v>
      </c>
      <c r="AH281">
        <v>80</v>
      </c>
      <c r="AI281">
        <v>4</v>
      </c>
      <c r="AJ281">
        <v>0</v>
      </c>
      <c r="AL281">
        <v>0</v>
      </c>
      <c r="AM281">
        <v>1</v>
      </c>
      <c r="AN281" t="s">
        <v>768</v>
      </c>
      <c r="AO281" t="s">
        <v>41</v>
      </c>
    </row>
    <row r="282" spans="1:41" x14ac:dyDescent="0.25">
      <c r="A282">
        <v>26</v>
      </c>
      <c r="B282" t="s">
        <v>81</v>
      </c>
      <c r="C282" t="s">
        <v>55</v>
      </c>
      <c r="D282">
        <v>29</v>
      </c>
      <c r="E282" t="s">
        <v>34</v>
      </c>
      <c r="F282">
        <v>1</v>
      </c>
      <c r="G282">
        <v>2</v>
      </c>
      <c r="H282" t="s">
        <v>70</v>
      </c>
      <c r="I282">
        <v>1</v>
      </c>
      <c r="J282" t="s">
        <v>36</v>
      </c>
      <c r="K282">
        <v>4969</v>
      </c>
      <c r="L282">
        <v>8</v>
      </c>
      <c r="M282" t="s">
        <v>41</v>
      </c>
      <c r="N282">
        <v>18</v>
      </c>
      <c r="O282">
        <v>3</v>
      </c>
      <c r="P282">
        <v>0</v>
      </c>
      <c r="Q282">
        <v>7</v>
      </c>
      <c r="R282">
        <v>6</v>
      </c>
      <c r="S282">
        <v>2</v>
      </c>
      <c r="T282">
        <v>2</v>
      </c>
      <c r="U282">
        <v>2</v>
      </c>
      <c r="V282" t="s">
        <v>37</v>
      </c>
      <c r="W282" s="2">
        <v>43770</v>
      </c>
      <c r="Y282" t="s">
        <v>54</v>
      </c>
      <c r="Z282" t="s">
        <v>40</v>
      </c>
      <c r="AA282">
        <v>5</v>
      </c>
      <c r="AB282">
        <v>0</v>
      </c>
      <c r="AC282" t="s">
        <v>31</v>
      </c>
      <c r="AD282" t="s">
        <v>65</v>
      </c>
      <c r="AE282" t="s">
        <v>43</v>
      </c>
      <c r="AF282" s="3">
        <v>386</v>
      </c>
      <c r="AG282" s="3">
        <v>45</v>
      </c>
      <c r="AH282">
        <v>80</v>
      </c>
      <c r="AI282">
        <v>3</v>
      </c>
      <c r="AJ282">
        <v>0</v>
      </c>
      <c r="AL282">
        <v>0</v>
      </c>
      <c r="AM282">
        <v>1</v>
      </c>
      <c r="AN282" t="s">
        <v>768</v>
      </c>
      <c r="AO282" t="s">
        <v>41</v>
      </c>
    </row>
    <row r="283" spans="1:41" x14ac:dyDescent="0.25">
      <c r="A283">
        <v>33</v>
      </c>
      <c r="B283" t="s">
        <v>81</v>
      </c>
      <c r="C283" t="s">
        <v>55</v>
      </c>
      <c r="D283">
        <v>8</v>
      </c>
      <c r="E283" t="s">
        <v>61</v>
      </c>
      <c r="F283">
        <v>2</v>
      </c>
      <c r="G283">
        <v>1</v>
      </c>
      <c r="H283" t="s">
        <v>56</v>
      </c>
      <c r="I283">
        <v>4</v>
      </c>
      <c r="J283" t="s">
        <v>36</v>
      </c>
      <c r="K283">
        <v>2342</v>
      </c>
      <c r="L283">
        <v>0</v>
      </c>
      <c r="M283" t="s">
        <v>41</v>
      </c>
      <c r="N283">
        <v>19</v>
      </c>
      <c r="O283">
        <v>3</v>
      </c>
      <c r="P283">
        <v>0</v>
      </c>
      <c r="Q283">
        <v>3</v>
      </c>
      <c r="R283">
        <v>2</v>
      </c>
      <c r="S283">
        <v>2</v>
      </c>
      <c r="T283">
        <v>2</v>
      </c>
      <c r="U283">
        <v>2</v>
      </c>
      <c r="V283" t="s">
        <v>52</v>
      </c>
      <c r="W283" s="1" t="s">
        <v>198</v>
      </c>
      <c r="Y283" t="s">
        <v>69</v>
      </c>
      <c r="Z283" t="s">
        <v>40</v>
      </c>
      <c r="AA283">
        <v>5</v>
      </c>
      <c r="AB283">
        <v>3</v>
      </c>
      <c r="AC283" t="s">
        <v>31</v>
      </c>
      <c r="AD283" t="s">
        <v>48</v>
      </c>
      <c r="AE283" t="s">
        <v>49</v>
      </c>
      <c r="AF283" s="3">
        <v>387</v>
      </c>
      <c r="AG283" s="3">
        <v>99</v>
      </c>
      <c r="AH283">
        <v>80</v>
      </c>
      <c r="AI283">
        <v>16</v>
      </c>
      <c r="AJ283">
        <v>0</v>
      </c>
      <c r="AL283">
        <v>0</v>
      </c>
      <c r="AM283">
        <v>1</v>
      </c>
      <c r="AN283" t="s">
        <v>768</v>
      </c>
      <c r="AO283" t="s">
        <v>41</v>
      </c>
    </row>
    <row r="284" spans="1:41" x14ac:dyDescent="0.25">
      <c r="A284">
        <v>38</v>
      </c>
      <c r="B284" t="s">
        <v>66</v>
      </c>
      <c r="C284" t="s">
        <v>33</v>
      </c>
      <c r="D284">
        <v>3</v>
      </c>
      <c r="E284" t="s">
        <v>34</v>
      </c>
      <c r="F284">
        <v>3</v>
      </c>
      <c r="G284">
        <v>1</v>
      </c>
      <c r="H284" t="s">
        <v>44</v>
      </c>
      <c r="I284">
        <v>3</v>
      </c>
      <c r="J284" t="s">
        <v>51</v>
      </c>
      <c r="K284">
        <v>2821</v>
      </c>
      <c r="L284">
        <v>3</v>
      </c>
      <c r="M284" t="s">
        <v>41</v>
      </c>
      <c r="N284">
        <v>16</v>
      </c>
      <c r="O284">
        <v>3</v>
      </c>
      <c r="P284">
        <v>1</v>
      </c>
      <c r="Q284">
        <v>8</v>
      </c>
      <c r="R284">
        <v>2</v>
      </c>
      <c r="S284">
        <v>2</v>
      </c>
      <c r="T284">
        <v>2</v>
      </c>
      <c r="U284">
        <v>2</v>
      </c>
      <c r="V284" t="s">
        <v>72</v>
      </c>
      <c r="W284" s="1" t="s">
        <v>174</v>
      </c>
      <c r="Y284" t="s">
        <v>69</v>
      </c>
      <c r="Z284" t="s">
        <v>47</v>
      </c>
      <c r="AA284">
        <v>4</v>
      </c>
      <c r="AB284">
        <v>1</v>
      </c>
      <c r="AC284" t="s">
        <v>41</v>
      </c>
      <c r="AD284" t="s">
        <v>48</v>
      </c>
      <c r="AE284" t="s">
        <v>60</v>
      </c>
      <c r="AF284" s="3">
        <v>388</v>
      </c>
      <c r="AG284" s="3">
        <v>44</v>
      </c>
      <c r="AH284">
        <v>80</v>
      </c>
      <c r="AI284">
        <v>7</v>
      </c>
      <c r="AJ284">
        <v>0</v>
      </c>
      <c r="AL284">
        <v>0</v>
      </c>
      <c r="AM284">
        <v>1</v>
      </c>
      <c r="AN284" t="s">
        <v>768</v>
      </c>
      <c r="AO284" t="s">
        <v>41</v>
      </c>
    </row>
    <row r="285" spans="1:41" x14ac:dyDescent="0.25">
      <c r="A285">
        <v>46</v>
      </c>
      <c r="B285" t="s">
        <v>32</v>
      </c>
      <c r="C285" t="s">
        <v>33</v>
      </c>
      <c r="D285">
        <v>1</v>
      </c>
      <c r="E285" t="s">
        <v>34</v>
      </c>
      <c r="F285">
        <v>3</v>
      </c>
      <c r="G285">
        <v>5</v>
      </c>
      <c r="H285" t="s">
        <v>50</v>
      </c>
      <c r="I285">
        <v>4</v>
      </c>
      <c r="J285" t="s">
        <v>57</v>
      </c>
      <c r="K285">
        <v>19627</v>
      </c>
      <c r="L285">
        <v>9</v>
      </c>
      <c r="M285" t="s">
        <v>41</v>
      </c>
      <c r="N285">
        <v>17</v>
      </c>
      <c r="O285">
        <v>3</v>
      </c>
      <c r="P285">
        <v>2</v>
      </c>
      <c r="Q285">
        <v>23</v>
      </c>
      <c r="R285">
        <v>0</v>
      </c>
      <c r="S285">
        <v>2</v>
      </c>
      <c r="T285">
        <v>2</v>
      </c>
      <c r="U285">
        <v>2</v>
      </c>
      <c r="V285" t="s">
        <v>72</v>
      </c>
      <c r="W285" s="1" t="s">
        <v>199</v>
      </c>
      <c r="Y285" t="s">
        <v>46</v>
      </c>
      <c r="Z285" t="s">
        <v>47</v>
      </c>
      <c r="AA285">
        <v>0</v>
      </c>
      <c r="AB285">
        <v>1</v>
      </c>
      <c r="AC285" t="s">
        <v>41</v>
      </c>
      <c r="AD285" t="s">
        <v>42</v>
      </c>
      <c r="AE285" t="s">
        <v>60</v>
      </c>
      <c r="AF285" s="3">
        <v>389</v>
      </c>
      <c r="AG285" s="3">
        <v>37</v>
      </c>
      <c r="AH285">
        <v>80</v>
      </c>
      <c r="AI285">
        <v>7</v>
      </c>
      <c r="AJ285">
        <v>0</v>
      </c>
      <c r="AL285">
        <v>0</v>
      </c>
      <c r="AM285">
        <v>1</v>
      </c>
      <c r="AN285" t="s">
        <v>768</v>
      </c>
      <c r="AO285" t="s">
        <v>41</v>
      </c>
    </row>
    <row r="286" spans="1:41" x14ac:dyDescent="0.25">
      <c r="A286">
        <v>20</v>
      </c>
      <c r="B286" t="s">
        <v>66</v>
      </c>
      <c r="C286" t="s">
        <v>55</v>
      </c>
      <c r="D286">
        <v>9</v>
      </c>
      <c r="E286" t="s">
        <v>61</v>
      </c>
      <c r="F286">
        <v>3</v>
      </c>
      <c r="G286">
        <v>1</v>
      </c>
      <c r="H286" t="s">
        <v>56</v>
      </c>
      <c r="I286">
        <v>4</v>
      </c>
      <c r="J286" t="s">
        <v>36</v>
      </c>
      <c r="K286">
        <v>2323</v>
      </c>
      <c r="L286">
        <v>1</v>
      </c>
      <c r="M286" t="s">
        <v>31</v>
      </c>
      <c r="N286">
        <v>14</v>
      </c>
      <c r="O286">
        <v>3</v>
      </c>
      <c r="P286">
        <v>0</v>
      </c>
      <c r="Q286">
        <v>2</v>
      </c>
      <c r="R286">
        <v>3</v>
      </c>
      <c r="S286">
        <v>2</v>
      </c>
      <c r="T286">
        <v>0</v>
      </c>
      <c r="U286">
        <v>2</v>
      </c>
      <c r="V286" t="s">
        <v>58</v>
      </c>
      <c r="W286" s="1" t="s">
        <v>200</v>
      </c>
      <c r="Y286" t="s">
        <v>69</v>
      </c>
      <c r="Z286" t="s">
        <v>47</v>
      </c>
      <c r="AA286">
        <v>1</v>
      </c>
      <c r="AB286">
        <v>2</v>
      </c>
      <c r="AC286" t="s">
        <v>41</v>
      </c>
      <c r="AD286" t="s">
        <v>48</v>
      </c>
      <c r="AE286" t="s">
        <v>49</v>
      </c>
      <c r="AF286" s="3">
        <v>390</v>
      </c>
      <c r="AG286" s="3">
        <v>60</v>
      </c>
      <c r="AH286">
        <v>80</v>
      </c>
      <c r="AI286">
        <v>3</v>
      </c>
      <c r="AJ286">
        <v>0</v>
      </c>
      <c r="AL286">
        <v>0</v>
      </c>
      <c r="AM286">
        <v>1</v>
      </c>
      <c r="AN286" t="s">
        <v>768</v>
      </c>
      <c r="AO286" t="s">
        <v>41</v>
      </c>
    </row>
    <row r="287" spans="1:41" x14ac:dyDescent="0.25">
      <c r="A287">
        <v>33</v>
      </c>
      <c r="B287" t="s">
        <v>32</v>
      </c>
      <c r="C287" t="s">
        <v>33</v>
      </c>
      <c r="D287">
        <v>25</v>
      </c>
      <c r="E287" t="s">
        <v>34</v>
      </c>
      <c r="F287">
        <v>2</v>
      </c>
      <c r="G287">
        <v>1</v>
      </c>
      <c r="H287" t="s">
        <v>44</v>
      </c>
      <c r="I287">
        <v>2</v>
      </c>
      <c r="J287" t="s">
        <v>36</v>
      </c>
      <c r="K287">
        <v>2313</v>
      </c>
      <c r="L287">
        <v>4</v>
      </c>
      <c r="M287" t="s">
        <v>31</v>
      </c>
      <c r="N287">
        <v>20</v>
      </c>
      <c r="O287">
        <v>4</v>
      </c>
      <c r="P287">
        <v>0</v>
      </c>
      <c r="Q287">
        <v>5</v>
      </c>
      <c r="R287">
        <v>0</v>
      </c>
      <c r="S287">
        <v>2</v>
      </c>
      <c r="T287">
        <v>2</v>
      </c>
      <c r="U287">
        <v>2</v>
      </c>
      <c r="V287" t="s">
        <v>37</v>
      </c>
      <c r="W287" s="2">
        <v>43586</v>
      </c>
      <c r="Y287" t="s">
        <v>54</v>
      </c>
      <c r="Z287" t="s">
        <v>47</v>
      </c>
      <c r="AA287">
        <v>2</v>
      </c>
      <c r="AB287">
        <v>1</v>
      </c>
      <c r="AC287" t="s">
        <v>41</v>
      </c>
      <c r="AD287" t="s">
        <v>42</v>
      </c>
      <c r="AE287" t="s">
        <v>43</v>
      </c>
      <c r="AF287" s="3">
        <v>391</v>
      </c>
      <c r="AG287" s="3">
        <v>42</v>
      </c>
      <c r="AH287">
        <v>80</v>
      </c>
      <c r="AI287">
        <v>12</v>
      </c>
      <c r="AJ287">
        <v>0</v>
      </c>
      <c r="AL287">
        <v>0</v>
      </c>
      <c r="AM287">
        <v>1</v>
      </c>
      <c r="AN287" t="s">
        <v>768</v>
      </c>
      <c r="AO287" t="s">
        <v>41</v>
      </c>
    </row>
    <row r="288" spans="1:41" x14ac:dyDescent="0.25">
      <c r="A288">
        <v>21</v>
      </c>
      <c r="B288" t="s">
        <v>32</v>
      </c>
      <c r="C288" t="s">
        <v>33</v>
      </c>
      <c r="D288">
        <v>1</v>
      </c>
      <c r="E288" t="s">
        <v>61</v>
      </c>
      <c r="F288">
        <v>2</v>
      </c>
      <c r="G288">
        <v>1</v>
      </c>
      <c r="H288" t="s">
        <v>44</v>
      </c>
      <c r="I288">
        <v>2</v>
      </c>
      <c r="J288" t="s">
        <v>36</v>
      </c>
      <c r="K288">
        <v>2070</v>
      </c>
      <c r="L288">
        <v>1</v>
      </c>
      <c r="M288" t="s">
        <v>31</v>
      </c>
      <c r="N288">
        <v>11</v>
      </c>
      <c r="O288">
        <v>3</v>
      </c>
      <c r="P288">
        <v>0</v>
      </c>
      <c r="Q288">
        <v>2</v>
      </c>
      <c r="R288">
        <v>6</v>
      </c>
      <c r="S288">
        <v>2</v>
      </c>
      <c r="T288">
        <v>2</v>
      </c>
      <c r="U288">
        <v>2</v>
      </c>
      <c r="V288" t="s">
        <v>72</v>
      </c>
      <c r="W288" s="2">
        <v>43621</v>
      </c>
      <c r="Y288" t="s">
        <v>39</v>
      </c>
      <c r="Z288" t="s">
        <v>47</v>
      </c>
      <c r="AA288">
        <v>4</v>
      </c>
      <c r="AB288">
        <v>2</v>
      </c>
      <c r="AC288" t="s">
        <v>31</v>
      </c>
      <c r="AD288" t="s">
        <v>48</v>
      </c>
      <c r="AE288" t="s">
        <v>43</v>
      </c>
      <c r="AF288" s="3">
        <v>392</v>
      </c>
      <c r="AG288" s="3">
        <v>43</v>
      </c>
      <c r="AH288">
        <v>80</v>
      </c>
      <c r="AI288">
        <v>0</v>
      </c>
      <c r="AJ288">
        <v>1</v>
      </c>
      <c r="AK288">
        <v>1</v>
      </c>
      <c r="AL288">
        <v>1</v>
      </c>
      <c r="AM288">
        <v>0</v>
      </c>
      <c r="AN288" t="s">
        <v>767</v>
      </c>
      <c r="AO288" t="s">
        <v>31</v>
      </c>
    </row>
    <row r="289" spans="1:41" x14ac:dyDescent="0.25">
      <c r="A289">
        <v>31</v>
      </c>
      <c r="B289" t="s">
        <v>66</v>
      </c>
      <c r="C289" t="s">
        <v>55</v>
      </c>
      <c r="D289">
        <v>20</v>
      </c>
      <c r="E289" t="s">
        <v>34</v>
      </c>
      <c r="F289">
        <v>4</v>
      </c>
      <c r="G289">
        <v>1</v>
      </c>
      <c r="H289" t="s">
        <v>56</v>
      </c>
      <c r="I289">
        <v>4</v>
      </c>
      <c r="J289" t="s">
        <v>51</v>
      </c>
      <c r="K289">
        <v>2791</v>
      </c>
      <c r="L289">
        <v>0</v>
      </c>
      <c r="M289" t="s">
        <v>41</v>
      </c>
      <c r="N289">
        <v>12</v>
      </c>
      <c r="O289">
        <v>3</v>
      </c>
      <c r="P289">
        <v>1</v>
      </c>
      <c r="Q289">
        <v>3</v>
      </c>
      <c r="R289">
        <v>4</v>
      </c>
      <c r="S289">
        <v>2</v>
      </c>
      <c r="T289">
        <v>2</v>
      </c>
      <c r="U289">
        <v>2</v>
      </c>
      <c r="V289" t="s">
        <v>72</v>
      </c>
      <c r="W289" s="1" t="s">
        <v>201</v>
      </c>
      <c r="Y289" t="s">
        <v>46</v>
      </c>
      <c r="Z289" t="s">
        <v>47</v>
      </c>
      <c r="AA289">
        <v>5</v>
      </c>
      <c r="AB289">
        <v>2</v>
      </c>
      <c r="AC289" t="s">
        <v>41</v>
      </c>
      <c r="AD289" t="s">
        <v>42</v>
      </c>
      <c r="AE289" t="s">
        <v>60</v>
      </c>
      <c r="AF289" s="3">
        <v>393</v>
      </c>
      <c r="AG289" s="3">
        <v>82</v>
      </c>
      <c r="AH289">
        <v>80</v>
      </c>
      <c r="AI289">
        <v>2</v>
      </c>
      <c r="AJ289">
        <v>0</v>
      </c>
      <c r="AL289">
        <v>0</v>
      </c>
      <c r="AM289">
        <v>1</v>
      </c>
      <c r="AN289" t="s">
        <v>768</v>
      </c>
      <c r="AO289" t="s">
        <v>41</v>
      </c>
    </row>
    <row r="290" spans="1:41" x14ac:dyDescent="0.25">
      <c r="A290">
        <v>31</v>
      </c>
      <c r="B290" t="s">
        <v>66</v>
      </c>
      <c r="C290" t="s">
        <v>33</v>
      </c>
      <c r="D290">
        <v>15</v>
      </c>
      <c r="E290" t="s">
        <v>34</v>
      </c>
      <c r="F290">
        <v>3</v>
      </c>
      <c r="G290">
        <v>1</v>
      </c>
      <c r="H290" t="s">
        <v>35</v>
      </c>
      <c r="I290">
        <v>3</v>
      </c>
      <c r="J290" t="s">
        <v>51</v>
      </c>
      <c r="K290">
        <v>2610</v>
      </c>
      <c r="L290">
        <v>1</v>
      </c>
      <c r="M290" t="s">
        <v>41</v>
      </c>
      <c r="N290">
        <v>12</v>
      </c>
      <c r="O290">
        <v>3</v>
      </c>
      <c r="P290">
        <v>1</v>
      </c>
      <c r="Q290">
        <v>2</v>
      </c>
      <c r="R290">
        <v>5</v>
      </c>
      <c r="S290">
        <v>2</v>
      </c>
      <c r="T290">
        <v>2</v>
      </c>
      <c r="U290">
        <v>2</v>
      </c>
      <c r="V290" t="s">
        <v>37</v>
      </c>
      <c r="W290" s="1" t="s">
        <v>202</v>
      </c>
      <c r="Y290" t="s">
        <v>54</v>
      </c>
      <c r="Z290" t="s">
        <v>47</v>
      </c>
      <c r="AA290">
        <v>3</v>
      </c>
      <c r="AB290">
        <v>3</v>
      </c>
      <c r="AC290" t="s">
        <v>41</v>
      </c>
      <c r="AD290" t="s">
        <v>65</v>
      </c>
      <c r="AE290" t="s">
        <v>60</v>
      </c>
      <c r="AF290" s="3">
        <v>394</v>
      </c>
      <c r="AG290" s="3">
        <v>45</v>
      </c>
      <c r="AH290">
        <v>80</v>
      </c>
      <c r="AI290">
        <v>2</v>
      </c>
      <c r="AJ290">
        <v>1</v>
      </c>
      <c r="AK290">
        <v>1</v>
      </c>
      <c r="AL290">
        <v>1</v>
      </c>
      <c r="AM290">
        <v>0</v>
      </c>
      <c r="AN290" t="s">
        <v>767</v>
      </c>
      <c r="AO290" t="s">
        <v>31</v>
      </c>
    </row>
    <row r="291" spans="1:41" x14ac:dyDescent="0.25">
      <c r="A291">
        <v>35</v>
      </c>
      <c r="B291" t="s">
        <v>66</v>
      </c>
      <c r="C291" t="s">
        <v>33</v>
      </c>
      <c r="D291">
        <v>4</v>
      </c>
      <c r="E291" t="s">
        <v>34</v>
      </c>
      <c r="F291">
        <v>2</v>
      </c>
      <c r="G291">
        <v>1</v>
      </c>
      <c r="H291" t="s">
        <v>35</v>
      </c>
      <c r="I291">
        <v>4</v>
      </c>
      <c r="J291" t="s">
        <v>51</v>
      </c>
      <c r="K291">
        <v>2376</v>
      </c>
      <c r="L291">
        <v>1</v>
      </c>
      <c r="M291" t="s">
        <v>41</v>
      </c>
      <c r="N291">
        <v>13</v>
      </c>
      <c r="O291">
        <v>3</v>
      </c>
      <c r="P291">
        <v>1</v>
      </c>
      <c r="Q291">
        <v>2</v>
      </c>
      <c r="R291">
        <v>2</v>
      </c>
      <c r="S291">
        <v>2</v>
      </c>
      <c r="T291">
        <v>2</v>
      </c>
      <c r="U291">
        <v>2</v>
      </c>
      <c r="V291" t="s">
        <v>72</v>
      </c>
      <c r="W291" s="2">
        <v>43772</v>
      </c>
      <c r="Y291" t="s">
        <v>54</v>
      </c>
      <c r="Z291" t="s">
        <v>47</v>
      </c>
      <c r="AA291">
        <v>5</v>
      </c>
      <c r="AB291">
        <v>2</v>
      </c>
      <c r="AC291" t="s">
        <v>41</v>
      </c>
      <c r="AD291" t="s">
        <v>48</v>
      </c>
      <c r="AE291" t="s">
        <v>60</v>
      </c>
      <c r="AF291" s="3">
        <v>395</v>
      </c>
      <c r="AG291" s="3">
        <v>66</v>
      </c>
      <c r="AH291">
        <v>80</v>
      </c>
      <c r="AI291">
        <v>3</v>
      </c>
      <c r="AJ291">
        <v>0</v>
      </c>
      <c r="AL291">
        <v>0</v>
      </c>
      <c r="AM291">
        <v>1</v>
      </c>
      <c r="AN291" t="s">
        <v>768</v>
      </c>
      <c r="AO291" t="s">
        <v>41</v>
      </c>
    </row>
    <row r="292" spans="1:41" x14ac:dyDescent="0.25">
      <c r="A292">
        <v>20</v>
      </c>
      <c r="B292" t="s">
        <v>32</v>
      </c>
      <c r="C292" t="s">
        <v>33</v>
      </c>
      <c r="D292">
        <v>3</v>
      </c>
      <c r="E292" t="s">
        <v>34</v>
      </c>
      <c r="F292">
        <v>2</v>
      </c>
      <c r="G292">
        <v>1</v>
      </c>
      <c r="H292" t="s">
        <v>35</v>
      </c>
      <c r="I292">
        <v>3</v>
      </c>
      <c r="J292" t="s">
        <v>36</v>
      </c>
      <c r="K292">
        <v>3033</v>
      </c>
      <c r="L292">
        <v>1</v>
      </c>
      <c r="M292" t="s">
        <v>41</v>
      </c>
      <c r="N292">
        <v>12</v>
      </c>
      <c r="O292">
        <v>3</v>
      </c>
      <c r="P292">
        <v>0</v>
      </c>
      <c r="Q292">
        <v>2</v>
      </c>
      <c r="R292">
        <v>2</v>
      </c>
      <c r="S292">
        <v>2</v>
      </c>
      <c r="T292">
        <v>1</v>
      </c>
      <c r="U292">
        <v>2</v>
      </c>
      <c r="V292" t="s">
        <v>37</v>
      </c>
      <c r="W292" s="1" t="s">
        <v>203</v>
      </c>
      <c r="Y292" t="s">
        <v>39</v>
      </c>
      <c r="Z292" t="s">
        <v>47</v>
      </c>
      <c r="AA292">
        <v>1</v>
      </c>
      <c r="AB292">
        <v>0</v>
      </c>
      <c r="AC292" t="s">
        <v>41</v>
      </c>
      <c r="AD292" t="s">
        <v>67</v>
      </c>
      <c r="AE292" t="s">
        <v>43</v>
      </c>
      <c r="AF292" s="3">
        <v>396</v>
      </c>
      <c r="AG292" s="3">
        <v>35</v>
      </c>
      <c r="AH292">
        <v>80</v>
      </c>
      <c r="AI292">
        <v>2</v>
      </c>
      <c r="AJ292">
        <v>0</v>
      </c>
      <c r="AL292">
        <v>0</v>
      </c>
      <c r="AM292">
        <v>1</v>
      </c>
      <c r="AN292" t="s">
        <v>768</v>
      </c>
      <c r="AO292" t="s">
        <v>41</v>
      </c>
    </row>
    <row r="293" spans="1:41" x14ac:dyDescent="0.25">
      <c r="A293">
        <v>50</v>
      </c>
      <c r="B293" t="s">
        <v>66</v>
      </c>
      <c r="C293" t="s">
        <v>33</v>
      </c>
      <c r="D293">
        <v>2</v>
      </c>
      <c r="E293" t="s">
        <v>61</v>
      </c>
      <c r="F293">
        <v>3</v>
      </c>
      <c r="G293">
        <v>4</v>
      </c>
      <c r="H293" t="s">
        <v>75</v>
      </c>
      <c r="I293">
        <v>1</v>
      </c>
      <c r="J293" t="s">
        <v>51</v>
      </c>
      <c r="K293">
        <v>17856</v>
      </c>
      <c r="L293">
        <v>2</v>
      </c>
      <c r="M293" t="s">
        <v>41</v>
      </c>
      <c r="N293">
        <v>22</v>
      </c>
      <c r="O293">
        <v>4</v>
      </c>
      <c r="P293">
        <v>1</v>
      </c>
      <c r="Q293">
        <v>32</v>
      </c>
      <c r="R293">
        <v>3</v>
      </c>
      <c r="S293">
        <v>2</v>
      </c>
      <c r="T293">
        <v>2</v>
      </c>
      <c r="U293">
        <v>2</v>
      </c>
      <c r="V293" t="s">
        <v>58</v>
      </c>
      <c r="W293" s="1" t="s">
        <v>193</v>
      </c>
      <c r="Y293" t="s">
        <v>39</v>
      </c>
      <c r="Z293" t="s">
        <v>47</v>
      </c>
      <c r="AA293">
        <v>4</v>
      </c>
      <c r="AB293">
        <v>0</v>
      </c>
      <c r="AC293" t="s">
        <v>41</v>
      </c>
      <c r="AD293" t="s">
        <v>65</v>
      </c>
      <c r="AE293" t="s">
        <v>49</v>
      </c>
      <c r="AF293" s="3">
        <v>397</v>
      </c>
      <c r="AG293" s="3">
        <v>30</v>
      </c>
      <c r="AH293">
        <v>80</v>
      </c>
      <c r="AI293">
        <v>0</v>
      </c>
      <c r="AJ293">
        <v>0</v>
      </c>
      <c r="AL293">
        <v>0</v>
      </c>
      <c r="AM293">
        <v>1</v>
      </c>
      <c r="AN293" t="s">
        <v>768</v>
      </c>
      <c r="AO293" t="s">
        <v>41</v>
      </c>
    </row>
    <row r="294" spans="1:41" x14ac:dyDescent="0.25">
      <c r="A294">
        <v>20</v>
      </c>
      <c r="B294" t="s">
        <v>32</v>
      </c>
      <c r="C294" t="s">
        <v>55</v>
      </c>
      <c r="D294">
        <v>21</v>
      </c>
      <c r="E294" t="s">
        <v>34</v>
      </c>
      <c r="F294">
        <v>4</v>
      </c>
      <c r="G294">
        <v>1</v>
      </c>
      <c r="H294" t="s">
        <v>56</v>
      </c>
      <c r="I294">
        <v>4</v>
      </c>
      <c r="J294" t="s">
        <v>36</v>
      </c>
      <c r="K294">
        <v>2678</v>
      </c>
      <c r="L294">
        <v>1</v>
      </c>
      <c r="M294" t="s">
        <v>41</v>
      </c>
      <c r="N294">
        <v>17</v>
      </c>
      <c r="O294">
        <v>3</v>
      </c>
      <c r="P294">
        <v>0</v>
      </c>
      <c r="Q294">
        <v>2</v>
      </c>
      <c r="R294">
        <v>2</v>
      </c>
      <c r="S294">
        <v>2</v>
      </c>
      <c r="T294">
        <v>2</v>
      </c>
      <c r="U294">
        <v>2</v>
      </c>
      <c r="V294" t="s">
        <v>37</v>
      </c>
      <c r="W294" s="2">
        <v>43801</v>
      </c>
      <c r="Y294" t="s">
        <v>39</v>
      </c>
      <c r="Z294" t="s">
        <v>47</v>
      </c>
      <c r="AA294">
        <v>1</v>
      </c>
      <c r="AB294">
        <v>1</v>
      </c>
      <c r="AC294" t="s">
        <v>31</v>
      </c>
      <c r="AD294" t="s">
        <v>48</v>
      </c>
      <c r="AE294" t="s">
        <v>43</v>
      </c>
      <c r="AF294" s="3">
        <v>399</v>
      </c>
      <c r="AG294" s="3">
        <v>84</v>
      </c>
      <c r="AH294">
        <v>80</v>
      </c>
      <c r="AI294">
        <v>2</v>
      </c>
      <c r="AJ294">
        <v>0</v>
      </c>
      <c r="AL294">
        <v>0</v>
      </c>
      <c r="AM294">
        <v>1</v>
      </c>
      <c r="AN294" t="s">
        <v>768</v>
      </c>
      <c r="AO294" t="s">
        <v>41</v>
      </c>
    </row>
    <row r="295" spans="1:41" x14ac:dyDescent="0.25">
      <c r="A295">
        <v>32</v>
      </c>
      <c r="B295" t="s">
        <v>66</v>
      </c>
      <c r="C295" t="s">
        <v>33</v>
      </c>
      <c r="D295">
        <v>13</v>
      </c>
      <c r="E295" t="s">
        <v>61</v>
      </c>
      <c r="F295">
        <v>2</v>
      </c>
      <c r="G295">
        <v>1</v>
      </c>
      <c r="H295" t="s">
        <v>35</v>
      </c>
      <c r="I295">
        <v>2</v>
      </c>
      <c r="J295" t="s">
        <v>51</v>
      </c>
      <c r="K295">
        <v>2743</v>
      </c>
      <c r="L295">
        <v>1</v>
      </c>
      <c r="M295" t="s">
        <v>41</v>
      </c>
      <c r="N295">
        <v>20</v>
      </c>
      <c r="O295">
        <v>4</v>
      </c>
      <c r="P295">
        <v>1</v>
      </c>
      <c r="Q295">
        <v>2</v>
      </c>
      <c r="R295">
        <v>2</v>
      </c>
      <c r="S295">
        <v>2</v>
      </c>
      <c r="T295">
        <v>2</v>
      </c>
      <c r="U295">
        <v>2</v>
      </c>
      <c r="V295" t="s">
        <v>58</v>
      </c>
      <c r="W295" s="2">
        <v>43800</v>
      </c>
      <c r="Y295" t="s">
        <v>46</v>
      </c>
      <c r="Z295" t="s">
        <v>47</v>
      </c>
      <c r="AA295">
        <v>4</v>
      </c>
      <c r="AB295">
        <v>3</v>
      </c>
      <c r="AC295" t="s">
        <v>41</v>
      </c>
      <c r="AD295" t="s">
        <v>48</v>
      </c>
      <c r="AE295" t="s">
        <v>60</v>
      </c>
      <c r="AF295" s="3">
        <v>401</v>
      </c>
      <c r="AG295" s="3">
        <v>48</v>
      </c>
      <c r="AH295">
        <v>80</v>
      </c>
      <c r="AI295">
        <v>7</v>
      </c>
      <c r="AJ295">
        <v>1</v>
      </c>
      <c r="AK295">
        <v>1</v>
      </c>
      <c r="AL295">
        <v>1</v>
      </c>
      <c r="AM295">
        <v>0</v>
      </c>
      <c r="AN295" t="s">
        <v>767</v>
      </c>
      <c r="AO295" t="s">
        <v>31</v>
      </c>
    </row>
    <row r="296" spans="1:41" x14ac:dyDescent="0.25">
      <c r="A296">
        <v>21</v>
      </c>
      <c r="B296" t="s">
        <v>66</v>
      </c>
      <c r="C296" t="s">
        <v>33</v>
      </c>
      <c r="D296">
        <v>10</v>
      </c>
      <c r="E296" t="s">
        <v>61</v>
      </c>
      <c r="F296">
        <v>2</v>
      </c>
      <c r="G296">
        <v>1</v>
      </c>
      <c r="H296" t="s">
        <v>35</v>
      </c>
      <c r="I296">
        <v>3</v>
      </c>
      <c r="J296" t="s">
        <v>36</v>
      </c>
      <c r="K296">
        <v>2625</v>
      </c>
      <c r="L296">
        <v>1</v>
      </c>
      <c r="M296" t="s">
        <v>41</v>
      </c>
      <c r="N296">
        <v>20</v>
      </c>
      <c r="O296">
        <v>4</v>
      </c>
      <c r="P296">
        <v>0</v>
      </c>
      <c r="Q296">
        <v>2</v>
      </c>
      <c r="R296">
        <v>2</v>
      </c>
      <c r="S296">
        <v>2</v>
      </c>
      <c r="T296">
        <v>2</v>
      </c>
      <c r="U296">
        <v>2</v>
      </c>
      <c r="V296" t="s">
        <v>58</v>
      </c>
      <c r="W296" s="2">
        <v>43803</v>
      </c>
      <c r="Y296" t="s">
        <v>63</v>
      </c>
      <c r="Z296" t="s">
        <v>40</v>
      </c>
      <c r="AA296">
        <v>1</v>
      </c>
      <c r="AB296">
        <v>0</v>
      </c>
      <c r="AC296" t="s">
        <v>41</v>
      </c>
      <c r="AD296" t="s">
        <v>67</v>
      </c>
      <c r="AE296" t="s">
        <v>60</v>
      </c>
      <c r="AF296" s="3">
        <v>403</v>
      </c>
      <c r="AG296" s="3">
        <v>53</v>
      </c>
      <c r="AH296">
        <v>80</v>
      </c>
      <c r="AI296">
        <v>2</v>
      </c>
      <c r="AJ296">
        <v>0</v>
      </c>
      <c r="AL296">
        <v>0</v>
      </c>
      <c r="AM296">
        <v>1</v>
      </c>
      <c r="AN296" t="s">
        <v>768</v>
      </c>
      <c r="AO296" t="s">
        <v>41</v>
      </c>
    </row>
    <row r="297" spans="1:41" x14ac:dyDescent="0.25">
      <c r="A297">
        <v>28</v>
      </c>
      <c r="B297" t="s">
        <v>66</v>
      </c>
      <c r="C297" t="s">
        <v>33</v>
      </c>
      <c r="D297">
        <v>2</v>
      </c>
      <c r="E297" t="s">
        <v>34</v>
      </c>
      <c r="F297">
        <v>2</v>
      </c>
      <c r="G297">
        <v>1</v>
      </c>
      <c r="H297" t="s">
        <v>35</v>
      </c>
      <c r="I297">
        <v>4</v>
      </c>
      <c r="J297" t="s">
        <v>51</v>
      </c>
      <c r="K297">
        <v>3867</v>
      </c>
      <c r="L297">
        <v>1</v>
      </c>
      <c r="M297" t="s">
        <v>31</v>
      </c>
      <c r="N297">
        <v>12</v>
      </c>
      <c r="O297">
        <v>3</v>
      </c>
      <c r="P297">
        <v>1</v>
      </c>
      <c r="Q297">
        <v>2</v>
      </c>
      <c r="R297">
        <v>2</v>
      </c>
      <c r="S297">
        <v>2</v>
      </c>
      <c r="T297">
        <v>2</v>
      </c>
      <c r="U297">
        <v>2</v>
      </c>
      <c r="V297" t="s">
        <v>37</v>
      </c>
      <c r="W297" s="1" t="s">
        <v>194</v>
      </c>
      <c r="Y297" t="s">
        <v>46</v>
      </c>
      <c r="Z297" t="s">
        <v>40</v>
      </c>
      <c r="AA297">
        <v>3</v>
      </c>
      <c r="AB297">
        <v>0</v>
      </c>
      <c r="AC297" t="s">
        <v>41</v>
      </c>
      <c r="AD297" t="s">
        <v>42</v>
      </c>
      <c r="AE297" t="s">
        <v>43</v>
      </c>
      <c r="AF297" s="3">
        <v>404</v>
      </c>
      <c r="AG297" s="3">
        <v>77</v>
      </c>
      <c r="AH297">
        <v>80</v>
      </c>
      <c r="AI297">
        <v>4</v>
      </c>
      <c r="AJ297">
        <v>0</v>
      </c>
      <c r="AL297">
        <v>0</v>
      </c>
      <c r="AM297">
        <v>1</v>
      </c>
      <c r="AN297" t="s">
        <v>768</v>
      </c>
      <c r="AO297" t="s">
        <v>41</v>
      </c>
    </row>
    <row r="298" spans="1:41" x14ac:dyDescent="0.25">
      <c r="A298">
        <v>25</v>
      </c>
      <c r="B298" t="s">
        <v>32</v>
      </c>
      <c r="C298" t="s">
        <v>33</v>
      </c>
      <c r="D298">
        <v>1</v>
      </c>
      <c r="E298" t="s">
        <v>61</v>
      </c>
      <c r="F298">
        <v>3</v>
      </c>
      <c r="G298">
        <v>1</v>
      </c>
      <c r="H298" t="s">
        <v>44</v>
      </c>
      <c r="I298">
        <v>2</v>
      </c>
      <c r="J298" t="s">
        <v>36</v>
      </c>
      <c r="K298">
        <v>2096</v>
      </c>
      <c r="L298">
        <v>1</v>
      </c>
      <c r="M298" t="s">
        <v>41</v>
      </c>
      <c r="N298">
        <v>18</v>
      </c>
      <c r="O298">
        <v>3</v>
      </c>
      <c r="P298">
        <v>0</v>
      </c>
      <c r="Q298">
        <v>2</v>
      </c>
      <c r="R298">
        <v>3</v>
      </c>
      <c r="S298">
        <v>2</v>
      </c>
      <c r="T298">
        <v>2</v>
      </c>
      <c r="U298">
        <v>1</v>
      </c>
      <c r="V298" t="s">
        <v>58</v>
      </c>
      <c r="W298" s="1" t="s">
        <v>204</v>
      </c>
      <c r="Y298" t="s">
        <v>46</v>
      </c>
      <c r="Z298" t="s">
        <v>47</v>
      </c>
      <c r="AA298">
        <v>2</v>
      </c>
      <c r="AB298">
        <v>2</v>
      </c>
      <c r="AC298" t="s">
        <v>31</v>
      </c>
      <c r="AD298" t="s">
        <v>48</v>
      </c>
      <c r="AE298" t="s">
        <v>60</v>
      </c>
      <c r="AF298" s="3">
        <v>405</v>
      </c>
      <c r="AG298" s="3">
        <v>54</v>
      </c>
      <c r="AH298">
        <v>80</v>
      </c>
      <c r="AI298">
        <v>0</v>
      </c>
      <c r="AJ298">
        <v>1</v>
      </c>
      <c r="AK298">
        <v>1</v>
      </c>
      <c r="AL298">
        <v>1</v>
      </c>
      <c r="AM298">
        <v>0</v>
      </c>
      <c r="AN298" t="s">
        <v>767</v>
      </c>
      <c r="AO298" t="s">
        <v>31</v>
      </c>
    </row>
    <row r="299" spans="1:41" x14ac:dyDescent="0.25">
      <c r="A299">
        <v>58</v>
      </c>
      <c r="B299" t="s">
        <v>32</v>
      </c>
      <c r="C299" t="s">
        <v>33</v>
      </c>
      <c r="D299">
        <v>23</v>
      </c>
      <c r="E299" t="s">
        <v>34</v>
      </c>
      <c r="F299">
        <v>3</v>
      </c>
      <c r="G299">
        <v>1</v>
      </c>
      <c r="H299" t="s">
        <v>44</v>
      </c>
      <c r="I299">
        <v>3</v>
      </c>
      <c r="J299" t="s">
        <v>57</v>
      </c>
      <c r="K299">
        <v>2372</v>
      </c>
      <c r="L299">
        <v>1</v>
      </c>
      <c r="M299" t="s">
        <v>41</v>
      </c>
      <c r="N299">
        <v>12</v>
      </c>
      <c r="O299">
        <v>3</v>
      </c>
      <c r="P299">
        <v>2</v>
      </c>
      <c r="Q299">
        <v>2</v>
      </c>
      <c r="R299">
        <v>3</v>
      </c>
      <c r="S299">
        <v>2</v>
      </c>
      <c r="T299">
        <v>2</v>
      </c>
      <c r="U299">
        <v>2</v>
      </c>
      <c r="V299" t="s">
        <v>37</v>
      </c>
      <c r="W299" s="1" t="s">
        <v>205</v>
      </c>
      <c r="Y299" t="s">
        <v>63</v>
      </c>
      <c r="Z299" t="s">
        <v>40</v>
      </c>
      <c r="AA299">
        <v>3</v>
      </c>
      <c r="AB299">
        <v>1</v>
      </c>
      <c r="AC299" t="s">
        <v>31</v>
      </c>
      <c r="AD299" t="s">
        <v>48</v>
      </c>
      <c r="AE299" t="s">
        <v>60</v>
      </c>
      <c r="AF299" s="3">
        <v>406</v>
      </c>
      <c r="AG299" s="3">
        <v>96</v>
      </c>
      <c r="AH299">
        <v>80</v>
      </c>
      <c r="AI299">
        <v>9</v>
      </c>
      <c r="AJ299">
        <v>0</v>
      </c>
      <c r="AL299">
        <v>0</v>
      </c>
      <c r="AM299">
        <v>1</v>
      </c>
      <c r="AN299" t="s">
        <v>768</v>
      </c>
      <c r="AO299" t="s">
        <v>41</v>
      </c>
    </row>
    <row r="300" spans="1:41" x14ac:dyDescent="0.25">
      <c r="A300">
        <v>35</v>
      </c>
      <c r="B300" t="s">
        <v>66</v>
      </c>
      <c r="C300" t="s">
        <v>33</v>
      </c>
      <c r="D300">
        <v>18</v>
      </c>
      <c r="E300" t="s">
        <v>34</v>
      </c>
      <c r="F300">
        <v>3</v>
      </c>
      <c r="G300">
        <v>3</v>
      </c>
      <c r="H300" t="s">
        <v>78</v>
      </c>
      <c r="I300">
        <v>4</v>
      </c>
      <c r="J300" t="s">
        <v>36</v>
      </c>
      <c r="K300">
        <v>9362</v>
      </c>
      <c r="L300">
        <v>2</v>
      </c>
      <c r="M300" t="s">
        <v>41</v>
      </c>
      <c r="N300">
        <v>11</v>
      </c>
      <c r="O300">
        <v>3</v>
      </c>
      <c r="P300">
        <v>0</v>
      </c>
      <c r="Q300">
        <v>10</v>
      </c>
      <c r="R300">
        <v>2</v>
      </c>
      <c r="S300">
        <v>2</v>
      </c>
      <c r="T300">
        <v>2</v>
      </c>
      <c r="U300">
        <v>2</v>
      </c>
      <c r="V300" t="s">
        <v>52</v>
      </c>
      <c r="W300" s="1" t="s">
        <v>205</v>
      </c>
      <c r="Y300" t="s">
        <v>46</v>
      </c>
      <c r="Z300" t="s">
        <v>47</v>
      </c>
      <c r="AA300">
        <v>3</v>
      </c>
      <c r="AB300">
        <v>3</v>
      </c>
      <c r="AC300" t="s">
        <v>31</v>
      </c>
      <c r="AD300" t="s">
        <v>48</v>
      </c>
      <c r="AE300" t="s">
        <v>49</v>
      </c>
      <c r="AF300" s="3">
        <v>407</v>
      </c>
      <c r="AG300" s="3">
        <v>81</v>
      </c>
      <c r="AH300">
        <v>80</v>
      </c>
      <c r="AI300">
        <v>0</v>
      </c>
      <c r="AJ300">
        <v>0</v>
      </c>
      <c r="AL300">
        <v>0</v>
      </c>
      <c r="AM300">
        <v>1</v>
      </c>
      <c r="AN300" t="s">
        <v>768</v>
      </c>
      <c r="AO300" t="s">
        <v>41</v>
      </c>
    </row>
    <row r="301" spans="1:41" x14ac:dyDescent="0.25">
      <c r="A301">
        <v>31</v>
      </c>
      <c r="B301" t="s">
        <v>66</v>
      </c>
      <c r="C301" t="s">
        <v>33</v>
      </c>
      <c r="D301">
        <v>2</v>
      </c>
      <c r="E301" t="s">
        <v>34</v>
      </c>
      <c r="F301">
        <v>3</v>
      </c>
      <c r="G301">
        <v>1</v>
      </c>
      <c r="H301" t="s">
        <v>35</v>
      </c>
      <c r="I301">
        <v>4</v>
      </c>
      <c r="J301" t="s">
        <v>51</v>
      </c>
      <c r="K301">
        <v>3722</v>
      </c>
      <c r="L301">
        <v>6</v>
      </c>
      <c r="M301" t="s">
        <v>31</v>
      </c>
      <c r="N301">
        <v>13</v>
      </c>
      <c r="O301">
        <v>3</v>
      </c>
      <c r="P301">
        <v>1</v>
      </c>
      <c r="Q301">
        <v>7</v>
      </c>
      <c r="R301">
        <v>2</v>
      </c>
      <c r="S301">
        <v>2</v>
      </c>
      <c r="T301">
        <v>2</v>
      </c>
      <c r="U301">
        <v>2</v>
      </c>
      <c r="V301" t="s">
        <v>72</v>
      </c>
      <c r="W301" s="1" t="s">
        <v>203</v>
      </c>
      <c r="Y301" t="s">
        <v>39</v>
      </c>
      <c r="Z301" t="s">
        <v>47</v>
      </c>
      <c r="AA301">
        <v>0</v>
      </c>
      <c r="AB301">
        <v>0</v>
      </c>
      <c r="AC301" t="s">
        <v>31</v>
      </c>
      <c r="AD301" t="s">
        <v>65</v>
      </c>
      <c r="AE301" t="s">
        <v>60</v>
      </c>
      <c r="AF301" s="3">
        <v>408</v>
      </c>
      <c r="AG301" s="3">
        <v>84</v>
      </c>
      <c r="AH301">
        <v>80</v>
      </c>
      <c r="AI301">
        <v>1</v>
      </c>
      <c r="AJ301">
        <v>0</v>
      </c>
      <c r="AL301">
        <v>0</v>
      </c>
      <c r="AM301">
        <v>1</v>
      </c>
      <c r="AN301" t="s">
        <v>768</v>
      </c>
      <c r="AO301" t="s">
        <v>41</v>
      </c>
    </row>
    <row r="302" spans="1:41" x14ac:dyDescent="0.25">
      <c r="A302">
        <v>48</v>
      </c>
      <c r="B302" t="s">
        <v>32</v>
      </c>
      <c r="C302" t="s">
        <v>55</v>
      </c>
      <c r="D302">
        <v>7</v>
      </c>
      <c r="E302" t="s">
        <v>34</v>
      </c>
      <c r="F302">
        <v>3</v>
      </c>
      <c r="G302">
        <v>2</v>
      </c>
      <c r="H302" t="s">
        <v>70</v>
      </c>
      <c r="I302">
        <v>1</v>
      </c>
      <c r="J302" t="s">
        <v>57</v>
      </c>
      <c r="K302">
        <v>5486</v>
      </c>
      <c r="L302">
        <v>4</v>
      </c>
      <c r="M302" t="s">
        <v>41</v>
      </c>
      <c r="N302">
        <v>11</v>
      </c>
      <c r="O302">
        <v>3</v>
      </c>
      <c r="P302">
        <v>3</v>
      </c>
      <c r="Q302">
        <v>15</v>
      </c>
      <c r="R302">
        <v>3</v>
      </c>
      <c r="S302">
        <v>2</v>
      </c>
      <c r="T302">
        <v>2</v>
      </c>
      <c r="U302">
        <v>2</v>
      </c>
      <c r="V302" t="s">
        <v>37</v>
      </c>
      <c r="W302" s="1" t="s">
        <v>206</v>
      </c>
      <c r="Y302" t="s">
        <v>69</v>
      </c>
      <c r="Z302" t="s">
        <v>40</v>
      </c>
      <c r="AA302">
        <v>4</v>
      </c>
      <c r="AB302">
        <v>3</v>
      </c>
      <c r="AC302" t="s">
        <v>31</v>
      </c>
      <c r="AD302" t="s">
        <v>67</v>
      </c>
      <c r="AE302" t="s">
        <v>60</v>
      </c>
      <c r="AF302" s="3">
        <v>410</v>
      </c>
      <c r="AG302" s="3">
        <v>88</v>
      </c>
      <c r="AH302">
        <v>80</v>
      </c>
      <c r="AI302">
        <v>10</v>
      </c>
      <c r="AJ302">
        <v>0</v>
      </c>
      <c r="AL302">
        <v>0</v>
      </c>
      <c r="AM302">
        <v>1</v>
      </c>
      <c r="AN302" t="s">
        <v>768</v>
      </c>
      <c r="AO302" t="s">
        <v>41</v>
      </c>
    </row>
    <row r="303" spans="1:41" x14ac:dyDescent="0.25">
      <c r="A303">
        <v>34</v>
      </c>
      <c r="B303" t="s">
        <v>32</v>
      </c>
      <c r="C303" t="s">
        <v>120</v>
      </c>
      <c r="D303">
        <v>9</v>
      </c>
      <c r="E303" t="s">
        <v>61</v>
      </c>
      <c r="F303">
        <v>3</v>
      </c>
      <c r="G303">
        <v>1</v>
      </c>
      <c r="H303" t="s">
        <v>120</v>
      </c>
      <c r="I303">
        <v>3</v>
      </c>
      <c r="J303" t="s">
        <v>51</v>
      </c>
      <c r="K303">
        <v>2742</v>
      </c>
      <c r="L303">
        <v>1</v>
      </c>
      <c r="M303" t="s">
        <v>41</v>
      </c>
      <c r="N303">
        <v>15</v>
      </c>
      <c r="O303">
        <v>3</v>
      </c>
      <c r="P303">
        <v>0</v>
      </c>
      <c r="Q303">
        <v>2</v>
      </c>
      <c r="R303">
        <v>0</v>
      </c>
      <c r="S303">
        <v>2</v>
      </c>
      <c r="T303">
        <v>2</v>
      </c>
      <c r="U303">
        <v>2</v>
      </c>
      <c r="V303" t="s">
        <v>58</v>
      </c>
      <c r="W303" s="2">
        <v>43618</v>
      </c>
      <c r="Y303" t="s">
        <v>69</v>
      </c>
      <c r="Z303" t="s">
        <v>40</v>
      </c>
      <c r="AA303">
        <v>0</v>
      </c>
      <c r="AB303">
        <v>0</v>
      </c>
      <c r="AC303" t="s">
        <v>41</v>
      </c>
      <c r="AD303" t="s">
        <v>42</v>
      </c>
      <c r="AE303" t="s">
        <v>43</v>
      </c>
      <c r="AF303" s="3">
        <v>411</v>
      </c>
      <c r="AG303" s="3">
        <v>69</v>
      </c>
      <c r="AH303">
        <v>80</v>
      </c>
      <c r="AI303">
        <v>0</v>
      </c>
      <c r="AJ303">
        <v>0</v>
      </c>
      <c r="AL303">
        <v>0</v>
      </c>
      <c r="AM303">
        <v>1</v>
      </c>
      <c r="AN303" t="s">
        <v>768</v>
      </c>
      <c r="AO303" t="s">
        <v>41</v>
      </c>
    </row>
    <row r="304" spans="1:41" x14ac:dyDescent="0.25">
      <c r="A304">
        <v>30</v>
      </c>
      <c r="B304" t="s">
        <v>32</v>
      </c>
      <c r="C304" t="s">
        <v>55</v>
      </c>
      <c r="D304">
        <v>16</v>
      </c>
      <c r="E304" t="s">
        <v>34</v>
      </c>
      <c r="F304">
        <v>3</v>
      </c>
      <c r="G304">
        <v>2</v>
      </c>
      <c r="H304" t="s">
        <v>70</v>
      </c>
      <c r="I304">
        <v>3</v>
      </c>
      <c r="J304" t="s">
        <v>51</v>
      </c>
      <c r="K304">
        <v>5301</v>
      </c>
      <c r="L304">
        <v>8</v>
      </c>
      <c r="M304" t="s">
        <v>41</v>
      </c>
      <c r="N304">
        <v>15</v>
      </c>
      <c r="O304">
        <v>3</v>
      </c>
      <c r="P304">
        <v>2</v>
      </c>
      <c r="Q304">
        <v>4</v>
      </c>
      <c r="R304">
        <v>2</v>
      </c>
      <c r="S304">
        <v>2</v>
      </c>
      <c r="T304">
        <v>2</v>
      </c>
      <c r="U304">
        <v>2</v>
      </c>
      <c r="V304" t="s">
        <v>37</v>
      </c>
      <c r="W304" s="2">
        <v>43805</v>
      </c>
      <c r="Y304" t="s">
        <v>54</v>
      </c>
      <c r="Z304" t="s">
        <v>40</v>
      </c>
      <c r="AA304">
        <v>2</v>
      </c>
      <c r="AB304">
        <v>3</v>
      </c>
      <c r="AC304" t="s">
        <v>31</v>
      </c>
      <c r="AD304" t="s">
        <v>65</v>
      </c>
      <c r="AE304" t="s">
        <v>60</v>
      </c>
      <c r="AF304" s="3">
        <v>412</v>
      </c>
      <c r="AG304" s="3">
        <v>68</v>
      </c>
      <c r="AH304">
        <v>80</v>
      </c>
      <c r="AI304">
        <v>3</v>
      </c>
      <c r="AJ304">
        <v>0</v>
      </c>
      <c r="AL304">
        <v>0</v>
      </c>
      <c r="AM304">
        <v>1</v>
      </c>
      <c r="AN304" t="s">
        <v>768</v>
      </c>
      <c r="AO304" t="s">
        <v>41</v>
      </c>
    </row>
    <row r="305" spans="1:41" x14ac:dyDescent="0.25">
      <c r="A305">
        <v>44</v>
      </c>
      <c r="B305" t="s">
        <v>66</v>
      </c>
      <c r="C305" t="s">
        <v>33</v>
      </c>
      <c r="D305">
        <v>2</v>
      </c>
      <c r="E305" t="s">
        <v>34</v>
      </c>
      <c r="F305">
        <v>3</v>
      </c>
      <c r="G305">
        <v>3</v>
      </c>
      <c r="H305" t="s">
        <v>78</v>
      </c>
      <c r="I305">
        <v>3</v>
      </c>
      <c r="J305" t="s">
        <v>36</v>
      </c>
      <c r="K305">
        <v>10209</v>
      </c>
      <c r="L305">
        <v>5</v>
      </c>
      <c r="M305" t="s">
        <v>31</v>
      </c>
      <c r="N305">
        <v>18</v>
      </c>
      <c r="O305">
        <v>3</v>
      </c>
      <c r="P305">
        <v>0</v>
      </c>
      <c r="Q305">
        <v>16</v>
      </c>
      <c r="R305">
        <v>2</v>
      </c>
      <c r="S305">
        <v>2</v>
      </c>
      <c r="T305">
        <v>2</v>
      </c>
      <c r="U305">
        <v>2</v>
      </c>
      <c r="V305" t="s">
        <v>37</v>
      </c>
      <c r="W305" s="1" t="s">
        <v>206</v>
      </c>
      <c r="Y305" t="s">
        <v>39</v>
      </c>
      <c r="Z305" t="s">
        <v>40</v>
      </c>
      <c r="AA305">
        <v>5</v>
      </c>
      <c r="AB305">
        <v>2</v>
      </c>
      <c r="AC305" t="s">
        <v>31</v>
      </c>
      <c r="AD305" t="s">
        <v>48</v>
      </c>
      <c r="AE305" t="s">
        <v>43</v>
      </c>
      <c r="AF305" s="3">
        <v>416</v>
      </c>
      <c r="AG305" s="3">
        <v>100</v>
      </c>
      <c r="AH305">
        <v>80</v>
      </c>
      <c r="AI305">
        <v>7</v>
      </c>
      <c r="AJ305">
        <v>0</v>
      </c>
      <c r="AL305">
        <v>0</v>
      </c>
      <c r="AM305">
        <v>1</v>
      </c>
      <c r="AN305" t="s">
        <v>768</v>
      </c>
      <c r="AO305" t="s">
        <v>41</v>
      </c>
    </row>
    <row r="306" spans="1:41" x14ac:dyDescent="0.25">
      <c r="A306">
        <v>39</v>
      </c>
      <c r="B306" t="s">
        <v>32</v>
      </c>
      <c r="C306" t="s">
        <v>33</v>
      </c>
      <c r="D306">
        <v>6</v>
      </c>
      <c r="E306" t="s">
        <v>61</v>
      </c>
      <c r="F306">
        <v>3</v>
      </c>
      <c r="G306">
        <v>3</v>
      </c>
      <c r="H306" t="s">
        <v>78</v>
      </c>
      <c r="I306">
        <v>2</v>
      </c>
      <c r="J306" t="s">
        <v>36</v>
      </c>
      <c r="K306">
        <v>8376</v>
      </c>
      <c r="L306">
        <v>4</v>
      </c>
      <c r="M306" t="s">
        <v>41</v>
      </c>
      <c r="N306">
        <v>18</v>
      </c>
      <c r="O306">
        <v>3</v>
      </c>
      <c r="P306">
        <v>0</v>
      </c>
      <c r="Q306">
        <v>9</v>
      </c>
      <c r="R306">
        <v>3</v>
      </c>
      <c r="S306">
        <v>2</v>
      </c>
      <c r="T306">
        <v>2</v>
      </c>
      <c r="U306">
        <v>2</v>
      </c>
      <c r="V306" t="s">
        <v>72</v>
      </c>
      <c r="W306" s="1" t="s">
        <v>201</v>
      </c>
      <c r="Y306" t="s">
        <v>63</v>
      </c>
      <c r="Z306" t="s">
        <v>40</v>
      </c>
      <c r="AA306">
        <v>0</v>
      </c>
      <c r="AB306">
        <v>3</v>
      </c>
      <c r="AC306" t="s">
        <v>31</v>
      </c>
      <c r="AD306" t="s">
        <v>42</v>
      </c>
      <c r="AE306" t="s">
        <v>60</v>
      </c>
      <c r="AF306" s="3">
        <v>417</v>
      </c>
      <c r="AG306" s="3">
        <v>48</v>
      </c>
      <c r="AH306">
        <v>80</v>
      </c>
      <c r="AI306">
        <v>10</v>
      </c>
      <c r="AJ306">
        <v>0</v>
      </c>
      <c r="AL306">
        <v>0</v>
      </c>
      <c r="AM306">
        <v>1</v>
      </c>
      <c r="AN306" t="s">
        <v>768</v>
      </c>
      <c r="AO306" t="s">
        <v>41</v>
      </c>
    </row>
    <row r="307" spans="1:41" x14ac:dyDescent="0.25">
      <c r="A307">
        <v>40</v>
      </c>
      <c r="B307" t="s">
        <v>81</v>
      </c>
      <c r="C307" t="s">
        <v>33</v>
      </c>
      <c r="D307">
        <v>8</v>
      </c>
      <c r="E307" t="s">
        <v>34</v>
      </c>
      <c r="F307">
        <v>3</v>
      </c>
      <c r="G307">
        <v>2</v>
      </c>
      <c r="H307" t="s">
        <v>89</v>
      </c>
      <c r="I307">
        <v>4</v>
      </c>
      <c r="J307" t="s">
        <v>57</v>
      </c>
      <c r="K307">
        <v>4069</v>
      </c>
      <c r="L307">
        <v>3</v>
      </c>
      <c r="M307" t="s">
        <v>31</v>
      </c>
      <c r="N307">
        <v>18</v>
      </c>
      <c r="O307">
        <v>3</v>
      </c>
      <c r="P307">
        <v>0</v>
      </c>
      <c r="Q307">
        <v>8</v>
      </c>
      <c r="R307">
        <v>2</v>
      </c>
      <c r="S307">
        <v>2</v>
      </c>
      <c r="T307">
        <v>2</v>
      </c>
      <c r="U307">
        <v>2</v>
      </c>
      <c r="V307" t="s">
        <v>52</v>
      </c>
      <c r="W307" s="2">
        <v>43619</v>
      </c>
      <c r="Y307" t="s">
        <v>46</v>
      </c>
      <c r="Z307" t="s">
        <v>40</v>
      </c>
      <c r="AA307">
        <v>4</v>
      </c>
      <c r="AB307">
        <v>1</v>
      </c>
      <c r="AC307" t="s">
        <v>41</v>
      </c>
      <c r="AD307" t="s">
        <v>42</v>
      </c>
      <c r="AE307" t="s">
        <v>60</v>
      </c>
      <c r="AF307" s="3">
        <v>419</v>
      </c>
      <c r="AG307" s="3">
        <v>47</v>
      </c>
      <c r="AH307">
        <v>80</v>
      </c>
      <c r="AI307">
        <v>8</v>
      </c>
      <c r="AJ307">
        <v>0</v>
      </c>
      <c r="AL307">
        <v>0</v>
      </c>
      <c r="AM307">
        <v>1</v>
      </c>
      <c r="AN307" t="s">
        <v>768</v>
      </c>
      <c r="AO307" t="s">
        <v>41</v>
      </c>
    </row>
    <row r="308" spans="1:41" x14ac:dyDescent="0.25">
      <c r="A308">
        <v>33</v>
      </c>
      <c r="B308" t="s">
        <v>32</v>
      </c>
      <c r="C308" t="s">
        <v>55</v>
      </c>
      <c r="D308">
        <v>8</v>
      </c>
      <c r="E308" t="s">
        <v>34</v>
      </c>
      <c r="F308">
        <v>3</v>
      </c>
      <c r="G308">
        <v>2</v>
      </c>
      <c r="H308" t="s">
        <v>70</v>
      </c>
      <c r="I308">
        <v>1</v>
      </c>
      <c r="J308" t="s">
        <v>51</v>
      </c>
      <c r="K308">
        <v>6392</v>
      </c>
      <c r="L308">
        <v>2</v>
      </c>
      <c r="M308" t="s">
        <v>41</v>
      </c>
      <c r="N308">
        <v>13</v>
      </c>
      <c r="O308">
        <v>3</v>
      </c>
      <c r="P308">
        <v>1</v>
      </c>
      <c r="Q308">
        <v>8</v>
      </c>
      <c r="R308">
        <v>6</v>
      </c>
      <c r="S308">
        <v>2</v>
      </c>
      <c r="T308">
        <v>2</v>
      </c>
      <c r="U308">
        <v>2</v>
      </c>
      <c r="V308" t="s">
        <v>72</v>
      </c>
      <c r="W308" s="1" t="s">
        <v>207</v>
      </c>
      <c r="Y308" t="s">
        <v>54</v>
      </c>
      <c r="Z308" t="s">
        <v>40</v>
      </c>
      <c r="AA308">
        <v>4</v>
      </c>
      <c r="AB308">
        <v>1</v>
      </c>
      <c r="AC308" t="s">
        <v>41</v>
      </c>
      <c r="AD308" t="s">
        <v>67</v>
      </c>
      <c r="AE308" t="s">
        <v>60</v>
      </c>
      <c r="AF308" s="3">
        <v>420</v>
      </c>
      <c r="AG308" s="3">
        <v>91</v>
      </c>
      <c r="AH308">
        <v>80</v>
      </c>
      <c r="AI308">
        <v>8</v>
      </c>
      <c r="AJ308">
        <v>0</v>
      </c>
      <c r="AL308">
        <v>0</v>
      </c>
      <c r="AM308">
        <v>1</v>
      </c>
      <c r="AN308" t="s">
        <v>768</v>
      </c>
      <c r="AO308" t="s">
        <v>41</v>
      </c>
    </row>
    <row r="309" spans="1:41" x14ac:dyDescent="0.25">
      <c r="A309">
        <v>34</v>
      </c>
      <c r="B309" t="s">
        <v>32</v>
      </c>
      <c r="C309" t="s">
        <v>33</v>
      </c>
      <c r="D309">
        <v>1</v>
      </c>
      <c r="E309" t="s">
        <v>34</v>
      </c>
      <c r="F309">
        <v>3</v>
      </c>
      <c r="G309">
        <v>2</v>
      </c>
      <c r="H309" t="s">
        <v>44</v>
      </c>
      <c r="I309">
        <v>4</v>
      </c>
      <c r="J309" t="s">
        <v>51</v>
      </c>
      <c r="K309">
        <v>5484</v>
      </c>
      <c r="L309">
        <v>9</v>
      </c>
      <c r="M309" t="s">
        <v>41</v>
      </c>
      <c r="N309">
        <v>17</v>
      </c>
      <c r="O309">
        <v>3</v>
      </c>
      <c r="P309">
        <v>1</v>
      </c>
      <c r="Q309">
        <v>9</v>
      </c>
      <c r="R309">
        <v>3</v>
      </c>
      <c r="S309">
        <v>2</v>
      </c>
      <c r="T309">
        <v>2</v>
      </c>
      <c r="U309">
        <v>1</v>
      </c>
      <c r="V309" t="s">
        <v>37</v>
      </c>
      <c r="W309" s="1" t="s">
        <v>208</v>
      </c>
      <c r="Y309" t="s">
        <v>39</v>
      </c>
      <c r="Z309" t="s">
        <v>40</v>
      </c>
      <c r="AA309">
        <v>0</v>
      </c>
      <c r="AB309">
        <v>2</v>
      </c>
      <c r="AC309" t="s">
        <v>31</v>
      </c>
      <c r="AD309" t="s">
        <v>42</v>
      </c>
      <c r="AE309" t="s">
        <v>60</v>
      </c>
      <c r="AF309" s="3">
        <v>421</v>
      </c>
      <c r="AG309" s="3">
        <v>81</v>
      </c>
      <c r="AH309">
        <v>80</v>
      </c>
      <c r="AI309">
        <v>8</v>
      </c>
      <c r="AJ309">
        <v>0</v>
      </c>
      <c r="AL309">
        <v>0</v>
      </c>
      <c r="AM309">
        <v>1</v>
      </c>
      <c r="AN309" t="s">
        <v>768</v>
      </c>
      <c r="AO309" t="s">
        <v>41</v>
      </c>
    </row>
    <row r="310" spans="1:41" x14ac:dyDescent="0.25">
      <c r="A310">
        <v>23</v>
      </c>
      <c r="B310" t="s">
        <v>32</v>
      </c>
      <c r="C310" t="s">
        <v>33</v>
      </c>
      <c r="D310">
        <v>10</v>
      </c>
      <c r="E310" t="s">
        <v>34</v>
      </c>
      <c r="F310">
        <v>4</v>
      </c>
      <c r="G310">
        <v>1</v>
      </c>
      <c r="H310" t="s">
        <v>44</v>
      </c>
      <c r="I310">
        <v>3</v>
      </c>
      <c r="J310" t="s">
        <v>51</v>
      </c>
      <c r="K310">
        <v>2073</v>
      </c>
      <c r="L310">
        <v>2</v>
      </c>
      <c r="M310" t="s">
        <v>41</v>
      </c>
      <c r="N310">
        <v>16</v>
      </c>
      <c r="O310">
        <v>3</v>
      </c>
      <c r="P310">
        <v>1</v>
      </c>
      <c r="Q310">
        <v>4</v>
      </c>
      <c r="R310">
        <v>2</v>
      </c>
      <c r="S310">
        <v>2</v>
      </c>
      <c r="T310">
        <v>2</v>
      </c>
      <c r="U310">
        <v>2</v>
      </c>
      <c r="V310" t="s">
        <v>37</v>
      </c>
      <c r="W310" s="1" t="s">
        <v>209</v>
      </c>
      <c r="Y310" t="s">
        <v>63</v>
      </c>
      <c r="Z310" t="s">
        <v>40</v>
      </c>
      <c r="AA310">
        <v>0</v>
      </c>
      <c r="AB310">
        <v>2</v>
      </c>
      <c r="AC310" t="s">
        <v>41</v>
      </c>
      <c r="AD310" t="s">
        <v>48</v>
      </c>
      <c r="AE310" t="s">
        <v>60</v>
      </c>
      <c r="AF310" s="3">
        <v>422</v>
      </c>
      <c r="AG310" s="3">
        <v>32</v>
      </c>
      <c r="AH310">
        <v>80</v>
      </c>
      <c r="AI310">
        <v>3</v>
      </c>
      <c r="AJ310">
        <v>0</v>
      </c>
      <c r="AL310">
        <v>0</v>
      </c>
      <c r="AM310">
        <v>1</v>
      </c>
      <c r="AN310" t="s">
        <v>768</v>
      </c>
      <c r="AO310" t="s">
        <v>41</v>
      </c>
    </row>
    <row r="311" spans="1:41" x14ac:dyDescent="0.25">
      <c r="A311">
        <v>21</v>
      </c>
      <c r="B311" t="s">
        <v>32</v>
      </c>
      <c r="C311" t="s">
        <v>33</v>
      </c>
      <c r="D311">
        <v>5</v>
      </c>
      <c r="E311" t="s">
        <v>34</v>
      </c>
      <c r="F311">
        <v>3</v>
      </c>
      <c r="G311">
        <v>1</v>
      </c>
      <c r="H311" t="s">
        <v>44</v>
      </c>
      <c r="I311">
        <v>4</v>
      </c>
      <c r="J311" t="s">
        <v>36</v>
      </c>
      <c r="K311">
        <v>3117</v>
      </c>
      <c r="L311">
        <v>1</v>
      </c>
      <c r="M311" t="s">
        <v>41</v>
      </c>
      <c r="N311">
        <v>18</v>
      </c>
      <c r="O311">
        <v>3</v>
      </c>
      <c r="P311">
        <v>0</v>
      </c>
      <c r="Q311">
        <v>3</v>
      </c>
      <c r="R311">
        <v>2</v>
      </c>
      <c r="S311">
        <v>2</v>
      </c>
      <c r="T311">
        <v>2</v>
      </c>
      <c r="U311">
        <v>2</v>
      </c>
      <c r="V311" t="s">
        <v>37</v>
      </c>
      <c r="W311" s="2">
        <v>43678</v>
      </c>
      <c r="Y311" t="s">
        <v>63</v>
      </c>
      <c r="Z311" t="s">
        <v>40</v>
      </c>
      <c r="AA311">
        <v>4</v>
      </c>
      <c r="AB311">
        <v>0</v>
      </c>
      <c r="AC311" t="s">
        <v>41</v>
      </c>
      <c r="AD311" t="s">
        <v>48</v>
      </c>
      <c r="AE311" t="s">
        <v>60</v>
      </c>
      <c r="AF311" s="3">
        <v>423</v>
      </c>
      <c r="AG311" s="3">
        <v>86</v>
      </c>
      <c r="AH311">
        <v>80</v>
      </c>
      <c r="AI311">
        <v>2</v>
      </c>
      <c r="AJ311">
        <v>0</v>
      </c>
      <c r="AL311">
        <v>0</v>
      </c>
      <c r="AM311">
        <v>1</v>
      </c>
      <c r="AN311" t="s">
        <v>768</v>
      </c>
      <c r="AO311" t="s">
        <v>41</v>
      </c>
    </row>
    <row r="312" spans="1:41" x14ac:dyDescent="0.25">
      <c r="A312">
        <v>48</v>
      </c>
      <c r="B312" t="s">
        <v>66</v>
      </c>
      <c r="C312" t="s">
        <v>33</v>
      </c>
      <c r="D312">
        <v>4</v>
      </c>
      <c r="E312" t="s">
        <v>34</v>
      </c>
      <c r="F312">
        <v>2</v>
      </c>
      <c r="G312">
        <v>4</v>
      </c>
      <c r="H312" t="s">
        <v>75</v>
      </c>
      <c r="I312">
        <v>4</v>
      </c>
      <c r="J312" t="s">
        <v>51</v>
      </c>
      <c r="K312">
        <v>15202</v>
      </c>
      <c r="L312">
        <v>2</v>
      </c>
      <c r="M312" t="s">
        <v>41</v>
      </c>
      <c r="N312">
        <v>25</v>
      </c>
      <c r="O312">
        <v>4</v>
      </c>
      <c r="P312">
        <v>1</v>
      </c>
      <c r="Q312">
        <v>23</v>
      </c>
      <c r="R312">
        <v>3</v>
      </c>
      <c r="S312">
        <v>2</v>
      </c>
      <c r="T312">
        <v>2</v>
      </c>
      <c r="U312">
        <v>2</v>
      </c>
      <c r="V312" t="s">
        <v>52</v>
      </c>
      <c r="W312" s="2">
        <v>43681</v>
      </c>
      <c r="Y312" t="s">
        <v>63</v>
      </c>
      <c r="Z312" t="s">
        <v>47</v>
      </c>
      <c r="AA312">
        <v>0</v>
      </c>
      <c r="AB312">
        <v>1</v>
      </c>
      <c r="AC312" t="s">
        <v>41</v>
      </c>
      <c r="AD312" t="s">
        <v>67</v>
      </c>
      <c r="AE312" t="s">
        <v>60</v>
      </c>
      <c r="AF312" s="3">
        <v>424</v>
      </c>
      <c r="AG312" s="3">
        <v>62</v>
      </c>
      <c r="AH312">
        <v>80</v>
      </c>
      <c r="AI312">
        <v>2</v>
      </c>
      <c r="AJ312">
        <v>0</v>
      </c>
      <c r="AL312">
        <v>0</v>
      </c>
      <c r="AM312">
        <v>1</v>
      </c>
      <c r="AN312" t="s">
        <v>768</v>
      </c>
      <c r="AO312" t="s">
        <v>41</v>
      </c>
    </row>
    <row r="313" spans="1:41" x14ac:dyDescent="0.25">
      <c r="A313">
        <v>35</v>
      </c>
      <c r="B313" t="s">
        <v>32</v>
      </c>
      <c r="C313" t="s">
        <v>55</v>
      </c>
      <c r="D313">
        <v>15</v>
      </c>
      <c r="E313" t="s">
        <v>34</v>
      </c>
      <c r="F313">
        <v>1</v>
      </c>
      <c r="G313">
        <v>2</v>
      </c>
      <c r="H313" t="s">
        <v>70</v>
      </c>
      <c r="I313">
        <v>4</v>
      </c>
      <c r="J313" t="s">
        <v>57</v>
      </c>
      <c r="K313">
        <v>5440</v>
      </c>
      <c r="L313">
        <v>6</v>
      </c>
      <c r="M313" t="s">
        <v>31</v>
      </c>
      <c r="N313">
        <v>14</v>
      </c>
      <c r="O313">
        <v>3</v>
      </c>
      <c r="P313">
        <v>2</v>
      </c>
      <c r="Q313">
        <v>7</v>
      </c>
      <c r="R313">
        <v>2</v>
      </c>
      <c r="S313">
        <v>2</v>
      </c>
      <c r="T313">
        <v>2</v>
      </c>
      <c r="U313">
        <v>2</v>
      </c>
      <c r="V313" t="s">
        <v>37</v>
      </c>
      <c r="W313" s="1" t="s">
        <v>210</v>
      </c>
      <c r="Y313" t="s">
        <v>63</v>
      </c>
      <c r="Z313" t="s">
        <v>40</v>
      </c>
      <c r="AA313">
        <v>1</v>
      </c>
      <c r="AB313">
        <v>2</v>
      </c>
      <c r="AC313" t="s">
        <v>41</v>
      </c>
      <c r="AD313" t="s">
        <v>42</v>
      </c>
      <c r="AE313" t="s">
        <v>49</v>
      </c>
      <c r="AF313" s="3">
        <v>425</v>
      </c>
      <c r="AG313" s="3">
        <v>97</v>
      </c>
      <c r="AH313">
        <v>80</v>
      </c>
      <c r="AI313">
        <v>9</v>
      </c>
      <c r="AJ313">
        <v>0</v>
      </c>
      <c r="AL313">
        <v>0</v>
      </c>
      <c r="AM313">
        <v>1</v>
      </c>
      <c r="AN313" t="s">
        <v>768</v>
      </c>
      <c r="AO313" t="s">
        <v>41</v>
      </c>
    </row>
    <row r="314" spans="1:41" x14ac:dyDescent="0.25">
      <c r="A314">
        <v>20</v>
      </c>
      <c r="B314" t="s">
        <v>32</v>
      </c>
      <c r="C314" t="s">
        <v>55</v>
      </c>
      <c r="D314">
        <v>2</v>
      </c>
      <c r="E314" t="s">
        <v>61</v>
      </c>
      <c r="F314">
        <v>3</v>
      </c>
      <c r="G314">
        <v>1</v>
      </c>
      <c r="H314" t="s">
        <v>56</v>
      </c>
      <c r="I314">
        <v>3</v>
      </c>
      <c r="J314" t="s">
        <v>36</v>
      </c>
      <c r="K314">
        <v>2783</v>
      </c>
      <c r="L314">
        <v>1</v>
      </c>
      <c r="M314" t="s">
        <v>41</v>
      </c>
      <c r="N314">
        <v>19</v>
      </c>
      <c r="O314">
        <v>3</v>
      </c>
      <c r="P314">
        <v>0</v>
      </c>
      <c r="Q314">
        <v>2</v>
      </c>
      <c r="R314">
        <v>3</v>
      </c>
      <c r="S314">
        <v>2</v>
      </c>
      <c r="T314">
        <v>2</v>
      </c>
      <c r="U314">
        <v>2</v>
      </c>
      <c r="V314" t="s">
        <v>72</v>
      </c>
      <c r="W314" s="2">
        <v>43679</v>
      </c>
      <c r="Y314" t="s">
        <v>54</v>
      </c>
      <c r="Z314" t="s">
        <v>40</v>
      </c>
      <c r="AA314">
        <v>1</v>
      </c>
      <c r="AB314">
        <v>1</v>
      </c>
      <c r="AC314" t="s">
        <v>41</v>
      </c>
      <c r="AD314" t="s">
        <v>65</v>
      </c>
      <c r="AE314" t="s">
        <v>49</v>
      </c>
      <c r="AF314" s="3">
        <v>426</v>
      </c>
      <c r="AG314" s="3">
        <v>32</v>
      </c>
      <c r="AH314">
        <v>80</v>
      </c>
      <c r="AI314">
        <v>2</v>
      </c>
      <c r="AJ314">
        <v>0</v>
      </c>
      <c r="AL314">
        <v>0</v>
      </c>
      <c r="AM314">
        <v>1</v>
      </c>
      <c r="AN314" t="s">
        <v>768</v>
      </c>
      <c r="AO314" t="s">
        <v>41</v>
      </c>
    </row>
    <row r="315" spans="1:41" x14ac:dyDescent="0.25">
      <c r="A315">
        <v>49</v>
      </c>
      <c r="B315" t="s">
        <v>32</v>
      </c>
      <c r="C315" t="s">
        <v>33</v>
      </c>
      <c r="D315">
        <v>16</v>
      </c>
      <c r="E315" t="s">
        <v>61</v>
      </c>
      <c r="F315">
        <v>3</v>
      </c>
      <c r="G315">
        <v>1</v>
      </c>
      <c r="H315" t="s">
        <v>35</v>
      </c>
      <c r="I315">
        <v>1</v>
      </c>
      <c r="J315" t="s">
        <v>57</v>
      </c>
      <c r="K315">
        <v>2587</v>
      </c>
      <c r="L315">
        <v>4</v>
      </c>
      <c r="M315" t="s">
        <v>31</v>
      </c>
      <c r="N315">
        <v>16</v>
      </c>
      <c r="O315">
        <v>3</v>
      </c>
      <c r="P315">
        <v>1</v>
      </c>
      <c r="Q315">
        <v>17</v>
      </c>
      <c r="R315">
        <v>2</v>
      </c>
      <c r="S315">
        <v>2</v>
      </c>
      <c r="T315">
        <v>2</v>
      </c>
      <c r="U315">
        <v>2</v>
      </c>
      <c r="V315" t="s">
        <v>52</v>
      </c>
      <c r="W315" s="2">
        <v>43651</v>
      </c>
      <c r="Y315" t="s">
        <v>46</v>
      </c>
      <c r="Z315" t="s">
        <v>47</v>
      </c>
      <c r="AA315">
        <v>5</v>
      </c>
      <c r="AB315">
        <v>1</v>
      </c>
      <c r="AC315" t="s">
        <v>41</v>
      </c>
      <c r="AD315" t="s">
        <v>48</v>
      </c>
      <c r="AE315" t="s">
        <v>49</v>
      </c>
      <c r="AF315" s="3">
        <v>428</v>
      </c>
      <c r="AG315" s="3">
        <v>74</v>
      </c>
      <c r="AH315">
        <v>80</v>
      </c>
      <c r="AI315">
        <v>6</v>
      </c>
      <c r="AJ315">
        <v>0</v>
      </c>
      <c r="AL315">
        <v>0</v>
      </c>
      <c r="AM315">
        <v>1</v>
      </c>
      <c r="AN315" t="s">
        <v>768</v>
      </c>
      <c r="AO315" t="s">
        <v>41</v>
      </c>
    </row>
    <row r="316" spans="1:41" x14ac:dyDescent="0.25">
      <c r="A316">
        <v>41</v>
      </c>
      <c r="B316" t="s">
        <v>32</v>
      </c>
      <c r="C316" t="s">
        <v>55</v>
      </c>
      <c r="D316">
        <v>23</v>
      </c>
      <c r="E316" t="s">
        <v>34</v>
      </c>
      <c r="F316">
        <v>3</v>
      </c>
      <c r="G316">
        <v>3</v>
      </c>
      <c r="H316" t="s">
        <v>70</v>
      </c>
      <c r="I316">
        <v>3</v>
      </c>
      <c r="J316" t="s">
        <v>36</v>
      </c>
      <c r="K316">
        <v>7082</v>
      </c>
      <c r="L316">
        <v>3</v>
      </c>
      <c r="M316" t="s">
        <v>31</v>
      </c>
      <c r="N316">
        <v>16</v>
      </c>
      <c r="O316">
        <v>3</v>
      </c>
      <c r="P316">
        <v>0</v>
      </c>
      <c r="Q316">
        <v>21</v>
      </c>
      <c r="R316">
        <v>2</v>
      </c>
      <c r="S316">
        <v>2</v>
      </c>
      <c r="T316">
        <v>0</v>
      </c>
      <c r="U316">
        <v>2</v>
      </c>
      <c r="V316" t="s">
        <v>72</v>
      </c>
      <c r="W316" s="1" t="s">
        <v>196</v>
      </c>
      <c r="Y316" t="s">
        <v>46</v>
      </c>
      <c r="Z316" t="s">
        <v>47</v>
      </c>
      <c r="AA316">
        <v>0</v>
      </c>
      <c r="AB316">
        <v>2</v>
      </c>
      <c r="AC316" t="s">
        <v>31</v>
      </c>
      <c r="AD316" t="s">
        <v>65</v>
      </c>
      <c r="AE316" t="s">
        <v>43</v>
      </c>
      <c r="AF316" s="3">
        <v>429</v>
      </c>
      <c r="AG316" s="3">
        <v>99</v>
      </c>
      <c r="AH316">
        <v>80</v>
      </c>
      <c r="AI316">
        <v>9</v>
      </c>
      <c r="AJ316">
        <v>0</v>
      </c>
      <c r="AL316">
        <v>0</v>
      </c>
      <c r="AM316">
        <v>1</v>
      </c>
      <c r="AN316" t="s">
        <v>768</v>
      </c>
      <c r="AO316" t="s">
        <v>41</v>
      </c>
    </row>
    <row r="317" spans="1:41" x14ac:dyDescent="0.25">
      <c r="A317">
        <v>20</v>
      </c>
      <c r="B317" t="s">
        <v>32</v>
      </c>
      <c r="C317" t="s">
        <v>55</v>
      </c>
      <c r="D317">
        <v>9</v>
      </c>
      <c r="E317" t="s">
        <v>34</v>
      </c>
      <c r="F317">
        <v>3</v>
      </c>
      <c r="G317">
        <v>1</v>
      </c>
      <c r="H317" t="s">
        <v>56</v>
      </c>
      <c r="I317">
        <v>1</v>
      </c>
      <c r="J317" t="s">
        <v>36</v>
      </c>
      <c r="K317">
        <v>2728</v>
      </c>
      <c r="L317">
        <v>1</v>
      </c>
      <c r="M317" t="s">
        <v>41</v>
      </c>
      <c r="N317">
        <v>11</v>
      </c>
      <c r="O317">
        <v>3</v>
      </c>
      <c r="P317">
        <v>0</v>
      </c>
      <c r="Q317">
        <v>2</v>
      </c>
      <c r="R317">
        <v>3</v>
      </c>
      <c r="S317">
        <v>2</v>
      </c>
      <c r="T317">
        <v>0</v>
      </c>
      <c r="U317">
        <v>2</v>
      </c>
      <c r="V317" t="s">
        <v>37</v>
      </c>
      <c r="W317" s="1" t="s">
        <v>205</v>
      </c>
      <c r="Y317" t="s">
        <v>39</v>
      </c>
      <c r="Z317" t="s">
        <v>40</v>
      </c>
      <c r="AA317">
        <v>0</v>
      </c>
      <c r="AB317">
        <v>0</v>
      </c>
      <c r="AC317" t="s">
        <v>41</v>
      </c>
      <c r="AD317" t="s">
        <v>67</v>
      </c>
      <c r="AE317" t="s">
        <v>43</v>
      </c>
      <c r="AF317" s="3">
        <v>430</v>
      </c>
      <c r="AG317" s="3">
        <v>33</v>
      </c>
      <c r="AH317">
        <v>80</v>
      </c>
      <c r="AI317">
        <v>7</v>
      </c>
      <c r="AJ317">
        <v>0</v>
      </c>
      <c r="AL317">
        <v>0</v>
      </c>
      <c r="AM317">
        <v>1</v>
      </c>
      <c r="AN317" t="s">
        <v>768</v>
      </c>
      <c r="AO317" t="s">
        <v>41</v>
      </c>
    </row>
    <row r="318" spans="1:41" x14ac:dyDescent="0.25">
      <c r="A318">
        <v>44</v>
      </c>
      <c r="B318" t="s">
        <v>32</v>
      </c>
      <c r="C318" t="s">
        <v>120</v>
      </c>
      <c r="D318">
        <v>1</v>
      </c>
      <c r="E318" t="s">
        <v>61</v>
      </c>
      <c r="F318">
        <v>3</v>
      </c>
      <c r="G318">
        <v>1</v>
      </c>
      <c r="H318" t="s">
        <v>120</v>
      </c>
      <c r="I318">
        <v>4</v>
      </c>
      <c r="J318" t="s">
        <v>57</v>
      </c>
      <c r="K318">
        <v>3195</v>
      </c>
      <c r="L318">
        <v>4</v>
      </c>
      <c r="M318" t="s">
        <v>31</v>
      </c>
      <c r="N318">
        <v>18</v>
      </c>
      <c r="O318">
        <v>3</v>
      </c>
      <c r="P318">
        <v>3</v>
      </c>
      <c r="Q318">
        <v>8</v>
      </c>
      <c r="R318">
        <v>2</v>
      </c>
      <c r="S318">
        <v>2</v>
      </c>
      <c r="T318">
        <v>2</v>
      </c>
      <c r="U318">
        <v>2</v>
      </c>
      <c r="V318" t="s">
        <v>72</v>
      </c>
      <c r="W318" s="2">
        <v>43803</v>
      </c>
      <c r="Y318" t="s">
        <v>46</v>
      </c>
      <c r="Z318" t="s">
        <v>47</v>
      </c>
      <c r="AA318">
        <v>4</v>
      </c>
      <c r="AB318">
        <v>3</v>
      </c>
      <c r="AC318" t="s">
        <v>31</v>
      </c>
      <c r="AD318" t="s">
        <v>48</v>
      </c>
      <c r="AE318" t="s">
        <v>60</v>
      </c>
      <c r="AF318" s="3">
        <v>431</v>
      </c>
      <c r="AG318" s="3">
        <v>90</v>
      </c>
      <c r="AH318">
        <v>80</v>
      </c>
      <c r="AI318">
        <v>1</v>
      </c>
      <c r="AJ318">
        <v>0</v>
      </c>
      <c r="AL318">
        <v>0</v>
      </c>
      <c r="AM318">
        <v>1</v>
      </c>
      <c r="AN318" t="s">
        <v>768</v>
      </c>
      <c r="AO318" t="s">
        <v>41</v>
      </c>
    </row>
    <row r="319" spans="1:41" x14ac:dyDescent="0.25">
      <c r="A319">
        <v>36</v>
      </c>
      <c r="B319" t="s">
        <v>32</v>
      </c>
      <c r="C319" t="s">
        <v>55</v>
      </c>
      <c r="D319">
        <v>13</v>
      </c>
      <c r="E319" t="s">
        <v>34</v>
      </c>
      <c r="F319">
        <v>2</v>
      </c>
      <c r="G319">
        <v>2</v>
      </c>
      <c r="H319" t="s">
        <v>70</v>
      </c>
      <c r="I319">
        <v>1</v>
      </c>
      <c r="J319" t="s">
        <v>57</v>
      </c>
      <c r="K319">
        <v>6134</v>
      </c>
      <c r="L319">
        <v>5</v>
      </c>
      <c r="M319" t="s">
        <v>31</v>
      </c>
      <c r="N319">
        <v>13</v>
      </c>
      <c r="O319">
        <v>3</v>
      </c>
      <c r="P319">
        <v>3</v>
      </c>
      <c r="Q319">
        <v>16</v>
      </c>
      <c r="R319">
        <v>3</v>
      </c>
      <c r="S319">
        <v>2</v>
      </c>
      <c r="T319">
        <v>2</v>
      </c>
      <c r="U319">
        <v>2</v>
      </c>
      <c r="V319" t="s">
        <v>58</v>
      </c>
      <c r="W319" s="2">
        <v>43802</v>
      </c>
      <c r="Y319" t="s">
        <v>46</v>
      </c>
      <c r="Z319" t="s">
        <v>47</v>
      </c>
      <c r="AA319">
        <v>4</v>
      </c>
      <c r="AB319">
        <v>0</v>
      </c>
      <c r="AC319" t="s">
        <v>41</v>
      </c>
      <c r="AD319" t="s">
        <v>48</v>
      </c>
      <c r="AE319" t="s">
        <v>49</v>
      </c>
      <c r="AF319" s="3">
        <v>433</v>
      </c>
      <c r="AG319" s="3">
        <v>85</v>
      </c>
      <c r="AH319">
        <v>80</v>
      </c>
      <c r="AI319">
        <v>2</v>
      </c>
      <c r="AJ319">
        <v>1</v>
      </c>
      <c r="AK319">
        <v>1</v>
      </c>
      <c r="AL319">
        <v>1</v>
      </c>
      <c r="AM319">
        <v>0</v>
      </c>
      <c r="AN319" t="s">
        <v>767</v>
      </c>
      <c r="AO319" t="s">
        <v>31</v>
      </c>
    </row>
    <row r="320" spans="1:41" x14ac:dyDescent="0.25">
      <c r="A320">
        <v>24</v>
      </c>
      <c r="B320" t="s">
        <v>66</v>
      </c>
      <c r="C320" t="s">
        <v>120</v>
      </c>
      <c r="D320">
        <v>10</v>
      </c>
      <c r="E320" t="s">
        <v>34</v>
      </c>
      <c r="F320">
        <v>3</v>
      </c>
      <c r="G320">
        <v>1</v>
      </c>
      <c r="H320" t="s">
        <v>120</v>
      </c>
      <c r="I320">
        <v>4</v>
      </c>
      <c r="J320" t="s">
        <v>51</v>
      </c>
      <c r="K320">
        <v>2145</v>
      </c>
      <c r="L320">
        <v>0</v>
      </c>
      <c r="M320" t="s">
        <v>41</v>
      </c>
      <c r="N320">
        <v>14</v>
      </c>
      <c r="O320">
        <v>3</v>
      </c>
      <c r="P320">
        <v>1</v>
      </c>
      <c r="Q320">
        <v>3</v>
      </c>
      <c r="R320">
        <v>2</v>
      </c>
      <c r="S320">
        <v>2</v>
      </c>
      <c r="T320">
        <v>2</v>
      </c>
      <c r="U320">
        <v>1</v>
      </c>
      <c r="V320" t="s">
        <v>37</v>
      </c>
      <c r="W320" s="1" t="s">
        <v>211</v>
      </c>
      <c r="Y320" t="s">
        <v>63</v>
      </c>
      <c r="Z320" t="s">
        <v>40</v>
      </c>
      <c r="AA320">
        <v>2</v>
      </c>
      <c r="AB320">
        <v>3</v>
      </c>
      <c r="AC320" t="s">
        <v>41</v>
      </c>
      <c r="AD320" t="s">
        <v>67</v>
      </c>
      <c r="AE320" t="s">
        <v>60</v>
      </c>
      <c r="AF320" s="3">
        <v>434</v>
      </c>
      <c r="AG320" s="3">
        <v>85</v>
      </c>
      <c r="AH320">
        <v>80</v>
      </c>
      <c r="AI320">
        <v>3</v>
      </c>
      <c r="AJ320">
        <v>0</v>
      </c>
      <c r="AL320">
        <v>0</v>
      </c>
      <c r="AM320">
        <v>1</v>
      </c>
      <c r="AN320" t="s">
        <v>768</v>
      </c>
      <c r="AO320" t="s">
        <v>41</v>
      </c>
    </row>
    <row r="321" spans="1:41" x14ac:dyDescent="0.25">
      <c r="A321">
        <v>29</v>
      </c>
      <c r="B321" t="s">
        <v>32</v>
      </c>
      <c r="C321" t="s">
        <v>55</v>
      </c>
      <c r="D321">
        <v>9</v>
      </c>
      <c r="E321" t="s">
        <v>61</v>
      </c>
      <c r="F321">
        <v>1</v>
      </c>
      <c r="G321">
        <v>1</v>
      </c>
      <c r="H321" t="s">
        <v>56</v>
      </c>
      <c r="I321">
        <v>2</v>
      </c>
      <c r="J321" t="s">
        <v>36</v>
      </c>
      <c r="K321">
        <v>2760</v>
      </c>
      <c r="L321">
        <v>1</v>
      </c>
      <c r="M321" t="s">
        <v>41</v>
      </c>
      <c r="N321">
        <v>13</v>
      </c>
      <c r="O321">
        <v>3</v>
      </c>
      <c r="P321">
        <v>0</v>
      </c>
      <c r="Q321">
        <v>2</v>
      </c>
      <c r="R321">
        <v>3</v>
      </c>
      <c r="S321">
        <v>2</v>
      </c>
      <c r="T321">
        <v>2</v>
      </c>
      <c r="U321">
        <v>2</v>
      </c>
      <c r="V321" t="s">
        <v>72</v>
      </c>
      <c r="W321" s="1" t="s">
        <v>212</v>
      </c>
      <c r="Y321" t="s">
        <v>54</v>
      </c>
      <c r="Z321" t="s">
        <v>47</v>
      </c>
      <c r="AA321">
        <v>5</v>
      </c>
      <c r="AB321">
        <v>1</v>
      </c>
      <c r="AC321" t="s">
        <v>31</v>
      </c>
      <c r="AD321" t="s">
        <v>67</v>
      </c>
      <c r="AE321" t="s">
        <v>49</v>
      </c>
      <c r="AF321" s="3">
        <v>436</v>
      </c>
      <c r="AG321" s="3">
        <v>65</v>
      </c>
      <c r="AH321">
        <v>80</v>
      </c>
      <c r="AI321">
        <v>12</v>
      </c>
      <c r="AJ321">
        <v>0</v>
      </c>
      <c r="AL321">
        <v>0</v>
      </c>
      <c r="AM321">
        <v>1</v>
      </c>
      <c r="AN321" t="s">
        <v>768</v>
      </c>
      <c r="AO321" t="s">
        <v>41</v>
      </c>
    </row>
    <row r="322" spans="1:41" x14ac:dyDescent="0.25">
      <c r="A322">
        <v>34</v>
      </c>
      <c r="B322" t="s">
        <v>32</v>
      </c>
      <c r="C322" t="s">
        <v>55</v>
      </c>
      <c r="D322">
        <v>3</v>
      </c>
      <c r="E322" t="s">
        <v>61</v>
      </c>
      <c r="F322">
        <v>1</v>
      </c>
      <c r="G322">
        <v>2</v>
      </c>
      <c r="H322" t="s">
        <v>70</v>
      </c>
      <c r="I322">
        <v>4</v>
      </c>
      <c r="J322" t="s">
        <v>36</v>
      </c>
      <c r="K322">
        <v>6029</v>
      </c>
      <c r="L322">
        <v>5</v>
      </c>
      <c r="M322" t="s">
        <v>41</v>
      </c>
      <c r="N322">
        <v>12</v>
      </c>
      <c r="O322">
        <v>3</v>
      </c>
      <c r="P322">
        <v>0</v>
      </c>
      <c r="Q322">
        <v>6</v>
      </c>
      <c r="R322">
        <v>3</v>
      </c>
      <c r="S322">
        <v>2</v>
      </c>
      <c r="T322">
        <v>2</v>
      </c>
      <c r="U322">
        <v>2</v>
      </c>
      <c r="V322" t="s">
        <v>52</v>
      </c>
      <c r="W322" s="2">
        <v>43502</v>
      </c>
      <c r="Y322" t="s">
        <v>54</v>
      </c>
      <c r="Z322" t="s">
        <v>47</v>
      </c>
      <c r="AA322">
        <v>1</v>
      </c>
      <c r="AB322">
        <v>1</v>
      </c>
      <c r="AC322" t="s">
        <v>41</v>
      </c>
      <c r="AD322" t="s">
        <v>48</v>
      </c>
      <c r="AE322" t="s">
        <v>60</v>
      </c>
      <c r="AF322" s="3">
        <v>437</v>
      </c>
      <c r="AG322" s="3">
        <v>74</v>
      </c>
      <c r="AH322">
        <v>80</v>
      </c>
      <c r="AI322">
        <v>4</v>
      </c>
      <c r="AJ322">
        <v>0</v>
      </c>
      <c r="AL322">
        <v>0</v>
      </c>
      <c r="AM322">
        <v>1</v>
      </c>
      <c r="AN322" t="s">
        <v>768</v>
      </c>
      <c r="AO322" t="s">
        <v>41</v>
      </c>
    </row>
    <row r="323" spans="1:41" x14ac:dyDescent="0.25">
      <c r="A323">
        <v>51</v>
      </c>
      <c r="B323" t="s">
        <v>32</v>
      </c>
      <c r="C323" t="s">
        <v>33</v>
      </c>
      <c r="D323">
        <v>3</v>
      </c>
      <c r="E323" t="s">
        <v>61</v>
      </c>
      <c r="F323">
        <v>3</v>
      </c>
      <c r="G323">
        <v>3</v>
      </c>
      <c r="H323" t="s">
        <v>75</v>
      </c>
      <c r="I323">
        <v>3</v>
      </c>
      <c r="J323" t="s">
        <v>51</v>
      </c>
      <c r="K323">
        <v>13116</v>
      </c>
      <c r="L323">
        <v>2</v>
      </c>
      <c r="M323" t="s">
        <v>41</v>
      </c>
      <c r="N323">
        <v>11</v>
      </c>
      <c r="O323">
        <v>3</v>
      </c>
      <c r="P323">
        <v>0</v>
      </c>
      <c r="Q323">
        <v>15</v>
      </c>
      <c r="R323">
        <v>2</v>
      </c>
      <c r="S323">
        <v>2</v>
      </c>
      <c r="T323">
        <v>2</v>
      </c>
      <c r="U323">
        <v>2</v>
      </c>
      <c r="V323" t="s">
        <v>52</v>
      </c>
      <c r="W323" s="2">
        <v>43497</v>
      </c>
      <c r="Y323" t="s">
        <v>63</v>
      </c>
      <c r="Z323" t="s">
        <v>40</v>
      </c>
      <c r="AA323">
        <v>1</v>
      </c>
      <c r="AB323">
        <v>2</v>
      </c>
      <c r="AC323" t="s">
        <v>31</v>
      </c>
      <c r="AD323" t="s">
        <v>42</v>
      </c>
      <c r="AE323" t="s">
        <v>60</v>
      </c>
      <c r="AF323" s="3">
        <v>438</v>
      </c>
      <c r="AG323" s="3">
        <v>73</v>
      </c>
      <c r="AH323">
        <v>80</v>
      </c>
      <c r="AI323">
        <v>7</v>
      </c>
      <c r="AJ323">
        <v>0</v>
      </c>
      <c r="AL323">
        <v>0</v>
      </c>
      <c r="AM323">
        <v>1</v>
      </c>
      <c r="AN323" t="s">
        <v>768</v>
      </c>
      <c r="AO323" t="s">
        <v>41</v>
      </c>
    </row>
    <row r="324" spans="1:41" x14ac:dyDescent="0.25">
      <c r="A324">
        <v>46</v>
      </c>
      <c r="B324" t="s">
        <v>32</v>
      </c>
      <c r="C324" t="s">
        <v>33</v>
      </c>
      <c r="D324">
        <v>2</v>
      </c>
      <c r="E324" t="s">
        <v>34</v>
      </c>
      <c r="F324">
        <v>3</v>
      </c>
      <c r="G324">
        <v>5</v>
      </c>
      <c r="H324" t="s">
        <v>50</v>
      </c>
      <c r="I324">
        <v>4</v>
      </c>
      <c r="J324" t="s">
        <v>57</v>
      </c>
      <c r="K324">
        <v>19328</v>
      </c>
      <c r="L324">
        <v>7</v>
      </c>
      <c r="M324" t="s">
        <v>31</v>
      </c>
      <c r="N324">
        <v>17</v>
      </c>
      <c r="O324">
        <v>3</v>
      </c>
      <c r="P324">
        <v>1</v>
      </c>
      <c r="Q324">
        <v>24</v>
      </c>
      <c r="R324">
        <v>3</v>
      </c>
      <c r="S324">
        <v>2</v>
      </c>
      <c r="T324">
        <v>2</v>
      </c>
      <c r="U324">
        <v>2</v>
      </c>
      <c r="V324" t="s">
        <v>58</v>
      </c>
      <c r="W324" s="1" t="s">
        <v>166</v>
      </c>
      <c r="Y324" t="s">
        <v>69</v>
      </c>
      <c r="Z324" t="s">
        <v>47</v>
      </c>
      <c r="AA324">
        <v>3</v>
      </c>
      <c r="AB324">
        <v>0</v>
      </c>
      <c r="AC324" t="s">
        <v>41</v>
      </c>
      <c r="AD324" t="s">
        <v>48</v>
      </c>
      <c r="AE324" t="s">
        <v>43</v>
      </c>
      <c r="AF324" s="3">
        <v>439</v>
      </c>
      <c r="AG324" s="3">
        <v>74</v>
      </c>
      <c r="AH324">
        <v>80</v>
      </c>
      <c r="AI324">
        <v>7</v>
      </c>
      <c r="AJ324">
        <v>0</v>
      </c>
      <c r="AL324">
        <v>0</v>
      </c>
      <c r="AM324">
        <v>1</v>
      </c>
      <c r="AN324" t="s">
        <v>768</v>
      </c>
      <c r="AO324" t="s">
        <v>41</v>
      </c>
    </row>
    <row r="325" spans="1:41" x14ac:dyDescent="0.25">
      <c r="A325">
        <v>46</v>
      </c>
      <c r="B325" t="s">
        <v>81</v>
      </c>
      <c r="C325" t="s">
        <v>55</v>
      </c>
      <c r="D325">
        <v>26</v>
      </c>
      <c r="E325" t="s">
        <v>34</v>
      </c>
      <c r="F325">
        <v>2</v>
      </c>
      <c r="G325">
        <v>2</v>
      </c>
      <c r="H325" t="s">
        <v>70</v>
      </c>
      <c r="I325">
        <v>2</v>
      </c>
      <c r="J325" t="s">
        <v>36</v>
      </c>
      <c r="K325">
        <v>7991</v>
      </c>
      <c r="L325">
        <v>8</v>
      </c>
      <c r="M325" t="s">
        <v>41</v>
      </c>
      <c r="N325">
        <v>15</v>
      </c>
      <c r="O325">
        <v>3</v>
      </c>
      <c r="P325">
        <v>0</v>
      </c>
      <c r="Q325">
        <v>6</v>
      </c>
      <c r="R325">
        <v>3</v>
      </c>
      <c r="S325">
        <v>2</v>
      </c>
      <c r="T325">
        <v>2</v>
      </c>
      <c r="U325">
        <v>2</v>
      </c>
      <c r="V325" t="s">
        <v>37</v>
      </c>
      <c r="W325" s="1" t="s">
        <v>187</v>
      </c>
      <c r="Y325" t="s">
        <v>54</v>
      </c>
      <c r="Z325" t="s">
        <v>40</v>
      </c>
      <c r="AA325">
        <v>5</v>
      </c>
      <c r="AB325">
        <v>0</v>
      </c>
      <c r="AC325" t="s">
        <v>41</v>
      </c>
      <c r="AD325" t="s">
        <v>65</v>
      </c>
      <c r="AE325" t="s">
        <v>43</v>
      </c>
      <c r="AF325" s="3">
        <v>440</v>
      </c>
      <c r="AG325" s="3">
        <v>84</v>
      </c>
      <c r="AH325">
        <v>80</v>
      </c>
      <c r="AI325">
        <v>2</v>
      </c>
      <c r="AJ325">
        <v>1</v>
      </c>
      <c r="AK325">
        <v>1</v>
      </c>
      <c r="AL325">
        <v>1</v>
      </c>
      <c r="AM325">
        <v>0</v>
      </c>
      <c r="AN325" t="s">
        <v>767</v>
      </c>
      <c r="AO325" t="s">
        <v>31</v>
      </c>
    </row>
    <row r="326" spans="1:41" x14ac:dyDescent="0.25">
      <c r="A326">
        <v>39</v>
      </c>
      <c r="B326" t="s">
        <v>66</v>
      </c>
      <c r="C326" t="s">
        <v>55</v>
      </c>
      <c r="D326">
        <v>20</v>
      </c>
      <c r="E326" t="s">
        <v>34</v>
      </c>
      <c r="F326">
        <v>3</v>
      </c>
      <c r="G326">
        <v>2</v>
      </c>
      <c r="H326" t="s">
        <v>70</v>
      </c>
      <c r="I326">
        <v>4</v>
      </c>
      <c r="J326" t="s">
        <v>57</v>
      </c>
      <c r="K326">
        <v>4127</v>
      </c>
      <c r="L326">
        <v>2</v>
      </c>
      <c r="M326" t="s">
        <v>41</v>
      </c>
      <c r="N326">
        <v>18</v>
      </c>
      <c r="O326">
        <v>3</v>
      </c>
      <c r="P326">
        <v>1</v>
      </c>
      <c r="Q326">
        <v>7</v>
      </c>
      <c r="R326">
        <v>6</v>
      </c>
      <c r="S326">
        <v>2</v>
      </c>
      <c r="T326">
        <v>2</v>
      </c>
      <c r="U326">
        <v>2</v>
      </c>
      <c r="V326" t="s">
        <v>58</v>
      </c>
      <c r="W326" s="2">
        <v>43741</v>
      </c>
      <c r="Y326" t="s">
        <v>54</v>
      </c>
      <c r="Z326" t="s">
        <v>47</v>
      </c>
      <c r="AA326">
        <v>2</v>
      </c>
      <c r="AB326">
        <v>1</v>
      </c>
      <c r="AC326" t="s">
        <v>41</v>
      </c>
      <c r="AD326" t="s">
        <v>65</v>
      </c>
      <c r="AE326" t="s">
        <v>43</v>
      </c>
      <c r="AF326" s="3">
        <v>441</v>
      </c>
      <c r="AG326" s="3">
        <v>64</v>
      </c>
      <c r="AH326">
        <v>80</v>
      </c>
      <c r="AI326">
        <v>8</v>
      </c>
      <c r="AJ326">
        <v>0</v>
      </c>
      <c r="AL326">
        <v>0</v>
      </c>
      <c r="AM326">
        <v>1</v>
      </c>
      <c r="AN326" t="s">
        <v>768</v>
      </c>
      <c r="AO326" t="s">
        <v>41</v>
      </c>
    </row>
    <row r="327" spans="1:41" x14ac:dyDescent="0.25">
      <c r="A327">
        <v>58</v>
      </c>
      <c r="B327" t="s">
        <v>66</v>
      </c>
      <c r="C327" t="s">
        <v>33</v>
      </c>
      <c r="D327">
        <v>15</v>
      </c>
      <c r="E327" t="s">
        <v>34</v>
      </c>
      <c r="F327">
        <v>3</v>
      </c>
      <c r="G327">
        <v>4</v>
      </c>
      <c r="H327" t="s">
        <v>50</v>
      </c>
      <c r="I327">
        <v>3</v>
      </c>
      <c r="J327" t="s">
        <v>51</v>
      </c>
      <c r="K327">
        <v>15787</v>
      </c>
      <c r="L327">
        <v>2</v>
      </c>
      <c r="M327" t="s">
        <v>31</v>
      </c>
      <c r="N327">
        <v>14</v>
      </c>
      <c r="O327">
        <v>3</v>
      </c>
      <c r="P327">
        <v>0</v>
      </c>
      <c r="Q327">
        <v>23</v>
      </c>
      <c r="R327">
        <v>3</v>
      </c>
      <c r="S327">
        <v>2</v>
      </c>
      <c r="T327">
        <v>2</v>
      </c>
      <c r="U327">
        <v>2</v>
      </c>
      <c r="V327" t="s">
        <v>72</v>
      </c>
      <c r="W327" s="1" t="s">
        <v>199</v>
      </c>
      <c r="Y327" t="s">
        <v>54</v>
      </c>
      <c r="Z327" t="s">
        <v>47</v>
      </c>
      <c r="AA327">
        <v>0</v>
      </c>
      <c r="AB327">
        <v>2</v>
      </c>
      <c r="AC327" t="s">
        <v>41</v>
      </c>
      <c r="AD327" t="s">
        <v>67</v>
      </c>
      <c r="AE327" t="s">
        <v>60</v>
      </c>
      <c r="AF327" s="3">
        <v>442</v>
      </c>
      <c r="AG327" s="3">
        <v>48</v>
      </c>
      <c r="AH327">
        <v>80</v>
      </c>
      <c r="AI327">
        <v>9</v>
      </c>
      <c r="AJ327">
        <v>0</v>
      </c>
      <c r="AL327">
        <v>0</v>
      </c>
      <c r="AM327">
        <v>1</v>
      </c>
      <c r="AN327" t="s">
        <v>768</v>
      </c>
      <c r="AO327" t="s">
        <v>41</v>
      </c>
    </row>
    <row r="328" spans="1:41" x14ac:dyDescent="0.25">
      <c r="A328">
        <v>29</v>
      </c>
      <c r="B328" t="s">
        <v>32</v>
      </c>
      <c r="C328" t="s">
        <v>120</v>
      </c>
      <c r="D328">
        <v>13</v>
      </c>
      <c r="E328" t="s">
        <v>34</v>
      </c>
      <c r="F328">
        <v>2</v>
      </c>
      <c r="G328">
        <v>1</v>
      </c>
      <c r="H328" t="s">
        <v>120</v>
      </c>
      <c r="I328">
        <v>1</v>
      </c>
      <c r="J328" t="s">
        <v>57</v>
      </c>
      <c r="K328">
        <v>2335</v>
      </c>
      <c r="L328">
        <v>4</v>
      </c>
      <c r="M328" t="s">
        <v>31</v>
      </c>
      <c r="N328">
        <v>15</v>
      </c>
      <c r="O328">
        <v>3</v>
      </c>
      <c r="P328">
        <v>3</v>
      </c>
      <c r="Q328">
        <v>4</v>
      </c>
      <c r="R328">
        <v>3</v>
      </c>
      <c r="S328">
        <v>2</v>
      </c>
      <c r="T328">
        <v>2</v>
      </c>
      <c r="U328">
        <v>0</v>
      </c>
      <c r="V328" t="s">
        <v>72</v>
      </c>
      <c r="W328" s="2">
        <v>43620</v>
      </c>
      <c r="Y328" t="s">
        <v>46</v>
      </c>
      <c r="Z328" t="s">
        <v>47</v>
      </c>
      <c r="AA328">
        <v>3</v>
      </c>
      <c r="AB328">
        <v>0</v>
      </c>
      <c r="AC328" t="s">
        <v>31</v>
      </c>
      <c r="AD328" t="s">
        <v>65</v>
      </c>
      <c r="AE328" t="s">
        <v>60</v>
      </c>
      <c r="AF328" s="3">
        <v>444</v>
      </c>
      <c r="AG328" s="3">
        <v>54</v>
      </c>
      <c r="AH328">
        <v>80</v>
      </c>
      <c r="AI328">
        <v>9</v>
      </c>
      <c r="AJ328">
        <v>0</v>
      </c>
      <c r="AL328">
        <v>0</v>
      </c>
      <c r="AM328">
        <v>1</v>
      </c>
      <c r="AN328" t="s">
        <v>768</v>
      </c>
      <c r="AO328" t="s">
        <v>41</v>
      </c>
    </row>
    <row r="329" spans="1:41" x14ac:dyDescent="0.25">
      <c r="A329">
        <v>47</v>
      </c>
      <c r="B329" t="s">
        <v>32</v>
      </c>
      <c r="C329" t="s">
        <v>33</v>
      </c>
      <c r="D329">
        <v>9</v>
      </c>
      <c r="E329" t="s">
        <v>61</v>
      </c>
      <c r="F329">
        <v>3</v>
      </c>
      <c r="G329">
        <v>1</v>
      </c>
      <c r="H329" t="s">
        <v>35</v>
      </c>
      <c r="I329">
        <v>3</v>
      </c>
      <c r="J329" t="s">
        <v>36</v>
      </c>
      <c r="K329">
        <v>2105</v>
      </c>
      <c r="L329">
        <v>4</v>
      </c>
      <c r="M329" t="s">
        <v>41</v>
      </c>
      <c r="N329">
        <v>12</v>
      </c>
      <c r="O329">
        <v>3</v>
      </c>
      <c r="P329">
        <v>0</v>
      </c>
      <c r="Q329">
        <v>7</v>
      </c>
      <c r="R329">
        <v>2</v>
      </c>
      <c r="S329">
        <v>2</v>
      </c>
      <c r="T329">
        <v>2</v>
      </c>
      <c r="U329">
        <v>0</v>
      </c>
      <c r="V329" t="s">
        <v>72</v>
      </c>
      <c r="W329" s="2">
        <v>43586</v>
      </c>
      <c r="Y329" t="s">
        <v>63</v>
      </c>
      <c r="Z329" t="s">
        <v>47</v>
      </c>
      <c r="AA329">
        <v>1</v>
      </c>
      <c r="AB329">
        <v>1</v>
      </c>
      <c r="AC329" t="s">
        <v>31</v>
      </c>
      <c r="AD329" t="s">
        <v>48</v>
      </c>
      <c r="AE329" t="s">
        <v>43</v>
      </c>
      <c r="AF329" s="3">
        <v>445</v>
      </c>
      <c r="AG329" s="3">
        <v>41</v>
      </c>
      <c r="AH329">
        <v>80</v>
      </c>
      <c r="AI329">
        <v>0</v>
      </c>
      <c r="AJ329">
        <v>1</v>
      </c>
      <c r="AK329">
        <v>1</v>
      </c>
      <c r="AL329">
        <v>1</v>
      </c>
      <c r="AM329">
        <v>0</v>
      </c>
      <c r="AN329" t="s">
        <v>767</v>
      </c>
      <c r="AO329" t="s">
        <v>31</v>
      </c>
    </row>
    <row r="330" spans="1:41" x14ac:dyDescent="0.25">
      <c r="A330">
        <v>32</v>
      </c>
      <c r="B330" t="s">
        <v>32</v>
      </c>
      <c r="C330" t="s">
        <v>55</v>
      </c>
      <c r="D330">
        <v>2</v>
      </c>
      <c r="E330" t="s">
        <v>34</v>
      </c>
      <c r="F330">
        <v>2</v>
      </c>
      <c r="G330">
        <v>2</v>
      </c>
      <c r="H330" t="s">
        <v>70</v>
      </c>
      <c r="I330">
        <v>2</v>
      </c>
      <c r="J330" t="s">
        <v>36</v>
      </c>
      <c r="K330">
        <v>9907</v>
      </c>
      <c r="L330">
        <v>7</v>
      </c>
      <c r="M330" t="s">
        <v>31</v>
      </c>
      <c r="N330">
        <v>12</v>
      </c>
      <c r="O330">
        <v>3</v>
      </c>
      <c r="P330">
        <v>0</v>
      </c>
      <c r="Q330">
        <v>7</v>
      </c>
      <c r="R330">
        <v>3</v>
      </c>
      <c r="S330">
        <v>2</v>
      </c>
      <c r="T330">
        <v>2</v>
      </c>
      <c r="U330">
        <v>2</v>
      </c>
      <c r="V330" t="s">
        <v>52</v>
      </c>
      <c r="W330" s="1" t="s">
        <v>213</v>
      </c>
      <c r="Y330" t="s">
        <v>63</v>
      </c>
      <c r="Z330" t="s">
        <v>40</v>
      </c>
      <c r="AA330">
        <v>5</v>
      </c>
      <c r="AB330">
        <v>3</v>
      </c>
      <c r="AC330" t="s">
        <v>41</v>
      </c>
      <c r="AD330" t="s">
        <v>48</v>
      </c>
      <c r="AE330" t="s">
        <v>49</v>
      </c>
      <c r="AF330" s="3">
        <v>446</v>
      </c>
      <c r="AG330" s="3">
        <v>46</v>
      </c>
      <c r="AH330">
        <v>80</v>
      </c>
      <c r="AI330">
        <v>7</v>
      </c>
      <c r="AJ330">
        <v>0</v>
      </c>
      <c r="AL330">
        <v>0</v>
      </c>
      <c r="AM330">
        <v>1</v>
      </c>
      <c r="AN330" t="s">
        <v>768</v>
      </c>
      <c r="AO330" t="s">
        <v>41</v>
      </c>
    </row>
    <row r="331" spans="1:41" x14ac:dyDescent="0.25">
      <c r="A331">
        <v>39</v>
      </c>
      <c r="B331" t="s">
        <v>32</v>
      </c>
      <c r="C331" t="s">
        <v>33</v>
      </c>
      <c r="D331">
        <v>19</v>
      </c>
      <c r="E331" t="s">
        <v>34</v>
      </c>
      <c r="F331">
        <v>3</v>
      </c>
      <c r="G331">
        <v>2</v>
      </c>
      <c r="H331" t="s">
        <v>44</v>
      </c>
      <c r="I331">
        <v>4</v>
      </c>
      <c r="J331" t="s">
        <v>57</v>
      </c>
      <c r="K331">
        <v>3902</v>
      </c>
      <c r="L331">
        <v>8</v>
      </c>
      <c r="M331" t="s">
        <v>41</v>
      </c>
      <c r="N331">
        <v>14</v>
      </c>
      <c r="O331">
        <v>3</v>
      </c>
      <c r="P331">
        <v>3</v>
      </c>
      <c r="Q331">
        <v>7</v>
      </c>
      <c r="R331">
        <v>2</v>
      </c>
      <c r="S331">
        <v>2</v>
      </c>
      <c r="T331">
        <v>2</v>
      </c>
      <c r="U331">
        <v>2</v>
      </c>
      <c r="V331" t="s">
        <v>37</v>
      </c>
      <c r="W331" s="2">
        <v>43772</v>
      </c>
      <c r="Y331" t="s">
        <v>39</v>
      </c>
      <c r="Z331" t="s">
        <v>40</v>
      </c>
      <c r="AA331">
        <v>1</v>
      </c>
      <c r="AB331">
        <v>2</v>
      </c>
      <c r="AC331" t="s">
        <v>31</v>
      </c>
      <c r="AD331" t="s">
        <v>65</v>
      </c>
      <c r="AE331" t="s">
        <v>49</v>
      </c>
      <c r="AF331" s="3">
        <v>447</v>
      </c>
      <c r="AG331" s="3">
        <v>42</v>
      </c>
      <c r="AH331">
        <v>80</v>
      </c>
      <c r="AI331">
        <v>2</v>
      </c>
      <c r="AJ331">
        <v>0</v>
      </c>
      <c r="AL331">
        <v>0</v>
      </c>
      <c r="AM331">
        <v>1</v>
      </c>
      <c r="AN331" t="s">
        <v>768</v>
      </c>
      <c r="AO331" t="s">
        <v>41</v>
      </c>
    </row>
    <row r="332" spans="1:41" x14ac:dyDescent="0.25">
      <c r="A332">
        <v>44</v>
      </c>
      <c r="B332" t="s">
        <v>32</v>
      </c>
      <c r="C332" t="s">
        <v>33</v>
      </c>
      <c r="D332">
        <v>1</v>
      </c>
      <c r="E332" t="s">
        <v>34</v>
      </c>
      <c r="F332">
        <v>4</v>
      </c>
      <c r="G332">
        <v>2</v>
      </c>
      <c r="H332" t="s">
        <v>89</v>
      </c>
      <c r="I332">
        <v>1</v>
      </c>
      <c r="J332" t="s">
        <v>51</v>
      </c>
      <c r="K332">
        <v>5033</v>
      </c>
      <c r="L332">
        <v>2</v>
      </c>
      <c r="M332" t="s">
        <v>41</v>
      </c>
      <c r="N332">
        <v>15</v>
      </c>
      <c r="O332">
        <v>3</v>
      </c>
      <c r="P332">
        <v>1</v>
      </c>
      <c r="Q332">
        <v>10</v>
      </c>
      <c r="R332">
        <v>5</v>
      </c>
      <c r="S332">
        <v>2</v>
      </c>
      <c r="T332">
        <v>2</v>
      </c>
      <c r="U332">
        <v>2</v>
      </c>
      <c r="V332" t="s">
        <v>58</v>
      </c>
      <c r="W332" s="1" t="s">
        <v>172</v>
      </c>
      <c r="Y332" t="s">
        <v>46</v>
      </c>
      <c r="Z332" t="s">
        <v>47</v>
      </c>
      <c r="AA332">
        <v>0</v>
      </c>
      <c r="AB332">
        <v>2</v>
      </c>
      <c r="AC332" t="s">
        <v>41</v>
      </c>
      <c r="AD332" t="s">
        <v>67</v>
      </c>
      <c r="AE332" t="s">
        <v>60</v>
      </c>
      <c r="AF332" s="3">
        <v>448</v>
      </c>
      <c r="AG332" s="3">
        <v>82</v>
      </c>
      <c r="AH332">
        <v>80</v>
      </c>
      <c r="AI332">
        <v>7</v>
      </c>
      <c r="AJ332">
        <v>0</v>
      </c>
      <c r="AL332">
        <v>0</v>
      </c>
      <c r="AM332">
        <v>1</v>
      </c>
      <c r="AN332" t="s">
        <v>768</v>
      </c>
      <c r="AO332" t="s">
        <v>41</v>
      </c>
    </row>
    <row r="333" spans="1:41" x14ac:dyDescent="0.25">
      <c r="A333">
        <v>31</v>
      </c>
      <c r="B333" t="s">
        <v>32</v>
      </c>
      <c r="C333" t="s">
        <v>33</v>
      </c>
      <c r="D333">
        <v>4</v>
      </c>
      <c r="E333" t="s">
        <v>61</v>
      </c>
      <c r="F333">
        <v>4</v>
      </c>
      <c r="G333">
        <v>1</v>
      </c>
      <c r="H333" t="s">
        <v>35</v>
      </c>
      <c r="I333">
        <v>3</v>
      </c>
      <c r="J333" t="s">
        <v>57</v>
      </c>
      <c r="K333">
        <v>3978</v>
      </c>
      <c r="L333">
        <v>8</v>
      </c>
      <c r="M333" t="s">
        <v>41</v>
      </c>
      <c r="N333">
        <v>12</v>
      </c>
      <c r="O333">
        <v>3</v>
      </c>
      <c r="P333">
        <v>1</v>
      </c>
      <c r="Q333">
        <v>4</v>
      </c>
      <c r="R333">
        <v>0</v>
      </c>
      <c r="S333">
        <v>2</v>
      </c>
      <c r="T333">
        <v>2</v>
      </c>
      <c r="U333">
        <v>2</v>
      </c>
      <c r="V333" t="s">
        <v>52</v>
      </c>
      <c r="W333" s="2">
        <v>43619</v>
      </c>
      <c r="Y333" t="s">
        <v>54</v>
      </c>
      <c r="Z333" t="s">
        <v>40</v>
      </c>
      <c r="AA333">
        <v>4</v>
      </c>
      <c r="AB333">
        <v>2</v>
      </c>
      <c r="AC333" t="s">
        <v>31</v>
      </c>
      <c r="AD333" t="s">
        <v>48</v>
      </c>
      <c r="AE333" t="s">
        <v>60</v>
      </c>
      <c r="AF333" s="3">
        <v>449</v>
      </c>
      <c r="AG333" s="3">
        <v>73</v>
      </c>
      <c r="AH333">
        <v>80</v>
      </c>
      <c r="AI333">
        <v>4</v>
      </c>
      <c r="AJ333">
        <v>0</v>
      </c>
      <c r="AL333">
        <v>0</v>
      </c>
      <c r="AM333">
        <v>1</v>
      </c>
      <c r="AN333" t="s">
        <v>768</v>
      </c>
      <c r="AO333" t="s">
        <v>41</v>
      </c>
    </row>
    <row r="334" spans="1:41" x14ac:dyDescent="0.25">
      <c r="A334">
        <v>28</v>
      </c>
      <c r="B334" t="s">
        <v>32</v>
      </c>
      <c r="C334" t="s">
        <v>55</v>
      </c>
      <c r="D334">
        <v>13</v>
      </c>
      <c r="E334" t="s">
        <v>61</v>
      </c>
      <c r="F334">
        <v>3</v>
      </c>
      <c r="G334">
        <v>2</v>
      </c>
      <c r="H334" t="s">
        <v>70</v>
      </c>
      <c r="I334">
        <v>3</v>
      </c>
      <c r="J334" t="s">
        <v>36</v>
      </c>
      <c r="K334">
        <v>9854</v>
      </c>
      <c r="L334">
        <v>3</v>
      </c>
      <c r="M334" t="s">
        <v>31</v>
      </c>
      <c r="N334">
        <v>11</v>
      </c>
      <c r="O334">
        <v>3</v>
      </c>
      <c r="P334">
        <v>0</v>
      </c>
      <c r="Q334">
        <v>6</v>
      </c>
      <c r="R334">
        <v>0</v>
      </c>
      <c r="S334">
        <v>2</v>
      </c>
      <c r="T334">
        <v>2</v>
      </c>
      <c r="U334">
        <v>2</v>
      </c>
      <c r="V334" t="s">
        <v>72</v>
      </c>
      <c r="W334" s="1" t="s">
        <v>214</v>
      </c>
      <c r="Y334" t="s">
        <v>46</v>
      </c>
      <c r="Z334" t="s">
        <v>40</v>
      </c>
      <c r="AA334">
        <v>4</v>
      </c>
      <c r="AB334">
        <v>2</v>
      </c>
      <c r="AC334" t="s">
        <v>31</v>
      </c>
      <c r="AD334" t="s">
        <v>67</v>
      </c>
      <c r="AE334" t="s">
        <v>49</v>
      </c>
      <c r="AF334" s="3">
        <v>450</v>
      </c>
      <c r="AG334" s="3">
        <v>31</v>
      </c>
      <c r="AH334">
        <v>80</v>
      </c>
      <c r="AI334">
        <v>3</v>
      </c>
      <c r="AJ334">
        <v>0</v>
      </c>
      <c r="AL334">
        <v>0</v>
      </c>
      <c r="AM334">
        <v>1</v>
      </c>
      <c r="AN334" t="s">
        <v>768</v>
      </c>
      <c r="AO334" t="s">
        <v>41</v>
      </c>
    </row>
    <row r="335" spans="1:41" x14ac:dyDescent="0.25">
      <c r="A335">
        <v>53</v>
      </c>
      <c r="B335" t="s">
        <v>32</v>
      </c>
      <c r="C335" t="s">
        <v>55</v>
      </c>
      <c r="D335">
        <v>24</v>
      </c>
      <c r="E335" t="s">
        <v>34</v>
      </c>
      <c r="F335">
        <v>3</v>
      </c>
      <c r="G335">
        <v>3</v>
      </c>
      <c r="H335" t="s">
        <v>70</v>
      </c>
      <c r="I335">
        <v>1</v>
      </c>
      <c r="J335" t="s">
        <v>36</v>
      </c>
      <c r="K335">
        <v>10448</v>
      </c>
      <c r="L335">
        <v>6</v>
      </c>
      <c r="M335" t="s">
        <v>31</v>
      </c>
      <c r="N335">
        <v>13</v>
      </c>
      <c r="O335">
        <v>3</v>
      </c>
      <c r="P335">
        <v>0</v>
      </c>
      <c r="Q335">
        <v>15</v>
      </c>
      <c r="R335">
        <v>2</v>
      </c>
      <c r="S335">
        <v>2</v>
      </c>
      <c r="T335">
        <v>2</v>
      </c>
      <c r="U335">
        <v>2</v>
      </c>
      <c r="V335" t="s">
        <v>72</v>
      </c>
      <c r="W335" s="2">
        <v>43713</v>
      </c>
      <c r="Y335" t="s">
        <v>69</v>
      </c>
      <c r="Z335" t="s">
        <v>40</v>
      </c>
      <c r="AA335">
        <v>5</v>
      </c>
      <c r="AB335">
        <v>0</v>
      </c>
      <c r="AC335" t="s">
        <v>31</v>
      </c>
      <c r="AD335" t="s">
        <v>65</v>
      </c>
      <c r="AE335" t="s">
        <v>43</v>
      </c>
      <c r="AF335" s="3">
        <v>451</v>
      </c>
      <c r="AG335" s="3">
        <v>43</v>
      </c>
      <c r="AH335">
        <v>80</v>
      </c>
      <c r="AI335">
        <v>0</v>
      </c>
      <c r="AJ335">
        <v>0</v>
      </c>
      <c r="AL335">
        <v>0</v>
      </c>
      <c r="AM335">
        <v>1</v>
      </c>
      <c r="AN335" t="s">
        <v>768</v>
      </c>
      <c r="AO335" t="s">
        <v>41</v>
      </c>
    </row>
    <row r="336" spans="1:41" x14ac:dyDescent="0.25">
      <c r="A336">
        <v>25</v>
      </c>
      <c r="B336" t="s">
        <v>32</v>
      </c>
      <c r="C336" t="s">
        <v>120</v>
      </c>
      <c r="D336">
        <v>2</v>
      </c>
      <c r="E336" t="s">
        <v>61</v>
      </c>
      <c r="F336">
        <v>3</v>
      </c>
      <c r="G336">
        <v>1</v>
      </c>
      <c r="H336" t="s">
        <v>120</v>
      </c>
      <c r="I336">
        <v>2</v>
      </c>
      <c r="J336" t="s">
        <v>51</v>
      </c>
      <c r="K336">
        <v>2187</v>
      </c>
      <c r="L336">
        <v>4</v>
      </c>
      <c r="M336" t="s">
        <v>41</v>
      </c>
      <c r="N336">
        <v>14</v>
      </c>
      <c r="O336">
        <v>3</v>
      </c>
      <c r="P336">
        <v>0</v>
      </c>
      <c r="Q336">
        <v>6</v>
      </c>
      <c r="R336">
        <v>3</v>
      </c>
      <c r="S336">
        <v>2</v>
      </c>
      <c r="T336">
        <v>1</v>
      </c>
      <c r="U336">
        <v>2</v>
      </c>
      <c r="V336" t="s">
        <v>37</v>
      </c>
      <c r="W336" s="1" t="s">
        <v>215</v>
      </c>
      <c r="Y336" t="s">
        <v>39</v>
      </c>
      <c r="Z336" t="s">
        <v>40</v>
      </c>
      <c r="AA336">
        <v>3</v>
      </c>
      <c r="AB336">
        <v>0</v>
      </c>
      <c r="AC336" t="s">
        <v>41</v>
      </c>
      <c r="AD336" t="s">
        <v>67</v>
      </c>
      <c r="AE336" t="s">
        <v>49</v>
      </c>
      <c r="AF336" s="3">
        <v>452</v>
      </c>
      <c r="AG336" s="3">
        <v>75</v>
      </c>
      <c r="AH336">
        <v>80</v>
      </c>
      <c r="AI336">
        <v>9</v>
      </c>
      <c r="AJ336">
        <v>0</v>
      </c>
      <c r="AL336">
        <v>0</v>
      </c>
      <c r="AM336">
        <v>1</v>
      </c>
      <c r="AN336" t="s">
        <v>768</v>
      </c>
      <c r="AO336" t="s">
        <v>41</v>
      </c>
    </row>
    <row r="337" spans="1:41" x14ac:dyDescent="0.25">
      <c r="A337">
        <v>25</v>
      </c>
      <c r="B337" t="s">
        <v>32</v>
      </c>
      <c r="C337" t="s">
        <v>33</v>
      </c>
      <c r="D337">
        <v>2</v>
      </c>
      <c r="E337" t="s">
        <v>34</v>
      </c>
      <c r="F337">
        <v>3</v>
      </c>
      <c r="G337">
        <v>1</v>
      </c>
      <c r="H337" t="s">
        <v>35</v>
      </c>
      <c r="I337">
        <v>3</v>
      </c>
      <c r="J337" t="s">
        <v>57</v>
      </c>
      <c r="K337">
        <v>3977</v>
      </c>
      <c r="L337">
        <v>6</v>
      </c>
      <c r="M337" t="s">
        <v>31</v>
      </c>
      <c r="N337">
        <v>19</v>
      </c>
      <c r="O337">
        <v>3</v>
      </c>
      <c r="P337">
        <v>1</v>
      </c>
      <c r="Q337">
        <v>7</v>
      </c>
      <c r="R337">
        <v>2</v>
      </c>
      <c r="S337">
        <v>2</v>
      </c>
      <c r="T337">
        <v>0</v>
      </c>
      <c r="U337">
        <v>2</v>
      </c>
      <c r="V337" t="s">
        <v>72</v>
      </c>
      <c r="W337" s="1" t="s">
        <v>196</v>
      </c>
      <c r="Y337" t="s">
        <v>54</v>
      </c>
      <c r="Z337" t="s">
        <v>47</v>
      </c>
      <c r="AA337">
        <v>2</v>
      </c>
      <c r="AB337">
        <v>2</v>
      </c>
      <c r="AC337" t="s">
        <v>31</v>
      </c>
      <c r="AD337" t="s">
        <v>42</v>
      </c>
      <c r="AE337" t="s">
        <v>43</v>
      </c>
      <c r="AF337" s="3">
        <v>453</v>
      </c>
      <c r="AG337" s="3">
        <v>57</v>
      </c>
      <c r="AH337">
        <v>80</v>
      </c>
      <c r="AI337">
        <v>3</v>
      </c>
      <c r="AJ337">
        <v>0</v>
      </c>
      <c r="AL337">
        <v>0</v>
      </c>
      <c r="AM337">
        <v>1</v>
      </c>
      <c r="AN337" t="s">
        <v>768</v>
      </c>
      <c r="AO337" t="s">
        <v>41</v>
      </c>
    </row>
    <row r="338" spans="1:41" x14ac:dyDescent="0.25">
      <c r="A338">
        <v>31</v>
      </c>
      <c r="B338" t="s">
        <v>32</v>
      </c>
      <c r="C338" t="s">
        <v>55</v>
      </c>
      <c r="D338">
        <v>2</v>
      </c>
      <c r="E338" t="s">
        <v>34</v>
      </c>
      <c r="F338">
        <v>3</v>
      </c>
      <c r="G338">
        <v>1</v>
      </c>
      <c r="H338" t="s">
        <v>56</v>
      </c>
      <c r="I338">
        <v>3</v>
      </c>
      <c r="J338" t="s">
        <v>51</v>
      </c>
      <c r="K338">
        <v>3067</v>
      </c>
      <c r="L338">
        <v>0</v>
      </c>
      <c r="M338" t="s">
        <v>41</v>
      </c>
      <c r="N338">
        <v>19</v>
      </c>
      <c r="O338">
        <v>3</v>
      </c>
      <c r="P338">
        <v>1</v>
      </c>
      <c r="Q338">
        <v>3</v>
      </c>
      <c r="R338">
        <v>1</v>
      </c>
      <c r="S338">
        <v>2</v>
      </c>
      <c r="T338">
        <v>1</v>
      </c>
      <c r="U338">
        <v>2</v>
      </c>
      <c r="V338" t="s">
        <v>72</v>
      </c>
      <c r="W338" s="1" t="s">
        <v>216</v>
      </c>
      <c r="Y338" t="s">
        <v>46</v>
      </c>
      <c r="Z338" t="s">
        <v>47</v>
      </c>
      <c r="AA338">
        <v>0</v>
      </c>
      <c r="AB338">
        <v>2</v>
      </c>
      <c r="AC338" t="s">
        <v>41</v>
      </c>
      <c r="AD338" t="s">
        <v>48</v>
      </c>
      <c r="AE338" t="s">
        <v>60</v>
      </c>
      <c r="AF338" s="3">
        <v>454</v>
      </c>
      <c r="AG338" s="3">
        <v>77</v>
      </c>
      <c r="AH338">
        <v>80</v>
      </c>
      <c r="AI338">
        <v>7</v>
      </c>
      <c r="AJ338">
        <v>1</v>
      </c>
      <c r="AK338">
        <v>1</v>
      </c>
      <c r="AL338">
        <v>1</v>
      </c>
      <c r="AM338">
        <v>0</v>
      </c>
      <c r="AN338" t="s">
        <v>767</v>
      </c>
      <c r="AO338" t="s">
        <v>31</v>
      </c>
    </row>
    <row r="339" spans="1:41" x14ac:dyDescent="0.25">
      <c r="A339">
        <v>35</v>
      </c>
      <c r="B339" t="s">
        <v>32</v>
      </c>
      <c r="C339" t="s">
        <v>33</v>
      </c>
      <c r="D339">
        <v>11</v>
      </c>
      <c r="E339" t="s">
        <v>34</v>
      </c>
      <c r="F339">
        <v>3</v>
      </c>
      <c r="G339">
        <v>1</v>
      </c>
      <c r="H339" t="s">
        <v>35</v>
      </c>
      <c r="I339">
        <v>3</v>
      </c>
      <c r="J339" t="s">
        <v>51</v>
      </c>
      <c r="K339">
        <v>2660</v>
      </c>
      <c r="L339">
        <v>7</v>
      </c>
      <c r="M339" t="s">
        <v>31</v>
      </c>
      <c r="N339">
        <v>11</v>
      </c>
      <c r="O339">
        <v>3</v>
      </c>
      <c r="P339">
        <v>1</v>
      </c>
      <c r="Q339">
        <v>5</v>
      </c>
      <c r="R339">
        <v>3</v>
      </c>
      <c r="S339">
        <v>2</v>
      </c>
      <c r="T339">
        <v>2</v>
      </c>
      <c r="U339">
        <v>2</v>
      </c>
      <c r="V339" t="s">
        <v>58</v>
      </c>
      <c r="W339" s="2">
        <v>43589</v>
      </c>
      <c r="Y339" t="s">
        <v>69</v>
      </c>
      <c r="Z339" t="s">
        <v>40</v>
      </c>
      <c r="AA339">
        <v>2</v>
      </c>
      <c r="AB339">
        <v>1</v>
      </c>
      <c r="AC339" t="s">
        <v>41</v>
      </c>
      <c r="AD339" t="s">
        <v>65</v>
      </c>
      <c r="AE339" t="s">
        <v>49</v>
      </c>
      <c r="AF339" s="3">
        <v>455</v>
      </c>
      <c r="AG339" s="3">
        <v>30</v>
      </c>
      <c r="AH339">
        <v>80</v>
      </c>
      <c r="AI339">
        <v>2</v>
      </c>
      <c r="AJ339">
        <v>0</v>
      </c>
      <c r="AL339">
        <v>0</v>
      </c>
      <c r="AM339">
        <v>1</v>
      </c>
      <c r="AN339" t="s">
        <v>768</v>
      </c>
      <c r="AO339" t="s">
        <v>41</v>
      </c>
    </row>
    <row r="340" spans="1:41" x14ac:dyDescent="0.25">
      <c r="A340">
        <v>32</v>
      </c>
      <c r="B340" t="s">
        <v>32</v>
      </c>
      <c r="C340" t="s">
        <v>55</v>
      </c>
      <c r="D340">
        <v>1</v>
      </c>
      <c r="E340" t="s">
        <v>34</v>
      </c>
      <c r="F340">
        <v>2</v>
      </c>
      <c r="G340">
        <v>1</v>
      </c>
      <c r="H340" t="s">
        <v>56</v>
      </c>
      <c r="I340">
        <v>2</v>
      </c>
      <c r="J340" t="s">
        <v>51</v>
      </c>
      <c r="K340">
        <v>2269</v>
      </c>
      <c r="L340">
        <v>0</v>
      </c>
      <c r="M340" t="s">
        <v>41</v>
      </c>
      <c r="N340">
        <v>14</v>
      </c>
      <c r="O340">
        <v>3</v>
      </c>
      <c r="P340">
        <v>1</v>
      </c>
      <c r="Q340">
        <v>3</v>
      </c>
      <c r="R340">
        <v>2</v>
      </c>
      <c r="S340">
        <v>2</v>
      </c>
      <c r="T340">
        <v>2</v>
      </c>
      <c r="U340">
        <v>2</v>
      </c>
      <c r="V340" t="s">
        <v>37</v>
      </c>
      <c r="W340" s="1" t="s">
        <v>187</v>
      </c>
      <c r="Y340" t="s">
        <v>69</v>
      </c>
      <c r="Z340" t="s">
        <v>47</v>
      </c>
      <c r="AA340">
        <v>3</v>
      </c>
      <c r="AB340">
        <v>2</v>
      </c>
      <c r="AC340" t="s">
        <v>41</v>
      </c>
      <c r="AD340" t="s">
        <v>67</v>
      </c>
      <c r="AE340" t="s">
        <v>49</v>
      </c>
      <c r="AF340" s="3">
        <v>456</v>
      </c>
      <c r="AG340" s="3">
        <v>30</v>
      </c>
      <c r="AH340">
        <v>80</v>
      </c>
      <c r="AI340">
        <v>9</v>
      </c>
      <c r="AJ340">
        <v>0</v>
      </c>
      <c r="AL340">
        <v>0</v>
      </c>
      <c r="AM340">
        <v>1</v>
      </c>
      <c r="AN340" t="s">
        <v>768</v>
      </c>
      <c r="AO340" t="s">
        <v>41</v>
      </c>
    </row>
    <row r="341" spans="1:41" x14ac:dyDescent="0.25">
      <c r="A341">
        <v>21</v>
      </c>
      <c r="B341" t="s">
        <v>32</v>
      </c>
      <c r="C341" t="s">
        <v>55</v>
      </c>
      <c r="D341">
        <v>5</v>
      </c>
      <c r="E341" t="s">
        <v>34</v>
      </c>
      <c r="F341">
        <v>3</v>
      </c>
      <c r="G341">
        <v>1</v>
      </c>
      <c r="H341" t="s">
        <v>56</v>
      </c>
      <c r="I341">
        <v>1</v>
      </c>
      <c r="J341" t="s">
        <v>36</v>
      </c>
      <c r="K341">
        <v>2380</v>
      </c>
      <c r="L341">
        <v>1</v>
      </c>
      <c r="M341" t="s">
        <v>31</v>
      </c>
      <c r="N341">
        <v>11</v>
      </c>
      <c r="O341">
        <v>3</v>
      </c>
      <c r="P341">
        <v>0</v>
      </c>
      <c r="Q341">
        <v>2</v>
      </c>
      <c r="R341">
        <v>6</v>
      </c>
      <c r="S341">
        <v>2</v>
      </c>
      <c r="T341">
        <v>1</v>
      </c>
      <c r="U341">
        <v>2</v>
      </c>
      <c r="V341" t="s">
        <v>72</v>
      </c>
      <c r="W341" s="2">
        <v>43498</v>
      </c>
      <c r="Y341" t="s">
        <v>69</v>
      </c>
      <c r="Z341" t="s">
        <v>40</v>
      </c>
      <c r="AA341">
        <v>4</v>
      </c>
      <c r="AB341">
        <v>2</v>
      </c>
      <c r="AC341" t="s">
        <v>31</v>
      </c>
      <c r="AD341" t="s">
        <v>48</v>
      </c>
      <c r="AE341" t="s">
        <v>49</v>
      </c>
      <c r="AF341" s="3">
        <v>458</v>
      </c>
      <c r="AG341" s="3">
        <v>56</v>
      </c>
      <c r="AH341">
        <v>80</v>
      </c>
      <c r="AI341">
        <v>7</v>
      </c>
      <c r="AJ341">
        <v>0</v>
      </c>
      <c r="AL341">
        <v>0</v>
      </c>
      <c r="AM341">
        <v>1</v>
      </c>
      <c r="AN341" t="s">
        <v>768</v>
      </c>
      <c r="AO341" t="s">
        <v>41</v>
      </c>
    </row>
    <row r="342" spans="1:41" x14ac:dyDescent="0.25">
      <c r="A342">
        <v>29</v>
      </c>
      <c r="B342" t="s">
        <v>32</v>
      </c>
      <c r="C342" t="s">
        <v>33</v>
      </c>
      <c r="D342">
        <v>1</v>
      </c>
      <c r="E342" t="s">
        <v>34</v>
      </c>
      <c r="F342">
        <v>3</v>
      </c>
      <c r="G342">
        <v>1</v>
      </c>
      <c r="H342" t="s">
        <v>44</v>
      </c>
      <c r="I342">
        <v>4</v>
      </c>
      <c r="J342" t="s">
        <v>51</v>
      </c>
      <c r="K342">
        <v>4787</v>
      </c>
      <c r="L342">
        <v>9</v>
      </c>
      <c r="M342" t="s">
        <v>31</v>
      </c>
      <c r="N342">
        <v>14</v>
      </c>
      <c r="O342">
        <v>3</v>
      </c>
      <c r="P342">
        <v>3</v>
      </c>
      <c r="Q342">
        <v>4</v>
      </c>
      <c r="R342">
        <v>3</v>
      </c>
      <c r="S342">
        <v>2</v>
      </c>
      <c r="T342">
        <v>2</v>
      </c>
      <c r="U342">
        <v>2</v>
      </c>
      <c r="V342" t="s">
        <v>58</v>
      </c>
      <c r="W342" s="1" t="s">
        <v>180</v>
      </c>
      <c r="Y342" t="s">
        <v>39</v>
      </c>
      <c r="Z342" t="s">
        <v>40</v>
      </c>
      <c r="AA342">
        <v>0</v>
      </c>
      <c r="AB342">
        <v>0</v>
      </c>
      <c r="AC342" t="s">
        <v>31</v>
      </c>
      <c r="AD342" t="s">
        <v>48</v>
      </c>
      <c r="AE342" t="s">
        <v>49</v>
      </c>
      <c r="AF342" s="3">
        <v>460</v>
      </c>
      <c r="AG342" s="3">
        <v>61</v>
      </c>
      <c r="AH342">
        <v>80</v>
      </c>
      <c r="AI342">
        <v>2</v>
      </c>
      <c r="AJ342">
        <v>0</v>
      </c>
      <c r="AL342">
        <v>0</v>
      </c>
      <c r="AM342">
        <v>1</v>
      </c>
      <c r="AN342" t="s">
        <v>768</v>
      </c>
      <c r="AO342" t="s">
        <v>41</v>
      </c>
    </row>
    <row r="343" spans="1:41" x14ac:dyDescent="0.25">
      <c r="A343">
        <v>40</v>
      </c>
      <c r="B343" t="s">
        <v>32</v>
      </c>
      <c r="C343" t="s">
        <v>33</v>
      </c>
      <c r="D343">
        <v>2</v>
      </c>
      <c r="E343" t="s">
        <v>34</v>
      </c>
      <c r="F343">
        <v>2</v>
      </c>
      <c r="G343">
        <v>1</v>
      </c>
      <c r="H343" t="s">
        <v>44</v>
      </c>
      <c r="I343">
        <v>3</v>
      </c>
      <c r="J343" t="s">
        <v>36</v>
      </c>
      <c r="K343">
        <v>2809</v>
      </c>
      <c r="L343">
        <v>2</v>
      </c>
      <c r="M343" t="s">
        <v>41</v>
      </c>
      <c r="N343">
        <v>14</v>
      </c>
      <c r="O343">
        <v>3</v>
      </c>
      <c r="P343">
        <v>0</v>
      </c>
      <c r="Q343">
        <v>8</v>
      </c>
      <c r="R343">
        <v>2</v>
      </c>
      <c r="S343">
        <v>2</v>
      </c>
      <c r="T343">
        <v>2</v>
      </c>
      <c r="U343">
        <v>2</v>
      </c>
      <c r="V343" t="s">
        <v>58</v>
      </c>
      <c r="W343" s="1" t="s">
        <v>217</v>
      </c>
      <c r="Y343" t="s">
        <v>69</v>
      </c>
      <c r="Z343" t="s">
        <v>40</v>
      </c>
      <c r="AA343">
        <v>4</v>
      </c>
      <c r="AB343">
        <v>2</v>
      </c>
      <c r="AC343" t="s">
        <v>31</v>
      </c>
      <c r="AD343" t="s">
        <v>67</v>
      </c>
      <c r="AE343" t="s">
        <v>49</v>
      </c>
      <c r="AF343" s="3">
        <v>461</v>
      </c>
      <c r="AG343" s="3">
        <v>92</v>
      </c>
      <c r="AH343">
        <v>80</v>
      </c>
      <c r="AI343">
        <v>10</v>
      </c>
      <c r="AJ343">
        <v>0</v>
      </c>
      <c r="AL343">
        <v>0</v>
      </c>
      <c r="AM343">
        <v>1</v>
      </c>
      <c r="AN343" t="s">
        <v>768</v>
      </c>
      <c r="AO343" t="s">
        <v>41</v>
      </c>
    </row>
    <row r="344" spans="1:41" x14ac:dyDescent="0.25">
      <c r="A344">
        <v>38</v>
      </c>
      <c r="B344" t="s">
        <v>32</v>
      </c>
      <c r="C344" t="s">
        <v>33</v>
      </c>
      <c r="D344">
        <v>2</v>
      </c>
      <c r="E344" t="s">
        <v>34</v>
      </c>
      <c r="F344">
        <v>3</v>
      </c>
      <c r="G344">
        <v>1</v>
      </c>
      <c r="H344" t="s">
        <v>44</v>
      </c>
      <c r="I344">
        <v>4</v>
      </c>
      <c r="J344" t="s">
        <v>36</v>
      </c>
      <c r="K344">
        <v>3944</v>
      </c>
      <c r="L344">
        <v>5</v>
      </c>
      <c r="M344" t="s">
        <v>31</v>
      </c>
      <c r="N344">
        <v>11</v>
      </c>
      <c r="O344">
        <v>3</v>
      </c>
      <c r="P344">
        <v>0</v>
      </c>
      <c r="Q344">
        <v>6</v>
      </c>
      <c r="R344">
        <v>3</v>
      </c>
      <c r="S344">
        <v>3</v>
      </c>
      <c r="T344">
        <v>1</v>
      </c>
      <c r="U344">
        <v>2</v>
      </c>
      <c r="V344" t="s">
        <v>52</v>
      </c>
      <c r="W344" s="1" t="s">
        <v>218</v>
      </c>
      <c r="Y344" t="s">
        <v>46</v>
      </c>
      <c r="Z344" t="s">
        <v>40</v>
      </c>
      <c r="AA344">
        <v>3</v>
      </c>
      <c r="AB344">
        <v>1</v>
      </c>
      <c r="AC344" t="s">
        <v>31</v>
      </c>
      <c r="AD344" t="s">
        <v>42</v>
      </c>
      <c r="AE344" t="s">
        <v>49</v>
      </c>
      <c r="AF344" s="3">
        <v>462</v>
      </c>
      <c r="AG344" s="3">
        <v>39</v>
      </c>
      <c r="AH344">
        <v>80</v>
      </c>
      <c r="AI344">
        <v>9</v>
      </c>
      <c r="AJ344">
        <v>0</v>
      </c>
      <c r="AL344">
        <v>0</v>
      </c>
      <c r="AM344">
        <v>1</v>
      </c>
      <c r="AN344" t="s">
        <v>768</v>
      </c>
      <c r="AO344" t="s">
        <v>41</v>
      </c>
    </row>
    <row r="345" spans="1:41" x14ac:dyDescent="0.25">
      <c r="A345">
        <v>50</v>
      </c>
      <c r="B345" t="s">
        <v>32</v>
      </c>
      <c r="C345" t="s">
        <v>55</v>
      </c>
      <c r="D345">
        <v>3</v>
      </c>
      <c r="E345" t="s">
        <v>34</v>
      </c>
      <c r="F345">
        <v>2</v>
      </c>
      <c r="G345">
        <v>1</v>
      </c>
      <c r="H345" t="s">
        <v>56</v>
      </c>
      <c r="I345">
        <v>3</v>
      </c>
      <c r="J345" t="s">
        <v>51</v>
      </c>
      <c r="K345">
        <v>2683</v>
      </c>
      <c r="L345">
        <v>1</v>
      </c>
      <c r="M345" t="s">
        <v>31</v>
      </c>
      <c r="N345">
        <v>14</v>
      </c>
      <c r="O345">
        <v>3</v>
      </c>
      <c r="P345">
        <v>0</v>
      </c>
      <c r="Q345">
        <v>3</v>
      </c>
      <c r="R345">
        <v>2</v>
      </c>
      <c r="S345">
        <v>3</v>
      </c>
      <c r="T345">
        <v>0</v>
      </c>
      <c r="U345">
        <v>2</v>
      </c>
      <c r="V345" t="s">
        <v>58</v>
      </c>
      <c r="W345" s="1" t="s">
        <v>219</v>
      </c>
      <c r="Y345" t="s">
        <v>63</v>
      </c>
      <c r="Z345" t="s">
        <v>47</v>
      </c>
      <c r="AA345">
        <v>3</v>
      </c>
      <c r="AB345">
        <v>0</v>
      </c>
      <c r="AC345" t="s">
        <v>31</v>
      </c>
      <c r="AD345" t="s">
        <v>67</v>
      </c>
      <c r="AE345" t="s">
        <v>43</v>
      </c>
      <c r="AF345" s="3">
        <v>463</v>
      </c>
      <c r="AG345" s="3">
        <v>39</v>
      </c>
      <c r="AH345">
        <v>80</v>
      </c>
      <c r="AI345">
        <v>7</v>
      </c>
      <c r="AJ345">
        <v>0</v>
      </c>
      <c r="AL345">
        <v>0</v>
      </c>
      <c r="AM345">
        <v>1</v>
      </c>
      <c r="AN345" t="s">
        <v>768</v>
      </c>
      <c r="AO345" t="s">
        <v>41</v>
      </c>
    </row>
    <row r="346" spans="1:41" x14ac:dyDescent="0.25">
      <c r="A346">
        <v>35</v>
      </c>
      <c r="B346" t="s">
        <v>66</v>
      </c>
      <c r="C346" t="s">
        <v>33</v>
      </c>
      <c r="D346">
        <v>1</v>
      </c>
      <c r="E346" t="s">
        <v>34</v>
      </c>
      <c r="F346">
        <v>3</v>
      </c>
      <c r="G346">
        <v>1</v>
      </c>
      <c r="H346" t="s">
        <v>44</v>
      </c>
      <c r="I346">
        <v>1</v>
      </c>
      <c r="J346" t="s">
        <v>51</v>
      </c>
      <c r="K346">
        <v>2194</v>
      </c>
      <c r="L346">
        <v>4</v>
      </c>
      <c r="M346" t="s">
        <v>41</v>
      </c>
      <c r="N346">
        <v>13</v>
      </c>
      <c r="O346">
        <v>3</v>
      </c>
      <c r="P346">
        <v>1</v>
      </c>
      <c r="Q346">
        <v>5</v>
      </c>
      <c r="R346">
        <v>2</v>
      </c>
      <c r="S346">
        <v>3</v>
      </c>
      <c r="T346">
        <v>1</v>
      </c>
      <c r="U346">
        <v>2</v>
      </c>
      <c r="V346" t="s">
        <v>37</v>
      </c>
      <c r="W346" s="2">
        <v>43132</v>
      </c>
      <c r="Y346" t="s">
        <v>46</v>
      </c>
      <c r="Z346" t="s">
        <v>47</v>
      </c>
      <c r="AA346">
        <v>2</v>
      </c>
      <c r="AB346">
        <v>3</v>
      </c>
      <c r="AC346" t="s">
        <v>31</v>
      </c>
      <c r="AD346" t="s">
        <v>48</v>
      </c>
      <c r="AE346" t="s">
        <v>60</v>
      </c>
      <c r="AF346" s="3">
        <v>464</v>
      </c>
      <c r="AG346" s="3">
        <v>62</v>
      </c>
      <c r="AH346">
        <v>80</v>
      </c>
      <c r="AI346">
        <v>6</v>
      </c>
      <c r="AJ346">
        <v>0</v>
      </c>
      <c r="AL346">
        <v>0</v>
      </c>
      <c r="AM346">
        <v>1</v>
      </c>
      <c r="AN346" t="s">
        <v>768</v>
      </c>
      <c r="AO346" t="s">
        <v>41</v>
      </c>
    </row>
    <row r="347" spans="1:41" x14ac:dyDescent="0.25">
      <c r="A347">
        <v>24</v>
      </c>
      <c r="B347" t="s">
        <v>32</v>
      </c>
      <c r="C347" t="s">
        <v>55</v>
      </c>
      <c r="D347">
        <v>3</v>
      </c>
      <c r="E347" t="s">
        <v>61</v>
      </c>
      <c r="F347">
        <v>3</v>
      </c>
      <c r="G347">
        <v>2</v>
      </c>
      <c r="H347" t="s">
        <v>70</v>
      </c>
      <c r="I347">
        <v>3</v>
      </c>
      <c r="J347" t="s">
        <v>51</v>
      </c>
      <c r="K347">
        <v>4999</v>
      </c>
      <c r="L347">
        <v>0</v>
      </c>
      <c r="M347" t="s">
        <v>41</v>
      </c>
      <c r="N347">
        <v>21</v>
      </c>
      <c r="O347">
        <v>4</v>
      </c>
      <c r="P347">
        <v>1</v>
      </c>
      <c r="Q347">
        <v>4</v>
      </c>
      <c r="R347">
        <v>2</v>
      </c>
      <c r="S347">
        <v>3</v>
      </c>
      <c r="T347">
        <v>0</v>
      </c>
      <c r="U347">
        <v>2</v>
      </c>
      <c r="V347" t="s">
        <v>37</v>
      </c>
      <c r="W347" s="1" t="s">
        <v>220</v>
      </c>
      <c r="Y347" t="s">
        <v>54</v>
      </c>
      <c r="Z347" t="s">
        <v>40</v>
      </c>
      <c r="AA347">
        <v>1</v>
      </c>
      <c r="AB347">
        <v>1</v>
      </c>
      <c r="AC347" t="s">
        <v>41</v>
      </c>
      <c r="AD347" t="s">
        <v>48</v>
      </c>
      <c r="AE347" t="s">
        <v>60</v>
      </c>
      <c r="AF347" s="3">
        <v>465</v>
      </c>
      <c r="AG347" s="3">
        <v>83</v>
      </c>
      <c r="AH347">
        <v>80</v>
      </c>
      <c r="AI347">
        <v>2</v>
      </c>
      <c r="AJ347">
        <v>0</v>
      </c>
      <c r="AL347">
        <v>0</v>
      </c>
      <c r="AM347">
        <v>1</v>
      </c>
      <c r="AN347" t="s">
        <v>768</v>
      </c>
      <c r="AO347" t="s">
        <v>41</v>
      </c>
    </row>
    <row r="348" spans="1:41" x14ac:dyDescent="0.25">
      <c r="A348">
        <v>44</v>
      </c>
      <c r="B348" t="s">
        <v>81</v>
      </c>
      <c r="C348" t="s">
        <v>33</v>
      </c>
      <c r="D348">
        <v>23</v>
      </c>
      <c r="E348" t="s">
        <v>34</v>
      </c>
      <c r="F348">
        <v>3</v>
      </c>
      <c r="G348">
        <v>2</v>
      </c>
      <c r="H348" t="s">
        <v>35</v>
      </c>
      <c r="I348">
        <v>2</v>
      </c>
      <c r="J348" t="s">
        <v>51</v>
      </c>
      <c r="K348">
        <v>2042</v>
      </c>
      <c r="L348">
        <v>4</v>
      </c>
      <c r="M348" t="s">
        <v>41</v>
      </c>
      <c r="N348">
        <v>12</v>
      </c>
      <c r="O348">
        <v>3</v>
      </c>
      <c r="P348">
        <v>1</v>
      </c>
      <c r="Q348">
        <v>17</v>
      </c>
      <c r="R348">
        <v>3</v>
      </c>
      <c r="S348">
        <v>3</v>
      </c>
      <c r="T348">
        <v>1</v>
      </c>
      <c r="U348">
        <v>2</v>
      </c>
      <c r="V348" t="s">
        <v>37</v>
      </c>
      <c r="W348" s="1" t="s">
        <v>221</v>
      </c>
      <c r="Y348" t="s">
        <v>54</v>
      </c>
      <c r="Z348" t="s">
        <v>47</v>
      </c>
      <c r="AA348">
        <v>5</v>
      </c>
      <c r="AB348">
        <v>0</v>
      </c>
      <c r="AC348" t="s">
        <v>31</v>
      </c>
      <c r="AD348" t="s">
        <v>42</v>
      </c>
      <c r="AE348" t="s">
        <v>60</v>
      </c>
      <c r="AF348" s="3">
        <v>466</v>
      </c>
      <c r="AG348" s="3">
        <v>95</v>
      </c>
      <c r="AH348">
        <v>80</v>
      </c>
      <c r="AI348">
        <v>4</v>
      </c>
      <c r="AJ348">
        <v>0</v>
      </c>
      <c r="AL348">
        <v>0</v>
      </c>
      <c r="AM348">
        <v>1</v>
      </c>
      <c r="AN348" t="s">
        <v>768</v>
      </c>
      <c r="AO348" t="s">
        <v>41</v>
      </c>
    </row>
    <row r="349" spans="1:41" x14ac:dyDescent="0.25">
      <c r="A349">
        <v>37</v>
      </c>
      <c r="B349" t="s">
        <v>32</v>
      </c>
      <c r="C349" t="s">
        <v>120</v>
      </c>
      <c r="D349">
        <v>6</v>
      </c>
      <c r="E349" t="s">
        <v>34</v>
      </c>
      <c r="F349">
        <v>3</v>
      </c>
      <c r="G349">
        <v>1</v>
      </c>
      <c r="H349" t="s">
        <v>120</v>
      </c>
      <c r="I349">
        <v>1</v>
      </c>
      <c r="J349" t="s">
        <v>57</v>
      </c>
      <c r="K349">
        <v>2073</v>
      </c>
      <c r="L349">
        <v>4</v>
      </c>
      <c r="M349" t="s">
        <v>31</v>
      </c>
      <c r="N349">
        <v>22</v>
      </c>
      <c r="O349">
        <v>4</v>
      </c>
      <c r="P349">
        <v>0</v>
      </c>
      <c r="Q349">
        <v>7</v>
      </c>
      <c r="R349">
        <v>3</v>
      </c>
      <c r="S349">
        <v>3</v>
      </c>
      <c r="T349">
        <v>0</v>
      </c>
      <c r="U349">
        <v>2</v>
      </c>
      <c r="V349" t="s">
        <v>58</v>
      </c>
      <c r="W349" s="1" t="s">
        <v>222</v>
      </c>
      <c r="Y349" t="s">
        <v>69</v>
      </c>
      <c r="Z349" t="s">
        <v>47</v>
      </c>
      <c r="AA349">
        <v>1</v>
      </c>
      <c r="AB349">
        <v>0</v>
      </c>
      <c r="AC349" t="s">
        <v>31</v>
      </c>
      <c r="AD349" t="s">
        <v>65</v>
      </c>
      <c r="AE349" t="s">
        <v>60</v>
      </c>
      <c r="AF349" s="3">
        <v>467</v>
      </c>
      <c r="AG349" s="3">
        <v>99</v>
      </c>
      <c r="AH349">
        <v>80</v>
      </c>
      <c r="AI349">
        <v>0</v>
      </c>
      <c r="AJ349">
        <v>0</v>
      </c>
      <c r="AL349">
        <v>0</v>
      </c>
      <c r="AM349">
        <v>1</v>
      </c>
      <c r="AN349" t="s">
        <v>768</v>
      </c>
      <c r="AO349" t="s">
        <v>41</v>
      </c>
    </row>
    <row r="350" spans="1:41" x14ac:dyDescent="0.25">
      <c r="A350">
        <v>59</v>
      </c>
      <c r="B350" t="s">
        <v>81</v>
      </c>
      <c r="C350" t="s">
        <v>120</v>
      </c>
      <c r="D350">
        <v>2</v>
      </c>
      <c r="E350" t="s">
        <v>61</v>
      </c>
      <c r="F350">
        <v>2</v>
      </c>
      <c r="G350">
        <v>5</v>
      </c>
      <c r="H350" t="s">
        <v>75</v>
      </c>
      <c r="I350">
        <v>4</v>
      </c>
      <c r="J350" t="s">
        <v>51</v>
      </c>
      <c r="K350">
        <v>18844</v>
      </c>
      <c r="L350">
        <v>9</v>
      </c>
      <c r="M350" t="s">
        <v>41</v>
      </c>
      <c r="N350">
        <v>21</v>
      </c>
      <c r="O350">
        <v>4</v>
      </c>
      <c r="P350">
        <v>1</v>
      </c>
      <c r="Q350">
        <v>30</v>
      </c>
      <c r="R350">
        <v>3</v>
      </c>
      <c r="S350">
        <v>3</v>
      </c>
      <c r="T350">
        <v>2</v>
      </c>
      <c r="U350">
        <v>2</v>
      </c>
      <c r="V350" t="s">
        <v>72</v>
      </c>
      <c r="W350" s="2">
        <v>43137</v>
      </c>
      <c r="Y350" t="s">
        <v>54</v>
      </c>
      <c r="Z350" t="s">
        <v>40</v>
      </c>
      <c r="AA350">
        <v>4</v>
      </c>
      <c r="AB350">
        <v>2</v>
      </c>
      <c r="AC350" t="s">
        <v>41</v>
      </c>
      <c r="AD350" t="s">
        <v>65</v>
      </c>
      <c r="AE350" t="s">
        <v>49</v>
      </c>
      <c r="AF350" s="3">
        <v>468</v>
      </c>
      <c r="AG350" s="3">
        <v>44</v>
      </c>
      <c r="AH350">
        <v>80</v>
      </c>
      <c r="AI350">
        <v>0</v>
      </c>
      <c r="AJ350">
        <v>0</v>
      </c>
      <c r="AL350">
        <v>0</v>
      </c>
      <c r="AM350">
        <v>1</v>
      </c>
      <c r="AN350" t="s">
        <v>768</v>
      </c>
      <c r="AO350" t="s">
        <v>41</v>
      </c>
    </row>
    <row r="351" spans="1:41" x14ac:dyDescent="0.25">
      <c r="A351">
        <v>43</v>
      </c>
      <c r="B351" t="s">
        <v>66</v>
      </c>
      <c r="C351" t="s">
        <v>33</v>
      </c>
      <c r="D351">
        <v>28</v>
      </c>
      <c r="E351" t="s">
        <v>61</v>
      </c>
      <c r="F351">
        <v>4</v>
      </c>
      <c r="G351">
        <v>1</v>
      </c>
      <c r="H351" t="s">
        <v>44</v>
      </c>
      <c r="I351">
        <v>3</v>
      </c>
      <c r="J351" t="s">
        <v>36</v>
      </c>
      <c r="K351">
        <v>4739</v>
      </c>
      <c r="L351">
        <v>4</v>
      </c>
      <c r="M351" t="s">
        <v>41</v>
      </c>
      <c r="N351">
        <v>12</v>
      </c>
      <c r="O351">
        <v>3</v>
      </c>
      <c r="P351">
        <v>0</v>
      </c>
      <c r="Q351">
        <v>18</v>
      </c>
      <c r="R351">
        <v>2</v>
      </c>
      <c r="S351">
        <v>3</v>
      </c>
      <c r="T351">
        <v>1</v>
      </c>
      <c r="U351">
        <v>2</v>
      </c>
      <c r="V351" t="s">
        <v>52</v>
      </c>
      <c r="W351" s="1" t="s">
        <v>223</v>
      </c>
      <c r="Y351" t="s">
        <v>63</v>
      </c>
      <c r="Z351" t="s">
        <v>40</v>
      </c>
      <c r="AA351">
        <v>2</v>
      </c>
      <c r="AB351">
        <v>2</v>
      </c>
      <c r="AC351" t="s">
        <v>41</v>
      </c>
      <c r="AD351" t="s">
        <v>65</v>
      </c>
      <c r="AE351" t="s">
        <v>60</v>
      </c>
      <c r="AF351" s="3">
        <v>469</v>
      </c>
      <c r="AG351" s="3">
        <v>61</v>
      </c>
      <c r="AH351">
        <v>80</v>
      </c>
      <c r="AI351">
        <v>3</v>
      </c>
      <c r="AJ351">
        <v>0</v>
      </c>
      <c r="AL351">
        <v>0</v>
      </c>
      <c r="AM351">
        <v>1</v>
      </c>
      <c r="AN351" t="s">
        <v>768</v>
      </c>
      <c r="AO351" t="s">
        <v>41</v>
      </c>
    </row>
    <row r="352" spans="1:41" x14ac:dyDescent="0.25">
      <c r="A352">
        <v>36</v>
      </c>
      <c r="B352" t="s">
        <v>32</v>
      </c>
      <c r="C352" t="s">
        <v>33</v>
      </c>
      <c r="D352">
        <v>6</v>
      </c>
      <c r="E352" t="s">
        <v>34</v>
      </c>
      <c r="F352">
        <v>3</v>
      </c>
      <c r="G352">
        <v>2</v>
      </c>
      <c r="H352" t="s">
        <v>78</v>
      </c>
      <c r="I352">
        <v>2</v>
      </c>
      <c r="J352" t="s">
        <v>57</v>
      </c>
      <c r="K352">
        <v>4941</v>
      </c>
      <c r="L352">
        <v>6</v>
      </c>
      <c r="M352" t="s">
        <v>41</v>
      </c>
      <c r="N352">
        <v>20</v>
      </c>
      <c r="O352">
        <v>4</v>
      </c>
      <c r="P352">
        <v>2</v>
      </c>
      <c r="Q352">
        <v>7</v>
      </c>
      <c r="R352">
        <v>0</v>
      </c>
      <c r="S352">
        <v>3</v>
      </c>
      <c r="T352">
        <v>0</v>
      </c>
      <c r="U352">
        <v>1</v>
      </c>
      <c r="V352" t="s">
        <v>37</v>
      </c>
      <c r="W352" s="1" t="s">
        <v>224</v>
      </c>
      <c r="Y352" t="s">
        <v>63</v>
      </c>
      <c r="Z352" t="s">
        <v>40</v>
      </c>
      <c r="AA352">
        <v>0</v>
      </c>
      <c r="AB352">
        <v>2</v>
      </c>
      <c r="AC352" t="s">
        <v>41</v>
      </c>
      <c r="AD352" t="s">
        <v>42</v>
      </c>
      <c r="AE352" t="s">
        <v>60</v>
      </c>
      <c r="AF352" s="3">
        <v>470</v>
      </c>
      <c r="AG352" s="3">
        <v>52</v>
      </c>
      <c r="AH352">
        <v>80</v>
      </c>
      <c r="AI352">
        <v>2</v>
      </c>
      <c r="AJ352">
        <v>0</v>
      </c>
      <c r="AL352">
        <v>0</v>
      </c>
      <c r="AM352">
        <v>1</v>
      </c>
      <c r="AN352" t="s">
        <v>768</v>
      </c>
      <c r="AO352" t="s">
        <v>41</v>
      </c>
    </row>
    <row r="353" spans="1:41" x14ac:dyDescent="0.25">
      <c r="A353">
        <v>38</v>
      </c>
      <c r="B353" t="s">
        <v>32</v>
      </c>
      <c r="C353" t="s">
        <v>33</v>
      </c>
      <c r="D353">
        <v>3</v>
      </c>
      <c r="E353" t="s">
        <v>61</v>
      </c>
      <c r="F353">
        <v>3</v>
      </c>
      <c r="G353">
        <v>2</v>
      </c>
      <c r="H353" t="s">
        <v>44</v>
      </c>
      <c r="I353">
        <v>3</v>
      </c>
      <c r="J353" t="s">
        <v>36</v>
      </c>
      <c r="K353">
        <v>4317</v>
      </c>
      <c r="L353">
        <v>3</v>
      </c>
      <c r="M353" t="s">
        <v>31</v>
      </c>
      <c r="N353">
        <v>20</v>
      </c>
      <c r="O353">
        <v>4</v>
      </c>
      <c r="P353">
        <v>0</v>
      </c>
      <c r="Q353">
        <v>19</v>
      </c>
      <c r="R353">
        <v>2</v>
      </c>
      <c r="S353">
        <v>3</v>
      </c>
      <c r="T353">
        <v>2</v>
      </c>
      <c r="U353">
        <v>2</v>
      </c>
      <c r="V353" t="s">
        <v>72</v>
      </c>
      <c r="W353" s="1" t="s">
        <v>225</v>
      </c>
      <c r="Y353" t="s">
        <v>39</v>
      </c>
      <c r="Z353" t="s">
        <v>47</v>
      </c>
      <c r="AA353">
        <v>5</v>
      </c>
      <c r="AB353">
        <v>0</v>
      </c>
      <c r="AC353" t="s">
        <v>31</v>
      </c>
      <c r="AD353" t="s">
        <v>42</v>
      </c>
      <c r="AE353" t="s">
        <v>60</v>
      </c>
      <c r="AF353" s="3">
        <v>471</v>
      </c>
      <c r="AG353" s="3">
        <v>75</v>
      </c>
      <c r="AH353">
        <v>80</v>
      </c>
      <c r="AI353">
        <v>0</v>
      </c>
      <c r="AJ353">
        <v>0</v>
      </c>
      <c r="AL353">
        <v>0</v>
      </c>
      <c r="AM353">
        <v>1</v>
      </c>
      <c r="AN353" t="s">
        <v>768</v>
      </c>
      <c r="AO353" t="s">
        <v>41</v>
      </c>
    </row>
    <row r="354" spans="1:41" x14ac:dyDescent="0.25">
      <c r="A354">
        <v>30</v>
      </c>
      <c r="B354" t="s">
        <v>32</v>
      </c>
      <c r="C354" t="s">
        <v>33</v>
      </c>
      <c r="D354">
        <v>5</v>
      </c>
      <c r="E354" t="s">
        <v>61</v>
      </c>
      <c r="F354">
        <v>3</v>
      </c>
      <c r="G354">
        <v>1</v>
      </c>
      <c r="H354" t="s">
        <v>44</v>
      </c>
      <c r="I354">
        <v>1</v>
      </c>
      <c r="J354" t="s">
        <v>57</v>
      </c>
      <c r="K354">
        <v>3204</v>
      </c>
      <c r="L354">
        <v>5</v>
      </c>
      <c r="M354" t="s">
        <v>41</v>
      </c>
      <c r="N354">
        <v>14</v>
      </c>
      <c r="O354">
        <v>3</v>
      </c>
      <c r="P354">
        <v>1</v>
      </c>
      <c r="Q354">
        <v>8</v>
      </c>
      <c r="R354">
        <v>3</v>
      </c>
      <c r="S354">
        <v>3</v>
      </c>
      <c r="T354">
        <v>2</v>
      </c>
      <c r="U354">
        <v>2</v>
      </c>
      <c r="V354" t="s">
        <v>72</v>
      </c>
      <c r="W354" s="1" t="s">
        <v>226</v>
      </c>
      <c r="Y354" t="s">
        <v>54</v>
      </c>
      <c r="Z354" t="s">
        <v>40</v>
      </c>
      <c r="AA354">
        <v>0</v>
      </c>
      <c r="AB354">
        <v>2</v>
      </c>
      <c r="AC354" t="s">
        <v>41</v>
      </c>
      <c r="AD354" t="s">
        <v>67</v>
      </c>
      <c r="AE354" t="s">
        <v>60</v>
      </c>
      <c r="AF354" s="3">
        <v>473</v>
      </c>
      <c r="AG354" s="3">
        <v>91</v>
      </c>
      <c r="AH354">
        <v>80</v>
      </c>
      <c r="AI354">
        <v>0</v>
      </c>
      <c r="AJ354">
        <v>0</v>
      </c>
      <c r="AL354">
        <v>0</v>
      </c>
      <c r="AM354">
        <v>1</v>
      </c>
      <c r="AN354" t="s">
        <v>768</v>
      </c>
      <c r="AO354" t="s">
        <v>41</v>
      </c>
    </row>
    <row r="355" spans="1:41" x14ac:dyDescent="0.25">
      <c r="A355">
        <v>33</v>
      </c>
      <c r="B355" t="s">
        <v>32</v>
      </c>
      <c r="C355" t="s">
        <v>33</v>
      </c>
      <c r="D355">
        <v>2</v>
      </c>
      <c r="E355" t="s">
        <v>34</v>
      </c>
      <c r="F355">
        <v>3</v>
      </c>
      <c r="G355">
        <v>1</v>
      </c>
      <c r="H355" t="s">
        <v>44</v>
      </c>
      <c r="I355">
        <v>4</v>
      </c>
      <c r="J355" t="s">
        <v>36</v>
      </c>
      <c r="K355">
        <v>2500</v>
      </c>
      <c r="L355">
        <v>0</v>
      </c>
      <c r="M355" t="s">
        <v>41</v>
      </c>
      <c r="N355">
        <v>14</v>
      </c>
      <c r="O355">
        <v>3</v>
      </c>
      <c r="P355">
        <v>0</v>
      </c>
      <c r="Q355">
        <v>4</v>
      </c>
      <c r="R355">
        <v>2</v>
      </c>
      <c r="S355">
        <v>3</v>
      </c>
      <c r="T355">
        <v>0</v>
      </c>
      <c r="U355">
        <v>2</v>
      </c>
      <c r="V355" t="s">
        <v>37</v>
      </c>
      <c r="W355" s="2">
        <v>43191</v>
      </c>
      <c r="Y355" t="s">
        <v>46</v>
      </c>
      <c r="Z355" t="s">
        <v>40</v>
      </c>
      <c r="AA355">
        <v>0</v>
      </c>
      <c r="AB355">
        <v>0</v>
      </c>
      <c r="AC355" t="s">
        <v>41</v>
      </c>
      <c r="AD355" t="s">
        <v>48</v>
      </c>
      <c r="AE355" t="s">
        <v>43</v>
      </c>
      <c r="AF355" s="3">
        <v>474</v>
      </c>
      <c r="AG355" s="3">
        <v>51</v>
      </c>
      <c r="AH355">
        <v>80</v>
      </c>
      <c r="AI355">
        <v>7</v>
      </c>
      <c r="AJ355">
        <v>0</v>
      </c>
      <c r="AL355">
        <v>0</v>
      </c>
      <c r="AM355">
        <v>1</v>
      </c>
      <c r="AN355" t="s">
        <v>768</v>
      </c>
      <c r="AO355" t="s">
        <v>41</v>
      </c>
    </row>
    <row r="356" spans="1:41" x14ac:dyDescent="0.25">
      <c r="A356">
        <v>34</v>
      </c>
      <c r="B356" t="s">
        <v>32</v>
      </c>
      <c r="C356" t="s">
        <v>33</v>
      </c>
      <c r="D356">
        <v>27</v>
      </c>
      <c r="E356" t="s">
        <v>61</v>
      </c>
      <c r="F356">
        <v>3</v>
      </c>
      <c r="G356">
        <v>1</v>
      </c>
      <c r="H356" t="s">
        <v>44</v>
      </c>
      <c r="I356">
        <v>2</v>
      </c>
      <c r="J356" t="s">
        <v>36</v>
      </c>
      <c r="K356">
        <v>2311</v>
      </c>
      <c r="L356">
        <v>2</v>
      </c>
      <c r="M356" t="s">
        <v>41</v>
      </c>
      <c r="N356">
        <v>15</v>
      </c>
      <c r="O356">
        <v>3</v>
      </c>
      <c r="P356">
        <v>0</v>
      </c>
      <c r="Q356">
        <v>9</v>
      </c>
      <c r="R356">
        <v>3</v>
      </c>
      <c r="S356">
        <v>3</v>
      </c>
      <c r="T356">
        <v>1</v>
      </c>
      <c r="U356">
        <v>2</v>
      </c>
      <c r="V356" t="s">
        <v>58</v>
      </c>
      <c r="W356" s="1" t="s">
        <v>227</v>
      </c>
      <c r="Y356" t="s">
        <v>39</v>
      </c>
      <c r="Z356" t="s">
        <v>40</v>
      </c>
      <c r="AA356">
        <v>5</v>
      </c>
      <c r="AB356">
        <v>3</v>
      </c>
      <c r="AC356" t="s">
        <v>41</v>
      </c>
      <c r="AD356" t="s">
        <v>65</v>
      </c>
      <c r="AE356" t="s">
        <v>60</v>
      </c>
      <c r="AF356" s="3">
        <v>475</v>
      </c>
      <c r="AG356" s="3">
        <v>85</v>
      </c>
      <c r="AH356">
        <v>80</v>
      </c>
      <c r="AI356">
        <v>2</v>
      </c>
      <c r="AJ356">
        <v>0</v>
      </c>
      <c r="AL356">
        <v>0</v>
      </c>
      <c r="AM356">
        <v>1</v>
      </c>
      <c r="AN356" t="s">
        <v>768</v>
      </c>
      <c r="AO356" t="s">
        <v>41</v>
      </c>
    </row>
    <row r="357" spans="1:41" x14ac:dyDescent="0.25">
      <c r="A357">
        <v>50</v>
      </c>
      <c r="B357" t="s">
        <v>32</v>
      </c>
      <c r="C357" t="s">
        <v>33</v>
      </c>
      <c r="D357">
        <v>1</v>
      </c>
      <c r="E357" t="s">
        <v>34</v>
      </c>
      <c r="F357">
        <v>2</v>
      </c>
      <c r="G357">
        <v>1</v>
      </c>
      <c r="H357" t="s">
        <v>35</v>
      </c>
      <c r="I357">
        <v>3</v>
      </c>
      <c r="J357" t="s">
        <v>51</v>
      </c>
      <c r="K357">
        <v>3690</v>
      </c>
      <c r="L357">
        <v>2</v>
      </c>
      <c r="M357" t="s">
        <v>41</v>
      </c>
      <c r="N357">
        <v>15</v>
      </c>
      <c r="O357">
        <v>3</v>
      </c>
      <c r="P357">
        <v>1</v>
      </c>
      <c r="Q357">
        <v>5</v>
      </c>
      <c r="R357">
        <v>2</v>
      </c>
      <c r="S357">
        <v>3</v>
      </c>
      <c r="T357">
        <v>0</v>
      </c>
      <c r="U357">
        <v>2</v>
      </c>
      <c r="V357" t="s">
        <v>72</v>
      </c>
      <c r="W357" s="2">
        <v>43314</v>
      </c>
      <c r="Y357" t="s">
        <v>54</v>
      </c>
      <c r="Z357" t="s">
        <v>47</v>
      </c>
      <c r="AA357">
        <v>5</v>
      </c>
      <c r="AB357">
        <v>2</v>
      </c>
      <c r="AC357" t="s">
        <v>31</v>
      </c>
      <c r="AD357" t="s">
        <v>48</v>
      </c>
      <c r="AE357" t="s">
        <v>49</v>
      </c>
      <c r="AF357" s="3">
        <v>476</v>
      </c>
      <c r="AG357" s="3">
        <v>57</v>
      </c>
      <c r="AH357">
        <v>80</v>
      </c>
      <c r="AI357">
        <v>7</v>
      </c>
      <c r="AJ357">
        <v>0</v>
      </c>
      <c r="AL357">
        <v>0</v>
      </c>
      <c r="AM357">
        <v>1</v>
      </c>
      <c r="AN357" t="s">
        <v>768</v>
      </c>
      <c r="AO357" t="s">
        <v>41</v>
      </c>
    </row>
    <row r="358" spans="1:41" x14ac:dyDescent="0.25">
      <c r="A358">
        <v>40</v>
      </c>
      <c r="B358" t="s">
        <v>81</v>
      </c>
      <c r="C358" t="s">
        <v>33</v>
      </c>
      <c r="D358">
        <v>9</v>
      </c>
      <c r="E358" t="s">
        <v>34</v>
      </c>
      <c r="F358">
        <v>2</v>
      </c>
      <c r="G358">
        <v>2</v>
      </c>
      <c r="H358" t="s">
        <v>89</v>
      </c>
      <c r="I358">
        <v>4</v>
      </c>
      <c r="J358" t="s">
        <v>51</v>
      </c>
      <c r="K358">
        <v>4876</v>
      </c>
      <c r="L358">
        <v>9</v>
      </c>
      <c r="M358" t="s">
        <v>41</v>
      </c>
      <c r="N358">
        <v>14</v>
      </c>
      <c r="O358">
        <v>3</v>
      </c>
      <c r="P358">
        <v>1</v>
      </c>
      <c r="Q358">
        <v>5</v>
      </c>
      <c r="R358">
        <v>5</v>
      </c>
      <c r="S358">
        <v>3</v>
      </c>
      <c r="T358">
        <v>0</v>
      </c>
      <c r="U358">
        <v>2</v>
      </c>
      <c r="V358" t="s">
        <v>72</v>
      </c>
      <c r="W358" s="2">
        <v>43284</v>
      </c>
      <c r="Y358" t="s">
        <v>39</v>
      </c>
      <c r="Z358" t="s">
        <v>40</v>
      </c>
      <c r="AA358">
        <v>3</v>
      </c>
      <c r="AB358">
        <v>1</v>
      </c>
      <c r="AC358" t="s">
        <v>31</v>
      </c>
      <c r="AD358" t="s">
        <v>42</v>
      </c>
      <c r="AE358" t="s">
        <v>60</v>
      </c>
      <c r="AF358" s="3">
        <v>477</v>
      </c>
      <c r="AG358" s="3">
        <v>98</v>
      </c>
      <c r="AH358">
        <v>80</v>
      </c>
      <c r="AI358">
        <v>0</v>
      </c>
      <c r="AJ358">
        <v>0</v>
      </c>
      <c r="AL358">
        <v>0</v>
      </c>
      <c r="AM358">
        <v>1</v>
      </c>
      <c r="AN358" t="s">
        <v>768</v>
      </c>
      <c r="AO358" t="s">
        <v>41</v>
      </c>
    </row>
    <row r="359" spans="1:41" x14ac:dyDescent="0.25">
      <c r="A359">
        <v>33</v>
      </c>
      <c r="B359" t="s">
        <v>32</v>
      </c>
      <c r="C359" t="s">
        <v>33</v>
      </c>
      <c r="D359">
        <v>4</v>
      </c>
      <c r="E359" t="s">
        <v>61</v>
      </c>
      <c r="F359">
        <v>2</v>
      </c>
      <c r="G359">
        <v>1</v>
      </c>
      <c r="H359" t="s">
        <v>44</v>
      </c>
      <c r="I359">
        <v>2</v>
      </c>
      <c r="J359" t="s">
        <v>51</v>
      </c>
      <c r="K359">
        <v>2622</v>
      </c>
      <c r="L359">
        <v>6</v>
      </c>
      <c r="M359" t="s">
        <v>41</v>
      </c>
      <c r="N359">
        <v>21</v>
      </c>
      <c r="O359">
        <v>4</v>
      </c>
      <c r="P359">
        <v>0</v>
      </c>
      <c r="Q359">
        <v>7</v>
      </c>
      <c r="R359">
        <v>3</v>
      </c>
      <c r="S359">
        <v>3</v>
      </c>
      <c r="T359">
        <v>1</v>
      </c>
      <c r="U359">
        <v>1</v>
      </c>
      <c r="V359" t="s">
        <v>52</v>
      </c>
      <c r="W359" s="2">
        <v>43224</v>
      </c>
      <c r="Y359" t="s">
        <v>54</v>
      </c>
      <c r="Z359" t="s">
        <v>47</v>
      </c>
      <c r="AA359">
        <v>1</v>
      </c>
      <c r="AB359">
        <v>1</v>
      </c>
      <c r="AC359" t="s">
        <v>31</v>
      </c>
      <c r="AD359" t="s">
        <v>48</v>
      </c>
      <c r="AE359" t="s">
        <v>43</v>
      </c>
      <c r="AF359" s="3">
        <v>478</v>
      </c>
      <c r="AG359" s="3">
        <v>99</v>
      </c>
      <c r="AH359">
        <v>80</v>
      </c>
      <c r="AI359">
        <v>2</v>
      </c>
      <c r="AJ359">
        <v>1</v>
      </c>
      <c r="AK359">
        <v>1</v>
      </c>
      <c r="AL359">
        <v>1</v>
      </c>
      <c r="AM359">
        <v>0</v>
      </c>
      <c r="AN359" t="s">
        <v>767</v>
      </c>
      <c r="AO359" t="s">
        <v>31</v>
      </c>
    </row>
    <row r="360" spans="1:41" x14ac:dyDescent="0.25">
      <c r="A360">
        <v>32</v>
      </c>
      <c r="B360" t="s">
        <v>32</v>
      </c>
      <c r="C360" t="s">
        <v>33</v>
      </c>
      <c r="D360">
        <v>1</v>
      </c>
      <c r="E360" t="s">
        <v>34</v>
      </c>
      <c r="F360">
        <v>2</v>
      </c>
      <c r="G360">
        <v>1</v>
      </c>
      <c r="H360" t="s">
        <v>35</v>
      </c>
      <c r="I360">
        <v>3</v>
      </c>
      <c r="J360" t="s">
        <v>36</v>
      </c>
      <c r="K360">
        <v>3730</v>
      </c>
      <c r="L360">
        <v>0</v>
      </c>
      <c r="M360" t="s">
        <v>31</v>
      </c>
      <c r="N360">
        <v>14</v>
      </c>
      <c r="O360">
        <v>3</v>
      </c>
      <c r="P360">
        <v>0</v>
      </c>
      <c r="Q360">
        <v>4</v>
      </c>
      <c r="R360">
        <v>2</v>
      </c>
      <c r="S360">
        <v>3</v>
      </c>
      <c r="T360">
        <v>1</v>
      </c>
      <c r="U360">
        <v>2</v>
      </c>
      <c r="V360" t="s">
        <v>58</v>
      </c>
      <c r="W360" s="1" t="s">
        <v>228</v>
      </c>
      <c r="Y360" t="s">
        <v>69</v>
      </c>
      <c r="Z360" t="s">
        <v>40</v>
      </c>
      <c r="AA360">
        <v>0</v>
      </c>
      <c r="AB360">
        <v>1</v>
      </c>
      <c r="AC360" t="s">
        <v>31</v>
      </c>
      <c r="AD360" t="s">
        <v>42</v>
      </c>
      <c r="AE360" t="s">
        <v>60</v>
      </c>
      <c r="AF360" s="3">
        <v>479</v>
      </c>
      <c r="AG360" s="3">
        <v>45</v>
      </c>
      <c r="AH360">
        <v>80</v>
      </c>
      <c r="AI360">
        <v>0</v>
      </c>
      <c r="AJ360">
        <v>0</v>
      </c>
      <c r="AL360">
        <v>0</v>
      </c>
      <c r="AM360">
        <v>1</v>
      </c>
      <c r="AN360" t="s">
        <v>768</v>
      </c>
      <c r="AO360" t="s">
        <v>41</v>
      </c>
    </row>
    <row r="361" spans="1:41" x14ac:dyDescent="0.25">
      <c r="A361">
        <v>39</v>
      </c>
      <c r="B361" t="s">
        <v>32</v>
      </c>
      <c r="C361" t="s">
        <v>33</v>
      </c>
      <c r="D361">
        <v>1</v>
      </c>
      <c r="E361" t="s">
        <v>61</v>
      </c>
      <c r="F361">
        <v>3</v>
      </c>
      <c r="G361">
        <v>1</v>
      </c>
      <c r="H361" t="s">
        <v>35</v>
      </c>
      <c r="I361">
        <v>3</v>
      </c>
      <c r="J361" t="s">
        <v>57</v>
      </c>
      <c r="K361">
        <v>2232</v>
      </c>
      <c r="L361">
        <v>7</v>
      </c>
      <c r="M361" t="s">
        <v>41</v>
      </c>
      <c r="N361">
        <v>14</v>
      </c>
      <c r="O361">
        <v>3</v>
      </c>
      <c r="P361">
        <v>3</v>
      </c>
      <c r="Q361">
        <v>7</v>
      </c>
      <c r="R361">
        <v>1</v>
      </c>
      <c r="S361">
        <v>3</v>
      </c>
      <c r="T361">
        <v>1</v>
      </c>
      <c r="U361">
        <v>2</v>
      </c>
      <c r="V361" t="s">
        <v>58</v>
      </c>
      <c r="W361" s="1" t="s">
        <v>229</v>
      </c>
      <c r="Y361" t="s">
        <v>69</v>
      </c>
      <c r="Z361" t="s">
        <v>40</v>
      </c>
      <c r="AA361">
        <v>5</v>
      </c>
      <c r="AB361">
        <v>2</v>
      </c>
      <c r="AC361" t="s">
        <v>31</v>
      </c>
      <c r="AD361" t="s">
        <v>48</v>
      </c>
      <c r="AE361" t="s">
        <v>43</v>
      </c>
      <c r="AF361" s="3">
        <v>481</v>
      </c>
      <c r="AG361" s="3">
        <v>48</v>
      </c>
      <c r="AH361">
        <v>80</v>
      </c>
      <c r="AI361">
        <v>9</v>
      </c>
      <c r="AJ361">
        <v>0</v>
      </c>
      <c r="AL361">
        <v>0</v>
      </c>
      <c r="AM361">
        <v>1</v>
      </c>
      <c r="AN361" t="s">
        <v>768</v>
      </c>
      <c r="AO361" t="s">
        <v>41</v>
      </c>
    </row>
    <row r="362" spans="1:41" x14ac:dyDescent="0.25">
      <c r="A362">
        <v>32</v>
      </c>
      <c r="B362" t="s">
        <v>81</v>
      </c>
      <c r="C362" t="s">
        <v>55</v>
      </c>
      <c r="D362">
        <v>26</v>
      </c>
      <c r="E362" t="s">
        <v>34</v>
      </c>
      <c r="F362">
        <v>3</v>
      </c>
      <c r="G362">
        <v>2</v>
      </c>
      <c r="H362" t="s">
        <v>70</v>
      </c>
      <c r="I362">
        <v>4</v>
      </c>
      <c r="J362" t="s">
        <v>51</v>
      </c>
      <c r="K362">
        <v>4465</v>
      </c>
      <c r="L362">
        <v>0</v>
      </c>
      <c r="M362" t="s">
        <v>41</v>
      </c>
      <c r="N362">
        <v>18</v>
      </c>
      <c r="O362">
        <v>3</v>
      </c>
      <c r="P362">
        <v>0</v>
      </c>
      <c r="Q362">
        <v>4</v>
      </c>
      <c r="R362">
        <v>2</v>
      </c>
      <c r="S362">
        <v>3</v>
      </c>
      <c r="T362">
        <v>2</v>
      </c>
      <c r="U362">
        <v>2</v>
      </c>
      <c r="V362" t="s">
        <v>52</v>
      </c>
      <c r="W362" s="2">
        <v>43438</v>
      </c>
      <c r="Y362" t="s">
        <v>39</v>
      </c>
      <c r="Z362" t="s">
        <v>40</v>
      </c>
      <c r="AA362">
        <v>3</v>
      </c>
      <c r="AB362">
        <v>1</v>
      </c>
      <c r="AC362" t="s">
        <v>41</v>
      </c>
      <c r="AD362" t="s">
        <v>65</v>
      </c>
      <c r="AE362" t="s">
        <v>49</v>
      </c>
      <c r="AF362" s="3">
        <v>482</v>
      </c>
      <c r="AG362" s="3">
        <v>88</v>
      </c>
      <c r="AH362">
        <v>80</v>
      </c>
      <c r="AI362">
        <v>2</v>
      </c>
      <c r="AJ362">
        <v>0</v>
      </c>
      <c r="AL362">
        <v>0</v>
      </c>
      <c r="AM362">
        <v>1</v>
      </c>
      <c r="AN362" t="s">
        <v>768</v>
      </c>
      <c r="AO362" t="s">
        <v>41</v>
      </c>
    </row>
    <row r="363" spans="1:41" x14ac:dyDescent="0.25">
      <c r="A363">
        <v>37</v>
      </c>
      <c r="B363" t="s">
        <v>32</v>
      </c>
      <c r="C363" t="s">
        <v>33</v>
      </c>
      <c r="D363">
        <v>1</v>
      </c>
      <c r="E363" t="s">
        <v>61</v>
      </c>
      <c r="F363">
        <v>2</v>
      </c>
      <c r="G363">
        <v>1</v>
      </c>
      <c r="H363" t="s">
        <v>44</v>
      </c>
      <c r="I363">
        <v>1</v>
      </c>
      <c r="J363" t="s">
        <v>51</v>
      </c>
      <c r="K363">
        <v>3920</v>
      </c>
      <c r="L363">
        <v>2</v>
      </c>
      <c r="M363" t="s">
        <v>41</v>
      </c>
      <c r="N363">
        <v>14</v>
      </c>
      <c r="O363">
        <v>3</v>
      </c>
      <c r="P363">
        <v>1</v>
      </c>
      <c r="Q363">
        <v>17</v>
      </c>
      <c r="R363">
        <v>2</v>
      </c>
      <c r="S363">
        <v>3</v>
      </c>
      <c r="T363">
        <v>0</v>
      </c>
      <c r="U363">
        <v>2</v>
      </c>
      <c r="V363" t="s">
        <v>58</v>
      </c>
      <c r="W363" s="1" t="s">
        <v>230</v>
      </c>
      <c r="Y363" t="s">
        <v>69</v>
      </c>
      <c r="Z363" t="s">
        <v>47</v>
      </c>
      <c r="AA363">
        <v>5</v>
      </c>
      <c r="AB363">
        <v>1</v>
      </c>
      <c r="AC363" t="s">
        <v>31</v>
      </c>
      <c r="AD363" t="s">
        <v>48</v>
      </c>
      <c r="AE363" t="s">
        <v>49</v>
      </c>
      <c r="AF363" s="3">
        <v>483</v>
      </c>
      <c r="AG363" s="3">
        <v>46</v>
      </c>
      <c r="AH363">
        <v>80</v>
      </c>
      <c r="AI363">
        <v>7</v>
      </c>
      <c r="AJ363">
        <v>0</v>
      </c>
      <c r="AL363">
        <v>0</v>
      </c>
      <c r="AM363">
        <v>1</v>
      </c>
      <c r="AN363" t="s">
        <v>768</v>
      </c>
      <c r="AO363" t="s">
        <v>41</v>
      </c>
    </row>
    <row r="364" spans="1:41" x14ac:dyDescent="0.25">
      <c r="A364">
        <v>45</v>
      </c>
      <c r="B364" t="s">
        <v>66</v>
      </c>
      <c r="C364" t="s">
        <v>33</v>
      </c>
      <c r="D364">
        <v>7</v>
      </c>
      <c r="E364" t="s">
        <v>34</v>
      </c>
      <c r="F364">
        <v>4</v>
      </c>
      <c r="G364">
        <v>2</v>
      </c>
      <c r="H364" t="s">
        <v>78</v>
      </c>
      <c r="I364">
        <v>3</v>
      </c>
      <c r="J364" t="s">
        <v>51</v>
      </c>
      <c r="K364">
        <v>6434</v>
      </c>
      <c r="L364">
        <v>4</v>
      </c>
      <c r="M364" t="s">
        <v>41</v>
      </c>
      <c r="N364">
        <v>17</v>
      </c>
      <c r="O364">
        <v>3</v>
      </c>
      <c r="P364">
        <v>1</v>
      </c>
      <c r="Q364">
        <v>9</v>
      </c>
      <c r="R364">
        <v>1</v>
      </c>
      <c r="S364">
        <v>3</v>
      </c>
      <c r="T364">
        <v>0</v>
      </c>
      <c r="U364">
        <v>2</v>
      </c>
      <c r="V364" t="s">
        <v>52</v>
      </c>
      <c r="W364" s="1" t="s">
        <v>231</v>
      </c>
      <c r="Y364" t="s">
        <v>54</v>
      </c>
      <c r="Z364" t="s">
        <v>40</v>
      </c>
      <c r="AA364">
        <v>1</v>
      </c>
      <c r="AB364">
        <v>3</v>
      </c>
      <c r="AC364" t="s">
        <v>41</v>
      </c>
      <c r="AD364" t="s">
        <v>42</v>
      </c>
      <c r="AE364" t="s">
        <v>60</v>
      </c>
      <c r="AF364" s="3">
        <v>484</v>
      </c>
      <c r="AG364" s="3">
        <v>39</v>
      </c>
      <c r="AH364">
        <v>80</v>
      </c>
      <c r="AI364">
        <v>2</v>
      </c>
      <c r="AJ364">
        <v>0</v>
      </c>
      <c r="AL364">
        <v>0</v>
      </c>
      <c r="AM364">
        <v>1</v>
      </c>
      <c r="AN364" t="s">
        <v>768</v>
      </c>
      <c r="AO364" t="s">
        <v>41</v>
      </c>
    </row>
    <row r="365" spans="1:41" x14ac:dyDescent="0.25">
      <c r="A365">
        <v>42</v>
      </c>
      <c r="B365" t="s">
        <v>32</v>
      </c>
      <c r="C365" t="s">
        <v>33</v>
      </c>
      <c r="D365">
        <v>17</v>
      </c>
      <c r="E365" t="s">
        <v>61</v>
      </c>
      <c r="F365">
        <v>4</v>
      </c>
      <c r="G365">
        <v>2</v>
      </c>
      <c r="H365" t="s">
        <v>44</v>
      </c>
      <c r="I365">
        <v>1</v>
      </c>
      <c r="J365" t="s">
        <v>36</v>
      </c>
      <c r="K365">
        <v>6545</v>
      </c>
      <c r="L365">
        <v>3</v>
      </c>
      <c r="M365" t="s">
        <v>31</v>
      </c>
      <c r="N365">
        <v>13</v>
      </c>
      <c r="O365">
        <v>3</v>
      </c>
      <c r="P365">
        <v>0</v>
      </c>
      <c r="Q365">
        <v>10</v>
      </c>
      <c r="R365">
        <v>1</v>
      </c>
      <c r="S365">
        <v>3</v>
      </c>
      <c r="T365">
        <v>0</v>
      </c>
      <c r="U365">
        <v>2</v>
      </c>
      <c r="V365" t="s">
        <v>52</v>
      </c>
      <c r="W365" s="1" t="s">
        <v>232</v>
      </c>
      <c r="Y365" t="s">
        <v>69</v>
      </c>
      <c r="Z365" t="s">
        <v>40</v>
      </c>
      <c r="AA365">
        <v>3</v>
      </c>
      <c r="AB365">
        <v>1</v>
      </c>
      <c r="AC365" t="s">
        <v>41</v>
      </c>
      <c r="AD365" t="s">
        <v>48</v>
      </c>
      <c r="AE365" t="s">
        <v>43</v>
      </c>
      <c r="AF365" s="3">
        <v>485</v>
      </c>
      <c r="AG365" s="3">
        <v>34</v>
      </c>
      <c r="AH365">
        <v>80</v>
      </c>
      <c r="AI365">
        <v>0</v>
      </c>
      <c r="AJ365">
        <v>1</v>
      </c>
      <c r="AK365">
        <v>1</v>
      </c>
      <c r="AL365">
        <v>1</v>
      </c>
      <c r="AM365">
        <v>0</v>
      </c>
      <c r="AN365" t="s">
        <v>767</v>
      </c>
      <c r="AO365" t="s">
        <v>31</v>
      </c>
    </row>
    <row r="366" spans="1:41" x14ac:dyDescent="0.25">
      <c r="A366">
        <v>29</v>
      </c>
      <c r="B366" t="s">
        <v>32</v>
      </c>
      <c r="C366" t="s">
        <v>55</v>
      </c>
      <c r="D366">
        <v>20</v>
      </c>
      <c r="E366" t="s">
        <v>34</v>
      </c>
      <c r="F366">
        <v>3</v>
      </c>
      <c r="G366">
        <v>2</v>
      </c>
      <c r="H366" t="s">
        <v>70</v>
      </c>
      <c r="I366">
        <v>4</v>
      </c>
      <c r="J366" t="s">
        <v>57</v>
      </c>
      <c r="K366">
        <v>6931</v>
      </c>
      <c r="L366">
        <v>2</v>
      </c>
      <c r="M366" t="s">
        <v>41</v>
      </c>
      <c r="N366">
        <v>14</v>
      </c>
      <c r="O366">
        <v>3</v>
      </c>
      <c r="P366">
        <v>1</v>
      </c>
      <c r="Q366">
        <v>10</v>
      </c>
      <c r="R366">
        <v>2</v>
      </c>
      <c r="S366">
        <v>3</v>
      </c>
      <c r="T366">
        <v>0</v>
      </c>
      <c r="U366">
        <v>2</v>
      </c>
      <c r="V366" t="s">
        <v>37</v>
      </c>
      <c r="W366" s="1" t="s">
        <v>220</v>
      </c>
      <c r="Y366" t="s">
        <v>69</v>
      </c>
      <c r="Z366" t="s">
        <v>40</v>
      </c>
      <c r="AA366">
        <v>4</v>
      </c>
      <c r="AB366">
        <v>2</v>
      </c>
      <c r="AC366" t="s">
        <v>31</v>
      </c>
      <c r="AD366" t="s">
        <v>48</v>
      </c>
      <c r="AE366" t="s">
        <v>43</v>
      </c>
      <c r="AF366" s="3">
        <v>486</v>
      </c>
      <c r="AG366" s="3">
        <v>98</v>
      </c>
      <c r="AH366">
        <v>80</v>
      </c>
      <c r="AI366">
        <v>4</v>
      </c>
      <c r="AJ366">
        <v>0</v>
      </c>
      <c r="AL366">
        <v>0</v>
      </c>
      <c r="AM366">
        <v>1</v>
      </c>
      <c r="AN366" t="s">
        <v>768</v>
      </c>
      <c r="AO366" t="s">
        <v>41</v>
      </c>
    </row>
    <row r="367" spans="1:41" x14ac:dyDescent="0.25">
      <c r="A367">
        <v>21</v>
      </c>
      <c r="B367" t="s">
        <v>32</v>
      </c>
      <c r="C367" t="s">
        <v>33</v>
      </c>
      <c r="D367">
        <v>3</v>
      </c>
      <c r="E367" t="s">
        <v>34</v>
      </c>
      <c r="F367">
        <v>2</v>
      </c>
      <c r="G367">
        <v>1</v>
      </c>
      <c r="H367" t="s">
        <v>44</v>
      </c>
      <c r="I367">
        <v>3</v>
      </c>
      <c r="J367" t="s">
        <v>36</v>
      </c>
      <c r="K367">
        <v>3230</v>
      </c>
      <c r="L367">
        <v>1</v>
      </c>
      <c r="M367" t="s">
        <v>41</v>
      </c>
      <c r="N367">
        <v>17</v>
      </c>
      <c r="O367">
        <v>3</v>
      </c>
      <c r="P367">
        <v>0</v>
      </c>
      <c r="Q367">
        <v>3</v>
      </c>
      <c r="R367">
        <v>4</v>
      </c>
      <c r="S367">
        <v>3</v>
      </c>
      <c r="T367">
        <v>1</v>
      </c>
      <c r="U367">
        <v>0</v>
      </c>
      <c r="V367" t="s">
        <v>37</v>
      </c>
      <c r="W367" s="1" t="s">
        <v>233</v>
      </c>
      <c r="Y367" t="s">
        <v>54</v>
      </c>
      <c r="Z367" t="s">
        <v>47</v>
      </c>
      <c r="AA367">
        <v>2</v>
      </c>
      <c r="AB367">
        <v>0</v>
      </c>
      <c r="AC367" t="s">
        <v>41</v>
      </c>
      <c r="AD367" t="s">
        <v>65</v>
      </c>
      <c r="AE367" t="s">
        <v>49</v>
      </c>
      <c r="AF367" s="3">
        <v>487</v>
      </c>
      <c r="AG367" s="3">
        <v>30</v>
      </c>
      <c r="AH367">
        <v>80</v>
      </c>
      <c r="AI367">
        <v>0</v>
      </c>
      <c r="AJ367">
        <v>0</v>
      </c>
      <c r="AL367">
        <v>0</v>
      </c>
      <c r="AM367">
        <v>1</v>
      </c>
      <c r="AN367" t="s">
        <v>768</v>
      </c>
      <c r="AO367" t="s">
        <v>41</v>
      </c>
    </row>
    <row r="368" spans="1:41" x14ac:dyDescent="0.25">
      <c r="A368">
        <v>26</v>
      </c>
      <c r="B368" t="s">
        <v>32</v>
      </c>
      <c r="C368" t="s">
        <v>33</v>
      </c>
      <c r="D368">
        <v>16</v>
      </c>
      <c r="E368" t="s">
        <v>34</v>
      </c>
      <c r="F368">
        <v>3</v>
      </c>
      <c r="G368">
        <v>1</v>
      </c>
      <c r="H368" t="s">
        <v>35</v>
      </c>
      <c r="I368">
        <v>2</v>
      </c>
      <c r="J368" t="s">
        <v>57</v>
      </c>
      <c r="K368">
        <v>2373</v>
      </c>
      <c r="L368">
        <v>2</v>
      </c>
      <c r="M368" t="s">
        <v>31</v>
      </c>
      <c r="N368">
        <v>13</v>
      </c>
      <c r="O368">
        <v>3</v>
      </c>
      <c r="P368">
        <v>1</v>
      </c>
      <c r="Q368">
        <v>5</v>
      </c>
      <c r="R368">
        <v>2</v>
      </c>
      <c r="S368">
        <v>3</v>
      </c>
      <c r="T368">
        <v>0</v>
      </c>
      <c r="U368">
        <v>2</v>
      </c>
      <c r="V368" t="s">
        <v>72</v>
      </c>
      <c r="W368" s="2">
        <v>43378</v>
      </c>
      <c r="Y368" t="s">
        <v>39</v>
      </c>
      <c r="Z368" t="s">
        <v>40</v>
      </c>
      <c r="AA368">
        <v>2</v>
      </c>
      <c r="AB368">
        <v>2</v>
      </c>
      <c r="AC368" t="s">
        <v>31</v>
      </c>
      <c r="AD368" t="s">
        <v>67</v>
      </c>
      <c r="AE368" t="s">
        <v>43</v>
      </c>
      <c r="AF368" s="3">
        <v>488</v>
      </c>
      <c r="AG368" s="3">
        <v>56</v>
      </c>
      <c r="AH368">
        <v>80</v>
      </c>
      <c r="AI368">
        <v>7</v>
      </c>
      <c r="AJ368">
        <v>1</v>
      </c>
      <c r="AK368">
        <v>1</v>
      </c>
      <c r="AL368">
        <v>1</v>
      </c>
      <c r="AM368">
        <v>0</v>
      </c>
      <c r="AN368" t="s">
        <v>767</v>
      </c>
      <c r="AO368" t="s">
        <v>31</v>
      </c>
    </row>
    <row r="369" spans="1:41" x14ac:dyDescent="0.25">
      <c r="A369">
        <v>49</v>
      </c>
      <c r="B369" t="s">
        <v>66</v>
      </c>
      <c r="C369" t="s">
        <v>33</v>
      </c>
      <c r="D369">
        <v>10</v>
      </c>
      <c r="E369" t="s">
        <v>61</v>
      </c>
      <c r="F369">
        <v>3</v>
      </c>
      <c r="G369">
        <v>5</v>
      </c>
      <c r="H369" t="s">
        <v>50</v>
      </c>
      <c r="I369">
        <v>1</v>
      </c>
      <c r="J369" t="s">
        <v>36</v>
      </c>
      <c r="K369">
        <v>18665</v>
      </c>
      <c r="L369">
        <v>9</v>
      </c>
      <c r="M369" t="s">
        <v>31</v>
      </c>
      <c r="N369">
        <v>11</v>
      </c>
      <c r="O369">
        <v>3</v>
      </c>
      <c r="P369">
        <v>0</v>
      </c>
      <c r="Q369">
        <v>22</v>
      </c>
      <c r="R369">
        <v>4</v>
      </c>
      <c r="S369">
        <v>3</v>
      </c>
      <c r="T369">
        <v>1</v>
      </c>
      <c r="U369">
        <v>2</v>
      </c>
      <c r="V369" t="s">
        <v>37</v>
      </c>
      <c r="W369" s="1" t="s">
        <v>234</v>
      </c>
      <c r="Y369" t="s">
        <v>54</v>
      </c>
      <c r="Z369" t="s">
        <v>47</v>
      </c>
      <c r="AA369">
        <v>3</v>
      </c>
      <c r="AB369">
        <v>2</v>
      </c>
      <c r="AC369" t="s">
        <v>41</v>
      </c>
      <c r="AD369" t="s">
        <v>67</v>
      </c>
      <c r="AE369" t="s">
        <v>60</v>
      </c>
      <c r="AF369" s="3">
        <v>491</v>
      </c>
      <c r="AG369" s="3">
        <v>100</v>
      </c>
      <c r="AH369">
        <v>80</v>
      </c>
      <c r="AI369">
        <v>3</v>
      </c>
      <c r="AJ369">
        <v>0</v>
      </c>
      <c r="AL369">
        <v>0</v>
      </c>
      <c r="AM369">
        <v>1</v>
      </c>
      <c r="AN369" t="s">
        <v>768</v>
      </c>
      <c r="AO369" t="s">
        <v>41</v>
      </c>
    </row>
    <row r="370" spans="1:41" x14ac:dyDescent="0.25">
      <c r="A370">
        <v>28</v>
      </c>
      <c r="B370" t="s">
        <v>32</v>
      </c>
      <c r="C370" t="s">
        <v>33</v>
      </c>
      <c r="D370">
        <v>2</v>
      </c>
      <c r="E370" t="s">
        <v>34</v>
      </c>
      <c r="F370">
        <v>1</v>
      </c>
      <c r="G370">
        <v>1</v>
      </c>
      <c r="H370" t="s">
        <v>44</v>
      </c>
      <c r="I370">
        <v>4</v>
      </c>
      <c r="J370" t="s">
        <v>51</v>
      </c>
      <c r="K370">
        <v>3464</v>
      </c>
      <c r="L370">
        <v>5</v>
      </c>
      <c r="M370" t="s">
        <v>31</v>
      </c>
      <c r="N370">
        <v>13</v>
      </c>
      <c r="O370">
        <v>3</v>
      </c>
      <c r="P370">
        <v>0</v>
      </c>
      <c r="Q370">
        <v>5</v>
      </c>
      <c r="R370">
        <v>4</v>
      </c>
      <c r="S370">
        <v>3</v>
      </c>
      <c r="T370">
        <v>2</v>
      </c>
      <c r="U370">
        <v>2</v>
      </c>
      <c r="V370" t="s">
        <v>72</v>
      </c>
      <c r="W370" s="1" t="s">
        <v>235</v>
      </c>
      <c r="Y370" t="s">
        <v>39</v>
      </c>
      <c r="Z370" t="s">
        <v>40</v>
      </c>
      <c r="AA370">
        <v>2</v>
      </c>
      <c r="AB370">
        <v>3</v>
      </c>
      <c r="AC370" t="s">
        <v>31</v>
      </c>
      <c r="AD370" t="s">
        <v>48</v>
      </c>
      <c r="AE370" t="s">
        <v>60</v>
      </c>
      <c r="AF370" s="3">
        <v>492</v>
      </c>
      <c r="AG370" s="3">
        <v>68</v>
      </c>
      <c r="AH370">
        <v>80</v>
      </c>
      <c r="AI370">
        <v>4</v>
      </c>
      <c r="AJ370">
        <v>1</v>
      </c>
      <c r="AK370">
        <v>1</v>
      </c>
      <c r="AL370">
        <v>1</v>
      </c>
      <c r="AM370">
        <v>0</v>
      </c>
      <c r="AN370" t="s">
        <v>767</v>
      </c>
      <c r="AO370" t="s">
        <v>31</v>
      </c>
    </row>
    <row r="371" spans="1:41" x14ac:dyDescent="0.25">
      <c r="A371">
        <v>47</v>
      </c>
      <c r="B371" t="s">
        <v>32</v>
      </c>
      <c r="C371" t="s">
        <v>33</v>
      </c>
      <c r="D371">
        <v>5</v>
      </c>
      <c r="E371" t="s">
        <v>34</v>
      </c>
      <c r="F371">
        <v>3</v>
      </c>
      <c r="G371">
        <v>5</v>
      </c>
      <c r="H371" t="s">
        <v>50</v>
      </c>
      <c r="I371">
        <v>3</v>
      </c>
      <c r="J371" t="s">
        <v>51</v>
      </c>
      <c r="K371">
        <v>18300</v>
      </c>
      <c r="L371">
        <v>4</v>
      </c>
      <c r="M371" t="s">
        <v>41</v>
      </c>
      <c r="N371">
        <v>11</v>
      </c>
      <c r="O371">
        <v>3</v>
      </c>
      <c r="P371">
        <v>1</v>
      </c>
      <c r="Q371">
        <v>21</v>
      </c>
      <c r="R371">
        <v>2</v>
      </c>
      <c r="S371">
        <v>3</v>
      </c>
      <c r="T371">
        <v>1</v>
      </c>
      <c r="U371">
        <v>1</v>
      </c>
      <c r="V371" t="s">
        <v>72</v>
      </c>
      <c r="W371" s="1" t="s">
        <v>236</v>
      </c>
      <c r="Y371" t="s">
        <v>46</v>
      </c>
      <c r="Z371" t="s">
        <v>47</v>
      </c>
      <c r="AA371">
        <v>1</v>
      </c>
      <c r="AB371">
        <v>2</v>
      </c>
      <c r="AC371" t="s">
        <v>41</v>
      </c>
      <c r="AD371" t="s">
        <v>67</v>
      </c>
      <c r="AE371" t="s">
        <v>60</v>
      </c>
      <c r="AF371" s="3">
        <v>493</v>
      </c>
      <c r="AG371" s="3">
        <v>42</v>
      </c>
      <c r="AH371">
        <v>80</v>
      </c>
      <c r="AI371">
        <v>2</v>
      </c>
      <c r="AJ371">
        <v>0</v>
      </c>
      <c r="AL371">
        <v>0</v>
      </c>
      <c r="AM371">
        <v>1</v>
      </c>
      <c r="AN371" t="s">
        <v>768</v>
      </c>
      <c r="AO371" t="s">
        <v>41</v>
      </c>
    </row>
    <row r="372" spans="1:41" x14ac:dyDescent="0.25">
      <c r="A372">
        <v>29</v>
      </c>
      <c r="B372" t="s">
        <v>32</v>
      </c>
      <c r="C372" t="s">
        <v>33</v>
      </c>
      <c r="D372">
        <v>9</v>
      </c>
      <c r="E372" t="s">
        <v>34</v>
      </c>
      <c r="F372">
        <v>2</v>
      </c>
      <c r="G372">
        <v>1</v>
      </c>
      <c r="H372" t="s">
        <v>35</v>
      </c>
      <c r="I372">
        <v>4</v>
      </c>
      <c r="J372" t="s">
        <v>36</v>
      </c>
      <c r="K372">
        <v>3983</v>
      </c>
      <c r="L372">
        <v>0</v>
      </c>
      <c r="M372" t="s">
        <v>41</v>
      </c>
      <c r="N372">
        <v>17</v>
      </c>
      <c r="O372">
        <v>3</v>
      </c>
      <c r="P372">
        <v>0</v>
      </c>
      <c r="Q372">
        <v>4</v>
      </c>
      <c r="R372">
        <v>2</v>
      </c>
      <c r="S372">
        <v>3</v>
      </c>
      <c r="T372">
        <v>2</v>
      </c>
      <c r="U372">
        <v>2</v>
      </c>
      <c r="V372" t="s">
        <v>58</v>
      </c>
      <c r="W372" s="1" t="s">
        <v>236</v>
      </c>
      <c r="Y372" t="s">
        <v>54</v>
      </c>
      <c r="Z372" t="s">
        <v>47</v>
      </c>
      <c r="AA372">
        <v>1</v>
      </c>
      <c r="AB372">
        <v>0</v>
      </c>
      <c r="AC372" t="s">
        <v>31</v>
      </c>
      <c r="AD372" t="s">
        <v>42</v>
      </c>
      <c r="AE372" t="s">
        <v>49</v>
      </c>
      <c r="AF372" s="3">
        <v>494</v>
      </c>
      <c r="AG372" s="3">
        <v>90</v>
      </c>
      <c r="AH372">
        <v>80</v>
      </c>
      <c r="AI372">
        <v>0</v>
      </c>
      <c r="AJ372">
        <v>1</v>
      </c>
      <c r="AK372">
        <v>1</v>
      </c>
      <c r="AL372">
        <v>1</v>
      </c>
      <c r="AM372">
        <v>0</v>
      </c>
      <c r="AN372" t="s">
        <v>767</v>
      </c>
      <c r="AO372" t="s">
        <v>31</v>
      </c>
    </row>
    <row r="373" spans="1:41" x14ac:dyDescent="0.25">
      <c r="A373">
        <v>42</v>
      </c>
      <c r="B373" t="s">
        <v>32</v>
      </c>
      <c r="C373" t="s">
        <v>120</v>
      </c>
      <c r="D373">
        <v>2</v>
      </c>
      <c r="E373" t="s">
        <v>34</v>
      </c>
      <c r="F373">
        <v>3</v>
      </c>
      <c r="G373">
        <v>1</v>
      </c>
      <c r="H373" t="s">
        <v>120</v>
      </c>
      <c r="I373">
        <v>3</v>
      </c>
      <c r="J373" t="s">
        <v>57</v>
      </c>
      <c r="K373">
        <v>2696</v>
      </c>
      <c r="L373">
        <v>0</v>
      </c>
      <c r="M373" t="s">
        <v>31</v>
      </c>
      <c r="N373">
        <v>11</v>
      </c>
      <c r="O373">
        <v>3</v>
      </c>
      <c r="P373">
        <v>1</v>
      </c>
      <c r="Q373">
        <v>4</v>
      </c>
      <c r="R373">
        <v>5</v>
      </c>
      <c r="S373">
        <v>3</v>
      </c>
      <c r="T373">
        <v>1</v>
      </c>
      <c r="U373">
        <v>0</v>
      </c>
      <c r="V373" t="s">
        <v>37</v>
      </c>
      <c r="W373" s="2">
        <v>43344</v>
      </c>
      <c r="Y373" t="s">
        <v>46</v>
      </c>
      <c r="Z373" t="s">
        <v>40</v>
      </c>
      <c r="AA373">
        <v>4</v>
      </c>
      <c r="AB373">
        <v>2</v>
      </c>
      <c r="AC373" t="s">
        <v>41</v>
      </c>
      <c r="AD373" t="s">
        <v>42</v>
      </c>
      <c r="AE373" t="s">
        <v>43</v>
      </c>
      <c r="AF373" s="3">
        <v>495</v>
      </c>
      <c r="AG373" s="3">
        <v>54</v>
      </c>
      <c r="AH373">
        <v>80</v>
      </c>
      <c r="AI373">
        <v>2</v>
      </c>
      <c r="AJ373">
        <v>0</v>
      </c>
      <c r="AL373">
        <v>0</v>
      </c>
      <c r="AM373">
        <v>1</v>
      </c>
      <c r="AN373" t="s">
        <v>768</v>
      </c>
      <c r="AO373" t="s">
        <v>41</v>
      </c>
    </row>
    <row r="374" spans="1:41" x14ac:dyDescent="0.25">
      <c r="A374">
        <v>21</v>
      </c>
      <c r="B374" t="s">
        <v>66</v>
      </c>
      <c r="C374" t="s">
        <v>55</v>
      </c>
      <c r="D374">
        <v>1</v>
      </c>
      <c r="E374" t="s">
        <v>61</v>
      </c>
      <c r="F374">
        <v>2</v>
      </c>
      <c r="G374">
        <v>1</v>
      </c>
      <c r="H374" t="s">
        <v>56</v>
      </c>
      <c r="I374">
        <v>2</v>
      </c>
      <c r="J374" t="s">
        <v>36</v>
      </c>
      <c r="K374">
        <v>2174</v>
      </c>
      <c r="L374">
        <v>1</v>
      </c>
      <c r="M374" t="s">
        <v>31</v>
      </c>
      <c r="N374">
        <v>11</v>
      </c>
      <c r="O374">
        <v>3</v>
      </c>
      <c r="P374">
        <v>0</v>
      </c>
      <c r="Q374">
        <v>3</v>
      </c>
      <c r="R374">
        <v>3</v>
      </c>
      <c r="S374">
        <v>3</v>
      </c>
      <c r="T374">
        <v>1</v>
      </c>
      <c r="U374">
        <v>2</v>
      </c>
      <c r="V374" t="s">
        <v>58</v>
      </c>
      <c r="W374" s="1" t="s">
        <v>237</v>
      </c>
      <c r="Y374" t="s">
        <v>69</v>
      </c>
      <c r="Z374" t="s">
        <v>47</v>
      </c>
      <c r="AA374">
        <v>3</v>
      </c>
      <c r="AB374">
        <v>1</v>
      </c>
      <c r="AC374" t="s">
        <v>41</v>
      </c>
      <c r="AD374" t="s">
        <v>42</v>
      </c>
      <c r="AE374" t="s">
        <v>49</v>
      </c>
      <c r="AF374" s="3">
        <v>496</v>
      </c>
      <c r="AG374" s="3">
        <v>97</v>
      </c>
      <c r="AH374">
        <v>80</v>
      </c>
      <c r="AI374">
        <v>1</v>
      </c>
      <c r="AJ374">
        <v>0</v>
      </c>
      <c r="AL374">
        <v>0</v>
      </c>
      <c r="AM374">
        <v>1</v>
      </c>
      <c r="AN374" t="s">
        <v>768</v>
      </c>
      <c r="AO374" t="s">
        <v>41</v>
      </c>
    </row>
    <row r="375" spans="1:41" x14ac:dyDescent="0.25">
      <c r="A375">
        <v>57</v>
      </c>
      <c r="B375" t="s">
        <v>32</v>
      </c>
      <c r="C375" t="s">
        <v>33</v>
      </c>
      <c r="D375">
        <v>1</v>
      </c>
      <c r="E375" t="s">
        <v>34</v>
      </c>
      <c r="F375">
        <v>3</v>
      </c>
      <c r="G375">
        <v>2</v>
      </c>
      <c r="H375" t="s">
        <v>89</v>
      </c>
      <c r="I375">
        <v>3</v>
      </c>
      <c r="J375" t="s">
        <v>51</v>
      </c>
      <c r="K375">
        <v>6755</v>
      </c>
      <c r="L375">
        <v>2</v>
      </c>
      <c r="M375" t="s">
        <v>41</v>
      </c>
      <c r="N375">
        <v>11</v>
      </c>
      <c r="O375">
        <v>3</v>
      </c>
      <c r="P375">
        <v>0</v>
      </c>
      <c r="Q375">
        <v>15</v>
      </c>
      <c r="R375">
        <v>2</v>
      </c>
      <c r="S375">
        <v>3</v>
      </c>
      <c r="T375">
        <v>1</v>
      </c>
      <c r="U375">
        <v>2</v>
      </c>
      <c r="V375" t="s">
        <v>37</v>
      </c>
      <c r="W375" s="2">
        <v>43192</v>
      </c>
      <c r="Y375" t="s">
        <v>46</v>
      </c>
      <c r="Z375" t="s">
        <v>47</v>
      </c>
      <c r="AA375">
        <v>4</v>
      </c>
      <c r="AB375">
        <v>1</v>
      </c>
      <c r="AC375" t="s">
        <v>31</v>
      </c>
      <c r="AD375" t="s">
        <v>42</v>
      </c>
      <c r="AE375" t="s">
        <v>43</v>
      </c>
      <c r="AF375" s="3">
        <v>497</v>
      </c>
      <c r="AG375" s="3">
        <v>82</v>
      </c>
      <c r="AH375">
        <v>80</v>
      </c>
      <c r="AI375">
        <v>2</v>
      </c>
      <c r="AJ375">
        <v>0</v>
      </c>
      <c r="AL375">
        <v>0</v>
      </c>
      <c r="AM375">
        <v>1</v>
      </c>
      <c r="AN375" t="s">
        <v>768</v>
      </c>
      <c r="AO375" t="s">
        <v>41</v>
      </c>
    </row>
    <row r="376" spans="1:41" x14ac:dyDescent="0.25">
      <c r="A376">
        <v>21</v>
      </c>
      <c r="B376" t="s">
        <v>81</v>
      </c>
      <c r="C376" t="s">
        <v>55</v>
      </c>
      <c r="D376">
        <v>9</v>
      </c>
      <c r="E376" t="s">
        <v>34</v>
      </c>
      <c r="F376">
        <v>3</v>
      </c>
      <c r="G376">
        <v>1</v>
      </c>
      <c r="H376" t="s">
        <v>56</v>
      </c>
      <c r="I376">
        <v>4</v>
      </c>
      <c r="J376" t="s">
        <v>36</v>
      </c>
      <c r="K376">
        <v>2610</v>
      </c>
      <c r="L376">
        <v>1</v>
      </c>
      <c r="M376" t="s">
        <v>41</v>
      </c>
      <c r="N376">
        <v>24</v>
      </c>
      <c r="O376">
        <v>4</v>
      </c>
      <c r="P376">
        <v>0</v>
      </c>
      <c r="Q376">
        <v>3</v>
      </c>
      <c r="R376">
        <v>3</v>
      </c>
      <c r="S376">
        <v>3</v>
      </c>
      <c r="T376">
        <v>2</v>
      </c>
      <c r="U376">
        <v>2</v>
      </c>
      <c r="V376" t="s">
        <v>37</v>
      </c>
      <c r="W376" s="2">
        <v>43105</v>
      </c>
      <c r="Y376" t="s">
        <v>54</v>
      </c>
      <c r="Z376" t="s">
        <v>40</v>
      </c>
      <c r="AA376">
        <v>3</v>
      </c>
      <c r="AB376">
        <v>2</v>
      </c>
      <c r="AC376" t="s">
        <v>41</v>
      </c>
      <c r="AD376" t="s">
        <v>65</v>
      </c>
      <c r="AE376" t="s">
        <v>43</v>
      </c>
      <c r="AF376" s="3">
        <v>498</v>
      </c>
      <c r="AG376" s="3">
        <v>92</v>
      </c>
      <c r="AH376">
        <v>80</v>
      </c>
      <c r="AI376">
        <v>5</v>
      </c>
      <c r="AJ376">
        <v>0</v>
      </c>
      <c r="AL376">
        <v>0</v>
      </c>
      <c r="AM376">
        <v>1</v>
      </c>
      <c r="AN376" t="s">
        <v>768</v>
      </c>
      <c r="AO376" t="s">
        <v>41</v>
      </c>
    </row>
    <row r="377" spans="1:41" x14ac:dyDescent="0.25">
      <c r="A377">
        <v>29</v>
      </c>
      <c r="B377" t="s">
        <v>32</v>
      </c>
      <c r="C377" t="s">
        <v>33</v>
      </c>
      <c r="D377">
        <v>23</v>
      </c>
      <c r="E377" t="s">
        <v>34</v>
      </c>
      <c r="F377">
        <v>3</v>
      </c>
      <c r="G377">
        <v>1</v>
      </c>
      <c r="H377" t="s">
        <v>44</v>
      </c>
      <c r="I377">
        <v>4</v>
      </c>
      <c r="J377" t="s">
        <v>36</v>
      </c>
      <c r="K377">
        <v>2201</v>
      </c>
      <c r="L377">
        <v>9</v>
      </c>
      <c r="M377" t="s">
        <v>41</v>
      </c>
      <c r="N377">
        <v>16</v>
      </c>
      <c r="O377">
        <v>3</v>
      </c>
      <c r="P377">
        <v>0</v>
      </c>
      <c r="Q377">
        <v>6</v>
      </c>
      <c r="R377">
        <v>4</v>
      </c>
      <c r="S377">
        <v>3</v>
      </c>
      <c r="T377">
        <v>1</v>
      </c>
      <c r="U377">
        <v>2</v>
      </c>
      <c r="V377" t="s">
        <v>52</v>
      </c>
      <c r="W377" s="1" t="s">
        <v>223</v>
      </c>
      <c r="Y377" t="s">
        <v>54</v>
      </c>
      <c r="Z377" t="s">
        <v>47</v>
      </c>
      <c r="AA377">
        <v>3</v>
      </c>
      <c r="AB377">
        <v>0</v>
      </c>
      <c r="AC377" t="s">
        <v>31</v>
      </c>
      <c r="AD377" t="s">
        <v>48</v>
      </c>
      <c r="AE377" t="s">
        <v>60</v>
      </c>
      <c r="AF377" s="3">
        <v>499</v>
      </c>
      <c r="AG377" s="3">
        <v>31</v>
      </c>
      <c r="AH377">
        <v>80</v>
      </c>
      <c r="AI377">
        <v>2</v>
      </c>
      <c r="AJ377">
        <v>0</v>
      </c>
      <c r="AL377">
        <v>0</v>
      </c>
      <c r="AM377">
        <v>1</v>
      </c>
      <c r="AN377" t="s">
        <v>768</v>
      </c>
      <c r="AO377" t="s">
        <v>41</v>
      </c>
    </row>
    <row r="378" spans="1:41" x14ac:dyDescent="0.25">
      <c r="A378">
        <v>34</v>
      </c>
      <c r="B378" t="s">
        <v>81</v>
      </c>
      <c r="C378" t="s">
        <v>55</v>
      </c>
      <c r="D378">
        <v>4</v>
      </c>
      <c r="E378" t="s">
        <v>61</v>
      </c>
      <c r="F378">
        <v>3</v>
      </c>
      <c r="G378">
        <v>2</v>
      </c>
      <c r="H378" t="s">
        <v>70</v>
      </c>
      <c r="I378">
        <v>3</v>
      </c>
      <c r="J378" t="s">
        <v>51</v>
      </c>
      <c r="K378">
        <v>6538</v>
      </c>
      <c r="L378">
        <v>9</v>
      </c>
      <c r="M378" t="s">
        <v>41</v>
      </c>
      <c r="N378">
        <v>15</v>
      </c>
      <c r="O378">
        <v>3</v>
      </c>
      <c r="P378">
        <v>1</v>
      </c>
      <c r="Q378">
        <v>6</v>
      </c>
      <c r="R378">
        <v>3</v>
      </c>
      <c r="S378">
        <v>3</v>
      </c>
      <c r="T378">
        <v>1</v>
      </c>
      <c r="U378">
        <v>2</v>
      </c>
      <c r="V378" t="s">
        <v>58</v>
      </c>
      <c r="W378" s="2">
        <v>43164</v>
      </c>
      <c r="Y378" t="s">
        <v>46</v>
      </c>
      <c r="Z378" t="s">
        <v>40</v>
      </c>
      <c r="AA378">
        <v>4</v>
      </c>
      <c r="AB378">
        <v>2</v>
      </c>
      <c r="AC378" t="s">
        <v>31</v>
      </c>
      <c r="AD378" t="s">
        <v>42</v>
      </c>
      <c r="AE378" t="s">
        <v>43</v>
      </c>
      <c r="AF378" s="3">
        <v>500</v>
      </c>
      <c r="AG378" s="3">
        <v>87</v>
      </c>
      <c r="AH378">
        <v>80</v>
      </c>
      <c r="AI378">
        <v>7</v>
      </c>
      <c r="AJ378">
        <v>0</v>
      </c>
      <c r="AL378">
        <v>0</v>
      </c>
      <c r="AM378">
        <v>1</v>
      </c>
      <c r="AN378" t="s">
        <v>768</v>
      </c>
      <c r="AO378" t="s">
        <v>41</v>
      </c>
    </row>
    <row r="379" spans="1:41" x14ac:dyDescent="0.25">
      <c r="A379">
        <v>43</v>
      </c>
      <c r="B379" t="s">
        <v>66</v>
      </c>
      <c r="C379" t="s">
        <v>33</v>
      </c>
      <c r="D379">
        <v>21</v>
      </c>
      <c r="E379" t="s">
        <v>34</v>
      </c>
      <c r="F379">
        <v>3</v>
      </c>
      <c r="G379">
        <v>1</v>
      </c>
      <c r="H379" t="s">
        <v>35</v>
      </c>
      <c r="I379">
        <v>4</v>
      </c>
      <c r="J379" t="s">
        <v>51</v>
      </c>
      <c r="K379">
        <v>2258</v>
      </c>
      <c r="L379">
        <v>7</v>
      </c>
      <c r="M379" t="s">
        <v>41</v>
      </c>
      <c r="N379">
        <v>20</v>
      </c>
      <c r="O379">
        <v>4</v>
      </c>
      <c r="P379">
        <v>1</v>
      </c>
      <c r="Q379">
        <v>8</v>
      </c>
      <c r="R379">
        <v>1</v>
      </c>
      <c r="S379">
        <v>3</v>
      </c>
      <c r="T379">
        <v>1</v>
      </c>
      <c r="U379">
        <v>2</v>
      </c>
      <c r="V379" t="s">
        <v>52</v>
      </c>
      <c r="W379" s="1" t="s">
        <v>238</v>
      </c>
      <c r="Y379" t="s">
        <v>54</v>
      </c>
      <c r="Z379" t="s">
        <v>47</v>
      </c>
      <c r="AA379">
        <v>3</v>
      </c>
      <c r="AB379">
        <v>1</v>
      </c>
      <c r="AC379" t="s">
        <v>41</v>
      </c>
      <c r="AD379" t="s">
        <v>65</v>
      </c>
      <c r="AE379" t="s">
        <v>43</v>
      </c>
      <c r="AF379" s="3">
        <v>501</v>
      </c>
      <c r="AG379" s="3">
        <v>96</v>
      </c>
      <c r="AH379">
        <v>80</v>
      </c>
      <c r="AI379">
        <v>2</v>
      </c>
      <c r="AJ379">
        <v>0</v>
      </c>
      <c r="AL379">
        <v>0</v>
      </c>
      <c r="AM379">
        <v>1</v>
      </c>
      <c r="AN379" t="s">
        <v>768</v>
      </c>
      <c r="AO379" t="s">
        <v>41</v>
      </c>
    </row>
    <row r="380" spans="1:41" x14ac:dyDescent="0.25">
      <c r="A380">
        <v>26</v>
      </c>
      <c r="B380" t="s">
        <v>32</v>
      </c>
      <c r="C380" t="s">
        <v>33</v>
      </c>
      <c r="D380">
        <v>23</v>
      </c>
      <c r="E380" t="s">
        <v>61</v>
      </c>
      <c r="F380">
        <v>3</v>
      </c>
      <c r="G380">
        <v>1</v>
      </c>
      <c r="H380" t="s">
        <v>44</v>
      </c>
      <c r="I380">
        <v>4</v>
      </c>
      <c r="J380" t="s">
        <v>57</v>
      </c>
      <c r="K380">
        <v>2886</v>
      </c>
      <c r="L380">
        <v>1</v>
      </c>
      <c r="M380" t="s">
        <v>41</v>
      </c>
      <c r="N380">
        <v>22</v>
      </c>
      <c r="O380">
        <v>4</v>
      </c>
      <c r="P380">
        <v>2</v>
      </c>
      <c r="Q380">
        <v>3</v>
      </c>
      <c r="R380">
        <v>3</v>
      </c>
      <c r="S380">
        <v>3</v>
      </c>
      <c r="T380">
        <v>0</v>
      </c>
      <c r="U380">
        <v>2</v>
      </c>
      <c r="V380" t="s">
        <v>58</v>
      </c>
      <c r="W380" s="2">
        <v>43287</v>
      </c>
      <c r="Y380" t="s">
        <v>39</v>
      </c>
      <c r="Z380" t="s">
        <v>40</v>
      </c>
      <c r="AA380">
        <v>2</v>
      </c>
      <c r="AB380">
        <v>2</v>
      </c>
      <c r="AC380" t="s">
        <v>41</v>
      </c>
      <c r="AD380" t="s">
        <v>48</v>
      </c>
      <c r="AE380" t="s">
        <v>43</v>
      </c>
      <c r="AF380" s="3">
        <v>502</v>
      </c>
      <c r="AG380" s="3">
        <v>67</v>
      </c>
      <c r="AH380">
        <v>80</v>
      </c>
      <c r="AI380">
        <v>2</v>
      </c>
      <c r="AJ380">
        <v>1</v>
      </c>
      <c r="AK380">
        <v>1</v>
      </c>
      <c r="AL380">
        <v>1</v>
      </c>
      <c r="AM380">
        <v>0</v>
      </c>
      <c r="AN380" t="s">
        <v>767</v>
      </c>
      <c r="AO380" t="s">
        <v>31</v>
      </c>
    </row>
    <row r="381" spans="1:41" x14ac:dyDescent="0.25">
      <c r="A381">
        <v>46</v>
      </c>
      <c r="B381" t="s">
        <v>32</v>
      </c>
      <c r="C381" t="s">
        <v>33</v>
      </c>
      <c r="D381">
        <v>2</v>
      </c>
      <c r="E381" t="s">
        <v>34</v>
      </c>
      <c r="F381">
        <v>3</v>
      </c>
      <c r="G381">
        <v>4</v>
      </c>
      <c r="H381" t="s">
        <v>50</v>
      </c>
      <c r="I381">
        <v>3</v>
      </c>
      <c r="J381" t="s">
        <v>51</v>
      </c>
      <c r="K381">
        <v>17861</v>
      </c>
      <c r="L381">
        <v>6</v>
      </c>
      <c r="M381" t="s">
        <v>41</v>
      </c>
      <c r="N381">
        <v>13</v>
      </c>
      <c r="O381">
        <v>3</v>
      </c>
      <c r="P381">
        <v>0</v>
      </c>
      <c r="Q381">
        <v>26</v>
      </c>
      <c r="R381">
        <v>2</v>
      </c>
      <c r="S381">
        <v>3</v>
      </c>
      <c r="T381">
        <v>0</v>
      </c>
      <c r="U381">
        <v>1</v>
      </c>
      <c r="V381" t="s">
        <v>52</v>
      </c>
      <c r="W381" s="1" t="s">
        <v>221</v>
      </c>
      <c r="Y381" t="s">
        <v>63</v>
      </c>
      <c r="Z381" t="s">
        <v>47</v>
      </c>
      <c r="AA381">
        <v>2</v>
      </c>
      <c r="AB381">
        <v>0</v>
      </c>
      <c r="AC381" t="s">
        <v>41</v>
      </c>
      <c r="AD381" t="s">
        <v>48</v>
      </c>
      <c r="AE381" t="s">
        <v>43</v>
      </c>
      <c r="AF381" s="3">
        <v>505</v>
      </c>
      <c r="AG381" s="3">
        <v>97</v>
      </c>
      <c r="AH381">
        <v>80</v>
      </c>
      <c r="AI381">
        <v>4</v>
      </c>
      <c r="AJ381">
        <v>0</v>
      </c>
      <c r="AL381">
        <v>0</v>
      </c>
      <c r="AM381">
        <v>1</v>
      </c>
      <c r="AN381" t="s">
        <v>768</v>
      </c>
      <c r="AO381" t="s">
        <v>41</v>
      </c>
    </row>
    <row r="382" spans="1:41" x14ac:dyDescent="0.25">
      <c r="A382">
        <v>46</v>
      </c>
      <c r="B382" t="s">
        <v>32</v>
      </c>
      <c r="C382" t="s">
        <v>55</v>
      </c>
      <c r="D382">
        <v>10</v>
      </c>
      <c r="E382" t="s">
        <v>61</v>
      </c>
      <c r="F382">
        <v>2</v>
      </c>
      <c r="G382">
        <v>3</v>
      </c>
      <c r="H382" t="s">
        <v>70</v>
      </c>
      <c r="I382">
        <v>4</v>
      </c>
      <c r="J382" t="s">
        <v>51</v>
      </c>
      <c r="K382">
        <v>9071</v>
      </c>
      <c r="L382">
        <v>2</v>
      </c>
      <c r="M382" t="s">
        <v>31</v>
      </c>
      <c r="N382">
        <v>19</v>
      </c>
      <c r="O382">
        <v>3</v>
      </c>
      <c r="P382">
        <v>1</v>
      </c>
      <c r="Q382">
        <v>15</v>
      </c>
      <c r="R382">
        <v>3</v>
      </c>
      <c r="S382">
        <v>3</v>
      </c>
      <c r="T382">
        <v>1</v>
      </c>
      <c r="U382">
        <v>2</v>
      </c>
      <c r="V382" t="s">
        <v>72</v>
      </c>
      <c r="W382" s="2">
        <v>43376</v>
      </c>
      <c r="Y382" t="s">
        <v>46</v>
      </c>
      <c r="Z382" t="s">
        <v>47</v>
      </c>
      <c r="AA382">
        <v>0</v>
      </c>
      <c r="AB382">
        <v>1</v>
      </c>
      <c r="AC382" t="s">
        <v>31</v>
      </c>
      <c r="AD382" t="s">
        <v>67</v>
      </c>
      <c r="AE382" t="s">
        <v>43</v>
      </c>
      <c r="AF382" s="3">
        <v>507</v>
      </c>
      <c r="AG382" s="3">
        <v>77</v>
      </c>
      <c r="AH382">
        <v>80</v>
      </c>
      <c r="AI382">
        <v>2</v>
      </c>
      <c r="AJ382">
        <v>0</v>
      </c>
      <c r="AL382">
        <v>0</v>
      </c>
      <c r="AM382">
        <v>1</v>
      </c>
      <c r="AN382" t="s">
        <v>768</v>
      </c>
      <c r="AO382" t="s">
        <v>41</v>
      </c>
    </row>
    <row r="383" spans="1:41" x14ac:dyDescent="0.25">
      <c r="A383">
        <v>30</v>
      </c>
      <c r="B383" t="s">
        <v>32</v>
      </c>
      <c r="C383" t="s">
        <v>55</v>
      </c>
      <c r="D383">
        <v>7</v>
      </c>
      <c r="E383" t="s">
        <v>34</v>
      </c>
      <c r="F383">
        <v>3</v>
      </c>
      <c r="G383">
        <v>1</v>
      </c>
      <c r="H383" t="s">
        <v>56</v>
      </c>
      <c r="I383">
        <v>2</v>
      </c>
      <c r="J383" t="s">
        <v>36</v>
      </c>
      <c r="K383">
        <v>2983</v>
      </c>
      <c r="L383">
        <v>0</v>
      </c>
      <c r="M383" t="s">
        <v>41</v>
      </c>
      <c r="N383">
        <v>14</v>
      </c>
      <c r="O383">
        <v>3</v>
      </c>
      <c r="P383">
        <v>0</v>
      </c>
      <c r="Q383">
        <v>4</v>
      </c>
      <c r="R383">
        <v>3</v>
      </c>
      <c r="S383">
        <v>3</v>
      </c>
      <c r="T383">
        <v>1</v>
      </c>
      <c r="U383">
        <v>2</v>
      </c>
      <c r="V383" t="s">
        <v>52</v>
      </c>
      <c r="W383" s="2">
        <v>43106</v>
      </c>
      <c r="Y383" t="s">
        <v>54</v>
      </c>
      <c r="Z383" t="s">
        <v>40</v>
      </c>
      <c r="AA383">
        <v>2</v>
      </c>
      <c r="AB383">
        <v>0</v>
      </c>
      <c r="AC383" t="s">
        <v>41</v>
      </c>
      <c r="AD383" t="s">
        <v>67</v>
      </c>
      <c r="AE383" t="s">
        <v>43</v>
      </c>
      <c r="AF383" s="3">
        <v>508</v>
      </c>
      <c r="AG383" s="3">
        <v>72</v>
      </c>
      <c r="AH383">
        <v>80</v>
      </c>
      <c r="AI383">
        <v>0</v>
      </c>
      <c r="AJ383">
        <v>0</v>
      </c>
      <c r="AL383">
        <v>0</v>
      </c>
      <c r="AM383">
        <v>1</v>
      </c>
      <c r="AN383" t="s">
        <v>768</v>
      </c>
      <c r="AO383" t="s">
        <v>41</v>
      </c>
    </row>
    <row r="384" spans="1:41" x14ac:dyDescent="0.25">
      <c r="A384">
        <v>34</v>
      </c>
      <c r="B384" t="s">
        <v>66</v>
      </c>
      <c r="C384" t="s">
        <v>120</v>
      </c>
      <c r="D384">
        <v>23</v>
      </c>
      <c r="E384" t="s">
        <v>61</v>
      </c>
      <c r="F384">
        <v>3</v>
      </c>
      <c r="G384">
        <v>3</v>
      </c>
      <c r="H384" t="s">
        <v>120</v>
      </c>
      <c r="I384">
        <v>1</v>
      </c>
      <c r="J384" t="s">
        <v>57</v>
      </c>
      <c r="K384">
        <v>9950</v>
      </c>
      <c r="L384">
        <v>9</v>
      </c>
      <c r="M384" t="s">
        <v>31</v>
      </c>
      <c r="N384">
        <v>15</v>
      </c>
      <c r="O384">
        <v>3</v>
      </c>
      <c r="P384">
        <v>3</v>
      </c>
      <c r="Q384">
        <v>11</v>
      </c>
      <c r="R384">
        <v>2</v>
      </c>
      <c r="S384">
        <v>3</v>
      </c>
      <c r="T384">
        <v>0</v>
      </c>
      <c r="U384">
        <v>2</v>
      </c>
      <c r="V384" t="s">
        <v>58</v>
      </c>
      <c r="W384" s="2">
        <v>43314</v>
      </c>
      <c r="Y384" t="s">
        <v>46</v>
      </c>
      <c r="Z384" t="s">
        <v>47</v>
      </c>
      <c r="AA384">
        <v>0</v>
      </c>
      <c r="AB384">
        <v>2</v>
      </c>
      <c r="AC384" t="s">
        <v>41</v>
      </c>
      <c r="AD384" t="s">
        <v>65</v>
      </c>
      <c r="AE384" t="s">
        <v>60</v>
      </c>
      <c r="AF384" s="3">
        <v>510</v>
      </c>
      <c r="AG384" s="3">
        <v>73</v>
      </c>
      <c r="AH384">
        <v>80</v>
      </c>
      <c r="AI384">
        <v>4</v>
      </c>
      <c r="AJ384">
        <v>1</v>
      </c>
      <c r="AK384">
        <v>1</v>
      </c>
      <c r="AL384">
        <v>1</v>
      </c>
      <c r="AM384">
        <v>0</v>
      </c>
      <c r="AN384" t="s">
        <v>767</v>
      </c>
      <c r="AO384" t="s">
        <v>31</v>
      </c>
    </row>
    <row r="385" spans="1:41" x14ac:dyDescent="0.25">
      <c r="A385">
        <v>29</v>
      </c>
      <c r="B385" t="s">
        <v>32</v>
      </c>
      <c r="C385" t="s">
        <v>33</v>
      </c>
      <c r="D385">
        <v>19</v>
      </c>
      <c r="E385" t="s">
        <v>34</v>
      </c>
      <c r="F385">
        <v>3</v>
      </c>
      <c r="G385">
        <v>2</v>
      </c>
      <c r="H385" t="s">
        <v>78</v>
      </c>
      <c r="I385">
        <v>4</v>
      </c>
      <c r="J385" t="s">
        <v>57</v>
      </c>
      <c r="K385">
        <v>4262</v>
      </c>
      <c r="L385">
        <v>4</v>
      </c>
      <c r="M385" t="s">
        <v>41</v>
      </c>
      <c r="N385">
        <v>12</v>
      </c>
      <c r="O385">
        <v>3</v>
      </c>
      <c r="P385">
        <v>2</v>
      </c>
      <c r="Q385">
        <v>8</v>
      </c>
      <c r="R385">
        <v>2</v>
      </c>
      <c r="S385">
        <v>3</v>
      </c>
      <c r="T385">
        <v>1</v>
      </c>
      <c r="U385">
        <v>2</v>
      </c>
      <c r="V385" t="s">
        <v>37</v>
      </c>
      <c r="W385" s="2">
        <v>43195</v>
      </c>
      <c r="Y385" t="s">
        <v>54</v>
      </c>
      <c r="Z385" t="s">
        <v>40</v>
      </c>
      <c r="AA385">
        <v>2</v>
      </c>
      <c r="AB385">
        <v>3</v>
      </c>
      <c r="AC385" t="s">
        <v>41</v>
      </c>
      <c r="AD385" t="s">
        <v>42</v>
      </c>
      <c r="AE385" t="s">
        <v>43</v>
      </c>
      <c r="AF385" s="3">
        <v>511</v>
      </c>
      <c r="AG385" s="3">
        <v>43</v>
      </c>
      <c r="AH385">
        <v>80</v>
      </c>
      <c r="AI385">
        <v>1</v>
      </c>
      <c r="AJ385">
        <v>0</v>
      </c>
      <c r="AL385">
        <v>0</v>
      </c>
      <c r="AM385">
        <v>1</v>
      </c>
      <c r="AN385" t="s">
        <v>768</v>
      </c>
      <c r="AO385" t="s">
        <v>41</v>
      </c>
    </row>
    <row r="386" spans="1:41" x14ac:dyDescent="0.25">
      <c r="A386">
        <v>31</v>
      </c>
      <c r="B386" t="s">
        <v>32</v>
      </c>
      <c r="C386" t="s">
        <v>55</v>
      </c>
      <c r="D386">
        <v>13</v>
      </c>
      <c r="E386" t="s">
        <v>34</v>
      </c>
      <c r="F386">
        <v>3</v>
      </c>
      <c r="G386">
        <v>2</v>
      </c>
      <c r="H386" t="s">
        <v>70</v>
      </c>
      <c r="I386">
        <v>1</v>
      </c>
      <c r="J386" t="s">
        <v>57</v>
      </c>
      <c r="K386">
        <v>4233</v>
      </c>
      <c r="L386">
        <v>2</v>
      </c>
      <c r="M386" t="s">
        <v>41</v>
      </c>
      <c r="N386">
        <v>17</v>
      </c>
      <c r="O386">
        <v>3</v>
      </c>
      <c r="P386">
        <v>0</v>
      </c>
      <c r="Q386">
        <v>9</v>
      </c>
      <c r="R386">
        <v>2</v>
      </c>
      <c r="S386">
        <v>3</v>
      </c>
      <c r="T386">
        <v>1</v>
      </c>
      <c r="U386">
        <v>2</v>
      </c>
      <c r="V386" t="s">
        <v>72</v>
      </c>
      <c r="W386" s="1" t="s">
        <v>239</v>
      </c>
      <c r="Y386" t="s">
        <v>54</v>
      </c>
      <c r="Z386" t="s">
        <v>47</v>
      </c>
      <c r="AA386">
        <v>4</v>
      </c>
      <c r="AB386">
        <v>2</v>
      </c>
      <c r="AC386" t="s">
        <v>41</v>
      </c>
      <c r="AD386" t="s">
        <v>48</v>
      </c>
      <c r="AE386" t="s">
        <v>43</v>
      </c>
      <c r="AF386" s="3">
        <v>513</v>
      </c>
      <c r="AG386" s="3">
        <v>61</v>
      </c>
      <c r="AH386">
        <v>80</v>
      </c>
      <c r="AI386">
        <v>9</v>
      </c>
      <c r="AJ386">
        <v>0</v>
      </c>
      <c r="AL386">
        <v>0</v>
      </c>
      <c r="AM386">
        <v>1</v>
      </c>
      <c r="AN386" t="s">
        <v>768</v>
      </c>
      <c r="AO386" t="s">
        <v>41</v>
      </c>
    </row>
    <row r="387" spans="1:41" x14ac:dyDescent="0.25">
      <c r="A387">
        <v>35</v>
      </c>
      <c r="B387" t="s">
        <v>32</v>
      </c>
      <c r="C387" t="s">
        <v>33</v>
      </c>
      <c r="D387">
        <v>25</v>
      </c>
      <c r="E387" t="s">
        <v>34</v>
      </c>
      <c r="F387">
        <v>2</v>
      </c>
      <c r="G387">
        <v>2</v>
      </c>
      <c r="H387" t="s">
        <v>35</v>
      </c>
      <c r="I387">
        <v>4</v>
      </c>
      <c r="J387" t="s">
        <v>36</v>
      </c>
      <c r="K387">
        <v>3681</v>
      </c>
      <c r="L387">
        <v>4</v>
      </c>
      <c r="M387" t="s">
        <v>41</v>
      </c>
      <c r="N387">
        <v>14</v>
      </c>
      <c r="O387">
        <v>3</v>
      </c>
      <c r="P387">
        <v>0</v>
      </c>
      <c r="Q387">
        <v>9</v>
      </c>
      <c r="R387">
        <v>3</v>
      </c>
      <c r="S387">
        <v>3</v>
      </c>
      <c r="T387">
        <v>0</v>
      </c>
      <c r="U387">
        <v>2</v>
      </c>
      <c r="V387" t="s">
        <v>52</v>
      </c>
      <c r="W387" s="2">
        <v>43252</v>
      </c>
      <c r="Y387" t="s">
        <v>54</v>
      </c>
      <c r="Z387" t="s">
        <v>40</v>
      </c>
      <c r="AA387">
        <v>2</v>
      </c>
      <c r="AB387">
        <v>1</v>
      </c>
      <c r="AC387" t="s">
        <v>41</v>
      </c>
      <c r="AD387" t="s">
        <v>42</v>
      </c>
      <c r="AE387" t="s">
        <v>49</v>
      </c>
      <c r="AF387" s="3">
        <v>514</v>
      </c>
      <c r="AG387" s="3">
        <v>40</v>
      </c>
      <c r="AH387">
        <v>80</v>
      </c>
      <c r="AI387">
        <v>0</v>
      </c>
      <c r="AJ387">
        <v>1</v>
      </c>
      <c r="AK387">
        <v>1</v>
      </c>
      <c r="AL387">
        <v>1</v>
      </c>
      <c r="AM387">
        <v>0</v>
      </c>
      <c r="AN387" t="s">
        <v>767</v>
      </c>
      <c r="AO387" t="s">
        <v>31</v>
      </c>
    </row>
    <row r="388" spans="1:41" x14ac:dyDescent="0.25">
      <c r="A388">
        <v>37</v>
      </c>
      <c r="B388" t="s">
        <v>32</v>
      </c>
      <c r="C388" t="s">
        <v>55</v>
      </c>
      <c r="D388">
        <v>2</v>
      </c>
      <c r="E388" t="s">
        <v>34</v>
      </c>
      <c r="F388">
        <v>3</v>
      </c>
      <c r="G388">
        <v>2</v>
      </c>
      <c r="H388" t="s">
        <v>70</v>
      </c>
      <c r="I388">
        <v>3</v>
      </c>
      <c r="J388" t="s">
        <v>51</v>
      </c>
      <c r="K388">
        <v>9602</v>
      </c>
      <c r="L388">
        <v>4</v>
      </c>
      <c r="M388" t="s">
        <v>31</v>
      </c>
      <c r="N388">
        <v>11</v>
      </c>
      <c r="O388">
        <v>3</v>
      </c>
      <c r="P388">
        <v>1</v>
      </c>
      <c r="Q388">
        <v>17</v>
      </c>
      <c r="R388">
        <v>3</v>
      </c>
      <c r="S388">
        <v>3</v>
      </c>
      <c r="T388">
        <v>1</v>
      </c>
      <c r="U388">
        <v>0</v>
      </c>
      <c r="V388" t="s">
        <v>72</v>
      </c>
      <c r="W388" s="2">
        <v>43135</v>
      </c>
      <c r="Y388" t="s">
        <v>69</v>
      </c>
      <c r="Z388" t="s">
        <v>40</v>
      </c>
      <c r="AA388">
        <v>4</v>
      </c>
      <c r="AB388">
        <v>0</v>
      </c>
      <c r="AC388" t="s">
        <v>31</v>
      </c>
      <c r="AD388" t="s">
        <v>65</v>
      </c>
      <c r="AE388" t="s">
        <v>60</v>
      </c>
      <c r="AF388" s="3">
        <v>515</v>
      </c>
      <c r="AG388" s="3">
        <v>95</v>
      </c>
      <c r="AH388">
        <v>80</v>
      </c>
      <c r="AI388">
        <v>7</v>
      </c>
      <c r="AJ388">
        <v>0</v>
      </c>
      <c r="AL388">
        <v>0</v>
      </c>
      <c r="AM388">
        <v>1</v>
      </c>
      <c r="AN388" t="s">
        <v>768</v>
      </c>
      <c r="AO388" t="s">
        <v>41</v>
      </c>
    </row>
    <row r="389" spans="1:41" x14ac:dyDescent="0.25">
      <c r="A389">
        <v>48</v>
      </c>
      <c r="B389" t="s">
        <v>32</v>
      </c>
      <c r="C389" t="s">
        <v>33</v>
      </c>
      <c r="D389">
        <v>1</v>
      </c>
      <c r="E389" t="s">
        <v>61</v>
      </c>
      <c r="F389">
        <v>2</v>
      </c>
      <c r="G389">
        <v>4</v>
      </c>
      <c r="H389" t="s">
        <v>75</v>
      </c>
      <c r="I389">
        <v>1</v>
      </c>
      <c r="J389" t="s">
        <v>51</v>
      </c>
      <c r="K389">
        <v>15402</v>
      </c>
      <c r="L389">
        <v>7</v>
      </c>
      <c r="M389" t="s">
        <v>41</v>
      </c>
      <c r="N389">
        <v>11</v>
      </c>
      <c r="O389">
        <v>3</v>
      </c>
      <c r="P389">
        <v>1</v>
      </c>
      <c r="Q389">
        <v>21</v>
      </c>
      <c r="R389">
        <v>3</v>
      </c>
      <c r="S389">
        <v>3</v>
      </c>
      <c r="T389">
        <v>0</v>
      </c>
      <c r="U389">
        <v>2</v>
      </c>
      <c r="V389" t="s">
        <v>72</v>
      </c>
      <c r="W389" s="1" t="s">
        <v>240</v>
      </c>
      <c r="Y389" t="s">
        <v>46</v>
      </c>
      <c r="Z389" t="s">
        <v>47</v>
      </c>
      <c r="AA389">
        <v>4</v>
      </c>
      <c r="AB389">
        <v>1</v>
      </c>
      <c r="AC389" t="s">
        <v>31</v>
      </c>
      <c r="AD389" t="s">
        <v>48</v>
      </c>
      <c r="AE389" t="s">
        <v>49</v>
      </c>
      <c r="AF389" s="3">
        <v>516</v>
      </c>
      <c r="AG389" s="3">
        <v>46</v>
      </c>
      <c r="AH389">
        <v>80</v>
      </c>
      <c r="AI389">
        <v>4</v>
      </c>
      <c r="AJ389">
        <v>0</v>
      </c>
      <c r="AL389">
        <v>0</v>
      </c>
      <c r="AM389">
        <v>1</v>
      </c>
      <c r="AN389" t="s">
        <v>768</v>
      </c>
      <c r="AO389" t="s">
        <v>41</v>
      </c>
    </row>
    <row r="390" spans="1:41" x14ac:dyDescent="0.25">
      <c r="A390">
        <v>21</v>
      </c>
      <c r="B390" t="s">
        <v>32</v>
      </c>
      <c r="C390" t="s">
        <v>55</v>
      </c>
      <c r="D390">
        <v>22</v>
      </c>
      <c r="E390" t="s">
        <v>34</v>
      </c>
      <c r="F390">
        <v>3</v>
      </c>
      <c r="G390">
        <v>1</v>
      </c>
      <c r="H390" t="s">
        <v>56</v>
      </c>
      <c r="I390">
        <v>3</v>
      </c>
      <c r="J390" t="s">
        <v>36</v>
      </c>
      <c r="K390">
        <v>3447</v>
      </c>
      <c r="L390">
        <v>1</v>
      </c>
      <c r="M390" t="s">
        <v>41</v>
      </c>
      <c r="N390">
        <v>11</v>
      </c>
      <c r="O390">
        <v>3</v>
      </c>
      <c r="P390">
        <v>0</v>
      </c>
      <c r="Q390">
        <v>3</v>
      </c>
      <c r="R390">
        <v>2</v>
      </c>
      <c r="S390">
        <v>3</v>
      </c>
      <c r="T390">
        <v>1</v>
      </c>
      <c r="U390">
        <v>2</v>
      </c>
      <c r="V390" t="s">
        <v>72</v>
      </c>
      <c r="W390" s="1" t="s">
        <v>241</v>
      </c>
      <c r="Y390" t="s">
        <v>69</v>
      </c>
      <c r="Z390" t="s">
        <v>47</v>
      </c>
      <c r="AA390">
        <v>4</v>
      </c>
      <c r="AB390">
        <v>0</v>
      </c>
      <c r="AC390" t="s">
        <v>31</v>
      </c>
      <c r="AD390" t="s">
        <v>48</v>
      </c>
      <c r="AE390" t="s">
        <v>43</v>
      </c>
      <c r="AF390" s="3">
        <v>517</v>
      </c>
      <c r="AG390" s="3">
        <v>95</v>
      </c>
      <c r="AH390">
        <v>80</v>
      </c>
      <c r="AI390">
        <v>2</v>
      </c>
      <c r="AJ390">
        <v>0</v>
      </c>
      <c r="AL390">
        <v>0</v>
      </c>
      <c r="AM390">
        <v>1</v>
      </c>
      <c r="AN390" t="s">
        <v>768</v>
      </c>
      <c r="AO390" t="s">
        <v>41</v>
      </c>
    </row>
    <row r="391" spans="1:41" x14ac:dyDescent="0.25">
      <c r="A391">
        <v>26</v>
      </c>
      <c r="B391" t="s">
        <v>32</v>
      </c>
      <c r="C391" t="s">
        <v>33</v>
      </c>
      <c r="D391">
        <v>6</v>
      </c>
      <c r="E391" t="s">
        <v>61</v>
      </c>
      <c r="F391">
        <v>3</v>
      </c>
      <c r="G391">
        <v>1</v>
      </c>
      <c r="H391" t="s">
        <v>35</v>
      </c>
      <c r="I391">
        <v>4</v>
      </c>
      <c r="J391" t="s">
        <v>51</v>
      </c>
      <c r="K391">
        <v>2659</v>
      </c>
      <c r="L391">
        <v>1</v>
      </c>
      <c r="M391" t="s">
        <v>31</v>
      </c>
      <c r="N391">
        <v>13</v>
      </c>
      <c r="O391">
        <v>3</v>
      </c>
      <c r="P391">
        <v>1</v>
      </c>
      <c r="Q391">
        <v>3</v>
      </c>
      <c r="R391">
        <v>2</v>
      </c>
      <c r="S391">
        <v>3</v>
      </c>
      <c r="T391">
        <v>0</v>
      </c>
      <c r="U391">
        <v>2</v>
      </c>
      <c r="V391" t="s">
        <v>58</v>
      </c>
      <c r="W391" s="2">
        <v>43254</v>
      </c>
      <c r="Y391" t="s">
        <v>63</v>
      </c>
      <c r="Z391" t="s">
        <v>40</v>
      </c>
      <c r="AA391">
        <v>5</v>
      </c>
      <c r="AB391">
        <v>2</v>
      </c>
      <c r="AC391" t="s">
        <v>41</v>
      </c>
      <c r="AD391" t="s">
        <v>65</v>
      </c>
      <c r="AE391" t="s">
        <v>60</v>
      </c>
      <c r="AF391" s="3">
        <v>518</v>
      </c>
      <c r="AG391" s="3">
        <v>49</v>
      </c>
      <c r="AH391">
        <v>80</v>
      </c>
      <c r="AI391">
        <v>0</v>
      </c>
      <c r="AJ391">
        <v>0</v>
      </c>
      <c r="AL391">
        <v>0</v>
      </c>
      <c r="AM391">
        <v>1</v>
      </c>
      <c r="AN391" t="s">
        <v>768</v>
      </c>
      <c r="AO391" t="s">
        <v>41</v>
      </c>
    </row>
    <row r="392" spans="1:41" x14ac:dyDescent="0.25">
      <c r="A392">
        <v>36</v>
      </c>
      <c r="B392" t="s">
        <v>32</v>
      </c>
      <c r="C392" t="s">
        <v>33</v>
      </c>
      <c r="D392">
        <v>9</v>
      </c>
      <c r="E392" t="s">
        <v>34</v>
      </c>
      <c r="F392">
        <v>2</v>
      </c>
      <c r="G392">
        <v>2</v>
      </c>
      <c r="H392" t="s">
        <v>78</v>
      </c>
      <c r="I392">
        <v>2</v>
      </c>
      <c r="J392" t="s">
        <v>57</v>
      </c>
      <c r="K392">
        <v>8847</v>
      </c>
      <c r="L392">
        <v>2</v>
      </c>
      <c r="M392" t="s">
        <v>31</v>
      </c>
      <c r="N392">
        <v>11</v>
      </c>
      <c r="O392">
        <v>3</v>
      </c>
      <c r="P392">
        <v>1</v>
      </c>
      <c r="Q392">
        <v>13</v>
      </c>
      <c r="R392">
        <v>2</v>
      </c>
      <c r="S392">
        <v>3</v>
      </c>
      <c r="T392">
        <v>0</v>
      </c>
      <c r="U392">
        <v>2</v>
      </c>
      <c r="V392" t="s">
        <v>37</v>
      </c>
      <c r="W392" s="2">
        <v>43282</v>
      </c>
      <c r="Y392" t="s">
        <v>63</v>
      </c>
      <c r="Z392" t="s">
        <v>40</v>
      </c>
      <c r="AA392">
        <v>5</v>
      </c>
      <c r="AB392">
        <v>2</v>
      </c>
      <c r="AC392" t="s">
        <v>41</v>
      </c>
      <c r="AD392" t="s">
        <v>67</v>
      </c>
      <c r="AE392" t="s">
        <v>60</v>
      </c>
      <c r="AF392" s="3">
        <v>520</v>
      </c>
      <c r="AG392" s="3">
        <v>59</v>
      </c>
      <c r="AH392">
        <v>80</v>
      </c>
      <c r="AI392">
        <v>10</v>
      </c>
      <c r="AJ392">
        <v>0</v>
      </c>
      <c r="AL392">
        <v>0</v>
      </c>
      <c r="AM392">
        <v>1</v>
      </c>
      <c r="AN392" t="s">
        <v>768</v>
      </c>
      <c r="AO392" t="s">
        <v>41</v>
      </c>
    </row>
    <row r="393" spans="1:41" x14ac:dyDescent="0.25">
      <c r="A393">
        <v>23</v>
      </c>
      <c r="B393" t="s">
        <v>32</v>
      </c>
      <c r="C393" t="s">
        <v>33</v>
      </c>
      <c r="D393">
        <v>4</v>
      </c>
      <c r="E393" t="s">
        <v>34</v>
      </c>
      <c r="F393">
        <v>4</v>
      </c>
      <c r="G393">
        <v>1</v>
      </c>
      <c r="H393" t="s">
        <v>44</v>
      </c>
      <c r="I393">
        <v>1</v>
      </c>
      <c r="J393" t="s">
        <v>51</v>
      </c>
      <c r="K393">
        <v>2819</v>
      </c>
      <c r="L393">
        <v>2</v>
      </c>
      <c r="M393" t="s">
        <v>41</v>
      </c>
      <c r="N393">
        <v>16</v>
      </c>
      <c r="O393">
        <v>3</v>
      </c>
      <c r="P393">
        <v>1</v>
      </c>
      <c r="Q393">
        <v>5</v>
      </c>
      <c r="R393">
        <v>3</v>
      </c>
      <c r="S393">
        <v>3</v>
      </c>
      <c r="T393">
        <v>0</v>
      </c>
      <c r="U393">
        <v>2</v>
      </c>
      <c r="V393" t="s">
        <v>58</v>
      </c>
      <c r="W393" s="2">
        <v>43225</v>
      </c>
      <c r="Y393" t="s">
        <v>69</v>
      </c>
      <c r="Z393" t="s">
        <v>40</v>
      </c>
      <c r="AA393">
        <v>5</v>
      </c>
      <c r="AB393">
        <v>1</v>
      </c>
      <c r="AC393" t="s">
        <v>41</v>
      </c>
      <c r="AD393" t="s">
        <v>67</v>
      </c>
      <c r="AE393" t="s">
        <v>49</v>
      </c>
      <c r="AF393" s="3">
        <v>521</v>
      </c>
      <c r="AG393" s="3">
        <v>78</v>
      </c>
      <c r="AH393">
        <v>80</v>
      </c>
      <c r="AI393">
        <v>0</v>
      </c>
      <c r="AJ393">
        <v>0</v>
      </c>
      <c r="AL393">
        <v>0</v>
      </c>
      <c r="AM393">
        <v>1</v>
      </c>
      <c r="AN393" t="s">
        <v>768</v>
      </c>
      <c r="AO393" t="s">
        <v>41</v>
      </c>
    </row>
    <row r="394" spans="1:41" x14ac:dyDescent="0.25">
      <c r="A394">
        <v>25</v>
      </c>
      <c r="B394" t="s">
        <v>32</v>
      </c>
      <c r="C394" t="s">
        <v>55</v>
      </c>
      <c r="D394">
        <v>8</v>
      </c>
      <c r="E394" t="s">
        <v>34</v>
      </c>
      <c r="F394">
        <v>4</v>
      </c>
      <c r="G394">
        <v>2</v>
      </c>
      <c r="H394" t="s">
        <v>70</v>
      </c>
      <c r="I394">
        <v>2</v>
      </c>
      <c r="J394" t="s">
        <v>51</v>
      </c>
      <c r="K394">
        <v>4851</v>
      </c>
      <c r="L394">
        <v>0</v>
      </c>
      <c r="M394" t="s">
        <v>41</v>
      </c>
      <c r="N394">
        <v>22</v>
      </c>
      <c r="O394">
        <v>4</v>
      </c>
      <c r="P394">
        <v>1</v>
      </c>
      <c r="Q394">
        <v>4</v>
      </c>
      <c r="R394">
        <v>4</v>
      </c>
      <c r="S394">
        <v>3</v>
      </c>
      <c r="T394">
        <v>1</v>
      </c>
      <c r="U394">
        <v>2</v>
      </c>
      <c r="V394" t="s">
        <v>72</v>
      </c>
      <c r="W394" s="2">
        <v>43314</v>
      </c>
      <c r="Y394" t="s">
        <v>63</v>
      </c>
      <c r="Z394" t="s">
        <v>47</v>
      </c>
      <c r="AA394">
        <v>1</v>
      </c>
      <c r="AB394">
        <v>0</v>
      </c>
      <c r="AC394" t="s">
        <v>41</v>
      </c>
      <c r="AD394" t="s">
        <v>65</v>
      </c>
      <c r="AE394" t="s">
        <v>60</v>
      </c>
      <c r="AF394" s="3">
        <v>522</v>
      </c>
      <c r="AG394" s="3">
        <v>86</v>
      </c>
      <c r="AH394">
        <v>80</v>
      </c>
      <c r="AI394">
        <v>2</v>
      </c>
      <c r="AJ394">
        <v>0</v>
      </c>
      <c r="AL394">
        <v>0</v>
      </c>
      <c r="AM394">
        <v>1</v>
      </c>
      <c r="AN394" t="s">
        <v>768</v>
      </c>
      <c r="AO394" t="s">
        <v>41</v>
      </c>
    </row>
    <row r="395" spans="1:41" x14ac:dyDescent="0.25">
      <c r="A395">
        <v>35</v>
      </c>
      <c r="B395" t="s">
        <v>32</v>
      </c>
      <c r="C395" t="s">
        <v>55</v>
      </c>
      <c r="D395">
        <v>8</v>
      </c>
      <c r="E395" t="s">
        <v>61</v>
      </c>
      <c r="F395">
        <v>3</v>
      </c>
      <c r="G395">
        <v>1</v>
      </c>
      <c r="H395" t="s">
        <v>56</v>
      </c>
      <c r="I395">
        <v>4</v>
      </c>
      <c r="J395" t="s">
        <v>51</v>
      </c>
      <c r="K395">
        <v>2572</v>
      </c>
      <c r="L395">
        <v>1</v>
      </c>
      <c r="M395" t="s">
        <v>41</v>
      </c>
      <c r="N395">
        <v>16</v>
      </c>
      <c r="O395">
        <v>3</v>
      </c>
      <c r="P395">
        <v>1</v>
      </c>
      <c r="Q395">
        <v>3</v>
      </c>
      <c r="R395">
        <v>1</v>
      </c>
      <c r="S395">
        <v>3</v>
      </c>
      <c r="T395">
        <v>0</v>
      </c>
      <c r="U395">
        <v>2</v>
      </c>
      <c r="V395" t="s">
        <v>52</v>
      </c>
      <c r="W395" s="1" t="s">
        <v>242</v>
      </c>
      <c r="Y395" t="s">
        <v>63</v>
      </c>
      <c r="Z395" t="s">
        <v>47</v>
      </c>
      <c r="AA395">
        <v>1</v>
      </c>
      <c r="AB395">
        <v>1</v>
      </c>
      <c r="AC395" t="s">
        <v>31</v>
      </c>
      <c r="AD395" t="s">
        <v>65</v>
      </c>
      <c r="AE395" t="s">
        <v>49</v>
      </c>
      <c r="AF395" s="3">
        <v>523</v>
      </c>
      <c r="AG395" s="3">
        <v>72</v>
      </c>
      <c r="AH395">
        <v>80</v>
      </c>
      <c r="AI395">
        <v>2</v>
      </c>
      <c r="AJ395">
        <v>0</v>
      </c>
      <c r="AL395">
        <v>0</v>
      </c>
      <c r="AM395">
        <v>1</v>
      </c>
      <c r="AN395" t="s">
        <v>768</v>
      </c>
      <c r="AO395" t="s">
        <v>41</v>
      </c>
    </row>
    <row r="396" spans="1:41" x14ac:dyDescent="0.25">
      <c r="A396">
        <v>34</v>
      </c>
      <c r="B396" t="s">
        <v>32</v>
      </c>
      <c r="C396" t="s">
        <v>55</v>
      </c>
      <c r="D396">
        <v>8</v>
      </c>
      <c r="E396" t="s">
        <v>61</v>
      </c>
      <c r="F396">
        <v>3</v>
      </c>
      <c r="G396">
        <v>2</v>
      </c>
      <c r="H396" t="s">
        <v>70</v>
      </c>
      <c r="I396">
        <v>1</v>
      </c>
      <c r="J396" t="s">
        <v>51</v>
      </c>
      <c r="K396">
        <v>6500</v>
      </c>
      <c r="L396">
        <v>5</v>
      </c>
      <c r="M396" t="s">
        <v>41</v>
      </c>
      <c r="N396">
        <v>17</v>
      </c>
      <c r="O396">
        <v>3</v>
      </c>
      <c r="P396">
        <v>1</v>
      </c>
      <c r="Q396">
        <v>6</v>
      </c>
      <c r="R396">
        <v>1</v>
      </c>
      <c r="S396">
        <v>3</v>
      </c>
      <c r="T396">
        <v>1</v>
      </c>
      <c r="U396">
        <v>2</v>
      </c>
      <c r="V396" t="s">
        <v>52</v>
      </c>
      <c r="W396" s="2">
        <v>43105</v>
      </c>
      <c r="Y396" t="s">
        <v>69</v>
      </c>
      <c r="Z396" t="s">
        <v>40</v>
      </c>
      <c r="AA396">
        <v>3</v>
      </c>
      <c r="AB396">
        <v>2</v>
      </c>
      <c r="AC396" t="s">
        <v>31</v>
      </c>
      <c r="AD396" t="s">
        <v>48</v>
      </c>
      <c r="AE396" t="s">
        <v>49</v>
      </c>
      <c r="AF396" s="3">
        <v>524</v>
      </c>
      <c r="AG396" s="3">
        <v>31</v>
      </c>
      <c r="AH396">
        <v>80</v>
      </c>
      <c r="AI396">
        <v>10</v>
      </c>
      <c r="AJ396">
        <v>0</v>
      </c>
      <c r="AL396">
        <v>0</v>
      </c>
      <c r="AM396">
        <v>1</v>
      </c>
      <c r="AN396" t="s">
        <v>768</v>
      </c>
      <c r="AO396" t="s">
        <v>41</v>
      </c>
    </row>
    <row r="397" spans="1:41" x14ac:dyDescent="0.25">
      <c r="A397">
        <v>33</v>
      </c>
      <c r="B397" t="s">
        <v>32</v>
      </c>
      <c r="C397" t="s">
        <v>55</v>
      </c>
      <c r="D397">
        <v>16</v>
      </c>
      <c r="E397" t="s">
        <v>61</v>
      </c>
      <c r="F397">
        <v>3</v>
      </c>
      <c r="G397">
        <v>2</v>
      </c>
      <c r="H397" t="s">
        <v>70</v>
      </c>
      <c r="I397">
        <v>1</v>
      </c>
      <c r="J397" t="s">
        <v>36</v>
      </c>
      <c r="K397">
        <v>5324</v>
      </c>
      <c r="L397">
        <v>5</v>
      </c>
      <c r="M397" t="s">
        <v>41</v>
      </c>
      <c r="N397">
        <v>15</v>
      </c>
      <c r="O397">
        <v>3</v>
      </c>
      <c r="P397">
        <v>0</v>
      </c>
      <c r="Q397">
        <v>6</v>
      </c>
      <c r="R397">
        <v>3</v>
      </c>
      <c r="S397">
        <v>3</v>
      </c>
      <c r="T397">
        <v>0</v>
      </c>
      <c r="U397">
        <v>2</v>
      </c>
      <c r="V397" t="s">
        <v>52</v>
      </c>
      <c r="W397" s="1" t="s">
        <v>243</v>
      </c>
      <c r="Y397" t="s">
        <v>46</v>
      </c>
      <c r="Z397" t="s">
        <v>40</v>
      </c>
      <c r="AA397">
        <v>1</v>
      </c>
      <c r="AB397">
        <v>3</v>
      </c>
      <c r="AC397" t="s">
        <v>41</v>
      </c>
      <c r="AD397" t="s">
        <v>65</v>
      </c>
      <c r="AE397" t="s">
        <v>43</v>
      </c>
      <c r="AF397" s="3">
        <v>525</v>
      </c>
      <c r="AG397" s="3">
        <v>61</v>
      </c>
      <c r="AH397">
        <v>80</v>
      </c>
      <c r="AI397">
        <v>2</v>
      </c>
      <c r="AJ397">
        <v>0</v>
      </c>
      <c r="AL397">
        <v>0</v>
      </c>
      <c r="AM397">
        <v>1</v>
      </c>
      <c r="AN397" t="s">
        <v>768</v>
      </c>
      <c r="AO397" t="s">
        <v>41</v>
      </c>
    </row>
    <row r="398" spans="1:41" x14ac:dyDescent="0.25">
      <c r="A398">
        <v>34</v>
      </c>
      <c r="B398" t="s">
        <v>32</v>
      </c>
      <c r="C398" t="s">
        <v>120</v>
      </c>
      <c r="D398">
        <v>3</v>
      </c>
      <c r="E398" t="s">
        <v>34</v>
      </c>
      <c r="F398">
        <v>3</v>
      </c>
      <c r="G398">
        <v>1</v>
      </c>
      <c r="H398" t="s">
        <v>120</v>
      </c>
      <c r="I398">
        <v>4</v>
      </c>
      <c r="J398" t="s">
        <v>51</v>
      </c>
      <c r="K398">
        <v>3737</v>
      </c>
      <c r="L398">
        <v>0</v>
      </c>
      <c r="M398" t="s">
        <v>41</v>
      </c>
      <c r="N398">
        <v>19</v>
      </c>
      <c r="O398">
        <v>3</v>
      </c>
      <c r="P398">
        <v>1</v>
      </c>
      <c r="Q398">
        <v>4</v>
      </c>
      <c r="R398">
        <v>1</v>
      </c>
      <c r="S398">
        <v>3</v>
      </c>
      <c r="T398">
        <v>0</v>
      </c>
      <c r="U398">
        <v>2</v>
      </c>
      <c r="V398" t="s">
        <v>52</v>
      </c>
      <c r="W398" s="1" t="s">
        <v>244</v>
      </c>
      <c r="Y398" t="s">
        <v>39</v>
      </c>
      <c r="Z398" t="s">
        <v>47</v>
      </c>
      <c r="AA398">
        <v>0</v>
      </c>
      <c r="AB398">
        <v>1</v>
      </c>
      <c r="AC398" t="s">
        <v>41</v>
      </c>
      <c r="AD398" t="s">
        <v>42</v>
      </c>
      <c r="AE398" t="s">
        <v>60</v>
      </c>
      <c r="AF398" s="3">
        <v>526</v>
      </c>
      <c r="AG398" s="3">
        <v>74</v>
      </c>
      <c r="AH398">
        <v>80</v>
      </c>
      <c r="AI398">
        <v>2</v>
      </c>
      <c r="AJ398">
        <v>0</v>
      </c>
      <c r="AL398">
        <v>0</v>
      </c>
      <c r="AM398">
        <v>1</v>
      </c>
      <c r="AN398" t="s">
        <v>768</v>
      </c>
      <c r="AO398" t="s">
        <v>41</v>
      </c>
    </row>
    <row r="399" spans="1:41" x14ac:dyDescent="0.25">
      <c r="A399">
        <v>44</v>
      </c>
      <c r="B399" t="s">
        <v>32</v>
      </c>
      <c r="C399" t="s">
        <v>33</v>
      </c>
      <c r="D399">
        <v>8</v>
      </c>
      <c r="E399" t="s">
        <v>34</v>
      </c>
      <c r="F399">
        <v>4</v>
      </c>
      <c r="G399">
        <v>1</v>
      </c>
      <c r="H399" t="s">
        <v>35</v>
      </c>
      <c r="I399">
        <v>4</v>
      </c>
      <c r="J399" t="s">
        <v>51</v>
      </c>
      <c r="K399">
        <v>2818</v>
      </c>
      <c r="L399">
        <v>2</v>
      </c>
      <c r="M399" t="s">
        <v>31</v>
      </c>
      <c r="N399">
        <v>24</v>
      </c>
      <c r="O399">
        <v>4</v>
      </c>
      <c r="P399">
        <v>1</v>
      </c>
      <c r="Q399">
        <v>10</v>
      </c>
      <c r="R399">
        <v>2</v>
      </c>
      <c r="S399">
        <v>3</v>
      </c>
      <c r="T399">
        <v>0</v>
      </c>
      <c r="U399">
        <v>2</v>
      </c>
      <c r="V399" t="s">
        <v>72</v>
      </c>
      <c r="W399" s="1" t="s">
        <v>227</v>
      </c>
      <c r="Y399" t="s">
        <v>46</v>
      </c>
      <c r="Z399" t="s">
        <v>47</v>
      </c>
      <c r="AA399">
        <v>4</v>
      </c>
      <c r="AB399">
        <v>2</v>
      </c>
      <c r="AC399" t="s">
        <v>41</v>
      </c>
      <c r="AD399" t="s">
        <v>48</v>
      </c>
      <c r="AE399" t="s">
        <v>60</v>
      </c>
      <c r="AF399" s="3">
        <v>527</v>
      </c>
      <c r="AG399" s="3">
        <v>99</v>
      </c>
      <c r="AH399">
        <v>80</v>
      </c>
      <c r="AI399">
        <v>4</v>
      </c>
      <c r="AJ399">
        <v>0</v>
      </c>
      <c r="AL399">
        <v>0</v>
      </c>
      <c r="AM399">
        <v>1</v>
      </c>
      <c r="AN399" t="s">
        <v>768</v>
      </c>
      <c r="AO399" t="s">
        <v>41</v>
      </c>
    </row>
    <row r="400" spans="1:41" x14ac:dyDescent="0.25">
      <c r="A400">
        <v>32</v>
      </c>
      <c r="B400" t="s">
        <v>81</v>
      </c>
      <c r="C400" t="s">
        <v>33</v>
      </c>
      <c r="D400">
        <v>1</v>
      </c>
      <c r="E400" t="s">
        <v>34</v>
      </c>
      <c r="F400">
        <v>3</v>
      </c>
      <c r="G400">
        <v>1</v>
      </c>
      <c r="H400" t="s">
        <v>35</v>
      </c>
      <c r="I400">
        <v>4</v>
      </c>
      <c r="J400" t="s">
        <v>57</v>
      </c>
      <c r="K400">
        <v>2314</v>
      </c>
      <c r="L400">
        <v>0</v>
      </c>
      <c r="M400" t="s">
        <v>41</v>
      </c>
      <c r="N400">
        <v>12</v>
      </c>
      <c r="O400">
        <v>3</v>
      </c>
      <c r="P400">
        <v>1</v>
      </c>
      <c r="Q400">
        <v>4</v>
      </c>
      <c r="R400">
        <v>2</v>
      </c>
      <c r="S400">
        <v>3</v>
      </c>
      <c r="T400">
        <v>0</v>
      </c>
      <c r="U400">
        <v>2</v>
      </c>
      <c r="V400" t="s">
        <v>58</v>
      </c>
      <c r="W400" s="2">
        <v>43313</v>
      </c>
      <c r="Y400" t="s">
        <v>46</v>
      </c>
      <c r="Z400" t="s">
        <v>40</v>
      </c>
      <c r="AA400">
        <v>1</v>
      </c>
      <c r="AB400">
        <v>2</v>
      </c>
      <c r="AC400" t="s">
        <v>31</v>
      </c>
      <c r="AD400" t="s">
        <v>65</v>
      </c>
      <c r="AE400" t="s">
        <v>60</v>
      </c>
      <c r="AF400" s="3">
        <v>529</v>
      </c>
      <c r="AG400" s="3">
        <v>72</v>
      </c>
      <c r="AH400">
        <v>80</v>
      </c>
      <c r="AI400">
        <v>11</v>
      </c>
      <c r="AJ400">
        <v>0</v>
      </c>
      <c r="AL400">
        <v>0</v>
      </c>
      <c r="AM400">
        <v>1</v>
      </c>
      <c r="AN400" t="s">
        <v>768</v>
      </c>
      <c r="AO400" t="s">
        <v>41</v>
      </c>
    </row>
    <row r="401" spans="1:41" x14ac:dyDescent="0.25">
      <c r="A401">
        <v>29</v>
      </c>
      <c r="B401" t="s">
        <v>32</v>
      </c>
      <c r="C401" t="s">
        <v>55</v>
      </c>
      <c r="D401">
        <v>1</v>
      </c>
      <c r="E401" t="s">
        <v>61</v>
      </c>
      <c r="F401">
        <v>2</v>
      </c>
      <c r="G401">
        <v>1</v>
      </c>
      <c r="H401" t="s">
        <v>56</v>
      </c>
      <c r="I401">
        <v>3</v>
      </c>
      <c r="J401" t="s">
        <v>57</v>
      </c>
      <c r="K401">
        <v>2800</v>
      </c>
      <c r="L401">
        <v>6</v>
      </c>
      <c r="M401" t="s">
        <v>31</v>
      </c>
      <c r="N401">
        <v>19</v>
      </c>
      <c r="O401">
        <v>3</v>
      </c>
      <c r="P401">
        <v>3</v>
      </c>
      <c r="Q401">
        <v>5</v>
      </c>
      <c r="R401">
        <v>3</v>
      </c>
      <c r="S401">
        <v>3</v>
      </c>
      <c r="T401">
        <v>0</v>
      </c>
      <c r="U401">
        <v>2</v>
      </c>
      <c r="V401" t="s">
        <v>58</v>
      </c>
      <c r="W401" s="2">
        <v>43160</v>
      </c>
      <c r="Y401" t="s">
        <v>46</v>
      </c>
      <c r="Z401" t="s">
        <v>40</v>
      </c>
      <c r="AA401">
        <v>1</v>
      </c>
      <c r="AB401">
        <v>2</v>
      </c>
      <c r="AC401" t="s">
        <v>41</v>
      </c>
      <c r="AD401" t="s">
        <v>65</v>
      </c>
      <c r="AE401" t="s">
        <v>60</v>
      </c>
      <c r="AF401" s="3">
        <v>530</v>
      </c>
      <c r="AG401" s="3">
        <v>98</v>
      </c>
      <c r="AH401">
        <v>80</v>
      </c>
      <c r="AI401">
        <v>2</v>
      </c>
      <c r="AJ401">
        <v>0</v>
      </c>
      <c r="AL401">
        <v>0</v>
      </c>
      <c r="AM401">
        <v>1</v>
      </c>
      <c r="AN401" t="s">
        <v>768</v>
      </c>
      <c r="AO401" t="s">
        <v>41</v>
      </c>
    </row>
    <row r="402" spans="1:41" x14ac:dyDescent="0.25">
      <c r="A402">
        <v>47</v>
      </c>
      <c r="B402" t="s">
        <v>32</v>
      </c>
      <c r="C402" t="s">
        <v>55</v>
      </c>
      <c r="D402">
        <v>2</v>
      </c>
      <c r="E402" t="s">
        <v>61</v>
      </c>
      <c r="F402">
        <v>2</v>
      </c>
      <c r="G402">
        <v>1</v>
      </c>
      <c r="H402" t="s">
        <v>56</v>
      </c>
      <c r="I402">
        <v>4</v>
      </c>
      <c r="J402" t="s">
        <v>36</v>
      </c>
      <c r="K402">
        <v>3294</v>
      </c>
      <c r="L402">
        <v>1</v>
      </c>
      <c r="M402" t="s">
        <v>31</v>
      </c>
      <c r="N402">
        <v>18</v>
      </c>
      <c r="O402">
        <v>3</v>
      </c>
      <c r="P402">
        <v>0</v>
      </c>
      <c r="Q402">
        <v>3</v>
      </c>
      <c r="R402">
        <v>3</v>
      </c>
      <c r="S402">
        <v>3</v>
      </c>
      <c r="T402">
        <v>1</v>
      </c>
      <c r="U402">
        <v>2</v>
      </c>
      <c r="V402" t="s">
        <v>52</v>
      </c>
      <c r="W402" s="1" t="s">
        <v>245</v>
      </c>
      <c r="Y402" t="s">
        <v>63</v>
      </c>
      <c r="Z402" t="s">
        <v>47</v>
      </c>
      <c r="AA402">
        <v>0</v>
      </c>
      <c r="AB402">
        <v>2</v>
      </c>
      <c r="AC402" t="s">
        <v>31</v>
      </c>
      <c r="AD402" t="s">
        <v>65</v>
      </c>
      <c r="AE402" t="s">
        <v>49</v>
      </c>
      <c r="AF402" s="3">
        <v>531</v>
      </c>
      <c r="AG402" s="3">
        <v>52</v>
      </c>
      <c r="AH402">
        <v>80</v>
      </c>
      <c r="AI402">
        <v>8</v>
      </c>
      <c r="AJ402">
        <v>0</v>
      </c>
      <c r="AL402">
        <v>0</v>
      </c>
      <c r="AM402">
        <v>1</v>
      </c>
      <c r="AN402" t="s">
        <v>768</v>
      </c>
      <c r="AO402" t="s">
        <v>41</v>
      </c>
    </row>
    <row r="403" spans="1:41" x14ac:dyDescent="0.25">
      <c r="A403">
        <v>22</v>
      </c>
      <c r="B403" t="s">
        <v>32</v>
      </c>
      <c r="C403" t="s">
        <v>33</v>
      </c>
      <c r="D403">
        <v>3</v>
      </c>
      <c r="E403" t="s">
        <v>61</v>
      </c>
      <c r="F403">
        <v>3</v>
      </c>
      <c r="G403">
        <v>2</v>
      </c>
      <c r="H403" t="s">
        <v>78</v>
      </c>
      <c r="I403">
        <v>3</v>
      </c>
      <c r="J403" t="s">
        <v>51</v>
      </c>
      <c r="K403">
        <v>4171</v>
      </c>
      <c r="L403">
        <v>0</v>
      </c>
      <c r="M403" t="s">
        <v>31</v>
      </c>
      <c r="N403">
        <v>19</v>
      </c>
      <c r="O403">
        <v>3</v>
      </c>
      <c r="P403">
        <v>1</v>
      </c>
      <c r="Q403">
        <v>4</v>
      </c>
      <c r="R403">
        <v>3</v>
      </c>
      <c r="S403">
        <v>3</v>
      </c>
      <c r="T403">
        <v>0</v>
      </c>
      <c r="U403">
        <v>2</v>
      </c>
      <c r="V403" t="s">
        <v>52</v>
      </c>
      <c r="W403" s="2">
        <v>43408</v>
      </c>
      <c r="Y403" t="s">
        <v>54</v>
      </c>
      <c r="Z403" t="s">
        <v>40</v>
      </c>
      <c r="AA403">
        <v>5</v>
      </c>
      <c r="AB403">
        <v>2</v>
      </c>
      <c r="AC403" t="s">
        <v>41</v>
      </c>
      <c r="AD403" t="s">
        <v>48</v>
      </c>
      <c r="AE403" t="s">
        <v>43</v>
      </c>
      <c r="AF403" s="3">
        <v>532</v>
      </c>
      <c r="AG403" s="3">
        <v>86</v>
      </c>
      <c r="AH403">
        <v>80</v>
      </c>
      <c r="AI403">
        <v>7</v>
      </c>
      <c r="AJ403">
        <v>0</v>
      </c>
      <c r="AL403">
        <v>0</v>
      </c>
      <c r="AM403">
        <v>1</v>
      </c>
      <c r="AN403" t="s">
        <v>768</v>
      </c>
      <c r="AO403" t="s">
        <v>41</v>
      </c>
    </row>
    <row r="404" spans="1:41" x14ac:dyDescent="0.25">
      <c r="A404">
        <v>33</v>
      </c>
      <c r="B404" t="s">
        <v>32</v>
      </c>
      <c r="C404" t="s">
        <v>33</v>
      </c>
      <c r="D404">
        <v>1</v>
      </c>
      <c r="E404" t="s">
        <v>34</v>
      </c>
      <c r="F404">
        <v>2</v>
      </c>
      <c r="G404">
        <v>1</v>
      </c>
      <c r="H404" t="s">
        <v>44</v>
      </c>
      <c r="I404">
        <v>1</v>
      </c>
      <c r="J404" t="s">
        <v>36</v>
      </c>
      <c r="K404">
        <v>2799</v>
      </c>
      <c r="L404">
        <v>3</v>
      </c>
      <c r="M404" t="s">
        <v>31</v>
      </c>
      <c r="N404">
        <v>11</v>
      </c>
      <c r="O404">
        <v>3</v>
      </c>
      <c r="P404">
        <v>0</v>
      </c>
      <c r="Q404">
        <v>6</v>
      </c>
      <c r="R404">
        <v>1</v>
      </c>
      <c r="S404">
        <v>3</v>
      </c>
      <c r="T404">
        <v>0</v>
      </c>
      <c r="U404">
        <v>2</v>
      </c>
      <c r="V404" t="s">
        <v>58</v>
      </c>
      <c r="W404" s="1" t="s">
        <v>246</v>
      </c>
      <c r="Y404" t="s">
        <v>69</v>
      </c>
      <c r="Z404" t="s">
        <v>40</v>
      </c>
      <c r="AA404">
        <v>4</v>
      </c>
      <c r="AB404">
        <v>3</v>
      </c>
      <c r="AC404" t="s">
        <v>31</v>
      </c>
      <c r="AD404" t="s">
        <v>48</v>
      </c>
      <c r="AE404" t="s">
        <v>49</v>
      </c>
      <c r="AF404" s="3">
        <v>533</v>
      </c>
      <c r="AG404" s="3">
        <v>83</v>
      </c>
      <c r="AH404">
        <v>80</v>
      </c>
      <c r="AI404">
        <v>4</v>
      </c>
      <c r="AJ404">
        <v>0</v>
      </c>
      <c r="AL404">
        <v>0</v>
      </c>
      <c r="AM404">
        <v>1</v>
      </c>
      <c r="AN404" t="s">
        <v>768</v>
      </c>
      <c r="AO404" t="s">
        <v>41</v>
      </c>
    </row>
    <row r="405" spans="1:41" x14ac:dyDescent="0.25">
      <c r="A405">
        <v>32</v>
      </c>
      <c r="B405" t="s">
        <v>81</v>
      </c>
      <c r="C405" t="s">
        <v>33</v>
      </c>
      <c r="D405">
        <v>1</v>
      </c>
      <c r="E405" t="s">
        <v>61</v>
      </c>
      <c r="F405">
        <v>2</v>
      </c>
      <c r="G405">
        <v>1</v>
      </c>
      <c r="H405" t="s">
        <v>35</v>
      </c>
      <c r="I405">
        <v>2</v>
      </c>
      <c r="J405" t="s">
        <v>51</v>
      </c>
      <c r="K405">
        <v>2332</v>
      </c>
      <c r="L405">
        <v>6</v>
      </c>
      <c r="M405" t="s">
        <v>41</v>
      </c>
      <c r="N405">
        <v>20</v>
      </c>
      <c r="O405">
        <v>4</v>
      </c>
      <c r="P405">
        <v>0</v>
      </c>
      <c r="Q405">
        <v>5</v>
      </c>
      <c r="R405">
        <v>3</v>
      </c>
      <c r="S405">
        <v>3</v>
      </c>
      <c r="T405">
        <v>0</v>
      </c>
      <c r="U405">
        <v>2</v>
      </c>
      <c r="V405" t="s">
        <v>52</v>
      </c>
      <c r="W405" s="2">
        <v>43347</v>
      </c>
      <c r="Y405" t="s">
        <v>39</v>
      </c>
      <c r="Z405" t="s">
        <v>47</v>
      </c>
      <c r="AA405">
        <v>3</v>
      </c>
      <c r="AB405">
        <v>3</v>
      </c>
      <c r="AC405" t="s">
        <v>31</v>
      </c>
      <c r="AD405" t="s">
        <v>48</v>
      </c>
      <c r="AE405" t="s">
        <v>49</v>
      </c>
      <c r="AF405" s="3">
        <v>534</v>
      </c>
      <c r="AG405" s="3">
        <v>49</v>
      </c>
      <c r="AH405">
        <v>80</v>
      </c>
      <c r="AI405">
        <v>7</v>
      </c>
      <c r="AJ405">
        <v>0</v>
      </c>
      <c r="AL405">
        <v>0</v>
      </c>
      <c r="AM405">
        <v>1</v>
      </c>
      <c r="AN405" t="s">
        <v>768</v>
      </c>
      <c r="AO405" t="s">
        <v>41</v>
      </c>
    </row>
    <row r="406" spans="1:41" x14ac:dyDescent="0.25">
      <c r="A406">
        <v>29</v>
      </c>
      <c r="B406" t="s">
        <v>66</v>
      </c>
      <c r="C406" t="s">
        <v>55</v>
      </c>
      <c r="D406">
        <v>20</v>
      </c>
      <c r="E406" t="s">
        <v>61</v>
      </c>
      <c r="F406">
        <v>3</v>
      </c>
      <c r="G406">
        <v>1</v>
      </c>
      <c r="H406" t="s">
        <v>56</v>
      </c>
      <c r="I406">
        <v>4</v>
      </c>
      <c r="J406" t="s">
        <v>51</v>
      </c>
      <c r="K406">
        <v>2157</v>
      </c>
      <c r="L406">
        <v>1</v>
      </c>
      <c r="M406" t="s">
        <v>41</v>
      </c>
      <c r="N406">
        <v>15</v>
      </c>
      <c r="O406">
        <v>3</v>
      </c>
      <c r="P406">
        <v>1</v>
      </c>
      <c r="Q406">
        <v>3</v>
      </c>
      <c r="R406">
        <v>5</v>
      </c>
      <c r="S406">
        <v>3</v>
      </c>
      <c r="T406">
        <v>0</v>
      </c>
      <c r="U406">
        <v>2</v>
      </c>
      <c r="V406" t="s">
        <v>58</v>
      </c>
      <c r="W406" s="1" t="s">
        <v>239</v>
      </c>
      <c r="Y406" t="s">
        <v>39</v>
      </c>
      <c r="Z406" t="s">
        <v>47</v>
      </c>
      <c r="AA406">
        <v>3</v>
      </c>
      <c r="AB406">
        <v>1</v>
      </c>
      <c r="AC406" t="s">
        <v>31</v>
      </c>
      <c r="AD406" t="s">
        <v>48</v>
      </c>
      <c r="AE406" t="s">
        <v>49</v>
      </c>
      <c r="AF406" s="3">
        <v>536</v>
      </c>
      <c r="AG406" s="3">
        <v>79</v>
      </c>
      <c r="AH406">
        <v>80</v>
      </c>
      <c r="AI406">
        <v>0</v>
      </c>
      <c r="AJ406">
        <v>0</v>
      </c>
      <c r="AL406">
        <v>0</v>
      </c>
      <c r="AM406">
        <v>1</v>
      </c>
      <c r="AN406" t="s">
        <v>768</v>
      </c>
      <c r="AO406" t="s">
        <v>41</v>
      </c>
    </row>
    <row r="407" spans="1:41" x14ac:dyDescent="0.25">
      <c r="A407">
        <v>31</v>
      </c>
      <c r="B407" t="s">
        <v>81</v>
      </c>
      <c r="C407" t="s">
        <v>33</v>
      </c>
      <c r="D407">
        <v>9</v>
      </c>
      <c r="E407" t="s">
        <v>34</v>
      </c>
      <c r="F407">
        <v>2</v>
      </c>
      <c r="G407">
        <v>1</v>
      </c>
      <c r="H407" t="s">
        <v>44</v>
      </c>
      <c r="I407">
        <v>1</v>
      </c>
      <c r="J407" t="s">
        <v>36</v>
      </c>
      <c r="K407">
        <v>2321</v>
      </c>
      <c r="L407">
        <v>0</v>
      </c>
      <c r="M407" t="s">
        <v>31</v>
      </c>
      <c r="N407">
        <v>22</v>
      </c>
      <c r="O407">
        <v>4</v>
      </c>
      <c r="P407">
        <v>0</v>
      </c>
      <c r="Q407">
        <v>4</v>
      </c>
      <c r="R407">
        <v>0</v>
      </c>
      <c r="S407">
        <v>3</v>
      </c>
      <c r="T407">
        <v>1</v>
      </c>
      <c r="U407">
        <v>2</v>
      </c>
      <c r="V407" t="s">
        <v>58</v>
      </c>
      <c r="W407" s="1" t="s">
        <v>220</v>
      </c>
      <c r="Y407" t="s">
        <v>54</v>
      </c>
      <c r="Z407" t="s">
        <v>40</v>
      </c>
      <c r="AA407">
        <v>1</v>
      </c>
      <c r="AB407">
        <v>1</v>
      </c>
      <c r="AC407" t="s">
        <v>31</v>
      </c>
      <c r="AD407" t="s">
        <v>48</v>
      </c>
      <c r="AE407" t="s">
        <v>60</v>
      </c>
      <c r="AF407" s="3">
        <v>538</v>
      </c>
      <c r="AG407" s="3">
        <v>91</v>
      </c>
      <c r="AH407">
        <v>80</v>
      </c>
      <c r="AI407">
        <v>2</v>
      </c>
      <c r="AJ407">
        <v>1</v>
      </c>
      <c r="AK407">
        <v>1</v>
      </c>
      <c r="AL407">
        <v>1</v>
      </c>
      <c r="AM407">
        <v>0</v>
      </c>
      <c r="AN407" t="s">
        <v>767</v>
      </c>
      <c r="AO407" t="s">
        <v>31</v>
      </c>
    </row>
    <row r="408" spans="1:41" x14ac:dyDescent="0.25">
      <c r="A408">
        <v>33</v>
      </c>
      <c r="B408" t="s">
        <v>32</v>
      </c>
      <c r="C408" t="s">
        <v>33</v>
      </c>
      <c r="D408">
        <v>13</v>
      </c>
      <c r="E408" t="s">
        <v>61</v>
      </c>
      <c r="F408">
        <v>3</v>
      </c>
      <c r="G408">
        <v>1</v>
      </c>
      <c r="H408" t="s">
        <v>44</v>
      </c>
      <c r="I408">
        <v>4</v>
      </c>
      <c r="J408" t="s">
        <v>36</v>
      </c>
      <c r="K408">
        <v>3452</v>
      </c>
      <c r="L408">
        <v>3</v>
      </c>
      <c r="M408" t="s">
        <v>41</v>
      </c>
      <c r="N408">
        <v>18</v>
      </c>
      <c r="O408">
        <v>3</v>
      </c>
      <c r="P408">
        <v>0</v>
      </c>
      <c r="Q408">
        <v>5</v>
      </c>
      <c r="R408">
        <v>4</v>
      </c>
      <c r="S408">
        <v>3</v>
      </c>
      <c r="T408">
        <v>0</v>
      </c>
      <c r="U408">
        <v>2</v>
      </c>
      <c r="V408" t="s">
        <v>52</v>
      </c>
      <c r="W408" s="2">
        <v>43103</v>
      </c>
      <c r="Y408" t="s">
        <v>69</v>
      </c>
      <c r="Z408" t="s">
        <v>40</v>
      </c>
      <c r="AA408">
        <v>5</v>
      </c>
      <c r="AB408">
        <v>2</v>
      </c>
      <c r="AC408" t="s">
        <v>41</v>
      </c>
      <c r="AD408" t="s">
        <v>65</v>
      </c>
      <c r="AE408" t="s">
        <v>60</v>
      </c>
      <c r="AF408" s="3">
        <v>543</v>
      </c>
      <c r="AG408" s="3">
        <v>39</v>
      </c>
      <c r="AH408">
        <v>80</v>
      </c>
      <c r="AI408">
        <v>4</v>
      </c>
      <c r="AJ408">
        <v>0</v>
      </c>
      <c r="AL408">
        <v>0</v>
      </c>
      <c r="AM408">
        <v>1</v>
      </c>
      <c r="AN408" t="s">
        <v>768</v>
      </c>
      <c r="AO408" t="s">
        <v>41</v>
      </c>
    </row>
    <row r="409" spans="1:41" x14ac:dyDescent="0.25">
      <c r="A409">
        <v>30</v>
      </c>
      <c r="B409" t="s">
        <v>66</v>
      </c>
      <c r="C409" t="s">
        <v>33</v>
      </c>
      <c r="D409">
        <v>5</v>
      </c>
      <c r="E409" t="s">
        <v>61</v>
      </c>
      <c r="F409">
        <v>3</v>
      </c>
      <c r="G409">
        <v>1</v>
      </c>
      <c r="H409" t="s">
        <v>35</v>
      </c>
      <c r="I409">
        <v>2</v>
      </c>
      <c r="J409" t="s">
        <v>36</v>
      </c>
      <c r="K409">
        <v>2422</v>
      </c>
      <c r="L409">
        <v>0</v>
      </c>
      <c r="M409" t="s">
        <v>41</v>
      </c>
      <c r="N409">
        <v>17</v>
      </c>
      <c r="O409">
        <v>3</v>
      </c>
      <c r="P409">
        <v>0</v>
      </c>
      <c r="Q409">
        <v>4</v>
      </c>
      <c r="R409">
        <v>3</v>
      </c>
      <c r="S409">
        <v>3</v>
      </c>
      <c r="T409">
        <v>1</v>
      </c>
      <c r="U409">
        <v>2</v>
      </c>
      <c r="V409" t="s">
        <v>52</v>
      </c>
      <c r="W409" s="2">
        <v>43284</v>
      </c>
      <c r="Y409" t="s">
        <v>54</v>
      </c>
      <c r="Z409" t="s">
        <v>40</v>
      </c>
      <c r="AA409">
        <v>1</v>
      </c>
      <c r="AB409">
        <v>1</v>
      </c>
      <c r="AC409" t="s">
        <v>31</v>
      </c>
      <c r="AD409" t="s">
        <v>67</v>
      </c>
      <c r="AE409" t="s">
        <v>49</v>
      </c>
      <c r="AF409" s="3">
        <v>544</v>
      </c>
      <c r="AG409" s="3">
        <v>69</v>
      </c>
      <c r="AH409">
        <v>80</v>
      </c>
      <c r="AI409">
        <v>2</v>
      </c>
      <c r="AJ409">
        <v>0</v>
      </c>
      <c r="AL409">
        <v>0</v>
      </c>
      <c r="AM409">
        <v>1</v>
      </c>
      <c r="AN409" t="s">
        <v>768</v>
      </c>
      <c r="AO409" t="s">
        <v>41</v>
      </c>
    </row>
    <row r="410" spans="1:41" x14ac:dyDescent="0.25">
      <c r="A410">
        <v>27</v>
      </c>
      <c r="B410" t="s">
        <v>32</v>
      </c>
      <c r="C410" t="s">
        <v>33</v>
      </c>
      <c r="D410">
        <v>2</v>
      </c>
      <c r="E410" t="s">
        <v>61</v>
      </c>
      <c r="F410">
        <v>3</v>
      </c>
      <c r="G410">
        <v>2</v>
      </c>
      <c r="H410" t="s">
        <v>78</v>
      </c>
      <c r="I410">
        <v>4</v>
      </c>
      <c r="J410" t="s">
        <v>51</v>
      </c>
      <c r="K410">
        <v>4227</v>
      </c>
      <c r="L410">
        <v>0</v>
      </c>
      <c r="M410" t="s">
        <v>41</v>
      </c>
      <c r="N410">
        <v>18</v>
      </c>
      <c r="O410">
        <v>3</v>
      </c>
      <c r="P410">
        <v>1</v>
      </c>
      <c r="Q410">
        <v>4</v>
      </c>
      <c r="R410">
        <v>2</v>
      </c>
      <c r="S410">
        <v>3</v>
      </c>
      <c r="T410">
        <v>2</v>
      </c>
      <c r="U410">
        <v>2</v>
      </c>
      <c r="V410" t="s">
        <v>37</v>
      </c>
      <c r="W410" s="2">
        <v>43346</v>
      </c>
      <c r="Y410" t="s">
        <v>69</v>
      </c>
      <c r="Z410" t="s">
        <v>40</v>
      </c>
      <c r="AA410">
        <v>5</v>
      </c>
      <c r="AB410">
        <v>2</v>
      </c>
      <c r="AC410" t="s">
        <v>41</v>
      </c>
      <c r="AD410" t="s">
        <v>65</v>
      </c>
      <c r="AE410" t="s">
        <v>60</v>
      </c>
      <c r="AF410" s="3">
        <v>546</v>
      </c>
      <c r="AG410" s="3">
        <v>30</v>
      </c>
      <c r="AH410">
        <v>80</v>
      </c>
      <c r="AI410">
        <v>2</v>
      </c>
      <c r="AJ410">
        <v>0</v>
      </c>
      <c r="AL410">
        <v>0</v>
      </c>
      <c r="AM410">
        <v>1</v>
      </c>
      <c r="AN410" t="s">
        <v>768</v>
      </c>
      <c r="AO410" t="s">
        <v>41</v>
      </c>
    </row>
    <row r="411" spans="1:41" x14ac:dyDescent="0.25">
      <c r="A411">
        <v>35</v>
      </c>
      <c r="B411" t="s">
        <v>32</v>
      </c>
      <c r="C411" t="s">
        <v>33</v>
      </c>
      <c r="D411">
        <v>10</v>
      </c>
      <c r="E411" t="s">
        <v>34</v>
      </c>
      <c r="F411">
        <v>3</v>
      </c>
      <c r="G411">
        <v>1</v>
      </c>
      <c r="H411" t="s">
        <v>35</v>
      </c>
      <c r="I411">
        <v>4</v>
      </c>
      <c r="J411" t="s">
        <v>57</v>
      </c>
      <c r="K411">
        <v>3917</v>
      </c>
      <c r="L411">
        <v>1</v>
      </c>
      <c r="M411" t="s">
        <v>41</v>
      </c>
      <c r="N411">
        <v>20</v>
      </c>
      <c r="O411">
        <v>4</v>
      </c>
      <c r="P411">
        <v>1</v>
      </c>
      <c r="Q411">
        <v>3</v>
      </c>
      <c r="R411">
        <v>4</v>
      </c>
      <c r="S411">
        <v>3</v>
      </c>
      <c r="T411">
        <v>1</v>
      </c>
      <c r="U411">
        <v>2</v>
      </c>
      <c r="V411" t="s">
        <v>58</v>
      </c>
      <c r="W411" s="2">
        <v>43314</v>
      </c>
      <c r="Y411" t="s">
        <v>63</v>
      </c>
      <c r="Z411" t="s">
        <v>47</v>
      </c>
      <c r="AA411">
        <v>2</v>
      </c>
      <c r="AB411">
        <v>0</v>
      </c>
      <c r="AC411" t="s">
        <v>31</v>
      </c>
      <c r="AD411" t="s">
        <v>65</v>
      </c>
      <c r="AE411" t="s">
        <v>49</v>
      </c>
      <c r="AF411" s="3">
        <v>547</v>
      </c>
      <c r="AG411" s="3">
        <v>92</v>
      </c>
      <c r="AH411">
        <v>80</v>
      </c>
      <c r="AI411">
        <v>4</v>
      </c>
      <c r="AJ411">
        <v>0</v>
      </c>
      <c r="AL411">
        <v>0</v>
      </c>
      <c r="AM411">
        <v>1</v>
      </c>
      <c r="AN411" t="s">
        <v>768</v>
      </c>
      <c r="AO411" t="s">
        <v>41</v>
      </c>
    </row>
    <row r="412" spans="1:41" x14ac:dyDescent="0.25">
      <c r="A412">
        <v>26</v>
      </c>
      <c r="B412" t="s">
        <v>66</v>
      </c>
      <c r="C412" t="s">
        <v>33</v>
      </c>
      <c r="D412">
        <v>2</v>
      </c>
      <c r="E412" t="s">
        <v>34</v>
      </c>
      <c r="F412">
        <v>3</v>
      </c>
      <c r="G412">
        <v>1</v>
      </c>
      <c r="H412" t="s">
        <v>44</v>
      </c>
      <c r="I412">
        <v>1</v>
      </c>
      <c r="J412" t="s">
        <v>51</v>
      </c>
      <c r="K412">
        <v>2042</v>
      </c>
      <c r="L412">
        <v>6</v>
      </c>
      <c r="M412" t="s">
        <v>31</v>
      </c>
      <c r="N412">
        <v>14</v>
      </c>
      <c r="O412">
        <v>3</v>
      </c>
      <c r="P412">
        <v>1</v>
      </c>
      <c r="Q412">
        <v>6</v>
      </c>
      <c r="R412">
        <v>2</v>
      </c>
      <c r="S412">
        <v>3</v>
      </c>
      <c r="T412">
        <v>1</v>
      </c>
      <c r="U412">
        <v>2</v>
      </c>
      <c r="V412" t="s">
        <v>72</v>
      </c>
      <c r="W412" s="2">
        <v>43134</v>
      </c>
      <c r="Y412" t="s">
        <v>39</v>
      </c>
      <c r="Z412" t="s">
        <v>40</v>
      </c>
      <c r="AA412">
        <v>5</v>
      </c>
      <c r="AB412">
        <v>3</v>
      </c>
      <c r="AC412" t="s">
        <v>31</v>
      </c>
      <c r="AD412" t="s">
        <v>67</v>
      </c>
      <c r="AE412" t="s">
        <v>43</v>
      </c>
      <c r="AF412" s="3">
        <v>548</v>
      </c>
      <c r="AG412" s="3">
        <v>43</v>
      </c>
      <c r="AH412">
        <v>80</v>
      </c>
      <c r="AI412">
        <v>4</v>
      </c>
      <c r="AJ412">
        <v>0</v>
      </c>
      <c r="AL412">
        <v>0</v>
      </c>
      <c r="AM412">
        <v>1</v>
      </c>
      <c r="AN412" t="s">
        <v>768</v>
      </c>
      <c r="AO412" t="s">
        <v>41</v>
      </c>
    </row>
    <row r="413" spans="1:41" x14ac:dyDescent="0.25">
      <c r="A413">
        <v>27</v>
      </c>
      <c r="B413" t="s">
        <v>81</v>
      </c>
      <c r="C413" t="s">
        <v>33</v>
      </c>
      <c r="D413">
        <v>8</v>
      </c>
      <c r="E413" t="s">
        <v>34</v>
      </c>
      <c r="F413">
        <v>1</v>
      </c>
      <c r="G413">
        <v>1</v>
      </c>
      <c r="H413" t="s">
        <v>35</v>
      </c>
      <c r="I413">
        <v>3</v>
      </c>
      <c r="J413" t="s">
        <v>51</v>
      </c>
      <c r="K413">
        <v>4621</v>
      </c>
      <c r="L413">
        <v>1</v>
      </c>
      <c r="M413" t="s">
        <v>41</v>
      </c>
      <c r="N413">
        <v>19</v>
      </c>
      <c r="O413">
        <v>3</v>
      </c>
      <c r="P413">
        <v>3</v>
      </c>
      <c r="Q413">
        <v>3</v>
      </c>
      <c r="R413">
        <v>4</v>
      </c>
      <c r="S413">
        <v>3</v>
      </c>
      <c r="T413">
        <v>1</v>
      </c>
      <c r="U413">
        <v>2</v>
      </c>
      <c r="V413" t="s">
        <v>72</v>
      </c>
      <c r="W413" s="1" t="s">
        <v>247</v>
      </c>
      <c r="Y413" t="s">
        <v>63</v>
      </c>
      <c r="Z413" t="s">
        <v>47</v>
      </c>
      <c r="AA413">
        <v>0</v>
      </c>
      <c r="AB413">
        <v>0</v>
      </c>
      <c r="AC413" t="s">
        <v>41</v>
      </c>
      <c r="AD413" t="s">
        <v>65</v>
      </c>
      <c r="AE413" t="s">
        <v>60</v>
      </c>
      <c r="AF413" s="3">
        <v>549</v>
      </c>
      <c r="AG413" s="3">
        <v>41</v>
      </c>
      <c r="AH413">
        <v>80</v>
      </c>
      <c r="AI413">
        <v>8</v>
      </c>
      <c r="AJ413">
        <v>0</v>
      </c>
      <c r="AL413">
        <v>0</v>
      </c>
      <c r="AM413">
        <v>1</v>
      </c>
      <c r="AN413" t="s">
        <v>768</v>
      </c>
      <c r="AO413" t="s">
        <v>41</v>
      </c>
    </row>
    <row r="414" spans="1:41" x14ac:dyDescent="0.25">
      <c r="A414">
        <v>55</v>
      </c>
      <c r="B414" t="s">
        <v>66</v>
      </c>
      <c r="C414" t="s">
        <v>33</v>
      </c>
      <c r="D414">
        <v>2</v>
      </c>
      <c r="E414" t="s">
        <v>34</v>
      </c>
      <c r="F414">
        <v>3</v>
      </c>
      <c r="G414">
        <v>3</v>
      </c>
      <c r="H414" t="s">
        <v>78</v>
      </c>
      <c r="I414">
        <v>2</v>
      </c>
      <c r="J414" t="s">
        <v>51</v>
      </c>
      <c r="K414">
        <v>10976</v>
      </c>
      <c r="L414">
        <v>3</v>
      </c>
      <c r="M414" t="s">
        <v>41</v>
      </c>
      <c r="N414">
        <v>18</v>
      </c>
      <c r="O414">
        <v>3</v>
      </c>
      <c r="P414">
        <v>1</v>
      </c>
      <c r="Q414">
        <v>23</v>
      </c>
      <c r="R414">
        <v>4</v>
      </c>
      <c r="S414">
        <v>3</v>
      </c>
      <c r="T414">
        <v>1</v>
      </c>
      <c r="U414">
        <v>2</v>
      </c>
      <c r="V414" t="s">
        <v>52</v>
      </c>
      <c r="W414" s="1" t="s">
        <v>248</v>
      </c>
      <c r="Y414" t="s">
        <v>46</v>
      </c>
      <c r="Z414" t="s">
        <v>40</v>
      </c>
      <c r="AA414">
        <v>1</v>
      </c>
      <c r="AB414">
        <v>3</v>
      </c>
      <c r="AC414" t="s">
        <v>31</v>
      </c>
      <c r="AD414" t="s">
        <v>48</v>
      </c>
      <c r="AE414" t="s">
        <v>43</v>
      </c>
      <c r="AF414" s="3">
        <v>550</v>
      </c>
      <c r="AG414" s="3">
        <v>87</v>
      </c>
      <c r="AH414">
        <v>80</v>
      </c>
      <c r="AI414">
        <v>7</v>
      </c>
      <c r="AJ414">
        <v>0</v>
      </c>
      <c r="AL414">
        <v>0</v>
      </c>
      <c r="AM414">
        <v>1</v>
      </c>
      <c r="AN414" t="s">
        <v>768</v>
      </c>
      <c r="AO414" t="s">
        <v>41</v>
      </c>
    </row>
    <row r="415" spans="1:41" x14ac:dyDescent="0.25">
      <c r="A415">
        <v>33</v>
      </c>
      <c r="B415" t="s">
        <v>32</v>
      </c>
      <c r="C415" t="s">
        <v>33</v>
      </c>
      <c r="D415">
        <v>5</v>
      </c>
      <c r="E415" t="s">
        <v>34</v>
      </c>
      <c r="F415">
        <v>2</v>
      </c>
      <c r="G415">
        <v>3</v>
      </c>
      <c r="H415" t="s">
        <v>89</v>
      </c>
      <c r="I415">
        <v>4</v>
      </c>
      <c r="J415" t="s">
        <v>57</v>
      </c>
      <c r="K415">
        <v>7119</v>
      </c>
      <c r="L415">
        <v>4</v>
      </c>
      <c r="M415" t="s">
        <v>41</v>
      </c>
      <c r="N415">
        <v>15</v>
      </c>
      <c r="O415">
        <v>3</v>
      </c>
      <c r="P415">
        <v>1</v>
      </c>
      <c r="Q415">
        <v>9</v>
      </c>
      <c r="R415">
        <v>2</v>
      </c>
      <c r="S415">
        <v>3</v>
      </c>
      <c r="T415">
        <v>1</v>
      </c>
      <c r="U415">
        <v>2</v>
      </c>
      <c r="V415" t="s">
        <v>52</v>
      </c>
      <c r="W415" s="2">
        <v>43136</v>
      </c>
      <c r="Y415" t="s">
        <v>69</v>
      </c>
      <c r="Z415" t="s">
        <v>47</v>
      </c>
      <c r="AA415">
        <v>4</v>
      </c>
      <c r="AB415">
        <v>0</v>
      </c>
      <c r="AC415" t="s">
        <v>31</v>
      </c>
      <c r="AD415" t="s">
        <v>42</v>
      </c>
      <c r="AE415" t="s">
        <v>60</v>
      </c>
      <c r="AF415" s="3">
        <v>551</v>
      </c>
      <c r="AG415" s="3">
        <v>88</v>
      </c>
      <c r="AH415">
        <v>80</v>
      </c>
      <c r="AI415">
        <v>5</v>
      </c>
      <c r="AJ415">
        <v>0</v>
      </c>
      <c r="AL415">
        <v>0</v>
      </c>
      <c r="AM415">
        <v>1</v>
      </c>
      <c r="AN415" t="s">
        <v>768</v>
      </c>
      <c r="AO415" t="s">
        <v>41</v>
      </c>
    </row>
    <row r="416" spans="1:41" x14ac:dyDescent="0.25">
      <c r="A416">
        <v>33</v>
      </c>
      <c r="B416" t="s">
        <v>66</v>
      </c>
      <c r="C416" t="s">
        <v>55</v>
      </c>
      <c r="D416">
        <v>7</v>
      </c>
      <c r="E416" t="s">
        <v>61</v>
      </c>
      <c r="F416">
        <v>3</v>
      </c>
      <c r="G416">
        <v>2</v>
      </c>
      <c r="H416" t="s">
        <v>70</v>
      </c>
      <c r="I416">
        <v>2</v>
      </c>
      <c r="J416" t="s">
        <v>51</v>
      </c>
      <c r="K416">
        <v>4302</v>
      </c>
      <c r="L416">
        <v>0</v>
      </c>
      <c r="M416" t="s">
        <v>41</v>
      </c>
      <c r="N416">
        <v>17</v>
      </c>
      <c r="O416">
        <v>3</v>
      </c>
      <c r="P416">
        <v>1</v>
      </c>
      <c r="Q416">
        <v>4</v>
      </c>
      <c r="R416">
        <v>3</v>
      </c>
      <c r="S416">
        <v>3</v>
      </c>
      <c r="T416">
        <v>0</v>
      </c>
      <c r="U416">
        <v>2</v>
      </c>
      <c r="V416" t="s">
        <v>52</v>
      </c>
      <c r="W416" s="2">
        <v>43161</v>
      </c>
      <c r="Y416" t="s">
        <v>63</v>
      </c>
      <c r="Z416" t="s">
        <v>40</v>
      </c>
      <c r="AA416">
        <v>5</v>
      </c>
      <c r="AB416">
        <v>2</v>
      </c>
      <c r="AC416" t="s">
        <v>41</v>
      </c>
      <c r="AD416" t="s">
        <v>65</v>
      </c>
      <c r="AE416" t="s">
        <v>49</v>
      </c>
      <c r="AF416" s="3">
        <v>554</v>
      </c>
      <c r="AG416" s="3">
        <v>62</v>
      </c>
      <c r="AH416">
        <v>80</v>
      </c>
      <c r="AI416">
        <v>3</v>
      </c>
      <c r="AJ416">
        <v>1</v>
      </c>
      <c r="AK416">
        <v>1</v>
      </c>
      <c r="AL416">
        <v>1</v>
      </c>
      <c r="AM416">
        <v>0</v>
      </c>
      <c r="AN416" t="s">
        <v>767</v>
      </c>
      <c r="AO416" t="s">
        <v>31</v>
      </c>
    </row>
    <row r="417" spans="1:41" x14ac:dyDescent="0.25">
      <c r="A417">
        <v>34</v>
      </c>
      <c r="B417" t="s">
        <v>66</v>
      </c>
      <c r="C417" t="s">
        <v>33</v>
      </c>
      <c r="D417">
        <v>2</v>
      </c>
      <c r="E417" t="s">
        <v>34</v>
      </c>
      <c r="F417">
        <v>3</v>
      </c>
      <c r="G417">
        <v>2</v>
      </c>
      <c r="H417" t="s">
        <v>78</v>
      </c>
      <c r="I417">
        <v>3</v>
      </c>
      <c r="J417" t="s">
        <v>36</v>
      </c>
      <c r="K417">
        <v>4033</v>
      </c>
      <c r="L417">
        <v>2</v>
      </c>
      <c r="M417" t="s">
        <v>41</v>
      </c>
      <c r="N417">
        <v>11</v>
      </c>
      <c r="O417">
        <v>3</v>
      </c>
      <c r="P417">
        <v>0</v>
      </c>
      <c r="Q417">
        <v>5</v>
      </c>
      <c r="R417">
        <v>3</v>
      </c>
      <c r="S417">
        <v>3</v>
      </c>
      <c r="T417">
        <v>0</v>
      </c>
      <c r="U417">
        <v>2</v>
      </c>
      <c r="V417" t="s">
        <v>72</v>
      </c>
      <c r="W417" s="2">
        <v>43223</v>
      </c>
      <c r="Y417" t="s">
        <v>63</v>
      </c>
      <c r="Z417" t="s">
        <v>40</v>
      </c>
      <c r="AA417">
        <v>4</v>
      </c>
      <c r="AB417">
        <v>1</v>
      </c>
      <c r="AC417" t="s">
        <v>41</v>
      </c>
      <c r="AD417" t="s">
        <v>65</v>
      </c>
      <c r="AE417" t="s">
        <v>43</v>
      </c>
      <c r="AF417" s="3">
        <v>555</v>
      </c>
      <c r="AG417" s="3">
        <v>33</v>
      </c>
      <c r="AH417">
        <v>80</v>
      </c>
      <c r="AI417">
        <v>2</v>
      </c>
      <c r="AJ417">
        <v>1</v>
      </c>
      <c r="AK417">
        <v>1</v>
      </c>
      <c r="AL417">
        <v>1</v>
      </c>
      <c r="AM417">
        <v>0</v>
      </c>
      <c r="AN417" t="s">
        <v>767</v>
      </c>
      <c r="AO417" t="s">
        <v>31</v>
      </c>
    </row>
    <row r="418" spans="1:41" x14ac:dyDescent="0.25">
      <c r="A418">
        <v>28</v>
      </c>
      <c r="B418" t="s">
        <v>66</v>
      </c>
      <c r="C418" t="s">
        <v>33</v>
      </c>
      <c r="D418">
        <v>6</v>
      </c>
      <c r="E418" t="s">
        <v>34</v>
      </c>
      <c r="F418">
        <v>2</v>
      </c>
      <c r="G418">
        <v>1</v>
      </c>
      <c r="H418" t="s">
        <v>44</v>
      </c>
      <c r="I418">
        <v>3</v>
      </c>
      <c r="J418" t="s">
        <v>57</v>
      </c>
      <c r="K418">
        <v>2703</v>
      </c>
      <c r="L418">
        <v>1</v>
      </c>
      <c r="M418" t="s">
        <v>31</v>
      </c>
      <c r="N418">
        <v>14</v>
      </c>
      <c r="O418">
        <v>3</v>
      </c>
      <c r="P418">
        <v>1</v>
      </c>
      <c r="Q418">
        <v>3</v>
      </c>
      <c r="R418">
        <v>2</v>
      </c>
      <c r="S418">
        <v>3</v>
      </c>
      <c r="T418">
        <v>0</v>
      </c>
      <c r="U418">
        <v>2</v>
      </c>
      <c r="V418" t="s">
        <v>52</v>
      </c>
      <c r="W418" s="1" t="s">
        <v>249</v>
      </c>
      <c r="Y418" t="s">
        <v>69</v>
      </c>
      <c r="Z418" t="s">
        <v>47</v>
      </c>
      <c r="AA418">
        <v>4</v>
      </c>
      <c r="AB418">
        <v>3</v>
      </c>
      <c r="AC418" t="s">
        <v>41</v>
      </c>
      <c r="AD418" t="s">
        <v>48</v>
      </c>
      <c r="AE418" t="s">
        <v>49</v>
      </c>
      <c r="AF418" s="3">
        <v>556</v>
      </c>
      <c r="AG418" s="3">
        <v>42</v>
      </c>
      <c r="AH418">
        <v>80</v>
      </c>
      <c r="AI418">
        <v>0</v>
      </c>
      <c r="AJ418">
        <v>0</v>
      </c>
      <c r="AL418">
        <v>0</v>
      </c>
      <c r="AM418">
        <v>1</v>
      </c>
      <c r="AN418" t="s">
        <v>768</v>
      </c>
      <c r="AO418" t="s">
        <v>41</v>
      </c>
    </row>
    <row r="419" spans="1:41" x14ac:dyDescent="0.25">
      <c r="A419">
        <v>45</v>
      </c>
      <c r="B419" t="s">
        <v>32</v>
      </c>
      <c r="C419" t="s">
        <v>33</v>
      </c>
      <c r="D419">
        <v>7</v>
      </c>
      <c r="E419" t="s">
        <v>61</v>
      </c>
      <c r="F419">
        <v>3</v>
      </c>
      <c r="G419">
        <v>1</v>
      </c>
      <c r="H419" t="s">
        <v>44</v>
      </c>
      <c r="I419">
        <v>3</v>
      </c>
      <c r="J419" t="s">
        <v>51</v>
      </c>
      <c r="K419">
        <v>4477</v>
      </c>
      <c r="L419">
        <v>4</v>
      </c>
      <c r="M419" t="s">
        <v>31</v>
      </c>
      <c r="N419">
        <v>19</v>
      </c>
      <c r="O419">
        <v>3</v>
      </c>
      <c r="P419">
        <v>1</v>
      </c>
      <c r="Q419">
        <v>7</v>
      </c>
      <c r="R419">
        <v>2</v>
      </c>
      <c r="S419">
        <v>3</v>
      </c>
      <c r="T419">
        <v>0</v>
      </c>
      <c r="U419">
        <v>2</v>
      </c>
      <c r="V419" t="s">
        <v>52</v>
      </c>
      <c r="W419" s="1" t="s">
        <v>250</v>
      </c>
      <c r="Y419" t="s">
        <v>39</v>
      </c>
      <c r="Z419" t="s">
        <v>40</v>
      </c>
      <c r="AA419">
        <v>0</v>
      </c>
      <c r="AB419">
        <v>1</v>
      </c>
      <c r="AC419" t="s">
        <v>31</v>
      </c>
      <c r="AD419" t="s">
        <v>65</v>
      </c>
      <c r="AE419" t="s">
        <v>60</v>
      </c>
      <c r="AF419" s="3">
        <v>558</v>
      </c>
      <c r="AG419" s="3">
        <v>79</v>
      </c>
      <c r="AH419">
        <v>80</v>
      </c>
      <c r="AI419">
        <v>15</v>
      </c>
      <c r="AJ419">
        <v>0</v>
      </c>
      <c r="AL419">
        <v>0</v>
      </c>
      <c r="AM419">
        <v>1</v>
      </c>
      <c r="AN419" t="s">
        <v>768</v>
      </c>
      <c r="AO419" t="s">
        <v>41</v>
      </c>
    </row>
    <row r="420" spans="1:41" x14ac:dyDescent="0.25">
      <c r="A420">
        <v>29</v>
      </c>
      <c r="B420" t="s">
        <v>32</v>
      </c>
      <c r="C420" t="s">
        <v>33</v>
      </c>
      <c r="D420">
        <v>1</v>
      </c>
      <c r="E420" t="s">
        <v>61</v>
      </c>
      <c r="F420">
        <v>3</v>
      </c>
      <c r="G420">
        <v>1</v>
      </c>
      <c r="H420" t="s">
        <v>44</v>
      </c>
      <c r="I420">
        <v>4</v>
      </c>
      <c r="J420" t="s">
        <v>57</v>
      </c>
      <c r="K420">
        <v>3760</v>
      </c>
      <c r="L420">
        <v>1</v>
      </c>
      <c r="M420" t="s">
        <v>41</v>
      </c>
      <c r="N420">
        <v>15</v>
      </c>
      <c r="O420">
        <v>3</v>
      </c>
      <c r="P420">
        <v>3</v>
      </c>
      <c r="Q420">
        <v>3</v>
      </c>
      <c r="R420">
        <v>5</v>
      </c>
      <c r="S420">
        <v>3</v>
      </c>
      <c r="T420">
        <v>1</v>
      </c>
      <c r="U420">
        <v>2</v>
      </c>
      <c r="V420" t="s">
        <v>58</v>
      </c>
      <c r="W420" s="1" t="s">
        <v>251</v>
      </c>
      <c r="Y420" t="s">
        <v>63</v>
      </c>
      <c r="Z420" t="s">
        <v>47</v>
      </c>
      <c r="AA420">
        <v>0</v>
      </c>
      <c r="AB420">
        <v>2</v>
      </c>
      <c r="AC420" t="s">
        <v>31</v>
      </c>
      <c r="AD420" t="s">
        <v>42</v>
      </c>
      <c r="AE420" t="s">
        <v>43</v>
      </c>
      <c r="AF420" s="3">
        <v>560</v>
      </c>
      <c r="AG420" s="3">
        <v>90</v>
      </c>
      <c r="AH420">
        <v>80</v>
      </c>
      <c r="AI420">
        <v>2</v>
      </c>
      <c r="AJ420">
        <v>0</v>
      </c>
      <c r="AL420">
        <v>0</v>
      </c>
      <c r="AM420">
        <v>1</v>
      </c>
      <c r="AN420" t="s">
        <v>768</v>
      </c>
      <c r="AO420" t="s">
        <v>41</v>
      </c>
    </row>
    <row r="421" spans="1:41" x14ac:dyDescent="0.25">
      <c r="A421">
        <v>34</v>
      </c>
      <c r="B421" t="s">
        <v>32</v>
      </c>
      <c r="C421" t="s">
        <v>55</v>
      </c>
      <c r="D421">
        <v>2</v>
      </c>
      <c r="E421" t="s">
        <v>61</v>
      </c>
      <c r="F421">
        <v>3</v>
      </c>
      <c r="G421">
        <v>2</v>
      </c>
      <c r="H421" t="s">
        <v>70</v>
      </c>
      <c r="I421">
        <v>1</v>
      </c>
      <c r="J421" t="s">
        <v>36</v>
      </c>
      <c r="K421">
        <v>4538</v>
      </c>
      <c r="L421">
        <v>0</v>
      </c>
      <c r="M421" t="s">
        <v>31</v>
      </c>
      <c r="N421">
        <v>12</v>
      </c>
      <c r="O421">
        <v>3</v>
      </c>
      <c r="P421">
        <v>0</v>
      </c>
      <c r="Q421">
        <v>4</v>
      </c>
      <c r="R421">
        <v>3</v>
      </c>
      <c r="S421">
        <v>3</v>
      </c>
      <c r="T421">
        <v>0</v>
      </c>
      <c r="U421">
        <v>2</v>
      </c>
      <c r="V421" t="s">
        <v>52</v>
      </c>
      <c r="W421" s="1" t="s">
        <v>252</v>
      </c>
      <c r="Y421" t="s">
        <v>54</v>
      </c>
      <c r="Z421" t="s">
        <v>40</v>
      </c>
      <c r="AA421">
        <v>1</v>
      </c>
      <c r="AB421">
        <v>3</v>
      </c>
      <c r="AC421" t="s">
        <v>41</v>
      </c>
      <c r="AD421" t="s">
        <v>67</v>
      </c>
      <c r="AE421" t="s">
        <v>60</v>
      </c>
      <c r="AF421" s="3">
        <v>562</v>
      </c>
      <c r="AG421" s="3">
        <v>53</v>
      </c>
      <c r="AH421">
        <v>80</v>
      </c>
      <c r="AI421">
        <v>3</v>
      </c>
      <c r="AJ421">
        <v>0</v>
      </c>
      <c r="AL421">
        <v>0</v>
      </c>
      <c r="AM421">
        <v>1</v>
      </c>
      <c r="AN421" t="s">
        <v>768</v>
      </c>
      <c r="AO421" t="s">
        <v>41</v>
      </c>
    </row>
    <row r="422" spans="1:41" x14ac:dyDescent="0.25">
      <c r="A422">
        <v>35</v>
      </c>
      <c r="B422" t="s">
        <v>32</v>
      </c>
      <c r="C422" t="s">
        <v>33</v>
      </c>
      <c r="D422">
        <v>6</v>
      </c>
      <c r="E422" t="s">
        <v>34</v>
      </c>
      <c r="F422">
        <v>3</v>
      </c>
      <c r="G422">
        <v>1</v>
      </c>
      <c r="H422" t="s">
        <v>44</v>
      </c>
      <c r="I422">
        <v>3</v>
      </c>
      <c r="J422" t="s">
        <v>51</v>
      </c>
      <c r="K422">
        <v>3506</v>
      </c>
      <c r="L422">
        <v>0</v>
      </c>
      <c r="M422" t="s">
        <v>31</v>
      </c>
      <c r="N422">
        <v>14</v>
      </c>
      <c r="O422">
        <v>3</v>
      </c>
      <c r="P422">
        <v>0</v>
      </c>
      <c r="Q422">
        <v>4</v>
      </c>
      <c r="R422">
        <v>3</v>
      </c>
      <c r="S422">
        <v>3</v>
      </c>
      <c r="T422">
        <v>2</v>
      </c>
      <c r="U422">
        <v>2</v>
      </c>
      <c r="V422" t="s">
        <v>52</v>
      </c>
      <c r="W422" s="2">
        <v>43162</v>
      </c>
      <c r="Y422" t="s">
        <v>69</v>
      </c>
      <c r="Z422" t="s">
        <v>47</v>
      </c>
      <c r="AA422">
        <v>0</v>
      </c>
      <c r="AB422">
        <v>2</v>
      </c>
      <c r="AC422" t="s">
        <v>41</v>
      </c>
      <c r="AD422" t="s">
        <v>48</v>
      </c>
      <c r="AE422" t="s">
        <v>60</v>
      </c>
      <c r="AF422" s="3">
        <v>564</v>
      </c>
      <c r="AG422" s="3">
        <v>93</v>
      </c>
      <c r="AH422">
        <v>80</v>
      </c>
      <c r="AI422">
        <v>2</v>
      </c>
      <c r="AJ422">
        <v>0</v>
      </c>
      <c r="AL422">
        <v>0</v>
      </c>
      <c r="AM422">
        <v>1</v>
      </c>
      <c r="AN422" t="s">
        <v>768</v>
      </c>
      <c r="AO422" t="s">
        <v>41</v>
      </c>
    </row>
    <row r="423" spans="1:41" x14ac:dyDescent="0.25">
      <c r="A423">
        <v>28</v>
      </c>
      <c r="B423" t="s">
        <v>32</v>
      </c>
      <c r="C423" t="s">
        <v>33</v>
      </c>
      <c r="D423">
        <v>1</v>
      </c>
      <c r="E423" t="s">
        <v>34</v>
      </c>
      <c r="F423">
        <v>3</v>
      </c>
      <c r="G423">
        <v>1</v>
      </c>
      <c r="H423" t="s">
        <v>44</v>
      </c>
      <c r="I423">
        <v>1</v>
      </c>
      <c r="J423" t="s">
        <v>36</v>
      </c>
      <c r="K423">
        <v>2080</v>
      </c>
      <c r="L423">
        <v>2</v>
      </c>
      <c r="M423" t="s">
        <v>41</v>
      </c>
      <c r="N423">
        <v>11</v>
      </c>
      <c r="O423">
        <v>3</v>
      </c>
      <c r="P423">
        <v>0</v>
      </c>
      <c r="Q423">
        <v>5</v>
      </c>
      <c r="R423">
        <v>2</v>
      </c>
      <c r="S423">
        <v>3</v>
      </c>
      <c r="T423">
        <v>1</v>
      </c>
      <c r="U423">
        <v>2</v>
      </c>
      <c r="V423" t="s">
        <v>52</v>
      </c>
      <c r="W423" s="1" t="s">
        <v>253</v>
      </c>
      <c r="Y423" t="s">
        <v>46</v>
      </c>
      <c r="Z423" t="s">
        <v>40</v>
      </c>
      <c r="AA423">
        <v>3</v>
      </c>
      <c r="AB423">
        <v>1</v>
      </c>
      <c r="AC423" t="s">
        <v>31</v>
      </c>
      <c r="AD423" t="s">
        <v>67</v>
      </c>
      <c r="AE423" t="s">
        <v>49</v>
      </c>
      <c r="AF423" s="3">
        <v>565</v>
      </c>
      <c r="AG423" s="3">
        <v>71</v>
      </c>
      <c r="AH423">
        <v>80</v>
      </c>
      <c r="AI423">
        <v>2</v>
      </c>
      <c r="AJ423">
        <v>1</v>
      </c>
      <c r="AK423">
        <v>1</v>
      </c>
      <c r="AL423">
        <v>1</v>
      </c>
      <c r="AM423">
        <v>0</v>
      </c>
      <c r="AN423" t="s">
        <v>767</v>
      </c>
      <c r="AO423" t="s">
        <v>31</v>
      </c>
    </row>
    <row r="424" spans="1:41" x14ac:dyDescent="0.25">
      <c r="A424">
        <v>50</v>
      </c>
      <c r="B424" t="s">
        <v>32</v>
      </c>
      <c r="C424" t="s">
        <v>33</v>
      </c>
      <c r="D424">
        <v>28</v>
      </c>
      <c r="E424" t="s">
        <v>61</v>
      </c>
      <c r="F424">
        <v>3</v>
      </c>
      <c r="G424">
        <v>4</v>
      </c>
      <c r="H424" t="s">
        <v>50</v>
      </c>
      <c r="I424">
        <v>1</v>
      </c>
      <c r="J424" t="s">
        <v>51</v>
      </c>
      <c r="K424">
        <v>16880</v>
      </c>
      <c r="L424">
        <v>4</v>
      </c>
      <c r="M424" t="s">
        <v>31</v>
      </c>
      <c r="N424">
        <v>11</v>
      </c>
      <c r="O424">
        <v>3</v>
      </c>
      <c r="P424">
        <v>0</v>
      </c>
      <c r="Q424">
        <v>25</v>
      </c>
      <c r="R424">
        <v>2</v>
      </c>
      <c r="S424">
        <v>3</v>
      </c>
      <c r="T424">
        <v>1</v>
      </c>
      <c r="U424">
        <v>2</v>
      </c>
      <c r="V424" t="s">
        <v>72</v>
      </c>
      <c r="W424" s="2">
        <v>43195</v>
      </c>
      <c r="Y424" t="s">
        <v>46</v>
      </c>
      <c r="Z424" t="s">
        <v>40</v>
      </c>
      <c r="AA424">
        <v>0</v>
      </c>
      <c r="AB424">
        <v>1</v>
      </c>
      <c r="AC424" t="s">
        <v>31</v>
      </c>
      <c r="AD424" t="s">
        <v>65</v>
      </c>
      <c r="AE424" t="s">
        <v>49</v>
      </c>
      <c r="AF424" s="3">
        <v>566</v>
      </c>
      <c r="AG424" s="3">
        <v>52</v>
      </c>
      <c r="AH424">
        <v>80</v>
      </c>
      <c r="AI424">
        <v>0</v>
      </c>
      <c r="AJ424">
        <v>1</v>
      </c>
      <c r="AK424">
        <v>1</v>
      </c>
      <c r="AL424">
        <v>1</v>
      </c>
      <c r="AM424">
        <v>0</v>
      </c>
      <c r="AN424" t="s">
        <v>767</v>
      </c>
      <c r="AO424" t="s">
        <v>31</v>
      </c>
    </row>
    <row r="425" spans="1:41" x14ac:dyDescent="0.25">
      <c r="A425">
        <v>31</v>
      </c>
      <c r="B425" t="s">
        <v>66</v>
      </c>
      <c r="C425" t="s">
        <v>55</v>
      </c>
      <c r="D425">
        <v>1</v>
      </c>
      <c r="E425" t="s">
        <v>61</v>
      </c>
      <c r="F425">
        <v>3</v>
      </c>
      <c r="G425">
        <v>1</v>
      </c>
      <c r="H425" t="s">
        <v>56</v>
      </c>
      <c r="I425">
        <v>2</v>
      </c>
      <c r="J425" t="s">
        <v>36</v>
      </c>
      <c r="K425">
        <v>2302</v>
      </c>
      <c r="L425">
        <v>1</v>
      </c>
      <c r="M425" t="s">
        <v>31</v>
      </c>
      <c r="N425">
        <v>11</v>
      </c>
      <c r="O425">
        <v>3</v>
      </c>
      <c r="P425">
        <v>0</v>
      </c>
      <c r="Q425">
        <v>3</v>
      </c>
      <c r="R425">
        <v>2</v>
      </c>
      <c r="S425">
        <v>3</v>
      </c>
      <c r="T425">
        <v>2</v>
      </c>
      <c r="U425">
        <v>2</v>
      </c>
      <c r="V425" t="s">
        <v>72</v>
      </c>
      <c r="W425" s="2">
        <v>43408</v>
      </c>
      <c r="Y425" t="s">
        <v>54</v>
      </c>
      <c r="Z425" t="s">
        <v>40</v>
      </c>
      <c r="AA425">
        <v>4</v>
      </c>
      <c r="AB425">
        <v>3</v>
      </c>
      <c r="AC425" t="s">
        <v>41</v>
      </c>
      <c r="AD425" t="s">
        <v>48</v>
      </c>
      <c r="AE425" t="s">
        <v>49</v>
      </c>
      <c r="AF425" s="3">
        <v>567</v>
      </c>
      <c r="AG425" s="3">
        <v>69</v>
      </c>
      <c r="AH425">
        <v>80</v>
      </c>
      <c r="AI425">
        <v>8</v>
      </c>
      <c r="AJ425">
        <v>0</v>
      </c>
      <c r="AL425">
        <v>0</v>
      </c>
      <c r="AM425">
        <v>1</v>
      </c>
      <c r="AN425" t="s">
        <v>768</v>
      </c>
      <c r="AO425" t="s">
        <v>41</v>
      </c>
    </row>
    <row r="426" spans="1:41" x14ac:dyDescent="0.25">
      <c r="A426">
        <v>44</v>
      </c>
      <c r="B426" t="s">
        <v>32</v>
      </c>
      <c r="C426" t="s">
        <v>33</v>
      </c>
      <c r="D426">
        <v>3</v>
      </c>
      <c r="E426" t="s">
        <v>34</v>
      </c>
      <c r="F426">
        <v>3</v>
      </c>
      <c r="G426">
        <v>1</v>
      </c>
      <c r="H426" t="s">
        <v>35</v>
      </c>
      <c r="I426">
        <v>1</v>
      </c>
      <c r="J426" t="s">
        <v>51</v>
      </c>
      <c r="K426">
        <v>2362</v>
      </c>
      <c r="L426">
        <v>4</v>
      </c>
      <c r="M426" t="s">
        <v>41</v>
      </c>
      <c r="N426">
        <v>12</v>
      </c>
      <c r="O426">
        <v>3</v>
      </c>
      <c r="P426">
        <v>0</v>
      </c>
      <c r="Q426">
        <v>10</v>
      </c>
      <c r="R426">
        <v>4</v>
      </c>
      <c r="S426">
        <v>3</v>
      </c>
      <c r="T426">
        <v>1</v>
      </c>
      <c r="U426">
        <v>2</v>
      </c>
      <c r="V426" t="s">
        <v>52</v>
      </c>
      <c r="W426" s="1" t="s">
        <v>231</v>
      </c>
      <c r="Y426" t="s">
        <v>54</v>
      </c>
      <c r="Z426" t="s">
        <v>40</v>
      </c>
      <c r="AA426">
        <v>1</v>
      </c>
      <c r="AB426">
        <v>1</v>
      </c>
      <c r="AC426" t="s">
        <v>31</v>
      </c>
      <c r="AD426" t="s">
        <v>67</v>
      </c>
      <c r="AE426" t="s">
        <v>60</v>
      </c>
      <c r="AF426" s="3">
        <v>568</v>
      </c>
      <c r="AG426" s="3">
        <v>56</v>
      </c>
      <c r="AH426">
        <v>80</v>
      </c>
      <c r="AI426">
        <v>0</v>
      </c>
      <c r="AJ426">
        <v>0</v>
      </c>
      <c r="AL426">
        <v>0</v>
      </c>
      <c r="AM426">
        <v>1</v>
      </c>
      <c r="AN426" t="s">
        <v>768</v>
      </c>
      <c r="AO426" t="s">
        <v>41</v>
      </c>
    </row>
    <row r="427" spans="1:41" x14ac:dyDescent="0.25">
      <c r="A427">
        <v>25</v>
      </c>
      <c r="B427" t="s">
        <v>32</v>
      </c>
      <c r="C427" t="s">
        <v>33</v>
      </c>
      <c r="D427">
        <v>19</v>
      </c>
      <c r="E427" t="s">
        <v>34</v>
      </c>
      <c r="F427">
        <v>3</v>
      </c>
      <c r="G427">
        <v>1</v>
      </c>
      <c r="H427" t="s">
        <v>35</v>
      </c>
      <c r="I427">
        <v>4</v>
      </c>
      <c r="J427" t="s">
        <v>51</v>
      </c>
      <c r="K427">
        <v>3669</v>
      </c>
      <c r="L427">
        <v>3</v>
      </c>
      <c r="M427" t="s">
        <v>41</v>
      </c>
      <c r="N427">
        <v>11</v>
      </c>
      <c r="O427">
        <v>3</v>
      </c>
      <c r="P427">
        <v>3</v>
      </c>
      <c r="Q427">
        <v>7</v>
      </c>
      <c r="R427">
        <v>6</v>
      </c>
      <c r="S427">
        <v>3</v>
      </c>
      <c r="T427">
        <v>1</v>
      </c>
      <c r="U427">
        <v>2</v>
      </c>
      <c r="V427" t="s">
        <v>52</v>
      </c>
      <c r="W427" s="2">
        <v>43164</v>
      </c>
      <c r="Y427" t="s">
        <v>39</v>
      </c>
      <c r="Z427" t="s">
        <v>40</v>
      </c>
      <c r="AA427">
        <v>3</v>
      </c>
      <c r="AB427">
        <v>0</v>
      </c>
      <c r="AC427" t="s">
        <v>41</v>
      </c>
      <c r="AD427" t="s">
        <v>67</v>
      </c>
      <c r="AE427" t="s">
        <v>60</v>
      </c>
      <c r="AF427" s="3">
        <v>569</v>
      </c>
      <c r="AG427" s="3">
        <v>88</v>
      </c>
      <c r="AH427">
        <v>80</v>
      </c>
      <c r="AI427">
        <v>10</v>
      </c>
      <c r="AJ427">
        <v>0</v>
      </c>
      <c r="AL427">
        <v>0</v>
      </c>
      <c r="AM427">
        <v>1</v>
      </c>
      <c r="AN427" t="s">
        <v>768</v>
      </c>
      <c r="AO427" t="s">
        <v>41</v>
      </c>
    </row>
    <row r="428" spans="1:41" x14ac:dyDescent="0.25">
      <c r="A428">
        <v>32</v>
      </c>
      <c r="B428" t="s">
        <v>32</v>
      </c>
      <c r="C428" t="s">
        <v>55</v>
      </c>
      <c r="D428">
        <v>2</v>
      </c>
      <c r="E428" t="s">
        <v>34</v>
      </c>
      <c r="F428">
        <v>3</v>
      </c>
      <c r="G428">
        <v>2</v>
      </c>
      <c r="H428" t="s">
        <v>70</v>
      </c>
      <c r="I428">
        <v>2</v>
      </c>
      <c r="J428" t="s">
        <v>51</v>
      </c>
      <c r="K428">
        <v>4078</v>
      </c>
      <c r="L428">
        <v>0</v>
      </c>
      <c r="M428" t="s">
        <v>31</v>
      </c>
      <c r="N428">
        <v>13</v>
      </c>
      <c r="O428">
        <v>3</v>
      </c>
      <c r="P428">
        <v>3</v>
      </c>
      <c r="Q428">
        <v>4</v>
      </c>
      <c r="R428">
        <v>3</v>
      </c>
      <c r="S428">
        <v>3</v>
      </c>
      <c r="T428">
        <v>1</v>
      </c>
      <c r="U428">
        <v>2</v>
      </c>
      <c r="V428" t="s">
        <v>58</v>
      </c>
      <c r="W428" s="2">
        <v>43318</v>
      </c>
      <c r="Y428" t="s">
        <v>69</v>
      </c>
      <c r="Z428" t="s">
        <v>47</v>
      </c>
      <c r="AA428">
        <v>2</v>
      </c>
      <c r="AB428">
        <v>3</v>
      </c>
      <c r="AC428" t="s">
        <v>41</v>
      </c>
      <c r="AD428" t="s">
        <v>42</v>
      </c>
      <c r="AE428" t="s">
        <v>43</v>
      </c>
      <c r="AF428" s="3">
        <v>571</v>
      </c>
      <c r="AG428" s="3">
        <v>49</v>
      </c>
      <c r="AH428">
        <v>80</v>
      </c>
      <c r="AI428">
        <v>7</v>
      </c>
      <c r="AJ428">
        <v>0</v>
      </c>
      <c r="AL428">
        <v>0</v>
      </c>
      <c r="AM428">
        <v>1</v>
      </c>
      <c r="AN428" t="s">
        <v>768</v>
      </c>
      <c r="AO428" t="s">
        <v>41</v>
      </c>
    </row>
    <row r="429" spans="1:41" x14ac:dyDescent="0.25">
      <c r="A429">
        <v>25</v>
      </c>
      <c r="B429" t="s">
        <v>32</v>
      </c>
      <c r="C429" t="s">
        <v>55</v>
      </c>
      <c r="D429">
        <v>18</v>
      </c>
      <c r="E429" t="s">
        <v>34</v>
      </c>
      <c r="F429">
        <v>4</v>
      </c>
      <c r="G429">
        <v>2</v>
      </c>
      <c r="H429" t="s">
        <v>70</v>
      </c>
      <c r="I429">
        <v>3</v>
      </c>
      <c r="J429" t="s">
        <v>51</v>
      </c>
      <c r="K429">
        <v>6232</v>
      </c>
      <c r="L429">
        <v>2</v>
      </c>
      <c r="M429" t="s">
        <v>41</v>
      </c>
      <c r="N429">
        <v>11</v>
      </c>
      <c r="O429">
        <v>3</v>
      </c>
      <c r="P429">
        <v>0</v>
      </c>
      <c r="Q429">
        <v>6</v>
      </c>
      <c r="R429">
        <v>3</v>
      </c>
      <c r="S429">
        <v>3</v>
      </c>
      <c r="T429">
        <v>1</v>
      </c>
      <c r="U429">
        <v>2</v>
      </c>
      <c r="V429" t="s">
        <v>58</v>
      </c>
      <c r="W429" s="2">
        <v>43132</v>
      </c>
      <c r="Y429" t="s">
        <v>39</v>
      </c>
      <c r="Z429" t="s">
        <v>47</v>
      </c>
      <c r="AA429">
        <v>0</v>
      </c>
      <c r="AB429">
        <v>0</v>
      </c>
      <c r="AC429" t="s">
        <v>31</v>
      </c>
      <c r="AD429" t="s">
        <v>65</v>
      </c>
      <c r="AE429" t="s">
        <v>60</v>
      </c>
      <c r="AF429" s="3">
        <v>573</v>
      </c>
      <c r="AG429" s="3">
        <v>80</v>
      </c>
      <c r="AH429">
        <v>80</v>
      </c>
      <c r="AI429">
        <v>13</v>
      </c>
      <c r="AJ429">
        <v>0</v>
      </c>
      <c r="AL429">
        <v>0</v>
      </c>
      <c r="AM429">
        <v>1</v>
      </c>
      <c r="AN429" t="s">
        <v>768</v>
      </c>
      <c r="AO429" t="s">
        <v>41</v>
      </c>
    </row>
    <row r="430" spans="1:41" x14ac:dyDescent="0.25">
      <c r="A430">
        <v>37</v>
      </c>
      <c r="B430" t="s">
        <v>32</v>
      </c>
      <c r="C430" t="s">
        <v>33</v>
      </c>
      <c r="D430">
        <v>11</v>
      </c>
      <c r="E430" t="s">
        <v>61</v>
      </c>
      <c r="F430">
        <v>3</v>
      </c>
      <c r="G430">
        <v>1</v>
      </c>
      <c r="H430" t="s">
        <v>35</v>
      </c>
      <c r="I430">
        <v>3</v>
      </c>
      <c r="J430" t="s">
        <v>36</v>
      </c>
      <c r="K430">
        <v>3629</v>
      </c>
      <c r="L430">
        <v>4</v>
      </c>
      <c r="M430" t="s">
        <v>41</v>
      </c>
      <c r="N430">
        <v>18</v>
      </c>
      <c r="O430">
        <v>3</v>
      </c>
      <c r="P430">
        <v>0</v>
      </c>
      <c r="Q430">
        <v>8</v>
      </c>
      <c r="R430">
        <v>6</v>
      </c>
      <c r="S430">
        <v>3</v>
      </c>
      <c r="T430">
        <v>0</v>
      </c>
      <c r="U430">
        <v>2</v>
      </c>
      <c r="V430" t="s">
        <v>72</v>
      </c>
      <c r="W430" s="1" t="s">
        <v>254</v>
      </c>
      <c r="Y430" t="s">
        <v>39</v>
      </c>
      <c r="Z430" t="s">
        <v>40</v>
      </c>
      <c r="AA430">
        <v>5</v>
      </c>
      <c r="AB430">
        <v>2</v>
      </c>
      <c r="AC430" t="s">
        <v>31</v>
      </c>
      <c r="AD430" t="s">
        <v>67</v>
      </c>
      <c r="AE430" t="s">
        <v>60</v>
      </c>
      <c r="AF430" s="3">
        <v>574</v>
      </c>
      <c r="AG430" s="3">
        <v>65</v>
      </c>
      <c r="AH430">
        <v>80</v>
      </c>
      <c r="AI430">
        <v>0</v>
      </c>
      <c r="AJ430">
        <v>0</v>
      </c>
      <c r="AL430">
        <v>0</v>
      </c>
      <c r="AM430">
        <v>1</v>
      </c>
      <c r="AN430" t="s">
        <v>768</v>
      </c>
      <c r="AO430" t="s">
        <v>41</v>
      </c>
    </row>
    <row r="431" spans="1:41" x14ac:dyDescent="0.25">
      <c r="A431">
        <v>25</v>
      </c>
      <c r="B431" t="s">
        <v>32</v>
      </c>
      <c r="C431" t="s">
        <v>33</v>
      </c>
      <c r="D431">
        <v>1</v>
      </c>
      <c r="E431" t="s">
        <v>34</v>
      </c>
      <c r="F431">
        <v>3</v>
      </c>
      <c r="G431">
        <v>1</v>
      </c>
      <c r="H431" t="s">
        <v>35</v>
      </c>
      <c r="I431">
        <v>4</v>
      </c>
      <c r="J431" t="s">
        <v>51</v>
      </c>
      <c r="K431">
        <v>3229</v>
      </c>
      <c r="L431">
        <v>4</v>
      </c>
      <c r="M431" t="s">
        <v>41</v>
      </c>
      <c r="N431">
        <v>11</v>
      </c>
      <c r="O431">
        <v>3</v>
      </c>
      <c r="P431">
        <v>1</v>
      </c>
      <c r="Q431">
        <v>7</v>
      </c>
      <c r="R431">
        <v>2</v>
      </c>
      <c r="S431">
        <v>3</v>
      </c>
      <c r="T431">
        <v>0</v>
      </c>
      <c r="U431">
        <v>2</v>
      </c>
      <c r="V431" t="s">
        <v>52</v>
      </c>
      <c r="W431" s="1" t="s">
        <v>255</v>
      </c>
      <c r="Y431" t="s">
        <v>69</v>
      </c>
      <c r="Z431" t="s">
        <v>47</v>
      </c>
      <c r="AA431">
        <v>1</v>
      </c>
      <c r="AB431">
        <v>3</v>
      </c>
      <c r="AC431" t="s">
        <v>41</v>
      </c>
      <c r="AD431" t="s">
        <v>65</v>
      </c>
      <c r="AE431" t="s">
        <v>60</v>
      </c>
      <c r="AF431" s="3">
        <v>575</v>
      </c>
      <c r="AG431" s="3">
        <v>51</v>
      </c>
      <c r="AH431">
        <v>80</v>
      </c>
      <c r="AI431">
        <v>2</v>
      </c>
      <c r="AJ431">
        <v>0</v>
      </c>
      <c r="AL431">
        <v>0</v>
      </c>
      <c r="AM431">
        <v>1</v>
      </c>
      <c r="AN431" t="s">
        <v>768</v>
      </c>
      <c r="AO431" t="s">
        <v>41</v>
      </c>
    </row>
    <row r="432" spans="1:41" x14ac:dyDescent="0.25">
      <c r="A432">
        <v>30</v>
      </c>
      <c r="B432" t="s">
        <v>32</v>
      </c>
      <c r="C432" t="s">
        <v>55</v>
      </c>
      <c r="D432">
        <v>7</v>
      </c>
      <c r="E432" t="s">
        <v>61</v>
      </c>
      <c r="F432">
        <v>3</v>
      </c>
      <c r="G432">
        <v>2</v>
      </c>
      <c r="H432" t="s">
        <v>70</v>
      </c>
      <c r="I432">
        <v>1</v>
      </c>
      <c r="J432" t="s">
        <v>57</v>
      </c>
      <c r="K432">
        <v>4779</v>
      </c>
      <c r="L432">
        <v>7</v>
      </c>
      <c r="M432" t="s">
        <v>41</v>
      </c>
      <c r="N432">
        <v>14</v>
      </c>
      <c r="O432">
        <v>3</v>
      </c>
      <c r="P432">
        <v>2</v>
      </c>
      <c r="Q432">
        <v>8</v>
      </c>
      <c r="R432">
        <v>3</v>
      </c>
      <c r="S432">
        <v>3</v>
      </c>
      <c r="T432">
        <v>0</v>
      </c>
      <c r="U432">
        <v>2</v>
      </c>
      <c r="V432" t="s">
        <v>72</v>
      </c>
      <c r="W432" s="1" t="s">
        <v>256</v>
      </c>
      <c r="Y432" t="s">
        <v>39</v>
      </c>
      <c r="Z432" t="s">
        <v>40</v>
      </c>
      <c r="AA432">
        <v>4</v>
      </c>
      <c r="AB432">
        <v>2</v>
      </c>
      <c r="AC432" t="s">
        <v>41</v>
      </c>
      <c r="AD432" t="s">
        <v>48</v>
      </c>
      <c r="AE432" t="s">
        <v>49</v>
      </c>
      <c r="AF432" s="3">
        <v>577</v>
      </c>
      <c r="AG432" s="3">
        <v>46</v>
      </c>
      <c r="AH432">
        <v>80</v>
      </c>
      <c r="AI432">
        <v>4</v>
      </c>
      <c r="AJ432">
        <v>0</v>
      </c>
      <c r="AL432">
        <v>0</v>
      </c>
      <c r="AM432">
        <v>1</v>
      </c>
      <c r="AN432" t="s">
        <v>768</v>
      </c>
      <c r="AO432" t="s">
        <v>41</v>
      </c>
    </row>
    <row r="433" spans="1:41" x14ac:dyDescent="0.25">
      <c r="A433">
        <v>31</v>
      </c>
      <c r="B433" t="s">
        <v>32</v>
      </c>
      <c r="C433" t="s">
        <v>33</v>
      </c>
      <c r="D433">
        <v>8</v>
      </c>
      <c r="E433" t="s">
        <v>61</v>
      </c>
      <c r="F433">
        <v>3</v>
      </c>
      <c r="G433">
        <v>4</v>
      </c>
      <c r="H433" t="s">
        <v>50</v>
      </c>
      <c r="I433">
        <v>2</v>
      </c>
      <c r="J433" t="s">
        <v>36</v>
      </c>
      <c r="K433">
        <v>16422</v>
      </c>
      <c r="L433">
        <v>3</v>
      </c>
      <c r="M433" t="s">
        <v>41</v>
      </c>
      <c r="N433">
        <v>11</v>
      </c>
      <c r="O433">
        <v>3</v>
      </c>
      <c r="P433">
        <v>0</v>
      </c>
      <c r="Q433">
        <v>9</v>
      </c>
      <c r="R433">
        <v>3</v>
      </c>
      <c r="S433">
        <v>3</v>
      </c>
      <c r="T433">
        <v>1</v>
      </c>
      <c r="U433">
        <v>0</v>
      </c>
      <c r="V433" t="s">
        <v>72</v>
      </c>
      <c r="W433" s="1" t="s">
        <v>257</v>
      </c>
      <c r="Y433" t="s">
        <v>46</v>
      </c>
      <c r="Z433" t="s">
        <v>40</v>
      </c>
      <c r="AA433">
        <v>5</v>
      </c>
      <c r="AB433">
        <v>3</v>
      </c>
      <c r="AC433" t="s">
        <v>31</v>
      </c>
      <c r="AD433" t="s">
        <v>48</v>
      </c>
      <c r="AE433" t="s">
        <v>49</v>
      </c>
      <c r="AF433" s="3">
        <v>578</v>
      </c>
      <c r="AG433" s="3">
        <v>42</v>
      </c>
      <c r="AH433">
        <v>80</v>
      </c>
      <c r="AI433">
        <v>0</v>
      </c>
      <c r="AJ433">
        <v>0</v>
      </c>
      <c r="AL433">
        <v>0</v>
      </c>
      <c r="AM433">
        <v>1</v>
      </c>
      <c r="AN433" t="s">
        <v>768</v>
      </c>
      <c r="AO433" t="s">
        <v>41</v>
      </c>
    </row>
    <row r="434" spans="1:41" x14ac:dyDescent="0.25">
      <c r="A434">
        <v>36</v>
      </c>
      <c r="B434" t="s">
        <v>32</v>
      </c>
      <c r="C434" t="s">
        <v>55</v>
      </c>
      <c r="D434">
        <v>16</v>
      </c>
      <c r="E434" t="s">
        <v>61</v>
      </c>
      <c r="F434">
        <v>2</v>
      </c>
      <c r="G434">
        <v>2</v>
      </c>
      <c r="H434" t="s">
        <v>70</v>
      </c>
      <c r="I434">
        <v>1</v>
      </c>
      <c r="J434" t="s">
        <v>51</v>
      </c>
      <c r="K434">
        <v>5647</v>
      </c>
      <c r="L434">
        <v>4</v>
      </c>
      <c r="M434" t="s">
        <v>41</v>
      </c>
      <c r="N434">
        <v>13</v>
      </c>
      <c r="O434">
        <v>3</v>
      </c>
      <c r="P434">
        <v>2</v>
      </c>
      <c r="Q434">
        <v>11</v>
      </c>
      <c r="R434">
        <v>3</v>
      </c>
      <c r="S434">
        <v>3</v>
      </c>
      <c r="T434">
        <v>0</v>
      </c>
      <c r="U434">
        <v>2</v>
      </c>
      <c r="V434" t="s">
        <v>58</v>
      </c>
      <c r="W434" s="1" t="s">
        <v>233</v>
      </c>
      <c r="Y434" t="s">
        <v>46</v>
      </c>
      <c r="Z434" t="s">
        <v>47</v>
      </c>
      <c r="AA434">
        <v>2</v>
      </c>
      <c r="AB434">
        <v>2</v>
      </c>
      <c r="AC434" t="s">
        <v>31</v>
      </c>
      <c r="AD434" t="s">
        <v>48</v>
      </c>
      <c r="AE434" t="s">
        <v>60</v>
      </c>
      <c r="AF434" s="3">
        <v>579</v>
      </c>
      <c r="AG434" s="3">
        <v>62</v>
      </c>
      <c r="AH434">
        <v>80</v>
      </c>
      <c r="AI434">
        <v>3</v>
      </c>
      <c r="AJ434">
        <v>0</v>
      </c>
      <c r="AL434">
        <v>0</v>
      </c>
      <c r="AM434">
        <v>1</v>
      </c>
      <c r="AN434" t="s">
        <v>768</v>
      </c>
      <c r="AO434" t="s">
        <v>41</v>
      </c>
    </row>
    <row r="435" spans="1:41" x14ac:dyDescent="0.25">
      <c r="A435">
        <v>25</v>
      </c>
      <c r="B435" t="s">
        <v>32</v>
      </c>
      <c r="C435" t="s">
        <v>55</v>
      </c>
      <c r="D435">
        <v>9</v>
      </c>
      <c r="E435" t="s">
        <v>34</v>
      </c>
      <c r="F435">
        <v>2</v>
      </c>
      <c r="G435">
        <v>1</v>
      </c>
      <c r="H435" t="s">
        <v>56</v>
      </c>
      <c r="I435">
        <v>1</v>
      </c>
      <c r="J435" t="s">
        <v>51</v>
      </c>
      <c r="K435">
        <v>4400</v>
      </c>
      <c r="L435">
        <v>3</v>
      </c>
      <c r="M435" t="s">
        <v>41</v>
      </c>
      <c r="N435">
        <v>12</v>
      </c>
      <c r="O435">
        <v>3</v>
      </c>
      <c r="P435">
        <v>0</v>
      </c>
      <c r="Q435">
        <v>6</v>
      </c>
      <c r="R435">
        <v>2</v>
      </c>
      <c r="S435">
        <v>3</v>
      </c>
      <c r="T435">
        <v>2</v>
      </c>
      <c r="U435">
        <v>2</v>
      </c>
      <c r="V435" t="s">
        <v>72</v>
      </c>
      <c r="W435" s="2">
        <v>43287</v>
      </c>
      <c r="Y435" t="s">
        <v>63</v>
      </c>
      <c r="Z435" t="s">
        <v>47</v>
      </c>
      <c r="AA435">
        <v>0</v>
      </c>
      <c r="AB435">
        <v>2</v>
      </c>
      <c r="AC435" t="s">
        <v>31</v>
      </c>
      <c r="AD435" t="s">
        <v>65</v>
      </c>
      <c r="AE435" t="s">
        <v>49</v>
      </c>
      <c r="AF435" s="3">
        <v>580</v>
      </c>
      <c r="AG435" s="3">
        <v>94</v>
      </c>
      <c r="AH435">
        <v>80</v>
      </c>
      <c r="AI435">
        <v>2</v>
      </c>
      <c r="AJ435">
        <v>0</v>
      </c>
      <c r="AL435">
        <v>0</v>
      </c>
      <c r="AM435">
        <v>1</v>
      </c>
      <c r="AN435" t="s">
        <v>768</v>
      </c>
      <c r="AO435" t="s">
        <v>41</v>
      </c>
    </row>
    <row r="436" spans="1:41" x14ac:dyDescent="0.25">
      <c r="A436">
        <v>56</v>
      </c>
      <c r="B436" t="s">
        <v>32</v>
      </c>
      <c r="C436" t="s">
        <v>33</v>
      </c>
      <c r="D436">
        <v>1</v>
      </c>
      <c r="E436" t="s">
        <v>61</v>
      </c>
      <c r="F436">
        <v>3</v>
      </c>
      <c r="G436">
        <v>1</v>
      </c>
      <c r="H436" t="s">
        <v>44</v>
      </c>
      <c r="I436">
        <v>1</v>
      </c>
      <c r="J436" t="s">
        <v>51</v>
      </c>
      <c r="K436">
        <v>2066</v>
      </c>
      <c r="L436">
        <v>2</v>
      </c>
      <c r="M436" t="s">
        <v>41</v>
      </c>
      <c r="N436">
        <v>22</v>
      </c>
      <c r="O436">
        <v>4</v>
      </c>
      <c r="P436">
        <v>1</v>
      </c>
      <c r="Q436">
        <v>5</v>
      </c>
      <c r="R436">
        <v>3</v>
      </c>
      <c r="S436">
        <v>3</v>
      </c>
      <c r="T436">
        <v>1</v>
      </c>
      <c r="U436">
        <v>0</v>
      </c>
      <c r="V436" t="s">
        <v>52</v>
      </c>
      <c r="W436" s="1" t="s">
        <v>240</v>
      </c>
      <c r="Y436" t="s">
        <v>69</v>
      </c>
      <c r="Z436" t="s">
        <v>47</v>
      </c>
      <c r="AA436">
        <v>2</v>
      </c>
      <c r="AB436">
        <v>3</v>
      </c>
      <c r="AC436" t="s">
        <v>41</v>
      </c>
      <c r="AD436" t="s">
        <v>67</v>
      </c>
      <c r="AE436" t="s">
        <v>49</v>
      </c>
      <c r="AF436" s="3">
        <v>581</v>
      </c>
      <c r="AG436" s="3">
        <v>33</v>
      </c>
      <c r="AH436">
        <v>80</v>
      </c>
      <c r="AI436">
        <v>8</v>
      </c>
      <c r="AJ436">
        <v>0</v>
      </c>
      <c r="AL436">
        <v>0</v>
      </c>
      <c r="AM436">
        <v>1</v>
      </c>
      <c r="AN436" t="s">
        <v>768</v>
      </c>
      <c r="AO436" t="s">
        <v>41</v>
      </c>
    </row>
    <row r="437" spans="1:41" x14ac:dyDescent="0.25">
      <c r="A437">
        <v>31</v>
      </c>
      <c r="B437" t="s">
        <v>32</v>
      </c>
      <c r="C437" t="s">
        <v>120</v>
      </c>
      <c r="D437">
        <v>8</v>
      </c>
      <c r="E437" t="s">
        <v>61</v>
      </c>
      <c r="F437">
        <v>4</v>
      </c>
      <c r="G437">
        <v>1</v>
      </c>
      <c r="H437" t="s">
        <v>120</v>
      </c>
      <c r="I437">
        <v>2</v>
      </c>
      <c r="J437" t="s">
        <v>36</v>
      </c>
      <c r="K437">
        <v>2109</v>
      </c>
      <c r="L437">
        <v>9</v>
      </c>
      <c r="M437" t="s">
        <v>41</v>
      </c>
      <c r="N437">
        <v>18</v>
      </c>
      <c r="O437">
        <v>3</v>
      </c>
      <c r="P437">
        <v>0</v>
      </c>
      <c r="Q437">
        <v>8</v>
      </c>
      <c r="R437">
        <v>3</v>
      </c>
      <c r="S437">
        <v>3</v>
      </c>
      <c r="T437">
        <v>0</v>
      </c>
      <c r="U437">
        <v>2</v>
      </c>
      <c r="V437" t="s">
        <v>37</v>
      </c>
      <c r="W437" s="2">
        <v>43440</v>
      </c>
      <c r="Y437" t="s">
        <v>46</v>
      </c>
      <c r="Z437" t="s">
        <v>47</v>
      </c>
      <c r="AA437">
        <v>5</v>
      </c>
      <c r="AB437">
        <v>3</v>
      </c>
      <c r="AC437" t="s">
        <v>31</v>
      </c>
      <c r="AD437" t="s">
        <v>65</v>
      </c>
      <c r="AE437" t="s">
        <v>49</v>
      </c>
      <c r="AF437" s="3">
        <v>582</v>
      </c>
      <c r="AG437" s="3">
        <v>56</v>
      </c>
      <c r="AH437">
        <v>80</v>
      </c>
      <c r="AI437">
        <v>6</v>
      </c>
      <c r="AJ437">
        <v>1</v>
      </c>
      <c r="AK437">
        <v>1</v>
      </c>
      <c r="AL437">
        <v>1</v>
      </c>
      <c r="AM437">
        <v>0</v>
      </c>
      <c r="AN437" t="s">
        <v>767</v>
      </c>
      <c r="AO437" t="s">
        <v>31</v>
      </c>
    </row>
    <row r="438" spans="1:41" x14ac:dyDescent="0.25">
      <c r="A438">
        <v>45</v>
      </c>
      <c r="B438" t="s">
        <v>32</v>
      </c>
      <c r="C438" t="s">
        <v>33</v>
      </c>
      <c r="D438">
        <v>29</v>
      </c>
      <c r="E438" t="s">
        <v>34</v>
      </c>
      <c r="F438">
        <v>3</v>
      </c>
      <c r="G438">
        <v>3</v>
      </c>
      <c r="H438" t="s">
        <v>78</v>
      </c>
      <c r="I438">
        <v>4</v>
      </c>
      <c r="J438" t="s">
        <v>51</v>
      </c>
      <c r="K438">
        <v>9380</v>
      </c>
      <c r="L438">
        <v>4</v>
      </c>
      <c r="M438" t="s">
        <v>31</v>
      </c>
      <c r="N438">
        <v>18</v>
      </c>
      <c r="O438">
        <v>3</v>
      </c>
      <c r="P438">
        <v>2</v>
      </c>
      <c r="Q438">
        <v>10</v>
      </c>
      <c r="R438">
        <v>4</v>
      </c>
      <c r="S438">
        <v>3</v>
      </c>
      <c r="T438">
        <v>1</v>
      </c>
      <c r="U438">
        <v>2</v>
      </c>
      <c r="V438" t="s">
        <v>72</v>
      </c>
      <c r="W438" s="1" t="s">
        <v>258</v>
      </c>
      <c r="Y438" t="s">
        <v>69</v>
      </c>
      <c r="Z438" t="s">
        <v>47</v>
      </c>
      <c r="AA438">
        <v>5</v>
      </c>
      <c r="AB438">
        <v>1</v>
      </c>
      <c r="AC438" t="s">
        <v>41</v>
      </c>
      <c r="AD438" t="s">
        <v>42</v>
      </c>
      <c r="AE438" t="s">
        <v>60</v>
      </c>
      <c r="AF438" s="3">
        <v>584</v>
      </c>
      <c r="AG438" s="3">
        <v>38</v>
      </c>
      <c r="AH438">
        <v>80</v>
      </c>
      <c r="AI438">
        <v>3</v>
      </c>
      <c r="AJ438">
        <v>1</v>
      </c>
      <c r="AK438">
        <v>1</v>
      </c>
      <c r="AL438">
        <v>1</v>
      </c>
      <c r="AM438">
        <v>0</v>
      </c>
      <c r="AN438" t="s">
        <v>767</v>
      </c>
      <c r="AO438" t="s">
        <v>31</v>
      </c>
    </row>
    <row r="439" spans="1:41" x14ac:dyDescent="0.25">
      <c r="A439">
        <v>49</v>
      </c>
      <c r="B439" t="s">
        <v>32</v>
      </c>
      <c r="C439" t="s">
        <v>33</v>
      </c>
      <c r="D439">
        <v>5</v>
      </c>
      <c r="E439" t="s">
        <v>34</v>
      </c>
      <c r="F439">
        <v>3</v>
      </c>
      <c r="G439">
        <v>2</v>
      </c>
      <c r="H439" t="s">
        <v>89</v>
      </c>
      <c r="I439">
        <v>3</v>
      </c>
      <c r="J439" t="s">
        <v>51</v>
      </c>
      <c r="K439">
        <v>6651</v>
      </c>
      <c r="L439">
        <v>2</v>
      </c>
      <c r="M439" t="s">
        <v>41</v>
      </c>
      <c r="N439">
        <v>14</v>
      </c>
      <c r="O439">
        <v>3</v>
      </c>
      <c r="P439">
        <v>1</v>
      </c>
      <c r="Q439">
        <v>20</v>
      </c>
      <c r="R439">
        <v>0</v>
      </c>
      <c r="S439">
        <v>3</v>
      </c>
      <c r="T439">
        <v>1</v>
      </c>
      <c r="U439">
        <v>2</v>
      </c>
      <c r="V439" t="s">
        <v>72</v>
      </c>
      <c r="W439" s="1" t="s">
        <v>243</v>
      </c>
      <c r="Y439" t="s">
        <v>39</v>
      </c>
      <c r="Z439" t="s">
        <v>47</v>
      </c>
      <c r="AA439">
        <v>4</v>
      </c>
      <c r="AB439">
        <v>0</v>
      </c>
      <c r="AC439" t="s">
        <v>31</v>
      </c>
      <c r="AD439" t="s">
        <v>42</v>
      </c>
      <c r="AE439" t="s">
        <v>60</v>
      </c>
      <c r="AF439" s="3">
        <v>585</v>
      </c>
      <c r="AG439" s="3">
        <v>57</v>
      </c>
      <c r="AH439">
        <v>80</v>
      </c>
      <c r="AI439">
        <v>2</v>
      </c>
      <c r="AJ439">
        <v>0</v>
      </c>
      <c r="AL439">
        <v>0</v>
      </c>
      <c r="AM439">
        <v>1</v>
      </c>
      <c r="AN439" t="s">
        <v>768</v>
      </c>
      <c r="AO439" t="s">
        <v>41</v>
      </c>
    </row>
    <row r="440" spans="1:41" x14ac:dyDescent="0.25">
      <c r="A440">
        <v>40</v>
      </c>
      <c r="B440" t="s">
        <v>32</v>
      </c>
      <c r="C440" t="s">
        <v>33</v>
      </c>
      <c r="D440">
        <v>2</v>
      </c>
      <c r="E440" t="s">
        <v>34</v>
      </c>
      <c r="F440">
        <v>3</v>
      </c>
      <c r="G440">
        <v>1</v>
      </c>
      <c r="H440" t="s">
        <v>44</v>
      </c>
      <c r="I440">
        <v>3</v>
      </c>
      <c r="J440" t="s">
        <v>57</v>
      </c>
      <c r="K440">
        <v>2345</v>
      </c>
      <c r="L440">
        <v>2</v>
      </c>
      <c r="M440" t="s">
        <v>41</v>
      </c>
      <c r="N440">
        <v>14</v>
      </c>
      <c r="O440">
        <v>3</v>
      </c>
      <c r="P440">
        <v>1</v>
      </c>
      <c r="Q440">
        <v>8</v>
      </c>
      <c r="R440">
        <v>3</v>
      </c>
      <c r="S440">
        <v>3</v>
      </c>
      <c r="T440">
        <v>1</v>
      </c>
      <c r="U440">
        <v>2</v>
      </c>
      <c r="V440" t="s">
        <v>58</v>
      </c>
      <c r="W440" s="2">
        <v>43285</v>
      </c>
      <c r="Y440" t="s">
        <v>69</v>
      </c>
      <c r="Z440" t="s">
        <v>47</v>
      </c>
      <c r="AA440">
        <v>4</v>
      </c>
      <c r="AB440">
        <v>1</v>
      </c>
      <c r="AC440" t="s">
        <v>41</v>
      </c>
      <c r="AD440" t="s">
        <v>48</v>
      </c>
      <c r="AE440" t="s">
        <v>60</v>
      </c>
      <c r="AF440" s="3">
        <v>586</v>
      </c>
      <c r="AG440" s="3">
        <v>72</v>
      </c>
      <c r="AH440">
        <v>80</v>
      </c>
      <c r="AI440">
        <v>7</v>
      </c>
      <c r="AJ440">
        <v>0</v>
      </c>
      <c r="AL440">
        <v>0</v>
      </c>
      <c r="AM440">
        <v>1</v>
      </c>
      <c r="AN440" t="s">
        <v>768</v>
      </c>
      <c r="AO440" t="s">
        <v>41</v>
      </c>
    </row>
    <row r="441" spans="1:41" x14ac:dyDescent="0.25">
      <c r="A441">
        <v>28</v>
      </c>
      <c r="B441" t="s">
        <v>66</v>
      </c>
      <c r="C441" t="s">
        <v>55</v>
      </c>
      <c r="D441">
        <v>1</v>
      </c>
      <c r="E441" t="s">
        <v>34</v>
      </c>
      <c r="F441">
        <v>3</v>
      </c>
      <c r="G441">
        <v>1</v>
      </c>
      <c r="H441" t="s">
        <v>56</v>
      </c>
      <c r="I441">
        <v>3</v>
      </c>
      <c r="J441" t="s">
        <v>51</v>
      </c>
      <c r="K441">
        <v>2909</v>
      </c>
      <c r="L441">
        <v>3</v>
      </c>
      <c r="M441" t="s">
        <v>41</v>
      </c>
      <c r="N441">
        <v>15</v>
      </c>
      <c r="O441">
        <v>3</v>
      </c>
      <c r="P441">
        <v>1</v>
      </c>
      <c r="Q441">
        <v>5</v>
      </c>
      <c r="R441">
        <v>3</v>
      </c>
      <c r="S441">
        <v>3</v>
      </c>
      <c r="T441">
        <v>1</v>
      </c>
      <c r="U441">
        <v>2</v>
      </c>
      <c r="V441" t="s">
        <v>58</v>
      </c>
      <c r="W441" s="2">
        <v>43193</v>
      </c>
      <c r="Y441" t="s">
        <v>63</v>
      </c>
      <c r="Z441" t="s">
        <v>40</v>
      </c>
      <c r="AA441">
        <v>1</v>
      </c>
      <c r="AB441">
        <v>0</v>
      </c>
      <c r="AC441" t="s">
        <v>41</v>
      </c>
      <c r="AD441" t="s">
        <v>48</v>
      </c>
      <c r="AE441" t="s">
        <v>49</v>
      </c>
      <c r="AF441" s="3">
        <v>587</v>
      </c>
      <c r="AG441" s="3">
        <v>66</v>
      </c>
      <c r="AH441">
        <v>80</v>
      </c>
      <c r="AI441">
        <v>0</v>
      </c>
      <c r="AJ441">
        <v>1</v>
      </c>
      <c r="AK441">
        <v>1</v>
      </c>
      <c r="AL441">
        <v>1</v>
      </c>
      <c r="AM441">
        <v>0</v>
      </c>
      <c r="AN441" t="s">
        <v>767</v>
      </c>
      <c r="AO441" t="s">
        <v>31</v>
      </c>
    </row>
    <row r="442" spans="1:41" x14ac:dyDescent="0.25">
      <c r="A442">
        <v>55</v>
      </c>
      <c r="B442" t="s">
        <v>32</v>
      </c>
      <c r="C442" t="s">
        <v>33</v>
      </c>
      <c r="D442">
        <v>4</v>
      </c>
      <c r="E442" t="s">
        <v>34</v>
      </c>
      <c r="F442">
        <v>3</v>
      </c>
      <c r="G442">
        <v>2</v>
      </c>
      <c r="H442" t="s">
        <v>89</v>
      </c>
      <c r="I442">
        <v>3</v>
      </c>
      <c r="J442" t="s">
        <v>51</v>
      </c>
      <c r="K442">
        <v>4035</v>
      </c>
      <c r="L442">
        <v>0</v>
      </c>
      <c r="M442" t="s">
        <v>31</v>
      </c>
      <c r="N442">
        <v>16</v>
      </c>
      <c r="O442">
        <v>3</v>
      </c>
      <c r="P442">
        <v>0</v>
      </c>
      <c r="Q442">
        <v>4</v>
      </c>
      <c r="R442">
        <v>2</v>
      </c>
      <c r="S442">
        <v>3</v>
      </c>
      <c r="T442">
        <v>1</v>
      </c>
      <c r="U442">
        <v>2</v>
      </c>
      <c r="V442" t="s">
        <v>72</v>
      </c>
      <c r="W442" s="2">
        <v>43161</v>
      </c>
      <c r="Y442" t="s">
        <v>69</v>
      </c>
      <c r="Z442" t="s">
        <v>47</v>
      </c>
      <c r="AA442">
        <v>0</v>
      </c>
      <c r="AB442">
        <v>2</v>
      </c>
      <c r="AC442" t="s">
        <v>41</v>
      </c>
      <c r="AD442" t="s">
        <v>67</v>
      </c>
      <c r="AE442" t="s">
        <v>43</v>
      </c>
      <c r="AF442" s="3">
        <v>590</v>
      </c>
      <c r="AG442" s="3">
        <v>43</v>
      </c>
      <c r="AH442">
        <v>80</v>
      </c>
      <c r="AI442">
        <v>2</v>
      </c>
      <c r="AJ442">
        <v>1</v>
      </c>
      <c r="AK442">
        <v>1</v>
      </c>
      <c r="AL442">
        <v>1</v>
      </c>
      <c r="AM442">
        <v>0</v>
      </c>
      <c r="AN442" t="s">
        <v>767</v>
      </c>
      <c r="AO442" t="s">
        <v>31</v>
      </c>
    </row>
    <row r="443" spans="1:41" x14ac:dyDescent="0.25">
      <c r="A443">
        <v>49</v>
      </c>
      <c r="B443" t="s">
        <v>32</v>
      </c>
      <c r="C443" t="s">
        <v>33</v>
      </c>
      <c r="D443">
        <v>3</v>
      </c>
      <c r="E443" t="s">
        <v>61</v>
      </c>
      <c r="F443">
        <v>2</v>
      </c>
      <c r="G443">
        <v>2</v>
      </c>
      <c r="H443" t="s">
        <v>35</v>
      </c>
      <c r="I443">
        <v>1</v>
      </c>
      <c r="J443" t="s">
        <v>51</v>
      </c>
      <c r="K443">
        <v>4789</v>
      </c>
      <c r="L443">
        <v>4</v>
      </c>
      <c r="M443" t="s">
        <v>41</v>
      </c>
      <c r="N443">
        <v>25</v>
      </c>
      <c r="O443">
        <v>4</v>
      </c>
      <c r="P443">
        <v>1</v>
      </c>
      <c r="Q443">
        <v>10</v>
      </c>
      <c r="R443">
        <v>3</v>
      </c>
      <c r="S443">
        <v>3</v>
      </c>
      <c r="T443">
        <v>1</v>
      </c>
      <c r="U443">
        <v>2</v>
      </c>
      <c r="V443" t="s">
        <v>72</v>
      </c>
      <c r="W443" s="1" t="s">
        <v>259</v>
      </c>
      <c r="Y443" t="s">
        <v>63</v>
      </c>
      <c r="Z443" t="s">
        <v>40</v>
      </c>
      <c r="AA443">
        <v>3</v>
      </c>
      <c r="AB443">
        <v>2</v>
      </c>
      <c r="AC443" t="s">
        <v>31</v>
      </c>
      <c r="AD443" t="s">
        <v>48</v>
      </c>
      <c r="AE443" t="s">
        <v>49</v>
      </c>
      <c r="AF443" s="3">
        <v>591</v>
      </c>
      <c r="AG443" s="3">
        <v>97</v>
      </c>
      <c r="AH443">
        <v>80</v>
      </c>
      <c r="AI443">
        <v>2</v>
      </c>
      <c r="AJ443">
        <v>0</v>
      </c>
      <c r="AL443">
        <v>0</v>
      </c>
      <c r="AM443">
        <v>1</v>
      </c>
      <c r="AN443" t="s">
        <v>768</v>
      </c>
      <c r="AO443" t="s">
        <v>41</v>
      </c>
    </row>
    <row r="444" spans="1:41" x14ac:dyDescent="0.25">
      <c r="A444">
        <v>29</v>
      </c>
      <c r="B444" t="s">
        <v>66</v>
      </c>
      <c r="C444" t="s">
        <v>33</v>
      </c>
      <c r="D444">
        <v>2</v>
      </c>
      <c r="E444" t="s">
        <v>61</v>
      </c>
      <c r="F444">
        <v>3</v>
      </c>
      <c r="G444">
        <v>1</v>
      </c>
      <c r="H444" t="s">
        <v>35</v>
      </c>
      <c r="I444">
        <v>2</v>
      </c>
      <c r="J444" t="s">
        <v>51</v>
      </c>
      <c r="K444">
        <v>3180</v>
      </c>
      <c r="L444">
        <v>0</v>
      </c>
      <c r="M444" t="s">
        <v>41</v>
      </c>
      <c r="N444">
        <v>13</v>
      </c>
      <c r="O444">
        <v>3</v>
      </c>
      <c r="P444">
        <v>3</v>
      </c>
      <c r="Q444">
        <v>4</v>
      </c>
      <c r="R444">
        <v>3</v>
      </c>
      <c r="S444">
        <v>3</v>
      </c>
      <c r="T444">
        <v>0</v>
      </c>
      <c r="U444">
        <v>2</v>
      </c>
      <c r="V444" t="s">
        <v>72</v>
      </c>
      <c r="W444" s="1" t="s">
        <v>220</v>
      </c>
      <c r="Y444" t="s">
        <v>39</v>
      </c>
      <c r="Z444" t="s">
        <v>40</v>
      </c>
      <c r="AA444">
        <v>2</v>
      </c>
      <c r="AB444">
        <v>2</v>
      </c>
      <c r="AC444" t="s">
        <v>41</v>
      </c>
      <c r="AD444" t="s">
        <v>48</v>
      </c>
      <c r="AE444" t="s">
        <v>43</v>
      </c>
      <c r="AF444" s="3">
        <v>592</v>
      </c>
      <c r="AG444" s="3">
        <v>32</v>
      </c>
      <c r="AH444">
        <v>80</v>
      </c>
      <c r="AI444">
        <v>3</v>
      </c>
      <c r="AJ444">
        <v>0</v>
      </c>
      <c r="AL444">
        <v>0</v>
      </c>
      <c r="AM444">
        <v>1</v>
      </c>
      <c r="AN444" t="s">
        <v>768</v>
      </c>
      <c r="AO444" t="s">
        <v>41</v>
      </c>
    </row>
    <row r="445" spans="1:41" x14ac:dyDescent="0.25">
      <c r="A445">
        <v>36</v>
      </c>
      <c r="B445" t="s">
        <v>32</v>
      </c>
      <c r="C445" t="s">
        <v>55</v>
      </c>
      <c r="D445">
        <v>2</v>
      </c>
      <c r="E445" t="s">
        <v>34</v>
      </c>
      <c r="F445">
        <v>3</v>
      </c>
      <c r="G445">
        <v>1</v>
      </c>
      <c r="H445" t="s">
        <v>56</v>
      </c>
      <c r="I445">
        <v>4</v>
      </c>
      <c r="J445" t="s">
        <v>36</v>
      </c>
      <c r="K445">
        <v>2644</v>
      </c>
      <c r="L445">
        <v>3</v>
      </c>
      <c r="M445" t="s">
        <v>31</v>
      </c>
      <c r="N445">
        <v>21</v>
      </c>
      <c r="O445">
        <v>4</v>
      </c>
      <c r="P445">
        <v>0</v>
      </c>
      <c r="Q445">
        <v>7</v>
      </c>
      <c r="R445">
        <v>3</v>
      </c>
      <c r="S445">
        <v>3</v>
      </c>
      <c r="T445">
        <v>1</v>
      </c>
      <c r="U445">
        <v>2</v>
      </c>
      <c r="V445" t="s">
        <v>72</v>
      </c>
      <c r="W445" s="1" t="s">
        <v>260</v>
      </c>
      <c r="Y445" t="s">
        <v>63</v>
      </c>
      <c r="Z445" t="s">
        <v>40</v>
      </c>
      <c r="AA445">
        <v>5</v>
      </c>
      <c r="AB445">
        <v>0</v>
      </c>
      <c r="AC445" t="s">
        <v>31</v>
      </c>
      <c r="AD445" t="s">
        <v>67</v>
      </c>
      <c r="AE445" t="s">
        <v>60</v>
      </c>
      <c r="AF445" s="3">
        <v>593</v>
      </c>
      <c r="AG445" s="3">
        <v>99</v>
      </c>
      <c r="AH445">
        <v>80</v>
      </c>
      <c r="AI445">
        <v>2</v>
      </c>
      <c r="AJ445">
        <v>1</v>
      </c>
      <c r="AK445">
        <v>1</v>
      </c>
      <c r="AL445">
        <v>1</v>
      </c>
      <c r="AM445">
        <v>0</v>
      </c>
      <c r="AN445" t="s">
        <v>767</v>
      </c>
      <c r="AO445" t="s">
        <v>31</v>
      </c>
    </row>
    <row r="446" spans="1:41" x14ac:dyDescent="0.25">
      <c r="A446">
        <v>35</v>
      </c>
      <c r="B446" t="s">
        <v>32</v>
      </c>
      <c r="C446" t="s">
        <v>33</v>
      </c>
      <c r="D446">
        <v>1</v>
      </c>
      <c r="E446" t="s">
        <v>34</v>
      </c>
      <c r="F446">
        <v>2</v>
      </c>
      <c r="G446">
        <v>1</v>
      </c>
      <c r="H446" t="s">
        <v>35</v>
      </c>
      <c r="I446">
        <v>1</v>
      </c>
      <c r="J446" t="s">
        <v>36</v>
      </c>
      <c r="K446">
        <v>2450</v>
      </c>
      <c r="L446">
        <v>1</v>
      </c>
      <c r="M446" t="s">
        <v>41</v>
      </c>
      <c r="N446">
        <v>19</v>
      </c>
      <c r="O446">
        <v>3</v>
      </c>
      <c r="P446">
        <v>0</v>
      </c>
      <c r="Q446">
        <v>3</v>
      </c>
      <c r="R446">
        <v>3</v>
      </c>
      <c r="S446">
        <v>3</v>
      </c>
      <c r="T446">
        <v>1</v>
      </c>
      <c r="U446">
        <v>2</v>
      </c>
      <c r="V446" t="s">
        <v>37</v>
      </c>
      <c r="W446" s="2">
        <v>43106</v>
      </c>
      <c r="Y446" t="s">
        <v>63</v>
      </c>
      <c r="Z446" t="s">
        <v>47</v>
      </c>
      <c r="AA446">
        <v>3</v>
      </c>
      <c r="AB446">
        <v>3</v>
      </c>
      <c r="AC446" t="s">
        <v>31</v>
      </c>
      <c r="AD446" t="s">
        <v>48</v>
      </c>
      <c r="AE446" t="s">
        <v>49</v>
      </c>
      <c r="AF446" s="3">
        <v>595</v>
      </c>
      <c r="AG446" s="3">
        <v>37</v>
      </c>
      <c r="AH446">
        <v>80</v>
      </c>
      <c r="AI446">
        <v>7</v>
      </c>
      <c r="AJ446">
        <v>0</v>
      </c>
      <c r="AL446">
        <v>0</v>
      </c>
      <c r="AM446">
        <v>1</v>
      </c>
      <c r="AN446" t="s">
        <v>768</v>
      </c>
      <c r="AO446" t="s">
        <v>41</v>
      </c>
    </row>
    <row r="447" spans="1:41" x14ac:dyDescent="0.25">
      <c r="A447">
        <v>38</v>
      </c>
      <c r="B447" t="s">
        <v>32</v>
      </c>
      <c r="C447" t="s">
        <v>55</v>
      </c>
      <c r="D447">
        <v>16</v>
      </c>
      <c r="E447" t="s">
        <v>61</v>
      </c>
      <c r="F447">
        <v>3</v>
      </c>
      <c r="G447">
        <v>2</v>
      </c>
      <c r="H447" t="s">
        <v>70</v>
      </c>
      <c r="I447">
        <v>2</v>
      </c>
      <c r="J447" t="s">
        <v>36</v>
      </c>
      <c r="K447">
        <v>4198</v>
      </c>
      <c r="L447">
        <v>2</v>
      </c>
      <c r="M447" t="s">
        <v>41</v>
      </c>
      <c r="N447">
        <v>12</v>
      </c>
      <c r="O447">
        <v>3</v>
      </c>
      <c r="P447">
        <v>0</v>
      </c>
      <c r="Q447">
        <v>8</v>
      </c>
      <c r="R447">
        <v>5</v>
      </c>
      <c r="S447">
        <v>3</v>
      </c>
      <c r="T447">
        <v>1</v>
      </c>
      <c r="U447">
        <v>2</v>
      </c>
      <c r="V447" t="s">
        <v>72</v>
      </c>
      <c r="W447" s="2">
        <v>43408</v>
      </c>
      <c r="Y447" t="s">
        <v>46</v>
      </c>
      <c r="Z447" t="s">
        <v>47</v>
      </c>
      <c r="AA447">
        <v>5</v>
      </c>
      <c r="AB447">
        <v>1</v>
      </c>
      <c r="AC447" t="s">
        <v>41</v>
      </c>
      <c r="AD447" t="s">
        <v>42</v>
      </c>
      <c r="AE447" t="s">
        <v>60</v>
      </c>
      <c r="AF447" s="3">
        <v>597</v>
      </c>
      <c r="AG447" s="3">
        <v>83</v>
      </c>
      <c r="AH447">
        <v>80</v>
      </c>
      <c r="AI447">
        <v>9</v>
      </c>
      <c r="AJ447">
        <v>0</v>
      </c>
      <c r="AL447">
        <v>0</v>
      </c>
      <c r="AM447">
        <v>1</v>
      </c>
      <c r="AN447" t="s">
        <v>768</v>
      </c>
      <c r="AO447" t="s">
        <v>41</v>
      </c>
    </row>
    <row r="448" spans="1:41" x14ac:dyDescent="0.25">
      <c r="A448">
        <v>36</v>
      </c>
      <c r="B448" t="s">
        <v>66</v>
      </c>
      <c r="C448" t="s">
        <v>33</v>
      </c>
      <c r="D448">
        <v>6</v>
      </c>
      <c r="E448" t="s">
        <v>34</v>
      </c>
      <c r="F448">
        <v>4</v>
      </c>
      <c r="G448">
        <v>2</v>
      </c>
      <c r="H448" t="s">
        <v>35</v>
      </c>
      <c r="I448">
        <v>1</v>
      </c>
      <c r="J448" t="s">
        <v>51</v>
      </c>
      <c r="K448">
        <v>5562</v>
      </c>
      <c r="L448">
        <v>3</v>
      </c>
      <c r="M448" t="s">
        <v>31</v>
      </c>
      <c r="N448">
        <v>13</v>
      </c>
      <c r="O448">
        <v>3</v>
      </c>
      <c r="P448">
        <v>1</v>
      </c>
      <c r="Q448">
        <v>9</v>
      </c>
      <c r="R448">
        <v>3</v>
      </c>
      <c r="S448">
        <v>3</v>
      </c>
      <c r="T448">
        <v>0</v>
      </c>
      <c r="U448">
        <v>2</v>
      </c>
      <c r="V448" t="s">
        <v>37</v>
      </c>
      <c r="W448" s="2">
        <v>43222</v>
      </c>
      <c r="Y448" t="s">
        <v>63</v>
      </c>
      <c r="Z448" t="s">
        <v>47</v>
      </c>
      <c r="AA448">
        <v>0</v>
      </c>
      <c r="AB448">
        <v>3</v>
      </c>
      <c r="AC448" t="s">
        <v>31</v>
      </c>
      <c r="AD448" t="s">
        <v>42</v>
      </c>
      <c r="AE448" t="s">
        <v>49</v>
      </c>
      <c r="AF448" s="3">
        <v>599</v>
      </c>
      <c r="AG448" s="3">
        <v>56</v>
      </c>
      <c r="AH448">
        <v>80</v>
      </c>
      <c r="AI448">
        <v>3</v>
      </c>
      <c r="AJ448">
        <v>0</v>
      </c>
      <c r="AL448">
        <v>0</v>
      </c>
      <c r="AM448">
        <v>1</v>
      </c>
      <c r="AN448" t="s">
        <v>768</v>
      </c>
      <c r="AO448" t="s">
        <v>41</v>
      </c>
    </row>
    <row r="449" spans="1:41" x14ac:dyDescent="0.25">
      <c r="A449">
        <v>32</v>
      </c>
      <c r="B449" t="s">
        <v>32</v>
      </c>
      <c r="C449" t="s">
        <v>33</v>
      </c>
      <c r="D449">
        <v>5</v>
      </c>
      <c r="E449" t="s">
        <v>61</v>
      </c>
      <c r="F449">
        <v>4</v>
      </c>
      <c r="G449">
        <v>1</v>
      </c>
      <c r="H449" t="s">
        <v>44</v>
      </c>
      <c r="I449">
        <v>4</v>
      </c>
      <c r="J449" t="s">
        <v>51</v>
      </c>
      <c r="K449">
        <v>3312</v>
      </c>
      <c r="L449">
        <v>3</v>
      </c>
      <c r="M449" t="s">
        <v>41</v>
      </c>
      <c r="N449">
        <v>17</v>
      </c>
      <c r="O449">
        <v>3</v>
      </c>
      <c r="P449">
        <v>2</v>
      </c>
      <c r="Q449">
        <v>6</v>
      </c>
      <c r="R449">
        <v>3</v>
      </c>
      <c r="S449">
        <v>3</v>
      </c>
      <c r="T449">
        <v>0</v>
      </c>
      <c r="U449">
        <v>2</v>
      </c>
      <c r="V449" t="s">
        <v>37</v>
      </c>
      <c r="W449" s="2">
        <v>43101</v>
      </c>
      <c r="Y449" t="s">
        <v>46</v>
      </c>
      <c r="Z449" t="s">
        <v>40</v>
      </c>
      <c r="AA449">
        <v>1</v>
      </c>
      <c r="AB449">
        <v>3</v>
      </c>
      <c r="AC449" t="s">
        <v>31</v>
      </c>
      <c r="AD449" t="s">
        <v>48</v>
      </c>
      <c r="AE449" t="s">
        <v>49</v>
      </c>
      <c r="AF449" s="3">
        <v>600</v>
      </c>
      <c r="AG449" s="3">
        <v>85</v>
      </c>
      <c r="AH449">
        <v>80</v>
      </c>
      <c r="AI449">
        <v>9</v>
      </c>
      <c r="AJ449">
        <v>0</v>
      </c>
      <c r="AL449">
        <v>0</v>
      </c>
      <c r="AM449">
        <v>1</v>
      </c>
      <c r="AN449" t="s">
        <v>768</v>
      </c>
      <c r="AO449" t="s">
        <v>41</v>
      </c>
    </row>
    <row r="450" spans="1:41" x14ac:dyDescent="0.25">
      <c r="A450">
        <v>36</v>
      </c>
      <c r="B450" t="s">
        <v>32</v>
      </c>
      <c r="C450" t="s">
        <v>33</v>
      </c>
      <c r="D450">
        <v>12</v>
      </c>
      <c r="E450" t="s">
        <v>61</v>
      </c>
      <c r="F450">
        <v>3</v>
      </c>
      <c r="G450">
        <v>2</v>
      </c>
      <c r="H450" t="s">
        <v>78</v>
      </c>
      <c r="I450">
        <v>3</v>
      </c>
      <c r="J450" t="s">
        <v>51</v>
      </c>
      <c r="K450">
        <v>4663</v>
      </c>
      <c r="L450">
        <v>9</v>
      </c>
      <c r="M450" t="s">
        <v>31</v>
      </c>
      <c r="N450">
        <v>12</v>
      </c>
      <c r="O450">
        <v>3</v>
      </c>
      <c r="P450">
        <v>2</v>
      </c>
      <c r="Q450">
        <v>7</v>
      </c>
      <c r="R450">
        <v>2</v>
      </c>
      <c r="S450">
        <v>3</v>
      </c>
      <c r="T450">
        <v>1</v>
      </c>
      <c r="U450">
        <v>1</v>
      </c>
      <c r="V450" t="s">
        <v>52</v>
      </c>
      <c r="W450" s="1" t="s">
        <v>256</v>
      </c>
      <c r="Y450" t="s">
        <v>46</v>
      </c>
      <c r="Z450" t="s">
        <v>47</v>
      </c>
      <c r="AA450">
        <v>3</v>
      </c>
      <c r="AB450">
        <v>1</v>
      </c>
      <c r="AC450" t="s">
        <v>31</v>
      </c>
      <c r="AD450" t="s">
        <v>67</v>
      </c>
      <c r="AE450" t="s">
        <v>49</v>
      </c>
      <c r="AF450" s="3">
        <v>601</v>
      </c>
      <c r="AG450" s="3">
        <v>75</v>
      </c>
      <c r="AH450">
        <v>80</v>
      </c>
      <c r="AI450">
        <v>6</v>
      </c>
      <c r="AJ450">
        <v>0</v>
      </c>
      <c r="AL450">
        <v>0</v>
      </c>
      <c r="AM450">
        <v>1</v>
      </c>
      <c r="AN450" t="s">
        <v>768</v>
      </c>
      <c r="AO450" t="s">
        <v>41</v>
      </c>
    </row>
    <row r="451" spans="1:41" x14ac:dyDescent="0.25">
      <c r="A451">
        <v>27</v>
      </c>
      <c r="B451" t="s">
        <v>32</v>
      </c>
      <c r="C451" t="s">
        <v>33</v>
      </c>
      <c r="D451">
        <v>8</v>
      </c>
      <c r="E451" t="s">
        <v>61</v>
      </c>
      <c r="F451">
        <v>4</v>
      </c>
      <c r="G451">
        <v>1</v>
      </c>
      <c r="H451" t="s">
        <v>44</v>
      </c>
      <c r="I451">
        <v>3</v>
      </c>
      <c r="J451" t="s">
        <v>51</v>
      </c>
      <c r="K451">
        <v>3517</v>
      </c>
      <c r="L451">
        <v>7</v>
      </c>
      <c r="M451" t="s">
        <v>41</v>
      </c>
      <c r="N451">
        <v>17</v>
      </c>
      <c r="O451">
        <v>3</v>
      </c>
      <c r="P451">
        <v>0</v>
      </c>
      <c r="Q451">
        <v>5</v>
      </c>
      <c r="R451">
        <v>0</v>
      </c>
      <c r="S451">
        <v>3</v>
      </c>
      <c r="T451">
        <v>0</v>
      </c>
      <c r="U451">
        <v>2</v>
      </c>
      <c r="V451" t="s">
        <v>58</v>
      </c>
      <c r="W451" s="2">
        <v>43223</v>
      </c>
      <c r="Y451" t="s">
        <v>69</v>
      </c>
      <c r="Z451" t="s">
        <v>47</v>
      </c>
      <c r="AA451">
        <v>3</v>
      </c>
      <c r="AB451">
        <v>1</v>
      </c>
      <c r="AC451" t="s">
        <v>31</v>
      </c>
      <c r="AD451" t="s">
        <v>42</v>
      </c>
      <c r="AE451" t="s">
        <v>60</v>
      </c>
      <c r="AF451" s="3">
        <v>602</v>
      </c>
      <c r="AG451" s="3">
        <v>48</v>
      </c>
      <c r="AH451">
        <v>80</v>
      </c>
      <c r="AI451">
        <v>3</v>
      </c>
      <c r="AJ451">
        <v>0</v>
      </c>
      <c r="AL451">
        <v>0</v>
      </c>
      <c r="AM451">
        <v>1</v>
      </c>
      <c r="AN451" t="s">
        <v>768</v>
      </c>
      <c r="AO451" t="s">
        <v>41</v>
      </c>
    </row>
    <row r="452" spans="1:41" x14ac:dyDescent="0.25">
      <c r="A452">
        <v>36</v>
      </c>
      <c r="B452" t="s">
        <v>32</v>
      </c>
      <c r="C452" t="s">
        <v>33</v>
      </c>
      <c r="D452">
        <v>5</v>
      </c>
      <c r="E452" t="s">
        <v>61</v>
      </c>
      <c r="F452">
        <v>3</v>
      </c>
      <c r="G452">
        <v>3</v>
      </c>
      <c r="H452" t="s">
        <v>89</v>
      </c>
      <c r="I452">
        <v>1</v>
      </c>
      <c r="J452" t="s">
        <v>51</v>
      </c>
      <c r="K452">
        <v>8008</v>
      </c>
      <c r="L452">
        <v>4</v>
      </c>
      <c r="M452" t="s">
        <v>41</v>
      </c>
      <c r="N452">
        <v>12</v>
      </c>
      <c r="O452">
        <v>3</v>
      </c>
      <c r="P452">
        <v>2</v>
      </c>
      <c r="Q452">
        <v>9</v>
      </c>
      <c r="R452">
        <v>6</v>
      </c>
      <c r="S452">
        <v>3</v>
      </c>
      <c r="T452">
        <v>0</v>
      </c>
      <c r="U452">
        <v>2</v>
      </c>
      <c r="V452" t="s">
        <v>37</v>
      </c>
      <c r="W452" s="2">
        <v>43254</v>
      </c>
      <c r="Y452" t="s">
        <v>63</v>
      </c>
      <c r="Z452" t="s">
        <v>40</v>
      </c>
      <c r="AA452">
        <v>2</v>
      </c>
      <c r="AB452">
        <v>3</v>
      </c>
      <c r="AC452" t="s">
        <v>31</v>
      </c>
      <c r="AD452" t="s">
        <v>67</v>
      </c>
      <c r="AE452" t="s">
        <v>43</v>
      </c>
      <c r="AF452" s="3">
        <v>604</v>
      </c>
      <c r="AG452" s="3">
        <v>77</v>
      </c>
      <c r="AH452">
        <v>80</v>
      </c>
      <c r="AI452">
        <v>5</v>
      </c>
      <c r="AJ452">
        <v>0</v>
      </c>
      <c r="AL452">
        <v>0</v>
      </c>
      <c r="AM452">
        <v>1</v>
      </c>
      <c r="AN452" t="s">
        <v>768</v>
      </c>
      <c r="AO452" t="s">
        <v>41</v>
      </c>
    </row>
    <row r="453" spans="1:41" x14ac:dyDescent="0.25">
      <c r="A453">
        <v>36</v>
      </c>
      <c r="B453" t="s">
        <v>81</v>
      </c>
      <c r="C453" t="s">
        <v>33</v>
      </c>
      <c r="D453">
        <v>1</v>
      </c>
      <c r="E453" t="s">
        <v>61</v>
      </c>
      <c r="F453">
        <v>2</v>
      </c>
      <c r="G453">
        <v>2</v>
      </c>
      <c r="H453" t="s">
        <v>78</v>
      </c>
      <c r="I453">
        <v>3</v>
      </c>
      <c r="J453" t="s">
        <v>51</v>
      </c>
      <c r="K453">
        <v>4374</v>
      </c>
      <c r="L453">
        <v>0</v>
      </c>
      <c r="M453" t="s">
        <v>41</v>
      </c>
      <c r="N453">
        <v>15</v>
      </c>
      <c r="O453">
        <v>3</v>
      </c>
      <c r="P453">
        <v>0</v>
      </c>
      <c r="Q453">
        <v>4</v>
      </c>
      <c r="R453">
        <v>6</v>
      </c>
      <c r="S453">
        <v>3</v>
      </c>
      <c r="T453">
        <v>1</v>
      </c>
      <c r="U453">
        <v>2</v>
      </c>
      <c r="V453" t="s">
        <v>72</v>
      </c>
      <c r="W453" s="1" t="s">
        <v>261</v>
      </c>
      <c r="Y453" t="s">
        <v>54</v>
      </c>
      <c r="Z453" t="s">
        <v>47</v>
      </c>
      <c r="AA453">
        <v>0</v>
      </c>
      <c r="AB453">
        <v>0</v>
      </c>
      <c r="AC453" t="s">
        <v>41</v>
      </c>
      <c r="AD453" t="s">
        <v>67</v>
      </c>
      <c r="AE453" t="s">
        <v>49</v>
      </c>
      <c r="AF453" s="3">
        <v>605</v>
      </c>
      <c r="AG453" s="3">
        <v>56</v>
      </c>
      <c r="AH453">
        <v>80</v>
      </c>
      <c r="AI453">
        <v>9</v>
      </c>
      <c r="AJ453">
        <v>0</v>
      </c>
      <c r="AL453">
        <v>0</v>
      </c>
      <c r="AM453">
        <v>1</v>
      </c>
      <c r="AN453" t="s">
        <v>768</v>
      </c>
      <c r="AO453" t="s">
        <v>41</v>
      </c>
    </row>
    <row r="454" spans="1:41" x14ac:dyDescent="0.25">
      <c r="A454">
        <v>47</v>
      </c>
      <c r="B454" t="s">
        <v>32</v>
      </c>
      <c r="C454" t="s">
        <v>55</v>
      </c>
      <c r="D454">
        <v>2</v>
      </c>
      <c r="E454" t="s">
        <v>61</v>
      </c>
      <c r="F454">
        <v>4</v>
      </c>
      <c r="G454">
        <v>4</v>
      </c>
      <c r="H454" t="s">
        <v>75</v>
      </c>
      <c r="I454">
        <v>2</v>
      </c>
      <c r="J454" t="s">
        <v>57</v>
      </c>
      <c r="K454">
        <v>15972</v>
      </c>
      <c r="L454">
        <v>6</v>
      </c>
      <c r="M454" t="s">
        <v>41</v>
      </c>
      <c r="N454">
        <v>14</v>
      </c>
      <c r="O454">
        <v>3</v>
      </c>
      <c r="P454">
        <v>3</v>
      </c>
      <c r="Q454">
        <v>29</v>
      </c>
      <c r="R454">
        <v>2</v>
      </c>
      <c r="S454">
        <v>3</v>
      </c>
      <c r="T454">
        <v>1</v>
      </c>
      <c r="U454">
        <v>2</v>
      </c>
      <c r="V454" t="s">
        <v>37</v>
      </c>
      <c r="W454" s="1" t="s">
        <v>259</v>
      </c>
      <c r="Y454" t="s">
        <v>39</v>
      </c>
      <c r="Z454" t="s">
        <v>47</v>
      </c>
      <c r="AA454">
        <v>3</v>
      </c>
      <c r="AB454">
        <v>1</v>
      </c>
      <c r="AC454" t="s">
        <v>31</v>
      </c>
      <c r="AD454" t="s">
        <v>67</v>
      </c>
      <c r="AE454" t="s">
        <v>60</v>
      </c>
      <c r="AF454" s="3">
        <v>606</v>
      </c>
      <c r="AG454" s="3">
        <v>61</v>
      </c>
      <c r="AH454">
        <v>80</v>
      </c>
      <c r="AI454">
        <v>7</v>
      </c>
      <c r="AJ454">
        <v>0</v>
      </c>
      <c r="AL454">
        <v>0</v>
      </c>
      <c r="AM454">
        <v>1</v>
      </c>
      <c r="AN454" t="s">
        <v>768</v>
      </c>
      <c r="AO454" t="s">
        <v>41</v>
      </c>
    </row>
    <row r="455" spans="1:41" x14ac:dyDescent="0.25">
      <c r="A455">
        <v>36</v>
      </c>
      <c r="B455" t="s">
        <v>32</v>
      </c>
      <c r="C455" t="s">
        <v>33</v>
      </c>
      <c r="D455">
        <v>26</v>
      </c>
      <c r="E455" t="s">
        <v>34</v>
      </c>
      <c r="F455">
        <v>3</v>
      </c>
      <c r="G455">
        <v>2</v>
      </c>
      <c r="H455" t="s">
        <v>89</v>
      </c>
      <c r="I455">
        <v>3</v>
      </c>
      <c r="J455" t="s">
        <v>51</v>
      </c>
      <c r="K455">
        <v>5347</v>
      </c>
      <c r="L455">
        <v>6</v>
      </c>
      <c r="M455" t="s">
        <v>41</v>
      </c>
      <c r="N455">
        <v>14</v>
      </c>
      <c r="O455">
        <v>3</v>
      </c>
      <c r="P455">
        <v>2</v>
      </c>
      <c r="Q455">
        <v>10</v>
      </c>
      <c r="R455">
        <v>2</v>
      </c>
      <c r="S455">
        <v>3</v>
      </c>
      <c r="T455">
        <v>0</v>
      </c>
      <c r="U455">
        <v>2</v>
      </c>
      <c r="V455" t="s">
        <v>72</v>
      </c>
      <c r="W455" s="1" t="s">
        <v>262</v>
      </c>
      <c r="Y455" t="s">
        <v>63</v>
      </c>
      <c r="Z455" t="s">
        <v>47</v>
      </c>
      <c r="AA455">
        <v>0</v>
      </c>
      <c r="AB455">
        <v>0</v>
      </c>
      <c r="AC455" t="s">
        <v>31</v>
      </c>
      <c r="AD455" t="s">
        <v>42</v>
      </c>
      <c r="AE455" t="s">
        <v>43</v>
      </c>
      <c r="AF455" s="3">
        <v>608</v>
      </c>
      <c r="AG455" s="3">
        <v>58</v>
      </c>
      <c r="AH455">
        <v>80</v>
      </c>
      <c r="AI455">
        <v>7</v>
      </c>
      <c r="AJ455">
        <v>1</v>
      </c>
      <c r="AK455">
        <v>1</v>
      </c>
      <c r="AL455">
        <v>1</v>
      </c>
      <c r="AM455">
        <v>0</v>
      </c>
      <c r="AN455" t="s">
        <v>767</v>
      </c>
      <c r="AO455" t="s">
        <v>31</v>
      </c>
    </row>
    <row r="456" spans="1:41" x14ac:dyDescent="0.25">
      <c r="A456">
        <v>23</v>
      </c>
      <c r="B456" t="s">
        <v>32</v>
      </c>
      <c r="C456" t="s">
        <v>55</v>
      </c>
      <c r="D456">
        <v>7</v>
      </c>
      <c r="E456" t="s">
        <v>34</v>
      </c>
      <c r="F456">
        <v>3</v>
      </c>
      <c r="G456">
        <v>1</v>
      </c>
      <c r="H456" t="s">
        <v>56</v>
      </c>
      <c r="I456">
        <v>4</v>
      </c>
      <c r="J456" t="s">
        <v>57</v>
      </c>
      <c r="K456">
        <v>2275</v>
      </c>
      <c r="L456">
        <v>1</v>
      </c>
      <c r="M456" t="s">
        <v>31</v>
      </c>
      <c r="N456">
        <v>21</v>
      </c>
      <c r="O456">
        <v>4</v>
      </c>
      <c r="P456">
        <v>1</v>
      </c>
      <c r="Q456">
        <v>3</v>
      </c>
      <c r="R456">
        <v>2</v>
      </c>
      <c r="S456">
        <v>3</v>
      </c>
      <c r="T456">
        <v>0</v>
      </c>
      <c r="U456">
        <v>2</v>
      </c>
      <c r="V456" t="s">
        <v>37</v>
      </c>
      <c r="W456" s="2">
        <v>43377</v>
      </c>
      <c r="Y456" t="s">
        <v>63</v>
      </c>
      <c r="Z456" t="s">
        <v>47</v>
      </c>
      <c r="AA456">
        <v>5</v>
      </c>
      <c r="AB456">
        <v>3</v>
      </c>
      <c r="AC456" t="s">
        <v>41</v>
      </c>
      <c r="AD456" t="s">
        <v>65</v>
      </c>
      <c r="AE456" t="s">
        <v>60</v>
      </c>
      <c r="AF456" s="3">
        <v>611</v>
      </c>
      <c r="AG456" s="3">
        <v>34</v>
      </c>
      <c r="AH456">
        <v>80</v>
      </c>
      <c r="AI456">
        <v>2</v>
      </c>
      <c r="AJ456">
        <v>0</v>
      </c>
      <c r="AL456">
        <v>0</v>
      </c>
      <c r="AM456">
        <v>1</v>
      </c>
      <c r="AN456" t="s">
        <v>768</v>
      </c>
      <c r="AO456" t="s">
        <v>41</v>
      </c>
    </row>
    <row r="457" spans="1:41" x14ac:dyDescent="0.25">
      <c r="A457">
        <v>26</v>
      </c>
      <c r="B457" t="s">
        <v>32</v>
      </c>
      <c r="C457" t="s">
        <v>33</v>
      </c>
      <c r="D457">
        <v>17</v>
      </c>
      <c r="E457" t="s">
        <v>34</v>
      </c>
      <c r="F457">
        <v>1</v>
      </c>
      <c r="G457">
        <v>1</v>
      </c>
      <c r="H457" t="s">
        <v>35</v>
      </c>
      <c r="I457">
        <v>3</v>
      </c>
      <c r="J457" t="s">
        <v>51</v>
      </c>
      <c r="K457">
        <v>2305</v>
      </c>
      <c r="L457">
        <v>1</v>
      </c>
      <c r="M457" t="s">
        <v>41</v>
      </c>
      <c r="N457">
        <v>15</v>
      </c>
      <c r="O457">
        <v>3</v>
      </c>
      <c r="P457">
        <v>3</v>
      </c>
      <c r="Q457">
        <v>3</v>
      </c>
      <c r="R457">
        <v>3</v>
      </c>
      <c r="S457">
        <v>3</v>
      </c>
      <c r="T457">
        <v>0</v>
      </c>
      <c r="U457">
        <v>2</v>
      </c>
      <c r="V457" t="s">
        <v>52</v>
      </c>
      <c r="W457" s="1" t="s">
        <v>263</v>
      </c>
      <c r="Y457" t="s">
        <v>69</v>
      </c>
      <c r="Z457" t="s">
        <v>47</v>
      </c>
      <c r="AA457">
        <v>1</v>
      </c>
      <c r="AB457">
        <v>2</v>
      </c>
      <c r="AC457" t="s">
        <v>41</v>
      </c>
      <c r="AD457" t="s">
        <v>42</v>
      </c>
      <c r="AE457" t="s">
        <v>43</v>
      </c>
      <c r="AF457" s="3">
        <v>612</v>
      </c>
      <c r="AG457" s="3">
        <v>95</v>
      </c>
      <c r="AH457">
        <v>80</v>
      </c>
      <c r="AI457">
        <v>1</v>
      </c>
      <c r="AJ457">
        <v>0</v>
      </c>
      <c r="AL457">
        <v>0</v>
      </c>
      <c r="AM457">
        <v>1</v>
      </c>
      <c r="AN457" t="s">
        <v>768</v>
      </c>
      <c r="AO457" t="s">
        <v>41</v>
      </c>
    </row>
    <row r="458" spans="1:41" x14ac:dyDescent="0.25">
      <c r="A458">
        <v>41</v>
      </c>
      <c r="B458" t="s">
        <v>81</v>
      </c>
      <c r="C458" t="s">
        <v>120</v>
      </c>
      <c r="D458">
        <v>4</v>
      </c>
      <c r="E458" t="s">
        <v>34</v>
      </c>
      <c r="F458">
        <v>1</v>
      </c>
      <c r="G458">
        <v>2</v>
      </c>
      <c r="H458" t="s">
        <v>120</v>
      </c>
      <c r="I458">
        <v>2</v>
      </c>
      <c r="J458" t="s">
        <v>51</v>
      </c>
      <c r="K458">
        <v>6430</v>
      </c>
      <c r="L458">
        <v>6</v>
      </c>
      <c r="M458" t="s">
        <v>41</v>
      </c>
      <c r="N458">
        <v>19</v>
      </c>
      <c r="O458">
        <v>3</v>
      </c>
      <c r="P458">
        <v>1</v>
      </c>
      <c r="Q458">
        <v>10</v>
      </c>
      <c r="R458">
        <v>4</v>
      </c>
      <c r="S458">
        <v>3</v>
      </c>
      <c r="T458">
        <v>1</v>
      </c>
      <c r="U458">
        <v>2</v>
      </c>
      <c r="V458" t="s">
        <v>72</v>
      </c>
      <c r="W458" s="1" t="s">
        <v>247</v>
      </c>
      <c r="Y458" t="s">
        <v>63</v>
      </c>
      <c r="Z458" t="s">
        <v>47</v>
      </c>
      <c r="AA458">
        <v>1</v>
      </c>
      <c r="AB458">
        <v>1</v>
      </c>
      <c r="AC458" t="s">
        <v>31</v>
      </c>
      <c r="AD458" t="s">
        <v>67</v>
      </c>
      <c r="AE458" t="s">
        <v>49</v>
      </c>
      <c r="AF458" s="3">
        <v>613</v>
      </c>
      <c r="AG458" s="3">
        <v>44</v>
      </c>
      <c r="AH458">
        <v>80</v>
      </c>
      <c r="AI458">
        <v>4</v>
      </c>
      <c r="AJ458">
        <v>0</v>
      </c>
      <c r="AL458">
        <v>0</v>
      </c>
      <c r="AM458">
        <v>1</v>
      </c>
      <c r="AN458" t="s">
        <v>768</v>
      </c>
      <c r="AO458" t="s">
        <v>41</v>
      </c>
    </row>
    <row r="459" spans="1:41" x14ac:dyDescent="0.25">
      <c r="A459">
        <v>23</v>
      </c>
      <c r="B459" t="s">
        <v>32</v>
      </c>
      <c r="C459" t="s">
        <v>33</v>
      </c>
      <c r="D459">
        <v>4</v>
      </c>
      <c r="E459" t="s">
        <v>61</v>
      </c>
      <c r="F459">
        <v>3</v>
      </c>
      <c r="G459">
        <v>1</v>
      </c>
      <c r="H459" t="s">
        <v>35</v>
      </c>
      <c r="I459">
        <v>2</v>
      </c>
      <c r="J459" t="s">
        <v>36</v>
      </c>
      <c r="K459">
        <v>3295</v>
      </c>
      <c r="L459">
        <v>1</v>
      </c>
      <c r="M459" t="s">
        <v>41</v>
      </c>
      <c r="N459">
        <v>13</v>
      </c>
      <c r="O459">
        <v>3</v>
      </c>
      <c r="P459">
        <v>0</v>
      </c>
      <c r="Q459">
        <v>3</v>
      </c>
      <c r="R459">
        <v>3</v>
      </c>
      <c r="S459">
        <v>3</v>
      </c>
      <c r="T459">
        <v>1</v>
      </c>
      <c r="U459">
        <v>2</v>
      </c>
      <c r="V459" t="s">
        <v>58</v>
      </c>
      <c r="W459" s="1" t="s">
        <v>255</v>
      </c>
      <c r="Y459" t="s">
        <v>63</v>
      </c>
      <c r="Z459" t="s">
        <v>47</v>
      </c>
      <c r="AA459">
        <v>1</v>
      </c>
      <c r="AB459">
        <v>2</v>
      </c>
      <c r="AC459" t="s">
        <v>41</v>
      </c>
      <c r="AD459" t="s">
        <v>42</v>
      </c>
      <c r="AE459" t="s">
        <v>49</v>
      </c>
      <c r="AF459" s="3">
        <v>614</v>
      </c>
      <c r="AG459" s="3">
        <v>69</v>
      </c>
      <c r="AH459">
        <v>80</v>
      </c>
      <c r="AI459">
        <v>0</v>
      </c>
      <c r="AJ459">
        <v>1</v>
      </c>
      <c r="AK459">
        <v>1</v>
      </c>
      <c r="AL459">
        <v>1</v>
      </c>
      <c r="AM459">
        <v>0</v>
      </c>
      <c r="AN459" t="s">
        <v>767</v>
      </c>
      <c r="AO459" t="s">
        <v>31</v>
      </c>
    </row>
    <row r="460" spans="1:41" x14ac:dyDescent="0.25">
      <c r="A460">
        <v>29</v>
      </c>
      <c r="B460" t="s">
        <v>66</v>
      </c>
      <c r="C460" t="s">
        <v>33</v>
      </c>
      <c r="D460">
        <v>1</v>
      </c>
      <c r="E460" t="s">
        <v>34</v>
      </c>
      <c r="F460">
        <v>4</v>
      </c>
      <c r="G460">
        <v>2</v>
      </c>
      <c r="H460" t="s">
        <v>89</v>
      </c>
      <c r="I460">
        <v>3</v>
      </c>
      <c r="J460" t="s">
        <v>36</v>
      </c>
      <c r="K460">
        <v>6294</v>
      </c>
      <c r="L460">
        <v>8</v>
      </c>
      <c r="M460" t="s">
        <v>31</v>
      </c>
      <c r="N460">
        <v>12</v>
      </c>
      <c r="O460">
        <v>3</v>
      </c>
      <c r="P460">
        <v>0</v>
      </c>
      <c r="Q460">
        <v>10</v>
      </c>
      <c r="R460">
        <v>5</v>
      </c>
      <c r="S460">
        <v>3</v>
      </c>
      <c r="T460">
        <v>0</v>
      </c>
      <c r="U460">
        <v>2</v>
      </c>
      <c r="V460" t="s">
        <v>58</v>
      </c>
      <c r="W460" s="1" t="s">
        <v>264</v>
      </c>
      <c r="Y460" t="s">
        <v>39</v>
      </c>
      <c r="Z460" t="s">
        <v>40</v>
      </c>
      <c r="AA460">
        <v>4</v>
      </c>
      <c r="AB460">
        <v>2</v>
      </c>
      <c r="AC460" t="s">
        <v>41</v>
      </c>
      <c r="AD460" t="s">
        <v>48</v>
      </c>
      <c r="AE460" t="s">
        <v>43</v>
      </c>
      <c r="AF460" s="3">
        <v>615</v>
      </c>
      <c r="AG460" s="3">
        <v>58</v>
      </c>
      <c r="AH460">
        <v>80</v>
      </c>
      <c r="AI460">
        <v>0</v>
      </c>
      <c r="AJ460">
        <v>0</v>
      </c>
      <c r="AL460">
        <v>0</v>
      </c>
      <c r="AM460">
        <v>1</v>
      </c>
      <c r="AN460" t="s">
        <v>768</v>
      </c>
      <c r="AO460" t="s">
        <v>41</v>
      </c>
    </row>
    <row r="461" spans="1:41" x14ac:dyDescent="0.25">
      <c r="A461">
        <v>53</v>
      </c>
      <c r="B461" t="s">
        <v>81</v>
      </c>
      <c r="C461" t="s">
        <v>33</v>
      </c>
      <c r="D461">
        <v>1</v>
      </c>
      <c r="E461" t="s">
        <v>61</v>
      </c>
      <c r="F461">
        <v>2</v>
      </c>
      <c r="G461">
        <v>4</v>
      </c>
      <c r="H461" t="s">
        <v>78</v>
      </c>
      <c r="I461">
        <v>3</v>
      </c>
      <c r="J461" t="s">
        <v>51</v>
      </c>
      <c r="K461">
        <v>12965</v>
      </c>
      <c r="L461">
        <v>4</v>
      </c>
      <c r="M461" t="s">
        <v>31</v>
      </c>
      <c r="N461">
        <v>20</v>
      </c>
      <c r="O461">
        <v>4</v>
      </c>
      <c r="P461">
        <v>3</v>
      </c>
      <c r="Q461">
        <v>27</v>
      </c>
      <c r="R461">
        <v>2</v>
      </c>
      <c r="S461">
        <v>3</v>
      </c>
      <c r="T461">
        <v>0</v>
      </c>
      <c r="U461">
        <v>2</v>
      </c>
      <c r="V461" t="s">
        <v>52</v>
      </c>
      <c r="W461" s="1" t="s">
        <v>240</v>
      </c>
      <c r="Y461" t="s">
        <v>63</v>
      </c>
      <c r="Z461" t="s">
        <v>40</v>
      </c>
      <c r="AA461">
        <v>5</v>
      </c>
      <c r="AB461">
        <v>1</v>
      </c>
      <c r="AC461" t="s">
        <v>41</v>
      </c>
      <c r="AD461" t="s">
        <v>65</v>
      </c>
      <c r="AE461" t="s">
        <v>43</v>
      </c>
      <c r="AF461" s="3">
        <v>616</v>
      </c>
      <c r="AG461" s="3">
        <v>62</v>
      </c>
      <c r="AH461">
        <v>80</v>
      </c>
      <c r="AI461">
        <v>7</v>
      </c>
      <c r="AJ461">
        <v>0</v>
      </c>
      <c r="AL461">
        <v>0</v>
      </c>
      <c r="AM461">
        <v>1</v>
      </c>
      <c r="AN461" t="s">
        <v>768</v>
      </c>
      <c r="AO461" t="s">
        <v>41</v>
      </c>
    </row>
    <row r="462" spans="1:41" x14ac:dyDescent="0.25">
      <c r="A462">
        <v>43</v>
      </c>
      <c r="B462" t="s">
        <v>81</v>
      </c>
      <c r="C462" t="s">
        <v>33</v>
      </c>
      <c r="D462">
        <v>9</v>
      </c>
      <c r="E462" t="s">
        <v>34</v>
      </c>
      <c r="F462">
        <v>3</v>
      </c>
      <c r="G462">
        <v>1</v>
      </c>
      <c r="H462" t="s">
        <v>44</v>
      </c>
      <c r="I462">
        <v>3</v>
      </c>
      <c r="J462" t="s">
        <v>36</v>
      </c>
      <c r="K462">
        <v>2438</v>
      </c>
      <c r="L462">
        <v>4</v>
      </c>
      <c r="M462" t="s">
        <v>41</v>
      </c>
      <c r="N462">
        <v>13</v>
      </c>
      <c r="O462">
        <v>3</v>
      </c>
      <c r="P462">
        <v>0</v>
      </c>
      <c r="Q462">
        <v>7</v>
      </c>
      <c r="R462">
        <v>2</v>
      </c>
      <c r="S462">
        <v>3</v>
      </c>
      <c r="T462">
        <v>1</v>
      </c>
      <c r="U462">
        <v>2</v>
      </c>
      <c r="V462" t="s">
        <v>58</v>
      </c>
      <c r="W462" s="2">
        <v>43224</v>
      </c>
      <c r="Y462" t="s">
        <v>46</v>
      </c>
      <c r="Z462" t="s">
        <v>40</v>
      </c>
      <c r="AA462">
        <v>5</v>
      </c>
      <c r="AB462">
        <v>2</v>
      </c>
      <c r="AC462" t="s">
        <v>31</v>
      </c>
      <c r="AD462" t="s">
        <v>48</v>
      </c>
      <c r="AE462" t="s">
        <v>49</v>
      </c>
      <c r="AF462" s="3">
        <v>618</v>
      </c>
      <c r="AG462" s="3">
        <v>45</v>
      </c>
      <c r="AH462">
        <v>80</v>
      </c>
      <c r="AI462">
        <v>0</v>
      </c>
      <c r="AJ462">
        <v>0</v>
      </c>
      <c r="AL462">
        <v>0</v>
      </c>
      <c r="AM462">
        <v>1</v>
      </c>
      <c r="AN462" t="s">
        <v>768</v>
      </c>
      <c r="AO462" t="s">
        <v>41</v>
      </c>
    </row>
    <row r="463" spans="1:41" x14ac:dyDescent="0.25">
      <c r="A463">
        <v>41</v>
      </c>
      <c r="B463" t="s">
        <v>32</v>
      </c>
      <c r="C463" t="s">
        <v>33</v>
      </c>
      <c r="D463">
        <v>5</v>
      </c>
      <c r="E463" t="s">
        <v>34</v>
      </c>
      <c r="F463">
        <v>4</v>
      </c>
      <c r="G463">
        <v>2</v>
      </c>
      <c r="H463" t="s">
        <v>89</v>
      </c>
      <c r="I463">
        <v>2</v>
      </c>
      <c r="J463" t="s">
        <v>36</v>
      </c>
      <c r="K463">
        <v>6870</v>
      </c>
      <c r="L463">
        <v>3</v>
      </c>
      <c r="M463" t="s">
        <v>41</v>
      </c>
      <c r="N463">
        <v>12</v>
      </c>
      <c r="O463">
        <v>3</v>
      </c>
      <c r="P463">
        <v>0</v>
      </c>
      <c r="Q463">
        <v>11</v>
      </c>
      <c r="R463">
        <v>3</v>
      </c>
      <c r="S463">
        <v>3</v>
      </c>
      <c r="T463">
        <v>1</v>
      </c>
      <c r="U463">
        <v>2</v>
      </c>
      <c r="V463" t="s">
        <v>58</v>
      </c>
      <c r="W463" s="2">
        <v>43136</v>
      </c>
      <c r="Y463" t="s">
        <v>54</v>
      </c>
      <c r="Z463" t="s">
        <v>47</v>
      </c>
      <c r="AA463">
        <v>3</v>
      </c>
      <c r="AB463">
        <v>2</v>
      </c>
      <c r="AC463" t="s">
        <v>31</v>
      </c>
      <c r="AD463" t="s">
        <v>42</v>
      </c>
      <c r="AE463" t="s">
        <v>49</v>
      </c>
      <c r="AF463" s="3">
        <v>620</v>
      </c>
      <c r="AG463" s="3">
        <v>80</v>
      </c>
      <c r="AH463">
        <v>80</v>
      </c>
      <c r="AI463">
        <v>4</v>
      </c>
      <c r="AJ463">
        <v>0</v>
      </c>
      <c r="AL463">
        <v>0</v>
      </c>
      <c r="AM463">
        <v>1</v>
      </c>
      <c r="AN463" t="s">
        <v>768</v>
      </c>
      <c r="AO463" t="s">
        <v>41</v>
      </c>
    </row>
    <row r="464" spans="1:41" x14ac:dyDescent="0.25">
      <c r="A464">
        <v>31</v>
      </c>
      <c r="B464" t="s">
        <v>66</v>
      </c>
      <c r="C464" t="s">
        <v>55</v>
      </c>
      <c r="D464">
        <v>7</v>
      </c>
      <c r="E464" t="s">
        <v>61</v>
      </c>
      <c r="F464">
        <v>3</v>
      </c>
      <c r="G464">
        <v>3</v>
      </c>
      <c r="H464" t="s">
        <v>70</v>
      </c>
      <c r="I464">
        <v>1</v>
      </c>
      <c r="J464" t="s">
        <v>51</v>
      </c>
      <c r="K464">
        <v>9637</v>
      </c>
      <c r="L464">
        <v>2</v>
      </c>
      <c r="M464" t="s">
        <v>41</v>
      </c>
      <c r="N464">
        <v>14</v>
      </c>
      <c r="O464">
        <v>3</v>
      </c>
      <c r="P464">
        <v>2</v>
      </c>
      <c r="Q464">
        <v>9</v>
      </c>
      <c r="R464">
        <v>3</v>
      </c>
      <c r="S464">
        <v>3</v>
      </c>
      <c r="T464">
        <v>2</v>
      </c>
      <c r="U464">
        <v>2</v>
      </c>
      <c r="V464" t="s">
        <v>52</v>
      </c>
      <c r="W464" s="1" t="s">
        <v>265</v>
      </c>
      <c r="Y464" t="s">
        <v>54</v>
      </c>
      <c r="Z464" t="s">
        <v>40</v>
      </c>
      <c r="AA464">
        <v>1</v>
      </c>
      <c r="AB464">
        <v>2</v>
      </c>
      <c r="AC464" t="s">
        <v>31</v>
      </c>
      <c r="AD464" t="s">
        <v>65</v>
      </c>
      <c r="AE464" t="s">
        <v>60</v>
      </c>
      <c r="AF464" s="3">
        <v>621</v>
      </c>
      <c r="AG464" s="3">
        <v>74</v>
      </c>
      <c r="AH464">
        <v>80</v>
      </c>
      <c r="AI464">
        <v>7</v>
      </c>
      <c r="AJ464">
        <v>0</v>
      </c>
      <c r="AL464">
        <v>0</v>
      </c>
      <c r="AM464">
        <v>1</v>
      </c>
      <c r="AN464" t="s">
        <v>768</v>
      </c>
      <c r="AO464" t="s">
        <v>41</v>
      </c>
    </row>
    <row r="465" spans="1:41" x14ac:dyDescent="0.25">
      <c r="A465">
        <v>28</v>
      </c>
      <c r="B465" t="s">
        <v>32</v>
      </c>
      <c r="C465" t="s">
        <v>33</v>
      </c>
      <c r="D465">
        <v>1</v>
      </c>
      <c r="E465" t="s">
        <v>61</v>
      </c>
      <c r="F465">
        <v>3</v>
      </c>
      <c r="G465">
        <v>1</v>
      </c>
      <c r="H465" t="s">
        <v>44</v>
      </c>
      <c r="I465">
        <v>1</v>
      </c>
      <c r="J465" t="s">
        <v>51</v>
      </c>
      <c r="K465">
        <v>3591</v>
      </c>
      <c r="L465">
        <v>1</v>
      </c>
      <c r="M465" t="s">
        <v>41</v>
      </c>
      <c r="N465">
        <v>25</v>
      </c>
      <c r="O465">
        <v>4</v>
      </c>
      <c r="P465">
        <v>1</v>
      </c>
      <c r="Q465">
        <v>3</v>
      </c>
      <c r="R465">
        <v>3</v>
      </c>
      <c r="S465">
        <v>3</v>
      </c>
      <c r="T465">
        <v>1</v>
      </c>
      <c r="U465">
        <v>2</v>
      </c>
      <c r="V465" t="s">
        <v>37</v>
      </c>
      <c r="W465" s="1" t="s">
        <v>266</v>
      </c>
      <c r="Y465" t="s">
        <v>39</v>
      </c>
      <c r="Z465" t="s">
        <v>40</v>
      </c>
      <c r="AA465">
        <v>2</v>
      </c>
      <c r="AB465">
        <v>2</v>
      </c>
      <c r="AC465" t="s">
        <v>31</v>
      </c>
      <c r="AD465" t="s">
        <v>42</v>
      </c>
      <c r="AE465" t="s">
        <v>49</v>
      </c>
      <c r="AF465" s="3">
        <v>622</v>
      </c>
      <c r="AG465" s="3">
        <v>66</v>
      </c>
      <c r="AH465">
        <v>80</v>
      </c>
      <c r="AI465">
        <v>0</v>
      </c>
      <c r="AJ465">
        <v>1</v>
      </c>
      <c r="AK465">
        <v>1</v>
      </c>
      <c r="AL465">
        <v>1</v>
      </c>
      <c r="AM465">
        <v>0</v>
      </c>
      <c r="AN465" t="s">
        <v>767</v>
      </c>
      <c r="AO465" t="s">
        <v>31</v>
      </c>
    </row>
    <row r="466" spans="1:41" x14ac:dyDescent="0.25">
      <c r="A466">
        <v>28</v>
      </c>
      <c r="B466" t="s">
        <v>81</v>
      </c>
      <c r="C466" t="s">
        <v>120</v>
      </c>
      <c r="D466">
        <v>1</v>
      </c>
      <c r="E466" t="s">
        <v>34</v>
      </c>
      <c r="F466">
        <v>3</v>
      </c>
      <c r="G466">
        <v>1</v>
      </c>
      <c r="H466" t="s">
        <v>120</v>
      </c>
      <c r="I466">
        <v>4</v>
      </c>
      <c r="J466" t="s">
        <v>57</v>
      </c>
      <c r="K466">
        <v>2706</v>
      </c>
      <c r="L466">
        <v>1</v>
      </c>
      <c r="M466" t="s">
        <v>41</v>
      </c>
      <c r="N466">
        <v>15</v>
      </c>
      <c r="O466">
        <v>3</v>
      </c>
      <c r="P466">
        <v>1</v>
      </c>
      <c r="Q466">
        <v>3</v>
      </c>
      <c r="R466">
        <v>2</v>
      </c>
      <c r="S466">
        <v>3</v>
      </c>
      <c r="T466">
        <v>2</v>
      </c>
      <c r="U466">
        <v>2</v>
      </c>
      <c r="V466" t="s">
        <v>52</v>
      </c>
      <c r="W466" s="2">
        <v>43283</v>
      </c>
      <c r="Y466" t="s">
        <v>46</v>
      </c>
      <c r="Z466" t="s">
        <v>40</v>
      </c>
      <c r="AA466">
        <v>2</v>
      </c>
      <c r="AB466">
        <v>0</v>
      </c>
      <c r="AC466" t="s">
        <v>31</v>
      </c>
      <c r="AD466" t="s">
        <v>48</v>
      </c>
      <c r="AE466" t="s">
        <v>49</v>
      </c>
      <c r="AF466" s="3">
        <v>623</v>
      </c>
      <c r="AG466" s="3">
        <v>59</v>
      </c>
      <c r="AH466">
        <v>80</v>
      </c>
      <c r="AI466">
        <v>5</v>
      </c>
      <c r="AJ466">
        <v>0</v>
      </c>
      <c r="AL466">
        <v>0</v>
      </c>
      <c r="AM466">
        <v>1</v>
      </c>
      <c r="AN466" t="s">
        <v>768</v>
      </c>
      <c r="AO466" t="s">
        <v>41</v>
      </c>
    </row>
    <row r="467" spans="1:41" x14ac:dyDescent="0.25">
      <c r="A467">
        <v>29</v>
      </c>
      <c r="B467" t="s">
        <v>32</v>
      </c>
      <c r="C467" t="s">
        <v>33</v>
      </c>
      <c r="D467">
        <v>7</v>
      </c>
      <c r="E467" t="s">
        <v>34</v>
      </c>
      <c r="F467">
        <v>3</v>
      </c>
      <c r="G467">
        <v>1</v>
      </c>
      <c r="H467" t="s">
        <v>35</v>
      </c>
      <c r="I467">
        <v>1</v>
      </c>
      <c r="J467" t="s">
        <v>36</v>
      </c>
      <c r="K467">
        <v>2062</v>
      </c>
      <c r="L467">
        <v>3</v>
      </c>
      <c r="M467" t="s">
        <v>41</v>
      </c>
      <c r="N467">
        <v>14</v>
      </c>
      <c r="O467">
        <v>3</v>
      </c>
      <c r="P467">
        <v>0</v>
      </c>
      <c r="Q467">
        <v>11</v>
      </c>
      <c r="R467">
        <v>2</v>
      </c>
      <c r="S467">
        <v>3</v>
      </c>
      <c r="T467">
        <v>1</v>
      </c>
      <c r="U467">
        <v>2</v>
      </c>
      <c r="V467" t="s">
        <v>58</v>
      </c>
      <c r="W467" s="1" t="s">
        <v>267</v>
      </c>
      <c r="Y467" t="s">
        <v>46</v>
      </c>
      <c r="Z467" t="s">
        <v>47</v>
      </c>
      <c r="AA467">
        <v>5</v>
      </c>
      <c r="AB467">
        <v>0</v>
      </c>
      <c r="AC467" t="s">
        <v>31</v>
      </c>
      <c r="AD467" t="s">
        <v>42</v>
      </c>
      <c r="AE467" t="s">
        <v>60</v>
      </c>
      <c r="AF467" s="3">
        <v>624</v>
      </c>
      <c r="AG467" s="3">
        <v>86</v>
      </c>
      <c r="AH467">
        <v>80</v>
      </c>
      <c r="AI467">
        <v>2</v>
      </c>
      <c r="AJ467">
        <v>0</v>
      </c>
      <c r="AL467">
        <v>0</v>
      </c>
      <c r="AM467">
        <v>1</v>
      </c>
      <c r="AN467" t="s">
        <v>768</v>
      </c>
      <c r="AO467" t="s">
        <v>41</v>
      </c>
    </row>
    <row r="468" spans="1:41" x14ac:dyDescent="0.25">
      <c r="A468">
        <v>35</v>
      </c>
      <c r="B468" t="s">
        <v>32</v>
      </c>
      <c r="C468" t="s">
        <v>33</v>
      </c>
      <c r="D468">
        <v>16</v>
      </c>
      <c r="E468" t="s">
        <v>61</v>
      </c>
      <c r="F468">
        <v>2</v>
      </c>
      <c r="G468">
        <v>2</v>
      </c>
      <c r="H468" t="s">
        <v>78</v>
      </c>
      <c r="I468">
        <v>2</v>
      </c>
      <c r="J468" t="s">
        <v>51</v>
      </c>
      <c r="K468">
        <v>4788</v>
      </c>
      <c r="L468">
        <v>0</v>
      </c>
      <c r="M468" t="s">
        <v>31</v>
      </c>
      <c r="N468">
        <v>11</v>
      </c>
      <c r="O468">
        <v>3</v>
      </c>
      <c r="P468">
        <v>0</v>
      </c>
      <c r="Q468">
        <v>4</v>
      </c>
      <c r="R468">
        <v>2</v>
      </c>
      <c r="S468">
        <v>3</v>
      </c>
      <c r="T468">
        <v>0</v>
      </c>
      <c r="U468">
        <v>2</v>
      </c>
      <c r="V468" t="s">
        <v>37</v>
      </c>
      <c r="W468" s="2">
        <v>43256</v>
      </c>
      <c r="Y468" t="s">
        <v>54</v>
      </c>
      <c r="Z468" t="s">
        <v>40</v>
      </c>
      <c r="AA468">
        <v>0</v>
      </c>
      <c r="AB468">
        <v>1</v>
      </c>
      <c r="AC468" t="s">
        <v>31</v>
      </c>
      <c r="AD468" t="s">
        <v>65</v>
      </c>
      <c r="AE468" t="s">
        <v>43</v>
      </c>
      <c r="AF468" s="3">
        <v>625</v>
      </c>
      <c r="AG468" s="3">
        <v>91</v>
      </c>
      <c r="AH468">
        <v>80</v>
      </c>
      <c r="AI468">
        <v>16</v>
      </c>
      <c r="AJ468">
        <v>0</v>
      </c>
      <c r="AL468">
        <v>0</v>
      </c>
      <c r="AM468">
        <v>1</v>
      </c>
      <c r="AN468" t="s">
        <v>768</v>
      </c>
      <c r="AO468" t="s">
        <v>41</v>
      </c>
    </row>
    <row r="469" spans="1:41" x14ac:dyDescent="0.25">
      <c r="A469">
        <v>39</v>
      </c>
      <c r="B469" t="s">
        <v>81</v>
      </c>
      <c r="C469" t="s">
        <v>55</v>
      </c>
      <c r="D469">
        <v>21</v>
      </c>
      <c r="E469" t="s">
        <v>61</v>
      </c>
      <c r="F469">
        <v>1</v>
      </c>
      <c r="G469">
        <v>2</v>
      </c>
      <c r="H469" t="s">
        <v>70</v>
      </c>
      <c r="I469">
        <v>3</v>
      </c>
      <c r="J469" t="s">
        <v>51</v>
      </c>
      <c r="K469">
        <v>5736</v>
      </c>
      <c r="L469">
        <v>6</v>
      </c>
      <c r="M469" t="s">
        <v>41</v>
      </c>
      <c r="N469">
        <v>19</v>
      </c>
      <c r="O469">
        <v>3</v>
      </c>
      <c r="P469">
        <v>1</v>
      </c>
      <c r="Q469">
        <v>10</v>
      </c>
      <c r="R469">
        <v>1</v>
      </c>
      <c r="S469">
        <v>3</v>
      </c>
      <c r="T469">
        <v>1</v>
      </c>
      <c r="U469">
        <v>2</v>
      </c>
      <c r="V469" t="s">
        <v>58</v>
      </c>
      <c r="W469" s="2">
        <v>43318</v>
      </c>
      <c r="Y469" t="s">
        <v>69</v>
      </c>
      <c r="Z469" t="s">
        <v>40</v>
      </c>
      <c r="AA469">
        <v>5</v>
      </c>
      <c r="AB469">
        <v>0</v>
      </c>
      <c r="AC469" t="s">
        <v>41</v>
      </c>
      <c r="AD469" t="s">
        <v>67</v>
      </c>
      <c r="AE469" t="s">
        <v>43</v>
      </c>
      <c r="AF469" s="3">
        <v>626</v>
      </c>
      <c r="AG469" s="3">
        <v>69</v>
      </c>
      <c r="AH469">
        <v>80</v>
      </c>
      <c r="AI469">
        <v>5</v>
      </c>
      <c r="AJ469">
        <v>0</v>
      </c>
      <c r="AL469">
        <v>0</v>
      </c>
      <c r="AM469">
        <v>1</v>
      </c>
      <c r="AN469" t="s">
        <v>768</v>
      </c>
      <c r="AO469" t="s">
        <v>41</v>
      </c>
    </row>
    <row r="470" spans="1:41" x14ac:dyDescent="0.25">
      <c r="A470">
        <v>22</v>
      </c>
      <c r="B470" t="s">
        <v>32</v>
      </c>
      <c r="C470" t="s">
        <v>33</v>
      </c>
      <c r="D470">
        <v>1</v>
      </c>
      <c r="E470" t="s">
        <v>34</v>
      </c>
      <c r="F470">
        <v>3</v>
      </c>
      <c r="G470">
        <v>1</v>
      </c>
      <c r="H470" t="s">
        <v>44</v>
      </c>
      <c r="I470">
        <v>3</v>
      </c>
      <c r="J470" t="s">
        <v>36</v>
      </c>
      <c r="K470">
        <v>3375</v>
      </c>
      <c r="L470">
        <v>0</v>
      </c>
      <c r="M470" t="s">
        <v>41</v>
      </c>
      <c r="N470">
        <v>12</v>
      </c>
      <c r="O470">
        <v>3</v>
      </c>
      <c r="P470">
        <v>0</v>
      </c>
      <c r="Q470">
        <v>4</v>
      </c>
      <c r="R470">
        <v>2</v>
      </c>
      <c r="S470">
        <v>3</v>
      </c>
      <c r="T470">
        <v>1</v>
      </c>
      <c r="U470">
        <v>2</v>
      </c>
      <c r="V470" t="s">
        <v>72</v>
      </c>
      <c r="W470" s="2">
        <v>43101</v>
      </c>
      <c r="Y470" t="s">
        <v>39</v>
      </c>
      <c r="Z470" t="s">
        <v>47</v>
      </c>
      <c r="AA470">
        <v>0</v>
      </c>
      <c r="AB470">
        <v>1</v>
      </c>
      <c r="AC470" t="s">
        <v>41</v>
      </c>
      <c r="AD470" t="s">
        <v>48</v>
      </c>
      <c r="AE470" t="s">
        <v>43</v>
      </c>
      <c r="AF470" s="3">
        <v>630</v>
      </c>
      <c r="AG470" s="3">
        <v>78</v>
      </c>
      <c r="AH470">
        <v>80</v>
      </c>
      <c r="AI470">
        <v>9</v>
      </c>
      <c r="AJ470">
        <v>0</v>
      </c>
      <c r="AL470">
        <v>0</v>
      </c>
      <c r="AM470">
        <v>1</v>
      </c>
      <c r="AN470" t="s">
        <v>768</v>
      </c>
      <c r="AO470" t="s">
        <v>41</v>
      </c>
    </row>
    <row r="471" spans="1:41" x14ac:dyDescent="0.25">
      <c r="A471">
        <v>50</v>
      </c>
      <c r="B471" t="s">
        <v>32</v>
      </c>
      <c r="C471" t="s">
        <v>55</v>
      </c>
      <c r="D471">
        <v>28</v>
      </c>
      <c r="E471" t="s">
        <v>34</v>
      </c>
      <c r="F471">
        <v>2</v>
      </c>
      <c r="G471">
        <v>3</v>
      </c>
      <c r="H471" t="s">
        <v>70</v>
      </c>
      <c r="I471">
        <v>1</v>
      </c>
      <c r="J471" t="s">
        <v>57</v>
      </c>
      <c r="K471">
        <v>10854</v>
      </c>
      <c r="L471">
        <v>4</v>
      </c>
      <c r="M471" t="s">
        <v>31</v>
      </c>
      <c r="N471">
        <v>13</v>
      </c>
      <c r="O471">
        <v>3</v>
      </c>
      <c r="P471">
        <v>1</v>
      </c>
      <c r="Q471">
        <v>20</v>
      </c>
      <c r="R471">
        <v>3</v>
      </c>
      <c r="S471">
        <v>3</v>
      </c>
      <c r="T471">
        <v>2</v>
      </c>
      <c r="U471">
        <v>0</v>
      </c>
      <c r="V471" t="s">
        <v>37</v>
      </c>
      <c r="W471" s="2">
        <v>43408</v>
      </c>
      <c r="Y471" t="s">
        <v>63</v>
      </c>
      <c r="Z471" t="s">
        <v>40</v>
      </c>
      <c r="AA471">
        <v>3</v>
      </c>
      <c r="AB471">
        <v>2</v>
      </c>
      <c r="AC471" t="s">
        <v>31</v>
      </c>
      <c r="AD471" t="s">
        <v>42</v>
      </c>
      <c r="AE471" t="s">
        <v>43</v>
      </c>
      <c r="AF471" s="3">
        <v>631</v>
      </c>
      <c r="AG471" s="3">
        <v>60</v>
      </c>
      <c r="AH471">
        <v>80</v>
      </c>
      <c r="AI471">
        <v>2</v>
      </c>
      <c r="AJ471">
        <v>1</v>
      </c>
      <c r="AK471">
        <v>1</v>
      </c>
      <c r="AL471">
        <v>1</v>
      </c>
      <c r="AM471">
        <v>0</v>
      </c>
      <c r="AN471" t="s">
        <v>767</v>
      </c>
      <c r="AO471" t="s">
        <v>31</v>
      </c>
    </row>
    <row r="472" spans="1:41" x14ac:dyDescent="0.25">
      <c r="A472">
        <v>28</v>
      </c>
      <c r="B472" t="s">
        <v>32</v>
      </c>
      <c r="C472" t="s">
        <v>33</v>
      </c>
      <c r="D472">
        <v>24</v>
      </c>
      <c r="E472" t="s">
        <v>34</v>
      </c>
      <c r="F472">
        <v>2</v>
      </c>
      <c r="G472">
        <v>1</v>
      </c>
      <c r="H472" t="s">
        <v>35</v>
      </c>
      <c r="I472">
        <v>3</v>
      </c>
      <c r="J472" t="s">
        <v>36</v>
      </c>
      <c r="K472">
        <v>2028</v>
      </c>
      <c r="L472">
        <v>5</v>
      </c>
      <c r="M472" t="s">
        <v>31</v>
      </c>
      <c r="N472">
        <v>14</v>
      </c>
      <c r="O472">
        <v>3</v>
      </c>
      <c r="P472">
        <v>0</v>
      </c>
      <c r="Q472">
        <v>6</v>
      </c>
      <c r="R472">
        <v>4</v>
      </c>
      <c r="S472">
        <v>4</v>
      </c>
      <c r="T472">
        <v>0</v>
      </c>
      <c r="U472">
        <v>3</v>
      </c>
      <c r="V472" t="s">
        <v>37</v>
      </c>
      <c r="W472" s="1" t="s">
        <v>268</v>
      </c>
      <c r="Y472" t="s">
        <v>54</v>
      </c>
      <c r="Z472" t="s">
        <v>47</v>
      </c>
      <c r="AA472">
        <v>2</v>
      </c>
      <c r="AB472">
        <v>0</v>
      </c>
      <c r="AC472" t="s">
        <v>41</v>
      </c>
      <c r="AD472" t="s">
        <v>65</v>
      </c>
      <c r="AE472" t="s">
        <v>60</v>
      </c>
      <c r="AF472" s="3">
        <v>632</v>
      </c>
      <c r="AG472" s="3">
        <v>38</v>
      </c>
      <c r="AH472">
        <v>80</v>
      </c>
      <c r="AI472">
        <v>2</v>
      </c>
      <c r="AJ472">
        <v>0</v>
      </c>
      <c r="AL472">
        <v>0</v>
      </c>
      <c r="AM472">
        <v>1</v>
      </c>
      <c r="AN472" t="s">
        <v>768</v>
      </c>
      <c r="AO472" t="s">
        <v>41</v>
      </c>
    </row>
    <row r="473" spans="1:41" x14ac:dyDescent="0.25">
      <c r="A473">
        <v>24</v>
      </c>
      <c r="B473" t="s">
        <v>81</v>
      </c>
      <c r="C473" t="s">
        <v>33</v>
      </c>
      <c r="D473">
        <v>11</v>
      </c>
      <c r="E473" t="s">
        <v>61</v>
      </c>
      <c r="F473">
        <v>4</v>
      </c>
      <c r="G473">
        <v>2</v>
      </c>
      <c r="H473" t="s">
        <v>78</v>
      </c>
      <c r="I473">
        <v>3</v>
      </c>
      <c r="J473" t="s">
        <v>57</v>
      </c>
      <c r="K473">
        <v>4011</v>
      </c>
      <c r="L473">
        <v>0</v>
      </c>
      <c r="M473" t="s">
        <v>41</v>
      </c>
      <c r="N473">
        <v>18</v>
      </c>
      <c r="O473">
        <v>3</v>
      </c>
      <c r="P473">
        <v>1</v>
      </c>
      <c r="Q473">
        <v>5</v>
      </c>
      <c r="R473">
        <v>5</v>
      </c>
      <c r="S473">
        <v>4</v>
      </c>
      <c r="T473">
        <v>1</v>
      </c>
      <c r="U473">
        <v>3</v>
      </c>
      <c r="V473" t="s">
        <v>37</v>
      </c>
      <c r="W473" s="2">
        <v>42859</v>
      </c>
      <c r="Y473" t="s">
        <v>46</v>
      </c>
      <c r="Z473" t="s">
        <v>47</v>
      </c>
      <c r="AA473">
        <v>3</v>
      </c>
      <c r="AB473">
        <v>1</v>
      </c>
      <c r="AC473" t="s">
        <v>31</v>
      </c>
      <c r="AD473" t="s">
        <v>67</v>
      </c>
      <c r="AE473" t="s">
        <v>60</v>
      </c>
      <c r="AF473" s="3">
        <v>634</v>
      </c>
      <c r="AG473" s="3">
        <v>76</v>
      </c>
      <c r="AH473">
        <v>80</v>
      </c>
      <c r="AI473">
        <v>0</v>
      </c>
      <c r="AJ473">
        <v>0</v>
      </c>
      <c r="AL473">
        <v>0</v>
      </c>
      <c r="AM473">
        <v>1</v>
      </c>
      <c r="AN473" t="s">
        <v>768</v>
      </c>
      <c r="AO473" t="s">
        <v>41</v>
      </c>
    </row>
    <row r="474" spans="1:41" x14ac:dyDescent="0.25">
      <c r="A474">
        <v>34</v>
      </c>
      <c r="B474" t="s">
        <v>32</v>
      </c>
      <c r="C474" t="s">
        <v>33</v>
      </c>
      <c r="D474">
        <v>6</v>
      </c>
      <c r="E474" t="s">
        <v>34</v>
      </c>
      <c r="F474">
        <v>3</v>
      </c>
      <c r="G474">
        <v>1</v>
      </c>
      <c r="H474" t="s">
        <v>44</v>
      </c>
      <c r="I474">
        <v>1</v>
      </c>
      <c r="J474" t="s">
        <v>36</v>
      </c>
      <c r="K474">
        <v>2960</v>
      </c>
      <c r="L474">
        <v>2</v>
      </c>
      <c r="M474" t="s">
        <v>41</v>
      </c>
      <c r="N474">
        <v>11</v>
      </c>
      <c r="O474">
        <v>3</v>
      </c>
      <c r="P474">
        <v>0</v>
      </c>
      <c r="Q474">
        <v>8</v>
      </c>
      <c r="R474">
        <v>2</v>
      </c>
      <c r="S474">
        <v>4</v>
      </c>
      <c r="T474">
        <v>1</v>
      </c>
      <c r="U474">
        <v>3</v>
      </c>
      <c r="V474" t="s">
        <v>52</v>
      </c>
      <c r="W474" s="2">
        <v>42859</v>
      </c>
      <c r="Y474" t="s">
        <v>54</v>
      </c>
      <c r="Z474" t="s">
        <v>47</v>
      </c>
      <c r="AA474">
        <v>1</v>
      </c>
      <c r="AB474">
        <v>1</v>
      </c>
      <c r="AC474" t="s">
        <v>31</v>
      </c>
      <c r="AD474" t="s">
        <v>48</v>
      </c>
      <c r="AE474" t="s">
        <v>60</v>
      </c>
      <c r="AF474" s="3">
        <v>635</v>
      </c>
      <c r="AG474" s="3">
        <v>65</v>
      </c>
      <c r="AH474">
        <v>80</v>
      </c>
      <c r="AI474">
        <v>5</v>
      </c>
      <c r="AJ474">
        <v>0</v>
      </c>
      <c r="AL474">
        <v>0</v>
      </c>
      <c r="AM474">
        <v>1</v>
      </c>
      <c r="AN474" t="s">
        <v>768</v>
      </c>
      <c r="AO474" t="s">
        <v>41</v>
      </c>
    </row>
    <row r="475" spans="1:41" x14ac:dyDescent="0.25">
      <c r="A475">
        <v>44</v>
      </c>
      <c r="B475" t="s">
        <v>32</v>
      </c>
      <c r="C475" t="s">
        <v>33</v>
      </c>
      <c r="D475">
        <v>10</v>
      </c>
      <c r="E475" t="s">
        <v>34</v>
      </c>
      <c r="F475">
        <v>3</v>
      </c>
      <c r="G475">
        <v>2</v>
      </c>
      <c r="H475" t="s">
        <v>89</v>
      </c>
      <c r="I475">
        <v>4</v>
      </c>
      <c r="J475" t="s">
        <v>51</v>
      </c>
      <c r="K475">
        <v>6465</v>
      </c>
      <c r="L475">
        <v>2</v>
      </c>
      <c r="M475" t="s">
        <v>31</v>
      </c>
      <c r="N475">
        <v>13</v>
      </c>
      <c r="O475">
        <v>3</v>
      </c>
      <c r="P475">
        <v>0</v>
      </c>
      <c r="Q475">
        <v>9</v>
      </c>
      <c r="R475">
        <v>5</v>
      </c>
      <c r="S475">
        <v>4</v>
      </c>
      <c r="T475">
        <v>1</v>
      </c>
      <c r="U475">
        <v>3</v>
      </c>
      <c r="V475" t="s">
        <v>72</v>
      </c>
      <c r="W475" s="1" t="s">
        <v>269</v>
      </c>
      <c r="Y475" t="s">
        <v>46</v>
      </c>
      <c r="Z475" t="s">
        <v>40</v>
      </c>
      <c r="AA475">
        <v>5</v>
      </c>
      <c r="AB475">
        <v>3</v>
      </c>
      <c r="AC475" t="s">
        <v>31</v>
      </c>
      <c r="AD475" t="s">
        <v>42</v>
      </c>
      <c r="AE475" t="s">
        <v>49</v>
      </c>
      <c r="AF475" s="3">
        <v>638</v>
      </c>
      <c r="AG475" s="3">
        <v>58</v>
      </c>
      <c r="AH475">
        <v>80</v>
      </c>
      <c r="AI475">
        <v>9</v>
      </c>
      <c r="AJ475">
        <v>0</v>
      </c>
      <c r="AL475">
        <v>0</v>
      </c>
      <c r="AM475">
        <v>1</v>
      </c>
      <c r="AN475" t="s">
        <v>768</v>
      </c>
      <c r="AO475" t="s">
        <v>41</v>
      </c>
    </row>
    <row r="476" spans="1:41" x14ac:dyDescent="0.25">
      <c r="A476">
        <v>44</v>
      </c>
      <c r="B476" t="s">
        <v>32</v>
      </c>
      <c r="C476" t="s">
        <v>55</v>
      </c>
      <c r="D476">
        <v>1</v>
      </c>
      <c r="E476" t="s">
        <v>61</v>
      </c>
      <c r="F476">
        <v>3</v>
      </c>
      <c r="G476">
        <v>2</v>
      </c>
      <c r="H476" t="s">
        <v>70</v>
      </c>
      <c r="I476">
        <v>1</v>
      </c>
      <c r="J476" t="s">
        <v>57</v>
      </c>
      <c r="K476">
        <v>5454</v>
      </c>
      <c r="L476">
        <v>5</v>
      </c>
      <c r="M476" t="s">
        <v>31</v>
      </c>
      <c r="N476">
        <v>21</v>
      </c>
      <c r="O476">
        <v>4</v>
      </c>
      <c r="P476">
        <v>1</v>
      </c>
      <c r="Q476">
        <v>9</v>
      </c>
      <c r="R476">
        <v>2</v>
      </c>
      <c r="S476">
        <v>4</v>
      </c>
      <c r="T476">
        <v>1</v>
      </c>
      <c r="U476">
        <v>3</v>
      </c>
      <c r="V476" t="s">
        <v>72</v>
      </c>
      <c r="W476" s="1" t="s">
        <v>270</v>
      </c>
      <c r="Y476" t="s">
        <v>39</v>
      </c>
      <c r="Z476" t="s">
        <v>40</v>
      </c>
      <c r="AA476">
        <v>5</v>
      </c>
      <c r="AB476">
        <v>3</v>
      </c>
      <c r="AC476" t="s">
        <v>31</v>
      </c>
      <c r="AD476" t="s">
        <v>67</v>
      </c>
      <c r="AE476" t="s">
        <v>60</v>
      </c>
      <c r="AF476" s="3">
        <v>639</v>
      </c>
      <c r="AG476" s="3">
        <v>89</v>
      </c>
      <c r="AH476">
        <v>80</v>
      </c>
      <c r="AI476">
        <v>5</v>
      </c>
      <c r="AJ476">
        <v>0</v>
      </c>
      <c r="AL476">
        <v>0</v>
      </c>
      <c r="AM476">
        <v>1</v>
      </c>
      <c r="AN476" t="s">
        <v>768</v>
      </c>
      <c r="AO476" t="s">
        <v>41</v>
      </c>
    </row>
    <row r="477" spans="1:41" x14ac:dyDescent="0.25">
      <c r="A477">
        <v>35</v>
      </c>
      <c r="B477" t="s">
        <v>81</v>
      </c>
      <c r="C477" t="s">
        <v>33</v>
      </c>
      <c r="D477">
        <v>11</v>
      </c>
      <c r="E477" t="s">
        <v>34</v>
      </c>
      <c r="F477">
        <v>2</v>
      </c>
      <c r="G477">
        <v>3</v>
      </c>
      <c r="H477" t="s">
        <v>89</v>
      </c>
      <c r="I477">
        <v>1</v>
      </c>
      <c r="J477" t="s">
        <v>51</v>
      </c>
      <c r="K477">
        <v>9884</v>
      </c>
      <c r="L477">
        <v>2</v>
      </c>
      <c r="M477" t="s">
        <v>31</v>
      </c>
      <c r="N477">
        <v>13</v>
      </c>
      <c r="O477">
        <v>3</v>
      </c>
      <c r="P477">
        <v>1</v>
      </c>
      <c r="Q477">
        <v>10</v>
      </c>
      <c r="R477">
        <v>3</v>
      </c>
      <c r="S477">
        <v>4</v>
      </c>
      <c r="T477">
        <v>2</v>
      </c>
      <c r="U477">
        <v>3</v>
      </c>
      <c r="V477" t="s">
        <v>52</v>
      </c>
      <c r="W477" s="1" t="s">
        <v>271</v>
      </c>
      <c r="Y477" t="s">
        <v>39</v>
      </c>
      <c r="Z477" t="s">
        <v>40</v>
      </c>
      <c r="AA477">
        <v>1</v>
      </c>
      <c r="AB477">
        <v>1</v>
      </c>
      <c r="AC477" t="s">
        <v>31</v>
      </c>
      <c r="AD477" t="s">
        <v>48</v>
      </c>
      <c r="AE477" t="s">
        <v>49</v>
      </c>
      <c r="AF477" s="3">
        <v>641</v>
      </c>
      <c r="AG477" s="3">
        <v>66</v>
      </c>
      <c r="AH477">
        <v>80</v>
      </c>
      <c r="AI477">
        <v>3</v>
      </c>
      <c r="AJ477">
        <v>0</v>
      </c>
      <c r="AL477">
        <v>0</v>
      </c>
      <c r="AM477">
        <v>1</v>
      </c>
      <c r="AN477" t="s">
        <v>768</v>
      </c>
      <c r="AO477" t="s">
        <v>41</v>
      </c>
    </row>
    <row r="478" spans="1:41" x14ac:dyDescent="0.25">
      <c r="A478">
        <v>59</v>
      </c>
      <c r="B478" t="s">
        <v>66</v>
      </c>
      <c r="C478" t="s">
        <v>55</v>
      </c>
      <c r="D478">
        <v>1</v>
      </c>
      <c r="E478" t="s">
        <v>61</v>
      </c>
      <c r="F478">
        <v>2</v>
      </c>
      <c r="G478">
        <v>2</v>
      </c>
      <c r="H478" t="s">
        <v>70</v>
      </c>
      <c r="I478">
        <v>3</v>
      </c>
      <c r="J478" t="s">
        <v>36</v>
      </c>
      <c r="K478">
        <v>5473</v>
      </c>
      <c r="L478">
        <v>7</v>
      </c>
      <c r="M478" t="s">
        <v>41</v>
      </c>
      <c r="N478">
        <v>11</v>
      </c>
      <c r="O478">
        <v>3</v>
      </c>
      <c r="P478">
        <v>0</v>
      </c>
      <c r="Q478">
        <v>20</v>
      </c>
      <c r="R478">
        <v>2</v>
      </c>
      <c r="S478">
        <v>4</v>
      </c>
      <c r="T478">
        <v>1</v>
      </c>
      <c r="U478">
        <v>3</v>
      </c>
      <c r="V478" t="s">
        <v>52</v>
      </c>
      <c r="W478" s="2">
        <v>42919</v>
      </c>
      <c r="Y478" t="s">
        <v>63</v>
      </c>
      <c r="Z478" t="s">
        <v>47</v>
      </c>
      <c r="AA478">
        <v>1</v>
      </c>
      <c r="AB478">
        <v>0</v>
      </c>
      <c r="AC478" t="s">
        <v>31</v>
      </c>
      <c r="AD478" t="s">
        <v>67</v>
      </c>
      <c r="AE478" t="s">
        <v>49</v>
      </c>
      <c r="AF478" s="3">
        <v>643</v>
      </c>
      <c r="AG478" s="3">
        <v>94</v>
      </c>
      <c r="AH478">
        <v>80</v>
      </c>
      <c r="AI478">
        <v>0</v>
      </c>
      <c r="AJ478">
        <v>0</v>
      </c>
      <c r="AL478">
        <v>0</v>
      </c>
      <c r="AM478">
        <v>1</v>
      </c>
      <c r="AN478" t="s">
        <v>768</v>
      </c>
      <c r="AO478" t="s">
        <v>41</v>
      </c>
    </row>
    <row r="479" spans="1:41" x14ac:dyDescent="0.25">
      <c r="A479">
        <v>46</v>
      </c>
      <c r="B479" t="s">
        <v>32</v>
      </c>
      <c r="C479" t="s">
        <v>120</v>
      </c>
      <c r="D479">
        <v>5</v>
      </c>
      <c r="E479" t="s">
        <v>34</v>
      </c>
      <c r="F479">
        <v>3</v>
      </c>
      <c r="G479">
        <v>2</v>
      </c>
      <c r="H479" t="s">
        <v>120</v>
      </c>
      <c r="I479">
        <v>2</v>
      </c>
      <c r="J479" t="s">
        <v>57</v>
      </c>
      <c r="K479">
        <v>5021</v>
      </c>
      <c r="L479">
        <v>8</v>
      </c>
      <c r="M479" t="s">
        <v>31</v>
      </c>
      <c r="N479">
        <v>22</v>
      </c>
      <c r="O479">
        <v>4</v>
      </c>
      <c r="P479">
        <v>1</v>
      </c>
      <c r="Q479">
        <v>16</v>
      </c>
      <c r="R479">
        <v>2</v>
      </c>
      <c r="S479">
        <v>4</v>
      </c>
      <c r="T479">
        <v>0</v>
      </c>
      <c r="U479">
        <v>2</v>
      </c>
      <c r="V479" t="s">
        <v>37</v>
      </c>
      <c r="W479" s="1" t="s">
        <v>272</v>
      </c>
      <c r="Y479" t="s">
        <v>46</v>
      </c>
      <c r="Z479" t="s">
        <v>47</v>
      </c>
      <c r="AA479">
        <v>2</v>
      </c>
      <c r="AB479">
        <v>3</v>
      </c>
      <c r="AC479" t="s">
        <v>41</v>
      </c>
      <c r="AD479" t="s">
        <v>67</v>
      </c>
      <c r="AE479" t="s">
        <v>60</v>
      </c>
      <c r="AF479" s="3">
        <v>644</v>
      </c>
      <c r="AG479" s="3">
        <v>99</v>
      </c>
      <c r="AH479">
        <v>80</v>
      </c>
      <c r="AI479">
        <v>5</v>
      </c>
      <c r="AJ479">
        <v>0</v>
      </c>
      <c r="AL479">
        <v>0</v>
      </c>
      <c r="AM479">
        <v>1</v>
      </c>
      <c r="AN479" t="s">
        <v>768</v>
      </c>
      <c r="AO479" t="s">
        <v>41</v>
      </c>
    </row>
    <row r="480" spans="1:41" x14ac:dyDescent="0.25">
      <c r="A480">
        <v>51</v>
      </c>
      <c r="B480" t="s">
        <v>32</v>
      </c>
      <c r="C480" t="s">
        <v>33</v>
      </c>
      <c r="D480">
        <v>9</v>
      </c>
      <c r="E480" t="s">
        <v>34</v>
      </c>
      <c r="F480">
        <v>3</v>
      </c>
      <c r="G480">
        <v>1</v>
      </c>
      <c r="H480" t="s">
        <v>35</v>
      </c>
      <c r="I480">
        <v>4</v>
      </c>
      <c r="J480" t="s">
        <v>51</v>
      </c>
      <c r="K480">
        <v>2075</v>
      </c>
      <c r="L480">
        <v>3</v>
      </c>
      <c r="M480" t="s">
        <v>41</v>
      </c>
      <c r="N480">
        <v>23</v>
      </c>
      <c r="O480">
        <v>4</v>
      </c>
      <c r="P480">
        <v>2</v>
      </c>
      <c r="Q480">
        <v>10</v>
      </c>
      <c r="R480">
        <v>4</v>
      </c>
      <c r="S480">
        <v>4</v>
      </c>
      <c r="T480">
        <v>0</v>
      </c>
      <c r="U480">
        <v>3</v>
      </c>
      <c r="V480" t="s">
        <v>52</v>
      </c>
      <c r="W480" s="2">
        <v>43041</v>
      </c>
      <c r="Y480" t="s">
        <v>69</v>
      </c>
      <c r="Z480" t="s">
        <v>40</v>
      </c>
      <c r="AA480">
        <v>4</v>
      </c>
      <c r="AB480">
        <v>0</v>
      </c>
      <c r="AC480" t="s">
        <v>31</v>
      </c>
      <c r="AD480" t="s">
        <v>65</v>
      </c>
      <c r="AE480" t="s">
        <v>43</v>
      </c>
      <c r="AF480" s="3">
        <v>645</v>
      </c>
      <c r="AG480" s="3">
        <v>40</v>
      </c>
      <c r="AH480">
        <v>80</v>
      </c>
      <c r="AI480">
        <v>4</v>
      </c>
      <c r="AJ480">
        <v>0</v>
      </c>
      <c r="AL480">
        <v>0</v>
      </c>
      <c r="AM480">
        <v>1</v>
      </c>
      <c r="AN480" t="s">
        <v>768</v>
      </c>
      <c r="AO480" t="s">
        <v>41</v>
      </c>
    </row>
    <row r="481" spans="1:41" x14ac:dyDescent="0.25">
      <c r="A481">
        <v>54</v>
      </c>
      <c r="B481" t="s">
        <v>32</v>
      </c>
      <c r="C481" t="s">
        <v>33</v>
      </c>
      <c r="D481">
        <v>2</v>
      </c>
      <c r="E481" t="s">
        <v>61</v>
      </c>
      <c r="F481">
        <v>3</v>
      </c>
      <c r="G481">
        <v>3</v>
      </c>
      <c r="H481" t="s">
        <v>50</v>
      </c>
      <c r="I481">
        <v>3</v>
      </c>
      <c r="J481" t="s">
        <v>51</v>
      </c>
      <c r="K481">
        <v>13549</v>
      </c>
      <c r="L481">
        <v>9</v>
      </c>
      <c r="M481" t="s">
        <v>41</v>
      </c>
      <c r="N481">
        <v>12</v>
      </c>
      <c r="O481">
        <v>3</v>
      </c>
      <c r="P481">
        <v>1</v>
      </c>
      <c r="Q481">
        <v>16</v>
      </c>
      <c r="R481">
        <v>5</v>
      </c>
      <c r="S481">
        <v>4</v>
      </c>
      <c r="T481">
        <v>0</v>
      </c>
      <c r="U481">
        <v>3</v>
      </c>
      <c r="V481" t="s">
        <v>37</v>
      </c>
      <c r="W481" s="1" t="s">
        <v>273</v>
      </c>
      <c r="Y481" t="s">
        <v>46</v>
      </c>
      <c r="Z481" t="s">
        <v>47</v>
      </c>
      <c r="AA481">
        <v>4</v>
      </c>
      <c r="AB481">
        <v>0</v>
      </c>
      <c r="AC481" t="s">
        <v>41</v>
      </c>
      <c r="AD481" t="s">
        <v>42</v>
      </c>
      <c r="AE481" t="s">
        <v>60</v>
      </c>
      <c r="AF481" s="3">
        <v>647</v>
      </c>
      <c r="AG481" s="3">
        <v>55</v>
      </c>
      <c r="AH481">
        <v>80</v>
      </c>
      <c r="AI481">
        <v>3</v>
      </c>
      <c r="AJ481">
        <v>1</v>
      </c>
      <c r="AK481">
        <v>1</v>
      </c>
      <c r="AL481">
        <v>1</v>
      </c>
      <c r="AM481">
        <v>0</v>
      </c>
      <c r="AN481" t="s">
        <v>767</v>
      </c>
      <c r="AO481" t="s">
        <v>31</v>
      </c>
    </row>
    <row r="482" spans="1:41" x14ac:dyDescent="0.25">
      <c r="A482">
        <v>51</v>
      </c>
      <c r="B482" t="s">
        <v>66</v>
      </c>
      <c r="C482" t="s">
        <v>33</v>
      </c>
      <c r="D482">
        <v>8</v>
      </c>
      <c r="E482" t="s">
        <v>34</v>
      </c>
      <c r="F482">
        <v>1</v>
      </c>
      <c r="G482">
        <v>3</v>
      </c>
      <c r="H482" t="s">
        <v>78</v>
      </c>
      <c r="I482">
        <v>4</v>
      </c>
      <c r="J482" t="s">
        <v>36</v>
      </c>
      <c r="K482">
        <v>10650</v>
      </c>
      <c r="L482">
        <v>2</v>
      </c>
      <c r="M482" t="s">
        <v>41</v>
      </c>
      <c r="N482">
        <v>15</v>
      </c>
      <c r="O482">
        <v>3</v>
      </c>
      <c r="P482">
        <v>0</v>
      </c>
      <c r="Q482">
        <v>18</v>
      </c>
      <c r="R482">
        <v>2</v>
      </c>
      <c r="S482">
        <v>4</v>
      </c>
      <c r="T482">
        <v>0</v>
      </c>
      <c r="U482">
        <v>3</v>
      </c>
      <c r="V482" t="s">
        <v>37</v>
      </c>
      <c r="W482" s="1" t="s">
        <v>274</v>
      </c>
      <c r="Y482" t="s">
        <v>39</v>
      </c>
      <c r="Z482" t="s">
        <v>47</v>
      </c>
      <c r="AA482">
        <v>1</v>
      </c>
      <c r="AB482">
        <v>2</v>
      </c>
      <c r="AC482" t="s">
        <v>31</v>
      </c>
      <c r="AD482" t="s">
        <v>42</v>
      </c>
      <c r="AE482" t="s">
        <v>43</v>
      </c>
      <c r="AF482" s="3">
        <v>648</v>
      </c>
      <c r="AG482" s="3">
        <v>74</v>
      </c>
      <c r="AH482">
        <v>80</v>
      </c>
      <c r="AI482">
        <v>0</v>
      </c>
      <c r="AJ482">
        <v>1</v>
      </c>
      <c r="AK482">
        <v>1</v>
      </c>
      <c r="AL482">
        <v>1</v>
      </c>
      <c r="AM482">
        <v>0</v>
      </c>
      <c r="AN482" t="s">
        <v>767</v>
      </c>
      <c r="AO482" t="s">
        <v>31</v>
      </c>
    </row>
    <row r="483" spans="1:41" x14ac:dyDescent="0.25">
      <c r="A483">
        <v>34</v>
      </c>
      <c r="B483" t="s">
        <v>66</v>
      </c>
      <c r="C483" t="s">
        <v>55</v>
      </c>
      <c r="D483">
        <v>2</v>
      </c>
      <c r="E483" t="s">
        <v>61</v>
      </c>
      <c r="F483">
        <v>3</v>
      </c>
      <c r="G483">
        <v>1</v>
      </c>
      <c r="H483" t="s">
        <v>56</v>
      </c>
      <c r="I483">
        <v>3</v>
      </c>
      <c r="J483" t="s">
        <v>51</v>
      </c>
      <c r="K483">
        <v>2231</v>
      </c>
      <c r="L483">
        <v>6</v>
      </c>
      <c r="M483" t="s">
        <v>41</v>
      </c>
      <c r="N483">
        <v>18</v>
      </c>
      <c r="O483">
        <v>3</v>
      </c>
      <c r="P483">
        <v>1</v>
      </c>
      <c r="Q483">
        <v>6</v>
      </c>
      <c r="R483">
        <v>3</v>
      </c>
      <c r="S483">
        <v>4</v>
      </c>
      <c r="T483">
        <v>1</v>
      </c>
      <c r="U483">
        <v>2</v>
      </c>
      <c r="V483" t="s">
        <v>58</v>
      </c>
      <c r="W483" s="1" t="s">
        <v>275</v>
      </c>
      <c r="Y483" t="s">
        <v>39</v>
      </c>
      <c r="Z483" t="s">
        <v>40</v>
      </c>
      <c r="AA483">
        <v>3</v>
      </c>
      <c r="AB483">
        <v>0</v>
      </c>
      <c r="AC483" t="s">
        <v>41</v>
      </c>
      <c r="AD483" t="s">
        <v>67</v>
      </c>
      <c r="AE483" t="s">
        <v>60</v>
      </c>
      <c r="AF483" s="3">
        <v>649</v>
      </c>
      <c r="AG483" s="3">
        <v>83</v>
      </c>
      <c r="AH483">
        <v>80</v>
      </c>
      <c r="AI483">
        <v>5</v>
      </c>
      <c r="AJ483">
        <v>0</v>
      </c>
      <c r="AL483">
        <v>0</v>
      </c>
      <c r="AM483">
        <v>1</v>
      </c>
      <c r="AN483" t="s">
        <v>768</v>
      </c>
      <c r="AO483" t="s">
        <v>41</v>
      </c>
    </row>
    <row r="484" spans="1:41" x14ac:dyDescent="0.25">
      <c r="A484">
        <v>31</v>
      </c>
      <c r="B484" t="s">
        <v>32</v>
      </c>
      <c r="C484" t="s">
        <v>33</v>
      </c>
      <c r="D484">
        <v>12</v>
      </c>
      <c r="E484" t="s">
        <v>61</v>
      </c>
      <c r="F484">
        <v>3</v>
      </c>
      <c r="G484">
        <v>1</v>
      </c>
      <c r="H484" t="s">
        <v>44</v>
      </c>
      <c r="I484">
        <v>4</v>
      </c>
      <c r="J484" t="s">
        <v>51</v>
      </c>
      <c r="K484">
        <v>3929</v>
      </c>
      <c r="L484">
        <v>8</v>
      </c>
      <c r="M484" t="s">
        <v>31</v>
      </c>
      <c r="N484">
        <v>23</v>
      </c>
      <c r="O484">
        <v>4</v>
      </c>
      <c r="P484">
        <v>1</v>
      </c>
      <c r="Q484">
        <v>7</v>
      </c>
      <c r="R484">
        <v>0</v>
      </c>
      <c r="S484">
        <v>4</v>
      </c>
      <c r="T484">
        <v>0</v>
      </c>
      <c r="U484">
        <v>2</v>
      </c>
      <c r="V484" t="s">
        <v>52</v>
      </c>
      <c r="W484" s="2">
        <v>43071</v>
      </c>
      <c r="Y484" t="s">
        <v>46</v>
      </c>
      <c r="Z484" t="s">
        <v>40</v>
      </c>
      <c r="AA484">
        <v>0</v>
      </c>
      <c r="AB484">
        <v>3</v>
      </c>
      <c r="AC484" t="s">
        <v>31</v>
      </c>
      <c r="AD484" t="s">
        <v>48</v>
      </c>
      <c r="AE484" t="s">
        <v>60</v>
      </c>
      <c r="AF484" s="3">
        <v>650</v>
      </c>
      <c r="AG484" s="3">
        <v>46</v>
      </c>
      <c r="AH484">
        <v>80</v>
      </c>
      <c r="AI484">
        <v>1</v>
      </c>
      <c r="AJ484">
        <v>1</v>
      </c>
      <c r="AK484">
        <v>1</v>
      </c>
      <c r="AL484">
        <v>1</v>
      </c>
      <c r="AM484">
        <v>0</v>
      </c>
      <c r="AN484" t="s">
        <v>767</v>
      </c>
      <c r="AO484" t="s">
        <v>31</v>
      </c>
    </row>
    <row r="485" spans="1:41" x14ac:dyDescent="0.25">
      <c r="A485">
        <v>41</v>
      </c>
      <c r="B485" t="s">
        <v>32</v>
      </c>
      <c r="C485" t="s">
        <v>55</v>
      </c>
      <c r="D485">
        <v>20</v>
      </c>
      <c r="E485" t="s">
        <v>61</v>
      </c>
      <c r="F485">
        <v>3</v>
      </c>
      <c r="G485">
        <v>1</v>
      </c>
      <c r="H485" t="s">
        <v>56</v>
      </c>
      <c r="I485">
        <v>2</v>
      </c>
      <c r="J485" t="s">
        <v>36</v>
      </c>
      <c r="K485">
        <v>3140</v>
      </c>
      <c r="L485">
        <v>1</v>
      </c>
      <c r="M485" t="s">
        <v>31</v>
      </c>
      <c r="N485">
        <v>22</v>
      </c>
      <c r="O485">
        <v>4</v>
      </c>
      <c r="P485">
        <v>0</v>
      </c>
      <c r="Q485">
        <v>4</v>
      </c>
      <c r="R485">
        <v>5</v>
      </c>
      <c r="S485">
        <v>4</v>
      </c>
      <c r="T485">
        <v>0</v>
      </c>
      <c r="U485">
        <v>2</v>
      </c>
      <c r="V485" t="s">
        <v>52</v>
      </c>
      <c r="W485" s="2">
        <v>42798</v>
      </c>
      <c r="Y485" t="s">
        <v>63</v>
      </c>
      <c r="Z485" t="s">
        <v>47</v>
      </c>
      <c r="AA485">
        <v>3</v>
      </c>
      <c r="AB485">
        <v>0</v>
      </c>
      <c r="AC485" t="s">
        <v>31</v>
      </c>
      <c r="AD485" t="s">
        <v>48</v>
      </c>
      <c r="AE485" t="s">
        <v>60</v>
      </c>
      <c r="AF485" s="3">
        <v>652</v>
      </c>
      <c r="AG485" s="3">
        <v>54</v>
      </c>
      <c r="AH485">
        <v>80</v>
      </c>
      <c r="AI485">
        <v>2</v>
      </c>
      <c r="AJ485">
        <v>0</v>
      </c>
      <c r="AL485">
        <v>0</v>
      </c>
      <c r="AM485">
        <v>1</v>
      </c>
      <c r="AN485" t="s">
        <v>768</v>
      </c>
      <c r="AO485" t="s">
        <v>41</v>
      </c>
    </row>
    <row r="486" spans="1:41" x14ac:dyDescent="0.25">
      <c r="A486">
        <v>53</v>
      </c>
      <c r="B486" t="s">
        <v>32</v>
      </c>
      <c r="C486" t="s">
        <v>33</v>
      </c>
      <c r="D486">
        <v>13</v>
      </c>
      <c r="E486" t="s">
        <v>61</v>
      </c>
      <c r="F486">
        <v>4</v>
      </c>
      <c r="G486">
        <v>2</v>
      </c>
      <c r="H486" t="s">
        <v>78</v>
      </c>
      <c r="I486">
        <v>1</v>
      </c>
      <c r="J486" t="s">
        <v>57</v>
      </c>
      <c r="K486">
        <v>4450</v>
      </c>
      <c r="L486">
        <v>1</v>
      </c>
      <c r="M486" t="s">
        <v>41</v>
      </c>
      <c r="N486">
        <v>11</v>
      </c>
      <c r="O486">
        <v>3</v>
      </c>
      <c r="P486">
        <v>2</v>
      </c>
      <c r="Q486">
        <v>5</v>
      </c>
      <c r="R486">
        <v>3</v>
      </c>
      <c r="S486">
        <v>4</v>
      </c>
      <c r="T486">
        <v>1</v>
      </c>
      <c r="U486">
        <v>3</v>
      </c>
      <c r="V486" t="s">
        <v>72</v>
      </c>
      <c r="W486" s="1" t="s">
        <v>276</v>
      </c>
      <c r="Y486" t="s">
        <v>54</v>
      </c>
      <c r="Z486" t="s">
        <v>40</v>
      </c>
      <c r="AA486">
        <v>1</v>
      </c>
      <c r="AB486">
        <v>2</v>
      </c>
      <c r="AC486" t="s">
        <v>41</v>
      </c>
      <c r="AD486" t="s">
        <v>67</v>
      </c>
      <c r="AE486" t="s">
        <v>43</v>
      </c>
      <c r="AF486" s="3">
        <v>653</v>
      </c>
      <c r="AG486" s="3">
        <v>66</v>
      </c>
      <c r="AH486">
        <v>80</v>
      </c>
      <c r="AI486">
        <v>7</v>
      </c>
      <c r="AJ486">
        <v>0</v>
      </c>
      <c r="AL486">
        <v>0</v>
      </c>
      <c r="AM486">
        <v>1</v>
      </c>
      <c r="AN486" t="s">
        <v>768</v>
      </c>
      <c r="AO486" t="s">
        <v>41</v>
      </c>
    </row>
    <row r="487" spans="1:41" x14ac:dyDescent="0.25">
      <c r="A487">
        <v>22</v>
      </c>
      <c r="B487" t="s">
        <v>32</v>
      </c>
      <c r="C487" t="s">
        <v>33</v>
      </c>
      <c r="D487">
        <v>5</v>
      </c>
      <c r="E487" t="s">
        <v>34</v>
      </c>
      <c r="F487">
        <v>4</v>
      </c>
      <c r="G487">
        <v>1</v>
      </c>
      <c r="H487" t="s">
        <v>44</v>
      </c>
      <c r="I487">
        <v>2</v>
      </c>
      <c r="J487" t="s">
        <v>57</v>
      </c>
      <c r="K487">
        <v>2328</v>
      </c>
      <c r="L487">
        <v>1</v>
      </c>
      <c r="M487" t="s">
        <v>31</v>
      </c>
      <c r="N487">
        <v>16</v>
      </c>
      <c r="O487">
        <v>3</v>
      </c>
      <c r="P487">
        <v>1</v>
      </c>
      <c r="Q487">
        <v>4</v>
      </c>
      <c r="R487">
        <v>2</v>
      </c>
      <c r="S487">
        <v>4</v>
      </c>
      <c r="T487">
        <v>2</v>
      </c>
      <c r="U487">
        <v>2</v>
      </c>
      <c r="V487" t="s">
        <v>37</v>
      </c>
      <c r="W487" s="1" t="s">
        <v>277</v>
      </c>
      <c r="Y487" t="s">
        <v>69</v>
      </c>
      <c r="Z487" t="s">
        <v>47</v>
      </c>
      <c r="AA487">
        <v>4</v>
      </c>
      <c r="AB487">
        <v>2</v>
      </c>
      <c r="AC487" t="s">
        <v>41</v>
      </c>
      <c r="AD487" t="s">
        <v>65</v>
      </c>
      <c r="AE487" t="s">
        <v>60</v>
      </c>
      <c r="AF487" s="3">
        <v>655</v>
      </c>
      <c r="AG487" s="3">
        <v>66</v>
      </c>
      <c r="AH487">
        <v>80</v>
      </c>
      <c r="AI487">
        <v>3</v>
      </c>
      <c r="AJ487">
        <v>0</v>
      </c>
      <c r="AL487">
        <v>0</v>
      </c>
      <c r="AM487">
        <v>1</v>
      </c>
      <c r="AN487" t="s">
        <v>768</v>
      </c>
      <c r="AO487" t="s">
        <v>41</v>
      </c>
    </row>
    <row r="488" spans="1:41" x14ac:dyDescent="0.25">
      <c r="A488">
        <v>46</v>
      </c>
      <c r="B488" t="s">
        <v>32</v>
      </c>
      <c r="C488" t="s">
        <v>33</v>
      </c>
      <c r="D488">
        <v>1</v>
      </c>
      <c r="E488" t="s">
        <v>34</v>
      </c>
      <c r="F488">
        <v>3</v>
      </c>
      <c r="G488">
        <v>3</v>
      </c>
      <c r="H488" t="s">
        <v>89</v>
      </c>
      <c r="I488">
        <v>1</v>
      </c>
      <c r="J488" t="s">
        <v>57</v>
      </c>
      <c r="K488">
        <v>9396</v>
      </c>
      <c r="L488">
        <v>7</v>
      </c>
      <c r="M488" t="s">
        <v>41</v>
      </c>
      <c r="N488">
        <v>16</v>
      </c>
      <c r="O488">
        <v>3</v>
      </c>
      <c r="P488">
        <v>1</v>
      </c>
      <c r="Q488">
        <v>17</v>
      </c>
      <c r="R488">
        <v>3</v>
      </c>
      <c r="S488">
        <v>4</v>
      </c>
      <c r="T488">
        <v>0</v>
      </c>
      <c r="U488">
        <v>3</v>
      </c>
      <c r="V488" t="s">
        <v>72</v>
      </c>
      <c r="W488" s="1" t="s">
        <v>278</v>
      </c>
      <c r="Y488" t="s">
        <v>39</v>
      </c>
      <c r="Z488" t="s">
        <v>40</v>
      </c>
      <c r="AA488">
        <v>4</v>
      </c>
      <c r="AB488">
        <v>3</v>
      </c>
      <c r="AC488" t="s">
        <v>41</v>
      </c>
      <c r="AD488" t="s">
        <v>42</v>
      </c>
      <c r="AE488" t="s">
        <v>43</v>
      </c>
      <c r="AF488" s="3">
        <v>656</v>
      </c>
      <c r="AG488" s="3">
        <v>75</v>
      </c>
      <c r="AH488">
        <v>80</v>
      </c>
      <c r="AI488">
        <v>0</v>
      </c>
      <c r="AJ488">
        <v>0</v>
      </c>
      <c r="AL488">
        <v>0</v>
      </c>
      <c r="AM488">
        <v>1</v>
      </c>
      <c r="AN488" t="s">
        <v>768</v>
      </c>
      <c r="AO488" t="s">
        <v>41</v>
      </c>
    </row>
    <row r="489" spans="1:41" x14ac:dyDescent="0.25">
      <c r="A489">
        <v>29</v>
      </c>
      <c r="B489" t="s">
        <v>32</v>
      </c>
      <c r="C489" t="s">
        <v>33</v>
      </c>
      <c r="D489">
        <v>18</v>
      </c>
      <c r="E489" t="s">
        <v>34</v>
      </c>
      <c r="F489">
        <v>2</v>
      </c>
      <c r="G489">
        <v>1</v>
      </c>
      <c r="H489" t="s">
        <v>44</v>
      </c>
      <c r="I489">
        <v>4</v>
      </c>
      <c r="J489" t="s">
        <v>36</v>
      </c>
      <c r="K489">
        <v>2389</v>
      </c>
      <c r="L489">
        <v>1</v>
      </c>
      <c r="M489" t="s">
        <v>31</v>
      </c>
      <c r="N489">
        <v>13</v>
      </c>
      <c r="O489">
        <v>3</v>
      </c>
      <c r="P489">
        <v>0</v>
      </c>
      <c r="Q489">
        <v>4</v>
      </c>
      <c r="R489">
        <v>3</v>
      </c>
      <c r="S489">
        <v>4</v>
      </c>
      <c r="T489">
        <v>0</v>
      </c>
      <c r="U489">
        <v>1</v>
      </c>
      <c r="V489" t="s">
        <v>58</v>
      </c>
      <c r="W489" s="2">
        <v>42856</v>
      </c>
      <c r="Y489" t="s">
        <v>39</v>
      </c>
      <c r="Z489" t="s">
        <v>40</v>
      </c>
      <c r="AA489">
        <v>4</v>
      </c>
      <c r="AB489">
        <v>2</v>
      </c>
      <c r="AC489" t="s">
        <v>31</v>
      </c>
      <c r="AD489" t="s">
        <v>42</v>
      </c>
      <c r="AE489" t="s">
        <v>43</v>
      </c>
      <c r="AF489" s="3">
        <v>657</v>
      </c>
      <c r="AG489" s="3">
        <v>83</v>
      </c>
      <c r="AH489">
        <v>80</v>
      </c>
      <c r="AI489">
        <v>0</v>
      </c>
      <c r="AJ489">
        <v>0</v>
      </c>
      <c r="AL489">
        <v>0</v>
      </c>
      <c r="AM489">
        <v>1</v>
      </c>
      <c r="AN489" t="s">
        <v>768</v>
      </c>
      <c r="AO489" t="s">
        <v>41</v>
      </c>
    </row>
    <row r="490" spans="1:41" x14ac:dyDescent="0.25">
      <c r="A490">
        <v>32</v>
      </c>
      <c r="B490" t="s">
        <v>32</v>
      </c>
      <c r="C490" t="s">
        <v>55</v>
      </c>
      <c r="D490">
        <v>4</v>
      </c>
      <c r="E490" t="s">
        <v>61</v>
      </c>
      <c r="F490">
        <v>3</v>
      </c>
      <c r="G490">
        <v>1</v>
      </c>
      <c r="H490" t="s">
        <v>56</v>
      </c>
      <c r="I490">
        <v>2</v>
      </c>
      <c r="J490" t="s">
        <v>51</v>
      </c>
      <c r="K490">
        <v>3931</v>
      </c>
      <c r="L490">
        <v>2</v>
      </c>
      <c r="M490" t="s">
        <v>41</v>
      </c>
      <c r="N490">
        <v>11</v>
      </c>
      <c r="O490">
        <v>3</v>
      </c>
      <c r="P490">
        <v>1</v>
      </c>
      <c r="Q490">
        <v>6</v>
      </c>
      <c r="R490">
        <v>5</v>
      </c>
      <c r="S490">
        <v>4</v>
      </c>
      <c r="T490">
        <v>1</v>
      </c>
      <c r="U490">
        <v>2</v>
      </c>
      <c r="V490" t="s">
        <v>52</v>
      </c>
      <c r="W490" s="2">
        <v>43044</v>
      </c>
      <c r="Y490" t="s">
        <v>69</v>
      </c>
      <c r="Z490" t="s">
        <v>47</v>
      </c>
      <c r="AA490">
        <v>2</v>
      </c>
      <c r="AB490">
        <v>1</v>
      </c>
      <c r="AC490" t="s">
        <v>41</v>
      </c>
      <c r="AD490" t="s">
        <v>48</v>
      </c>
      <c r="AE490" t="s">
        <v>60</v>
      </c>
      <c r="AF490" s="3">
        <v>659</v>
      </c>
      <c r="AG490" s="3">
        <v>81</v>
      </c>
      <c r="AH490">
        <v>80</v>
      </c>
      <c r="AI490">
        <v>2</v>
      </c>
      <c r="AJ490">
        <v>0</v>
      </c>
      <c r="AL490">
        <v>0</v>
      </c>
      <c r="AM490">
        <v>1</v>
      </c>
      <c r="AN490" t="s">
        <v>768</v>
      </c>
      <c r="AO490" t="s">
        <v>41</v>
      </c>
    </row>
    <row r="491" spans="1:41" x14ac:dyDescent="0.25">
      <c r="A491">
        <v>25</v>
      </c>
      <c r="B491" t="s">
        <v>32</v>
      </c>
      <c r="C491" t="s">
        <v>33</v>
      </c>
      <c r="D491">
        <v>1</v>
      </c>
      <c r="E491" t="s">
        <v>61</v>
      </c>
      <c r="F491">
        <v>3</v>
      </c>
      <c r="G491">
        <v>2</v>
      </c>
      <c r="H491" t="s">
        <v>78</v>
      </c>
      <c r="I491">
        <v>3</v>
      </c>
      <c r="J491" t="s">
        <v>51</v>
      </c>
      <c r="K491">
        <v>4898</v>
      </c>
      <c r="L491">
        <v>0</v>
      </c>
      <c r="M491" t="s">
        <v>41</v>
      </c>
      <c r="N491">
        <v>12</v>
      </c>
      <c r="O491">
        <v>3</v>
      </c>
      <c r="P491">
        <v>2</v>
      </c>
      <c r="Q491">
        <v>5</v>
      </c>
      <c r="R491">
        <v>3</v>
      </c>
      <c r="S491">
        <v>4</v>
      </c>
      <c r="T491">
        <v>1</v>
      </c>
      <c r="U491">
        <v>2</v>
      </c>
      <c r="V491" t="s">
        <v>37</v>
      </c>
      <c r="W491" s="2">
        <v>42828</v>
      </c>
      <c r="Y491" t="s">
        <v>46</v>
      </c>
      <c r="Z491" t="s">
        <v>40</v>
      </c>
      <c r="AA491">
        <v>4</v>
      </c>
      <c r="AB491">
        <v>2</v>
      </c>
      <c r="AC491" t="s">
        <v>31</v>
      </c>
      <c r="AD491" t="s">
        <v>65</v>
      </c>
      <c r="AE491" t="s">
        <v>49</v>
      </c>
      <c r="AF491" s="3">
        <v>661</v>
      </c>
      <c r="AG491" s="3">
        <v>50</v>
      </c>
      <c r="AH491">
        <v>80</v>
      </c>
      <c r="AI491">
        <v>0</v>
      </c>
      <c r="AJ491">
        <v>0</v>
      </c>
      <c r="AL491">
        <v>0</v>
      </c>
      <c r="AM491">
        <v>1</v>
      </c>
      <c r="AN491" t="s">
        <v>768</v>
      </c>
      <c r="AO491" t="s">
        <v>41</v>
      </c>
    </row>
    <row r="492" spans="1:41" x14ac:dyDescent="0.25">
      <c r="A492">
        <v>37</v>
      </c>
      <c r="B492" t="s">
        <v>66</v>
      </c>
      <c r="C492" t="s">
        <v>33</v>
      </c>
      <c r="D492">
        <v>9</v>
      </c>
      <c r="E492" t="s">
        <v>34</v>
      </c>
      <c r="F492">
        <v>3</v>
      </c>
      <c r="G492">
        <v>1</v>
      </c>
      <c r="H492" t="s">
        <v>44</v>
      </c>
      <c r="I492">
        <v>4</v>
      </c>
      <c r="J492" t="s">
        <v>51</v>
      </c>
      <c r="K492">
        <v>2326</v>
      </c>
      <c r="L492">
        <v>1</v>
      </c>
      <c r="M492" t="s">
        <v>31</v>
      </c>
      <c r="N492">
        <v>12</v>
      </c>
      <c r="O492">
        <v>3</v>
      </c>
      <c r="P492">
        <v>3</v>
      </c>
      <c r="Q492">
        <v>4</v>
      </c>
      <c r="R492">
        <v>3</v>
      </c>
      <c r="S492">
        <v>4</v>
      </c>
      <c r="T492">
        <v>1</v>
      </c>
      <c r="U492">
        <v>2</v>
      </c>
      <c r="V492" t="s">
        <v>72</v>
      </c>
      <c r="W492" s="2">
        <v>42921</v>
      </c>
      <c r="Y492" t="s">
        <v>46</v>
      </c>
      <c r="Z492" t="s">
        <v>47</v>
      </c>
      <c r="AA492">
        <v>0</v>
      </c>
      <c r="AB492">
        <v>1</v>
      </c>
      <c r="AC492" t="s">
        <v>31</v>
      </c>
      <c r="AD492" t="s">
        <v>48</v>
      </c>
      <c r="AE492" t="s">
        <v>60</v>
      </c>
      <c r="AF492" s="3">
        <v>662</v>
      </c>
      <c r="AG492" s="3">
        <v>43</v>
      </c>
      <c r="AH492">
        <v>80</v>
      </c>
      <c r="AI492">
        <v>0</v>
      </c>
      <c r="AJ492">
        <v>0</v>
      </c>
      <c r="AL492">
        <v>0</v>
      </c>
      <c r="AM492">
        <v>1</v>
      </c>
      <c r="AN492" t="s">
        <v>768</v>
      </c>
      <c r="AO492" t="s">
        <v>41</v>
      </c>
    </row>
    <row r="493" spans="1:41" x14ac:dyDescent="0.25">
      <c r="A493">
        <v>51</v>
      </c>
      <c r="B493" t="s">
        <v>32</v>
      </c>
      <c r="C493" t="s">
        <v>33</v>
      </c>
      <c r="D493">
        <v>2</v>
      </c>
      <c r="E493" t="s">
        <v>34</v>
      </c>
      <c r="F493">
        <v>1</v>
      </c>
      <c r="G493">
        <v>2</v>
      </c>
      <c r="H493" t="s">
        <v>78</v>
      </c>
      <c r="I493">
        <v>2</v>
      </c>
      <c r="J493" t="s">
        <v>57</v>
      </c>
      <c r="K493">
        <v>5482</v>
      </c>
      <c r="L493">
        <v>5</v>
      </c>
      <c r="M493" t="s">
        <v>41</v>
      </c>
      <c r="N493">
        <v>18</v>
      </c>
      <c r="O493">
        <v>3</v>
      </c>
      <c r="P493">
        <v>1</v>
      </c>
      <c r="Q493">
        <v>13</v>
      </c>
      <c r="R493">
        <v>3</v>
      </c>
      <c r="S493">
        <v>4</v>
      </c>
      <c r="T493">
        <v>1</v>
      </c>
      <c r="U493">
        <v>2</v>
      </c>
      <c r="V493" t="s">
        <v>72</v>
      </c>
      <c r="W493" s="1" t="s">
        <v>279</v>
      </c>
      <c r="Y493" t="s">
        <v>54</v>
      </c>
      <c r="Z493" t="s">
        <v>40</v>
      </c>
      <c r="AA493">
        <v>2</v>
      </c>
      <c r="AB493">
        <v>3</v>
      </c>
      <c r="AC493" t="s">
        <v>41</v>
      </c>
      <c r="AD493" t="s">
        <v>48</v>
      </c>
      <c r="AE493" t="s">
        <v>43</v>
      </c>
      <c r="AF493" s="3">
        <v>663</v>
      </c>
      <c r="AG493" s="3">
        <v>72</v>
      </c>
      <c r="AH493">
        <v>80</v>
      </c>
      <c r="AI493">
        <v>7</v>
      </c>
      <c r="AJ493">
        <v>0</v>
      </c>
      <c r="AL493">
        <v>0</v>
      </c>
      <c r="AM493">
        <v>1</v>
      </c>
      <c r="AN493" t="s">
        <v>768</v>
      </c>
      <c r="AO493" t="s">
        <v>41</v>
      </c>
    </row>
    <row r="494" spans="1:41" x14ac:dyDescent="0.25">
      <c r="A494">
        <v>27</v>
      </c>
      <c r="B494" t="s">
        <v>32</v>
      </c>
      <c r="C494" t="s">
        <v>33</v>
      </c>
      <c r="D494">
        <v>5</v>
      </c>
      <c r="E494" t="s">
        <v>61</v>
      </c>
      <c r="F494">
        <v>3</v>
      </c>
      <c r="G494">
        <v>1</v>
      </c>
      <c r="H494" t="s">
        <v>44</v>
      </c>
      <c r="I494">
        <v>2</v>
      </c>
      <c r="J494" t="s">
        <v>36</v>
      </c>
      <c r="K494">
        <v>2478</v>
      </c>
      <c r="L494">
        <v>1</v>
      </c>
      <c r="M494" t="s">
        <v>31</v>
      </c>
      <c r="N494">
        <v>12</v>
      </c>
      <c r="O494">
        <v>3</v>
      </c>
      <c r="P494">
        <v>0</v>
      </c>
      <c r="Q494">
        <v>4</v>
      </c>
      <c r="R494">
        <v>2</v>
      </c>
      <c r="S494">
        <v>4</v>
      </c>
      <c r="T494">
        <v>1</v>
      </c>
      <c r="U494">
        <v>2</v>
      </c>
      <c r="V494" t="s">
        <v>52</v>
      </c>
      <c r="W494" s="2">
        <v>43075</v>
      </c>
      <c r="Y494" t="s">
        <v>63</v>
      </c>
      <c r="Z494" t="s">
        <v>47</v>
      </c>
      <c r="AA494">
        <v>0</v>
      </c>
      <c r="AB494">
        <v>1</v>
      </c>
      <c r="AC494" t="s">
        <v>41</v>
      </c>
      <c r="AD494" t="s">
        <v>42</v>
      </c>
      <c r="AE494" t="s">
        <v>43</v>
      </c>
      <c r="AF494" s="3">
        <v>664</v>
      </c>
      <c r="AG494" s="3">
        <v>40</v>
      </c>
      <c r="AH494">
        <v>80</v>
      </c>
      <c r="AI494">
        <v>2</v>
      </c>
      <c r="AJ494">
        <v>0</v>
      </c>
      <c r="AL494">
        <v>0</v>
      </c>
      <c r="AM494">
        <v>1</v>
      </c>
      <c r="AN494" t="s">
        <v>768</v>
      </c>
      <c r="AO494" t="s">
        <v>41</v>
      </c>
    </row>
    <row r="495" spans="1:41" x14ac:dyDescent="0.25">
      <c r="A495">
        <v>54</v>
      </c>
      <c r="B495" t="s">
        <v>66</v>
      </c>
      <c r="C495" t="s">
        <v>33</v>
      </c>
      <c r="D495">
        <v>20</v>
      </c>
      <c r="E495" t="s">
        <v>61</v>
      </c>
      <c r="F495">
        <v>3</v>
      </c>
      <c r="G495">
        <v>2</v>
      </c>
      <c r="H495" t="s">
        <v>44</v>
      </c>
      <c r="I495">
        <v>3</v>
      </c>
      <c r="J495" t="s">
        <v>36</v>
      </c>
      <c r="K495">
        <v>4869</v>
      </c>
      <c r="L495">
        <v>3</v>
      </c>
      <c r="M495" t="s">
        <v>41</v>
      </c>
      <c r="N495">
        <v>12</v>
      </c>
      <c r="O495">
        <v>3</v>
      </c>
      <c r="P495">
        <v>0</v>
      </c>
      <c r="Q495">
        <v>20</v>
      </c>
      <c r="R495">
        <v>4</v>
      </c>
      <c r="S495">
        <v>4</v>
      </c>
      <c r="T495">
        <v>0</v>
      </c>
      <c r="U495">
        <v>3</v>
      </c>
      <c r="V495" t="s">
        <v>58</v>
      </c>
      <c r="W495" s="2">
        <v>42798</v>
      </c>
      <c r="Y495" t="s">
        <v>63</v>
      </c>
      <c r="Z495" t="s">
        <v>47</v>
      </c>
      <c r="AA495">
        <v>2</v>
      </c>
      <c r="AB495">
        <v>1</v>
      </c>
      <c r="AC495" t="s">
        <v>41</v>
      </c>
      <c r="AD495" t="s">
        <v>42</v>
      </c>
      <c r="AE495" t="s">
        <v>43</v>
      </c>
      <c r="AF495" s="3">
        <v>665</v>
      </c>
      <c r="AG495" s="3">
        <v>50</v>
      </c>
      <c r="AH495">
        <v>80</v>
      </c>
      <c r="AI495">
        <v>2</v>
      </c>
      <c r="AJ495">
        <v>0</v>
      </c>
      <c r="AL495">
        <v>0</v>
      </c>
      <c r="AM495">
        <v>1</v>
      </c>
      <c r="AN495" t="s">
        <v>768</v>
      </c>
      <c r="AO495" t="s">
        <v>41</v>
      </c>
    </row>
    <row r="496" spans="1:41" x14ac:dyDescent="0.25">
      <c r="A496">
        <v>40</v>
      </c>
      <c r="B496" t="s">
        <v>32</v>
      </c>
      <c r="C496" t="s">
        <v>55</v>
      </c>
      <c r="D496">
        <v>1</v>
      </c>
      <c r="E496" t="s">
        <v>34</v>
      </c>
      <c r="F496">
        <v>1</v>
      </c>
      <c r="G496">
        <v>2</v>
      </c>
      <c r="H496" t="s">
        <v>70</v>
      </c>
      <c r="I496">
        <v>4</v>
      </c>
      <c r="J496" t="s">
        <v>51</v>
      </c>
      <c r="K496">
        <v>7457</v>
      </c>
      <c r="L496">
        <v>2</v>
      </c>
      <c r="M496" t="s">
        <v>31</v>
      </c>
      <c r="N496">
        <v>22</v>
      </c>
      <c r="O496">
        <v>4</v>
      </c>
      <c r="P496">
        <v>3</v>
      </c>
      <c r="Q496">
        <v>6</v>
      </c>
      <c r="R496">
        <v>2</v>
      </c>
      <c r="S496">
        <v>4</v>
      </c>
      <c r="T496">
        <v>0</v>
      </c>
      <c r="U496">
        <v>2</v>
      </c>
      <c r="V496" t="s">
        <v>52</v>
      </c>
      <c r="W496" s="1" t="s">
        <v>280</v>
      </c>
      <c r="Y496" t="s">
        <v>69</v>
      </c>
      <c r="Z496" t="s">
        <v>47</v>
      </c>
      <c r="AA496">
        <v>0</v>
      </c>
      <c r="AB496">
        <v>3</v>
      </c>
      <c r="AC496" t="s">
        <v>31</v>
      </c>
      <c r="AD496" t="s">
        <v>42</v>
      </c>
      <c r="AE496" t="s">
        <v>43</v>
      </c>
      <c r="AF496" s="3">
        <v>666</v>
      </c>
      <c r="AG496" s="3">
        <v>31</v>
      </c>
      <c r="AH496">
        <v>80</v>
      </c>
      <c r="AI496">
        <v>2</v>
      </c>
      <c r="AJ496">
        <v>0</v>
      </c>
      <c r="AL496">
        <v>0</v>
      </c>
      <c r="AM496">
        <v>1</v>
      </c>
      <c r="AN496" t="s">
        <v>768</v>
      </c>
      <c r="AO496" t="s">
        <v>41</v>
      </c>
    </row>
    <row r="497" spans="1:41" x14ac:dyDescent="0.25">
      <c r="A497">
        <v>23</v>
      </c>
      <c r="B497" t="s">
        <v>32</v>
      </c>
      <c r="C497" t="s">
        <v>33</v>
      </c>
      <c r="D497">
        <v>26</v>
      </c>
      <c r="E497" t="s">
        <v>34</v>
      </c>
      <c r="F497">
        <v>3</v>
      </c>
      <c r="G497">
        <v>1</v>
      </c>
      <c r="H497" t="s">
        <v>44</v>
      </c>
      <c r="I497">
        <v>4</v>
      </c>
      <c r="J497" t="s">
        <v>57</v>
      </c>
      <c r="K497">
        <v>2904</v>
      </c>
      <c r="L497">
        <v>1</v>
      </c>
      <c r="M497" t="s">
        <v>41</v>
      </c>
      <c r="N497">
        <v>12</v>
      </c>
      <c r="O497">
        <v>3</v>
      </c>
      <c r="P497">
        <v>2</v>
      </c>
      <c r="Q497">
        <v>4</v>
      </c>
      <c r="R497">
        <v>2</v>
      </c>
      <c r="S497">
        <v>4</v>
      </c>
      <c r="T497">
        <v>0</v>
      </c>
      <c r="U497">
        <v>2</v>
      </c>
      <c r="V497" t="s">
        <v>37</v>
      </c>
      <c r="W497" s="1" t="s">
        <v>281</v>
      </c>
      <c r="Y497" t="s">
        <v>54</v>
      </c>
      <c r="Z497" t="s">
        <v>40</v>
      </c>
      <c r="AA497">
        <v>0</v>
      </c>
      <c r="AB497">
        <v>2</v>
      </c>
      <c r="AC497" t="s">
        <v>31</v>
      </c>
      <c r="AD497" t="s">
        <v>42</v>
      </c>
      <c r="AE497" t="s">
        <v>60</v>
      </c>
      <c r="AF497" s="3">
        <v>667</v>
      </c>
      <c r="AG497" s="3">
        <v>85</v>
      </c>
      <c r="AH497">
        <v>80</v>
      </c>
      <c r="AI497">
        <v>3</v>
      </c>
      <c r="AJ497">
        <v>1</v>
      </c>
      <c r="AK497">
        <v>1</v>
      </c>
      <c r="AL497">
        <v>1</v>
      </c>
      <c r="AM497">
        <v>0</v>
      </c>
      <c r="AN497" t="s">
        <v>767</v>
      </c>
      <c r="AO497" t="s">
        <v>31</v>
      </c>
    </row>
    <row r="498" spans="1:41" x14ac:dyDescent="0.25">
      <c r="A498">
        <v>29</v>
      </c>
      <c r="B498" t="s">
        <v>81</v>
      </c>
      <c r="C498" t="s">
        <v>55</v>
      </c>
      <c r="D498">
        <v>2</v>
      </c>
      <c r="E498" t="s">
        <v>34</v>
      </c>
      <c r="F498">
        <v>3</v>
      </c>
      <c r="G498">
        <v>2</v>
      </c>
      <c r="H498" t="s">
        <v>70</v>
      </c>
      <c r="I498">
        <v>3</v>
      </c>
      <c r="J498" t="s">
        <v>51</v>
      </c>
      <c r="K498">
        <v>4649</v>
      </c>
      <c r="L498">
        <v>1</v>
      </c>
      <c r="M498" t="s">
        <v>41</v>
      </c>
      <c r="N498">
        <v>14</v>
      </c>
      <c r="O498">
        <v>3</v>
      </c>
      <c r="P498">
        <v>1</v>
      </c>
      <c r="Q498">
        <v>4</v>
      </c>
      <c r="R498">
        <v>3</v>
      </c>
      <c r="S498">
        <v>4</v>
      </c>
      <c r="T498">
        <v>0</v>
      </c>
      <c r="U498">
        <v>2</v>
      </c>
      <c r="V498" t="s">
        <v>52</v>
      </c>
      <c r="W498" s="1" t="s">
        <v>282</v>
      </c>
      <c r="Y498" t="s">
        <v>54</v>
      </c>
      <c r="Z498" t="s">
        <v>47</v>
      </c>
      <c r="AA498">
        <v>2</v>
      </c>
      <c r="AB498">
        <v>3</v>
      </c>
      <c r="AC498" t="s">
        <v>41</v>
      </c>
      <c r="AD498" t="s">
        <v>65</v>
      </c>
      <c r="AE498" t="s">
        <v>60</v>
      </c>
      <c r="AF498" s="3">
        <v>669</v>
      </c>
      <c r="AG498" s="3">
        <v>49</v>
      </c>
      <c r="AH498">
        <v>80</v>
      </c>
      <c r="AI498">
        <v>2</v>
      </c>
      <c r="AJ498">
        <v>0</v>
      </c>
      <c r="AL498">
        <v>0</v>
      </c>
      <c r="AM498">
        <v>1</v>
      </c>
      <c r="AN498" t="s">
        <v>768</v>
      </c>
      <c r="AO498" t="s">
        <v>41</v>
      </c>
    </row>
    <row r="499" spans="1:41" x14ac:dyDescent="0.25">
      <c r="A499">
        <v>50</v>
      </c>
      <c r="B499" t="s">
        <v>32</v>
      </c>
      <c r="C499" t="s">
        <v>33</v>
      </c>
      <c r="D499">
        <v>10</v>
      </c>
      <c r="E499" t="s">
        <v>34</v>
      </c>
      <c r="F499">
        <v>2</v>
      </c>
      <c r="G499">
        <v>3</v>
      </c>
      <c r="H499" t="s">
        <v>89</v>
      </c>
      <c r="I499">
        <v>4</v>
      </c>
      <c r="J499" t="s">
        <v>36</v>
      </c>
      <c r="K499">
        <v>10496</v>
      </c>
      <c r="L499">
        <v>6</v>
      </c>
      <c r="M499" t="s">
        <v>41</v>
      </c>
      <c r="N499">
        <v>15</v>
      </c>
      <c r="O499">
        <v>3</v>
      </c>
      <c r="P499">
        <v>0</v>
      </c>
      <c r="Q499">
        <v>20</v>
      </c>
      <c r="R499">
        <v>2</v>
      </c>
      <c r="S499">
        <v>4</v>
      </c>
      <c r="T499">
        <v>1</v>
      </c>
      <c r="U499">
        <v>3</v>
      </c>
      <c r="V499" t="s">
        <v>37</v>
      </c>
      <c r="W499" s="1" t="s">
        <v>283</v>
      </c>
      <c r="Y499" t="s">
        <v>54</v>
      </c>
      <c r="Z499" t="s">
        <v>47</v>
      </c>
      <c r="AA499">
        <v>2</v>
      </c>
      <c r="AB499">
        <v>1</v>
      </c>
      <c r="AC499" t="s">
        <v>31</v>
      </c>
      <c r="AD499" t="s">
        <v>67</v>
      </c>
      <c r="AE499" t="s">
        <v>43</v>
      </c>
      <c r="AF499" s="3">
        <v>671</v>
      </c>
      <c r="AG499" s="3">
        <v>35</v>
      </c>
      <c r="AH499">
        <v>80</v>
      </c>
      <c r="AI499">
        <v>2</v>
      </c>
      <c r="AJ499">
        <v>0</v>
      </c>
      <c r="AL499">
        <v>0</v>
      </c>
      <c r="AM499">
        <v>1</v>
      </c>
      <c r="AN499" t="s">
        <v>768</v>
      </c>
      <c r="AO499" t="s">
        <v>41</v>
      </c>
    </row>
    <row r="500" spans="1:41" x14ac:dyDescent="0.25">
      <c r="A500">
        <v>54</v>
      </c>
      <c r="B500" t="s">
        <v>32</v>
      </c>
      <c r="C500" t="s">
        <v>33</v>
      </c>
      <c r="D500">
        <v>5</v>
      </c>
      <c r="E500" t="s">
        <v>34</v>
      </c>
      <c r="F500">
        <v>3</v>
      </c>
      <c r="G500">
        <v>5</v>
      </c>
      <c r="H500" t="s">
        <v>50</v>
      </c>
      <c r="I500">
        <v>1</v>
      </c>
      <c r="J500" t="s">
        <v>51</v>
      </c>
      <c r="K500">
        <v>19406</v>
      </c>
      <c r="L500">
        <v>4</v>
      </c>
      <c r="M500" t="s">
        <v>41</v>
      </c>
      <c r="N500">
        <v>11</v>
      </c>
      <c r="O500">
        <v>3</v>
      </c>
      <c r="P500">
        <v>1</v>
      </c>
      <c r="Q500">
        <v>24</v>
      </c>
      <c r="R500">
        <v>4</v>
      </c>
      <c r="S500">
        <v>4</v>
      </c>
      <c r="T500">
        <v>1</v>
      </c>
      <c r="U500">
        <v>2</v>
      </c>
      <c r="V500" t="s">
        <v>52</v>
      </c>
      <c r="W500" s="1" t="s">
        <v>284</v>
      </c>
      <c r="Y500" t="s">
        <v>54</v>
      </c>
      <c r="Z500" t="s">
        <v>47</v>
      </c>
      <c r="AA500">
        <v>0</v>
      </c>
      <c r="AB500">
        <v>3</v>
      </c>
      <c r="AC500" t="s">
        <v>31</v>
      </c>
      <c r="AD500" t="s">
        <v>48</v>
      </c>
      <c r="AE500" t="s">
        <v>49</v>
      </c>
      <c r="AF500" s="3">
        <v>675</v>
      </c>
      <c r="AG500" s="3">
        <v>69</v>
      </c>
      <c r="AH500">
        <v>80</v>
      </c>
      <c r="AI500">
        <v>2</v>
      </c>
      <c r="AJ500">
        <v>0</v>
      </c>
      <c r="AL500">
        <v>0</v>
      </c>
      <c r="AM500">
        <v>1</v>
      </c>
      <c r="AN500" t="s">
        <v>768</v>
      </c>
      <c r="AO500" t="s">
        <v>41</v>
      </c>
    </row>
    <row r="501" spans="1:41" x14ac:dyDescent="0.25">
      <c r="A501">
        <v>31</v>
      </c>
      <c r="B501" t="s">
        <v>32</v>
      </c>
      <c r="C501" t="s">
        <v>33</v>
      </c>
      <c r="D501">
        <v>1</v>
      </c>
      <c r="E501" t="s">
        <v>34</v>
      </c>
      <c r="F501">
        <v>2</v>
      </c>
      <c r="G501">
        <v>1</v>
      </c>
      <c r="H501" t="s">
        <v>35</v>
      </c>
      <c r="I501">
        <v>1</v>
      </c>
      <c r="J501" t="s">
        <v>51</v>
      </c>
      <c r="K501">
        <v>2218</v>
      </c>
      <c r="L501">
        <v>1</v>
      </c>
      <c r="M501" t="s">
        <v>41</v>
      </c>
      <c r="N501">
        <v>12</v>
      </c>
      <c r="O501">
        <v>3</v>
      </c>
      <c r="P501">
        <v>1</v>
      </c>
      <c r="Q501">
        <v>4</v>
      </c>
      <c r="R501">
        <v>3</v>
      </c>
      <c r="S501">
        <v>4</v>
      </c>
      <c r="T501">
        <v>3</v>
      </c>
      <c r="U501">
        <v>2</v>
      </c>
      <c r="V501" t="s">
        <v>37</v>
      </c>
      <c r="W501" s="2">
        <v>43075</v>
      </c>
      <c r="Y501" t="s">
        <v>69</v>
      </c>
      <c r="Z501" t="s">
        <v>40</v>
      </c>
      <c r="AA501">
        <v>0</v>
      </c>
      <c r="AB501">
        <v>1</v>
      </c>
      <c r="AC501" t="s">
        <v>41</v>
      </c>
      <c r="AD501" t="s">
        <v>65</v>
      </c>
      <c r="AE501" t="s">
        <v>60</v>
      </c>
      <c r="AF501" s="3">
        <v>677</v>
      </c>
      <c r="AG501" s="3">
        <v>39</v>
      </c>
      <c r="AH501">
        <v>80</v>
      </c>
      <c r="AI501">
        <v>0</v>
      </c>
      <c r="AJ501">
        <v>0</v>
      </c>
      <c r="AL501">
        <v>0</v>
      </c>
      <c r="AM501">
        <v>1</v>
      </c>
      <c r="AN501" t="s">
        <v>768</v>
      </c>
      <c r="AO501" t="s">
        <v>41</v>
      </c>
    </row>
    <row r="502" spans="1:41" x14ac:dyDescent="0.25">
      <c r="A502">
        <v>33</v>
      </c>
      <c r="B502" t="s">
        <v>32</v>
      </c>
      <c r="C502" t="s">
        <v>33</v>
      </c>
      <c r="D502">
        <v>10</v>
      </c>
      <c r="E502" t="s">
        <v>34</v>
      </c>
      <c r="F502">
        <v>1</v>
      </c>
      <c r="G502">
        <v>1</v>
      </c>
      <c r="H502" t="s">
        <v>35</v>
      </c>
      <c r="I502">
        <v>4</v>
      </c>
      <c r="J502" t="s">
        <v>57</v>
      </c>
      <c r="K502">
        <v>3408</v>
      </c>
      <c r="L502">
        <v>7</v>
      </c>
      <c r="M502" t="s">
        <v>41</v>
      </c>
      <c r="N502">
        <v>13</v>
      </c>
      <c r="O502">
        <v>3</v>
      </c>
      <c r="P502">
        <v>3</v>
      </c>
      <c r="Q502">
        <v>8</v>
      </c>
      <c r="R502">
        <v>2</v>
      </c>
      <c r="S502">
        <v>4</v>
      </c>
      <c r="T502">
        <v>1</v>
      </c>
      <c r="U502">
        <v>3</v>
      </c>
      <c r="V502" t="s">
        <v>72</v>
      </c>
      <c r="W502" s="1" t="s">
        <v>285</v>
      </c>
      <c r="Y502" t="s">
        <v>63</v>
      </c>
      <c r="Z502" t="s">
        <v>47</v>
      </c>
      <c r="AA502">
        <v>2</v>
      </c>
      <c r="AB502">
        <v>2</v>
      </c>
      <c r="AC502" t="s">
        <v>41</v>
      </c>
      <c r="AD502" t="s">
        <v>67</v>
      </c>
      <c r="AE502" t="s">
        <v>49</v>
      </c>
      <c r="AF502" s="3">
        <v>679</v>
      </c>
      <c r="AG502" s="3">
        <v>92</v>
      </c>
      <c r="AH502">
        <v>80</v>
      </c>
      <c r="AI502">
        <v>4</v>
      </c>
      <c r="AJ502">
        <v>0</v>
      </c>
      <c r="AL502">
        <v>0</v>
      </c>
      <c r="AM502">
        <v>1</v>
      </c>
      <c r="AN502" t="s">
        <v>768</v>
      </c>
      <c r="AO502" t="s">
        <v>41</v>
      </c>
    </row>
    <row r="503" spans="1:41" x14ac:dyDescent="0.25">
      <c r="A503">
        <v>32</v>
      </c>
      <c r="B503" t="s">
        <v>81</v>
      </c>
      <c r="C503" t="s">
        <v>55</v>
      </c>
      <c r="D503">
        <v>11</v>
      </c>
      <c r="E503" t="s">
        <v>34</v>
      </c>
      <c r="F503">
        <v>4</v>
      </c>
      <c r="G503">
        <v>2</v>
      </c>
      <c r="H503" t="s">
        <v>70</v>
      </c>
      <c r="I503">
        <v>3</v>
      </c>
      <c r="J503" t="s">
        <v>51</v>
      </c>
      <c r="K503">
        <v>4707</v>
      </c>
      <c r="L503">
        <v>8</v>
      </c>
      <c r="M503" t="s">
        <v>41</v>
      </c>
      <c r="N503">
        <v>12</v>
      </c>
      <c r="O503">
        <v>3</v>
      </c>
      <c r="P503">
        <v>0</v>
      </c>
      <c r="Q503">
        <v>6</v>
      </c>
      <c r="R503">
        <v>2</v>
      </c>
      <c r="S503">
        <v>4</v>
      </c>
      <c r="T503">
        <v>1</v>
      </c>
      <c r="U503">
        <v>2</v>
      </c>
      <c r="V503" t="s">
        <v>52</v>
      </c>
      <c r="W503" s="1" t="s">
        <v>268</v>
      </c>
      <c r="Y503" t="s">
        <v>63</v>
      </c>
      <c r="Z503" t="s">
        <v>47</v>
      </c>
      <c r="AA503">
        <v>0</v>
      </c>
      <c r="AB503">
        <v>1</v>
      </c>
      <c r="AC503" t="s">
        <v>41</v>
      </c>
      <c r="AD503" t="s">
        <v>67</v>
      </c>
      <c r="AE503" t="s">
        <v>60</v>
      </c>
      <c r="AF503" s="3">
        <v>680</v>
      </c>
      <c r="AG503" s="3">
        <v>71</v>
      </c>
      <c r="AH503">
        <v>80</v>
      </c>
      <c r="AI503">
        <v>0</v>
      </c>
      <c r="AJ503">
        <v>0</v>
      </c>
      <c r="AL503">
        <v>0</v>
      </c>
      <c r="AM503">
        <v>1</v>
      </c>
      <c r="AN503" t="s">
        <v>768</v>
      </c>
      <c r="AO503" t="s">
        <v>41</v>
      </c>
    </row>
    <row r="504" spans="1:41" x14ac:dyDescent="0.25">
      <c r="A504">
        <v>27</v>
      </c>
      <c r="B504" t="s">
        <v>32</v>
      </c>
      <c r="C504" t="s">
        <v>55</v>
      </c>
      <c r="D504">
        <v>2</v>
      </c>
      <c r="E504" t="s">
        <v>34</v>
      </c>
      <c r="F504">
        <v>3</v>
      </c>
      <c r="G504">
        <v>1</v>
      </c>
      <c r="H504" t="s">
        <v>56</v>
      </c>
      <c r="I504">
        <v>1</v>
      </c>
      <c r="J504" t="s">
        <v>57</v>
      </c>
      <c r="K504">
        <v>3041</v>
      </c>
      <c r="L504">
        <v>0</v>
      </c>
      <c r="M504" t="s">
        <v>41</v>
      </c>
      <c r="N504">
        <v>11</v>
      </c>
      <c r="O504">
        <v>3</v>
      </c>
      <c r="P504">
        <v>1</v>
      </c>
      <c r="Q504">
        <v>5</v>
      </c>
      <c r="R504">
        <v>3</v>
      </c>
      <c r="S504">
        <v>4</v>
      </c>
      <c r="T504">
        <v>0</v>
      </c>
      <c r="U504">
        <v>2</v>
      </c>
      <c r="V504" t="s">
        <v>72</v>
      </c>
      <c r="W504" s="2">
        <v>42982</v>
      </c>
      <c r="Y504" t="s">
        <v>54</v>
      </c>
      <c r="Z504" t="s">
        <v>40</v>
      </c>
      <c r="AA504">
        <v>0</v>
      </c>
      <c r="AB504">
        <v>2</v>
      </c>
      <c r="AC504" t="s">
        <v>41</v>
      </c>
      <c r="AD504" t="s">
        <v>65</v>
      </c>
      <c r="AE504" t="s">
        <v>49</v>
      </c>
      <c r="AF504" s="3">
        <v>682</v>
      </c>
      <c r="AG504" s="3">
        <v>34</v>
      </c>
      <c r="AH504">
        <v>80</v>
      </c>
      <c r="AI504">
        <v>7</v>
      </c>
      <c r="AJ504">
        <v>0</v>
      </c>
      <c r="AL504">
        <v>0</v>
      </c>
      <c r="AM504">
        <v>1</v>
      </c>
      <c r="AN504" t="s">
        <v>768</v>
      </c>
      <c r="AO504" t="s">
        <v>41</v>
      </c>
    </row>
    <row r="505" spans="1:41" x14ac:dyDescent="0.25">
      <c r="A505">
        <v>27</v>
      </c>
      <c r="B505" t="s">
        <v>32</v>
      </c>
      <c r="C505" t="s">
        <v>33</v>
      </c>
      <c r="D505">
        <v>3</v>
      </c>
      <c r="E505" t="s">
        <v>34</v>
      </c>
      <c r="F505">
        <v>2</v>
      </c>
      <c r="G505">
        <v>1</v>
      </c>
      <c r="H505" t="s">
        <v>44</v>
      </c>
      <c r="I505">
        <v>4</v>
      </c>
      <c r="J505" t="s">
        <v>36</v>
      </c>
      <c r="K505">
        <v>2045</v>
      </c>
      <c r="L505">
        <v>0</v>
      </c>
      <c r="M505" t="s">
        <v>41</v>
      </c>
      <c r="N505">
        <v>13</v>
      </c>
      <c r="O505">
        <v>3</v>
      </c>
      <c r="P505">
        <v>0</v>
      </c>
      <c r="Q505">
        <v>5</v>
      </c>
      <c r="R505">
        <v>0</v>
      </c>
      <c r="S505">
        <v>4</v>
      </c>
      <c r="T505">
        <v>1</v>
      </c>
      <c r="U505">
        <v>1</v>
      </c>
      <c r="V505" t="s">
        <v>72</v>
      </c>
      <c r="W505" s="2">
        <v>43043</v>
      </c>
      <c r="Y505" t="s">
        <v>69</v>
      </c>
      <c r="Z505" t="s">
        <v>47</v>
      </c>
      <c r="AA505">
        <v>0</v>
      </c>
      <c r="AB505">
        <v>2</v>
      </c>
      <c r="AC505" t="s">
        <v>41</v>
      </c>
      <c r="AD505" t="s">
        <v>48</v>
      </c>
      <c r="AE505" t="s">
        <v>60</v>
      </c>
      <c r="AF505" s="3">
        <v>683</v>
      </c>
      <c r="AG505" s="3">
        <v>42</v>
      </c>
      <c r="AH505">
        <v>80</v>
      </c>
      <c r="AI505">
        <v>9</v>
      </c>
      <c r="AJ505">
        <v>0</v>
      </c>
      <c r="AL505">
        <v>0</v>
      </c>
      <c r="AM505">
        <v>1</v>
      </c>
      <c r="AN505" t="s">
        <v>768</v>
      </c>
      <c r="AO505" t="s">
        <v>41</v>
      </c>
    </row>
    <row r="506" spans="1:41" x14ac:dyDescent="0.25">
      <c r="A506">
        <v>50</v>
      </c>
      <c r="B506" t="s">
        <v>66</v>
      </c>
      <c r="C506" t="s">
        <v>55</v>
      </c>
      <c r="D506">
        <v>8</v>
      </c>
      <c r="E506" t="s">
        <v>34</v>
      </c>
      <c r="F506">
        <v>3</v>
      </c>
      <c r="G506">
        <v>2</v>
      </c>
      <c r="H506" t="s">
        <v>70</v>
      </c>
      <c r="I506">
        <v>3</v>
      </c>
      <c r="J506" t="s">
        <v>51</v>
      </c>
      <c r="K506">
        <v>6796</v>
      </c>
      <c r="L506">
        <v>3</v>
      </c>
      <c r="M506" t="s">
        <v>31</v>
      </c>
      <c r="N506">
        <v>14</v>
      </c>
      <c r="O506">
        <v>3</v>
      </c>
      <c r="P506">
        <v>1</v>
      </c>
      <c r="Q506">
        <v>18</v>
      </c>
      <c r="R506">
        <v>4</v>
      </c>
      <c r="S506">
        <v>4</v>
      </c>
      <c r="T506">
        <v>1</v>
      </c>
      <c r="U506">
        <v>3</v>
      </c>
      <c r="V506" t="s">
        <v>72</v>
      </c>
      <c r="W506" s="1" t="s">
        <v>286</v>
      </c>
      <c r="Y506" t="s">
        <v>63</v>
      </c>
      <c r="Z506" t="s">
        <v>40</v>
      </c>
      <c r="AA506">
        <v>3</v>
      </c>
      <c r="AB506">
        <v>1</v>
      </c>
      <c r="AC506" t="s">
        <v>41</v>
      </c>
      <c r="AD506" t="s">
        <v>48</v>
      </c>
      <c r="AE506" t="s">
        <v>60</v>
      </c>
      <c r="AF506" s="3">
        <v>684</v>
      </c>
      <c r="AG506" s="3">
        <v>100</v>
      </c>
      <c r="AH506">
        <v>80</v>
      </c>
      <c r="AI506">
        <v>1</v>
      </c>
      <c r="AJ506">
        <v>1</v>
      </c>
      <c r="AK506">
        <v>1</v>
      </c>
      <c r="AL506">
        <v>1</v>
      </c>
      <c r="AM506">
        <v>0</v>
      </c>
      <c r="AN506" t="s">
        <v>767</v>
      </c>
      <c r="AO506" t="s">
        <v>31</v>
      </c>
    </row>
    <row r="507" spans="1:41" x14ac:dyDescent="0.25">
      <c r="A507">
        <v>23</v>
      </c>
      <c r="B507" t="s">
        <v>32</v>
      </c>
      <c r="C507" t="s">
        <v>33</v>
      </c>
      <c r="D507">
        <v>9</v>
      </c>
      <c r="E507" t="s">
        <v>34</v>
      </c>
      <c r="F507">
        <v>3</v>
      </c>
      <c r="G507">
        <v>1</v>
      </c>
      <c r="H507" t="s">
        <v>35</v>
      </c>
      <c r="I507">
        <v>1</v>
      </c>
      <c r="J507" t="s">
        <v>51</v>
      </c>
      <c r="K507">
        <v>2500</v>
      </c>
      <c r="L507">
        <v>1</v>
      </c>
      <c r="M507" t="s">
        <v>41</v>
      </c>
      <c r="N507">
        <v>14</v>
      </c>
      <c r="O507">
        <v>3</v>
      </c>
      <c r="P507">
        <v>1</v>
      </c>
      <c r="Q507">
        <v>5</v>
      </c>
      <c r="R507">
        <v>2</v>
      </c>
      <c r="S507">
        <v>4</v>
      </c>
      <c r="T507">
        <v>0</v>
      </c>
      <c r="U507">
        <v>2</v>
      </c>
      <c r="V507" t="s">
        <v>72</v>
      </c>
      <c r="W507" s="2">
        <v>42798</v>
      </c>
      <c r="Y507" t="s">
        <v>46</v>
      </c>
      <c r="Z507" t="s">
        <v>40</v>
      </c>
      <c r="AA507">
        <v>3</v>
      </c>
      <c r="AB507">
        <v>0</v>
      </c>
      <c r="AC507" t="s">
        <v>31</v>
      </c>
      <c r="AD507" t="s">
        <v>65</v>
      </c>
      <c r="AE507" t="s">
        <v>49</v>
      </c>
      <c r="AF507" s="3">
        <v>686</v>
      </c>
      <c r="AG507" s="3">
        <v>71</v>
      </c>
      <c r="AH507">
        <v>80</v>
      </c>
      <c r="AI507">
        <v>2</v>
      </c>
      <c r="AJ507">
        <v>0</v>
      </c>
      <c r="AL507">
        <v>0</v>
      </c>
      <c r="AM507">
        <v>1</v>
      </c>
      <c r="AN507" t="s">
        <v>768</v>
      </c>
      <c r="AO507" t="s">
        <v>41</v>
      </c>
    </row>
    <row r="508" spans="1:41" x14ac:dyDescent="0.25">
      <c r="A508">
        <v>40</v>
      </c>
      <c r="B508" t="s">
        <v>32</v>
      </c>
      <c r="C508" t="s">
        <v>33</v>
      </c>
      <c r="D508">
        <v>2</v>
      </c>
      <c r="E508" t="s">
        <v>61</v>
      </c>
      <c r="F508">
        <v>2</v>
      </c>
      <c r="G508">
        <v>1</v>
      </c>
      <c r="H508" t="s">
        <v>44</v>
      </c>
      <c r="I508">
        <v>4</v>
      </c>
      <c r="J508" t="s">
        <v>36</v>
      </c>
      <c r="K508">
        <v>2342</v>
      </c>
      <c r="L508">
        <v>0</v>
      </c>
      <c r="M508" t="s">
        <v>31</v>
      </c>
      <c r="N508">
        <v>20</v>
      </c>
      <c r="O508">
        <v>4</v>
      </c>
      <c r="P508">
        <v>0</v>
      </c>
      <c r="Q508">
        <v>5</v>
      </c>
      <c r="R508">
        <v>2</v>
      </c>
      <c r="S508">
        <v>4</v>
      </c>
      <c r="T508">
        <v>2</v>
      </c>
      <c r="U508">
        <v>3</v>
      </c>
      <c r="V508" t="s">
        <v>52</v>
      </c>
      <c r="W508" s="2">
        <v>42922</v>
      </c>
      <c r="Y508" t="s">
        <v>54</v>
      </c>
      <c r="Z508" t="s">
        <v>47</v>
      </c>
      <c r="AA508">
        <v>3</v>
      </c>
      <c r="AB508">
        <v>3</v>
      </c>
      <c r="AC508" t="s">
        <v>41</v>
      </c>
      <c r="AD508" t="s">
        <v>42</v>
      </c>
      <c r="AE508" t="s">
        <v>49</v>
      </c>
      <c r="AF508" s="3">
        <v>689</v>
      </c>
      <c r="AG508" s="3">
        <v>36</v>
      </c>
      <c r="AH508">
        <v>80</v>
      </c>
      <c r="AI508">
        <v>7</v>
      </c>
      <c r="AJ508">
        <v>0</v>
      </c>
      <c r="AL508">
        <v>0</v>
      </c>
      <c r="AM508">
        <v>1</v>
      </c>
      <c r="AN508" t="s">
        <v>768</v>
      </c>
      <c r="AO508" t="s">
        <v>41</v>
      </c>
    </row>
    <row r="509" spans="1:41" x14ac:dyDescent="0.25">
      <c r="A509">
        <v>52</v>
      </c>
      <c r="B509" t="s">
        <v>81</v>
      </c>
      <c r="C509" t="s">
        <v>33</v>
      </c>
      <c r="D509">
        <v>19</v>
      </c>
      <c r="E509" t="s">
        <v>34</v>
      </c>
      <c r="F509">
        <v>3</v>
      </c>
      <c r="G509">
        <v>1</v>
      </c>
      <c r="H509" t="s">
        <v>44</v>
      </c>
      <c r="I509">
        <v>4</v>
      </c>
      <c r="J509" t="s">
        <v>51</v>
      </c>
      <c r="K509">
        <v>4258</v>
      </c>
      <c r="L509">
        <v>0</v>
      </c>
      <c r="M509" t="s">
        <v>41</v>
      </c>
      <c r="N509">
        <v>18</v>
      </c>
      <c r="O509">
        <v>3</v>
      </c>
      <c r="P509">
        <v>1</v>
      </c>
      <c r="Q509">
        <v>5</v>
      </c>
      <c r="R509">
        <v>3</v>
      </c>
      <c r="S509">
        <v>4</v>
      </c>
      <c r="T509">
        <v>1</v>
      </c>
      <c r="U509">
        <v>2</v>
      </c>
      <c r="V509" t="s">
        <v>37</v>
      </c>
      <c r="W509" s="2">
        <v>42860</v>
      </c>
      <c r="Y509" t="s">
        <v>46</v>
      </c>
      <c r="Z509" t="s">
        <v>47</v>
      </c>
      <c r="AA509">
        <v>0</v>
      </c>
      <c r="AB509">
        <v>1</v>
      </c>
      <c r="AC509" t="s">
        <v>41</v>
      </c>
      <c r="AD509" t="s">
        <v>48</v>
      </c>
      <c r="AE509" t="s">
        <v>60</v>
      </c>
      <c r="AF509" s="3">
        <v>690</v>
      </c>
      <c r="AG509" s="3">
        <v>62</v>
      </c>
      <c r="AH509">
        <v>80</v>
      </c>
      <c r="AI509">
        <v>0</v>
      </c>
      <c r="AJ509">
        <v>0</v>
      </c>
      <c r="AL509">
        <v>0</v>
      </c>
      <c r="AM509">
        <v>1</v>
      </c>
      <c r="AN509" t="s">
        <v>768</v>
      </c>
      <c r="AO509" t="s">
        <v>41</v>
      </c>
    </row>
    <row r="510" spans="1:41" x14ac:dyDescent="0.25">
      <c r="A510">
        <v>26</v>
      </c>
      <c r="B510" t="s">
        <v>32</v>
      </c>
      <c r="C510" t="s">
        <v>55</v>
      </c>
      <c r="D510">
        <v>8</v>
      </c>
      <c r="E510" t="s">
        <v>34</v>
      </c>
      <c r="F510">
        <v>2</v>
      </c>
      <c r="G510">
        <v>2</v>
      </c>
      <c r="H510" t="s">
        <v>70</v>
      </c>
      <c r="I510">
        <v>1</v>
      </c>
      <c r="J510" t="s">
        <v>36</v>
      </c>
      <c r="K510">
        <v>5326</v>
      </c>
      <c r="L510">
        <v>6</v>
      </c>
      <c r="M510" t="s">
        <v>41</v>
      </c>
      <c r="N510">
        <v>17</v>
      </c>
      <c r="O510">
        <v>3</v>
      </c>
      <c r="P510">
        <v>0</v>
      </c>
      <c r="Q510">
        <v>6</v>
      </c>
      <c r="R510">
        <v>2</v>
      </c>
      <c r="S510">
        <v>4</v>
      </c>
      <c r="T510">
        <v>1</v>
      </c>
      <c r="U510">
        <v>2</v>
      </c>
      <c r="V510" t="s">
        <v>72</v>
      </c>
      <c r="W510" s="2">
        <v>42829</v>
      </c>
      <c r="Y510" t="s">
        <v>54</v>
      </c>
      <c r="Z510" t="s">
        <v>47</v>
      </c>
      <c r="AA510">
        <v>0</v>
      </c>
      <c r="AB510">
        <v>1</v>
      </c>
      <c r="AC510" t="s">
        <v>31</v>
      </c>
      <c r="AD510" t="s">
        <v>48</v>
      </c>
      <c r="AE510" t="s">
        <v>49</v>
      </c>
      <c r="AF510" s="3">
        <v>691</v>
      </c>
      <c r="AG510" s="3">
        <v>82</v>
      </c>
      <c r="AH510">
        <v>80</v>
      </c>
      <c r="AI510">
        <v>11</v>
      </c>
      <c r="AJ510">
        <v>0</v>
      </c>
      <c r="AL510">
        <v>0</v>
      </c>
      <c r="AM510">
        <v>1</v>
      </c>
      <c r="AN510" t="s">
        <v>768</v>
      </c>
      <c r="AO510" t="s">
        <v>41</v>
      </c>
    </row>
    <row r="511" spans="1:41" x14ac:dyDescent="0.25">
      <c r="A511">
        <v>34</v>
      </c>
      <c r="B511" t="s">
        <v>32</v>
      </c>
      <c r="C511" t="s">
        <v>33</v>
      </c>
      <c r="D511">
        <v>1</v>
      </c>
      <c r="E511" t="s">
        <v>61</v>
      </c>
      <c r="F511">
        <v>4</v>
      </c>
      <c r="G511">
        <v>1</v>
      </c>
      <c r="H511" t="s">
        <v>44</v>
      </c>
      <c r="I511">
        <v>4</v>
      </c>
      <c r="J511" t="s">
        <v>36</v>
      </c>
      <c r="K511">
        <v>3280</v>
      </c>
      <c r="L511">
        <v>2</v>
      </c>
      <c r="M511" t="s">
        <v>41</v>
      </c>
      <c r="N511">
        <v>16</v>
      </c>
      <c r="O511">
        <v>3</v>
      </c>
      <c r="P511">
        <v>0</v>
      </c>
      <c r="Q511">
        <v>10</v>
      </c>
      <c r="R511">
        <v>2</v>
      </c>
      <c r="S511">
        <v>4</v>
      </c>
      <c r="T511">
        <v>1</v>
      </c>
      <c r="U511">
        <v>3</v>
      </c>
      <c r="V511" t="s">
        <v>52</v>
      </c>
      <c r="W511" s="2">
        <v>42918</v>
      </c>
      <c r="Y511" t="s">
        <v>54</v>
      </c>
      <c r="Z511" t="s">
        <v>47</v>
      </c>
      <c r="AA511">
        <v>1</v>
      </c>
      <c r="AB511">
        <v>2</v>
      </c>
      <c r="AC511" t="s">
        <v>31</v>
      </c>
      <c r="AD511" t="s">
        <v>67</v>
      </c>
      <c r="AE511" t="s">
        <v>43</v>
      </c>
      <c r="AF511" s="3">
        <v>692</v>
      </c>
      <c r="AG511" s="3">
        <v>30</v>
      </c>
      <c r="AH511">
        <v>80</v>
      </c>
      <c r="AI511">
        <v>11</v>
      </c>
      <c r="AJ511">
        <v>0</v>
      </c>
      <c r="AL511">
        <v>0</v>
      </c>
      <c r="AM511">
        <v>1</v>
      </c>
      <c r="AN511" t="s">
        <v>768</v>
      </c>
      <c r="AO511" t="s">
        <v>41</v>
      </c>
    </row>
    <row r="512" spans="1:41" x14ac:dyDescent="0.25">
      <c r="A512">
        <v>27</v>
      </c>
      <c r="B512" t="s">
        <v>66</v>
      </c>
      <c r="C512" t="s">
        <v>55</v>
      </c>
      <c r="D512">
        <v>8</v>
      </c>
      <c r="E512" t="s">
        <v>34</v>
      </c>
      <c r="F512">
        <v>3</v>
      </c>
      <c r="G512">
        <v>2</v>
      </c>
      <c r="H512" t="s">
        <v>70</v>
      </c>
      <c r="I512">
        <v>4</v>
      </c>
      <c r="J512" t="s">
        <v>51</v>
      </c>
      <c r="K512">
        <v>4342</v>
      </c>
      <c r="L512">
        <v>0</v>
      </c>
      <c r="M512" t="s">
        <v>41</v>
      </c>
      <c r="N512">
        <v>19</v>
      </c>
      <c r="O512">
        <v>3</v>
      </c>
      <c r="P512">
        <v>1</v>
      </c>
      <c r="Q512">
        <v>5</v>
      </c>
      <c r="R512">
        <v>3</v>
      </c>
      <c r="S512">
        <v>4</v>
      </c>
      <c r="T512">
        <v>1</v>
      </c>
      <c r="U512">
        <v>1</v>
      </c>
      <c r="V512" t="s">
        <v>72</v>
      </c>
      <c r="W512" s="1" t="s">
        <v>280</v>
      </c>
      <c r="Y512" t="s">
        <v>46</v>
      </c>
      <c r="Z512" t="s">
        <v>40</v>
      </c>
      <c r="AA512">
        <v>4</v>
      </c>
      <c r="AB512">
        <v>2</v>
      </c>
      <c r="AC512" t="s">
        <v>31</v>
      </c>
      <c r="AD512" t="s">
        <v>48</v>
      </c>
      <c r="AE512" t="s">
        <v>49</v>
      </c>
      <c r="AF512" s="3">
        <v>698</v>
      </c>
      <c r="AG512" s="3">
        <v>88</v>
      </c>
      <c r="AH512">
        <v>80</v>
      </c>
      <c r="AI512">
        <v>7</v>
      </c>
      <c r="AJ512">
        <v>0</v>
      </c>
      <c r="AL512">
        <v>0</v>
      </c>
      <c r="AM512">
        <v>1</v>
      </c>
      <c r="AN512" t="s">
        <v>768</v>
      </c>
      <c r="AO512" t="s">
        <v>41</v>
      </c>
    </row>
    <row r="513" spans="1:41" x14ac:dyDescent="0.25">
      <c r="A513">
        <v>50</v>
      </c>
      <c r="B513" t="s">
        <v>32</v>
      </c>
      <c r="C513" t="s">
        <v>33</v>
      </c>
      <c r="D513">
        <v>2</v>
      </c>
      <c r="E513" t="s">
        <v>34</v>
      </c>
      <c r="F513">
        <v>3</v>
      </c>
      <c r="G513">
        <v>4</v>
      </c>
      <c r="H513" t="s">
        <v>50</v>
      </c>
      <c r="I513">
        <v>3</v>
      </c>
      <c r="J513" t="s">
        <v>51</v>
      </c>
      <c r="K513">
        <v>17639</v>
      </c>
      <c r="L513">
        <v>5</v>
      </c>
      <c r="M513" t="s">
        <v>41</v>
      </c>
      <c r="N513">
        <v>16</v>
      </c>
      <c r="O513">
        <v>3</v>
      </c>
      <c r="P513">
        <v>0</v>
      </c>
      <c r="Q513">
        <v>30</v>
      </c>
      <c r="R513">
        <v>3</v>
      </c>
      <c r="S513">
        <v>4</v>
      </c>
      <c r="T513">
        <v>0</v>
      </c>
      <c r="U513">
        <v>3</v>
      </c>
      <c r="V513" t="s">
        <v>52</v>
      </c>
      <c r="W513" s="1" t="s">
        <v>287</v>
      </c>
      <c r="Y513" t="s">
        <v>39</v>
      </c>
      <c r="Z513" t="s">
        <v>40</v>
      </c>
      <c r="AA513">
        <v>1</v>
      </c>
      <c r="AB513">
        <v>3</v>
      </c>
      <c r="AC513" t="s">
        <v>31</v>
      </c>
      <c r="AD513" t="s">
        <v>65</v>
      </c>
      <c r="AE513" t="s">
        <v>49</v>
      </c>
      <c r="AF513" s="3">
        <v>699</v>
      </c>
      <c r="AG513" s="3">
        <v>48</v>
      </c>
      <c r="AH513">
        <v>80</v>
      </c>
      <c r="AI513">
        <v>2</v>
      </c>
      <c r="AJ513">
        <v>0</v>
      </c>
      <c r="AL513">
        <v>0</v>
      </c>
      <c r="AM513">
        <v>1</v>
      </c>
      <c r="AN513" t="s">
        <v>768</v>
      </c>
      <c r="AO513" t="s">
        <v>41</v>
      </c>
    </row>
    <row r="514" spans="1:41" x14ac:dyDescent="0.25">
      <c r="A514">
        <v>42</v>
      </c>
      <c r="B514" t="s">
        <v>32</v>
      </c>
      <c r="C514" t="s">
        <v>33</v>
      </c>
      <c r="D514">
        <v>1</v>
      </c>
      <c r="E514" t="s">
        <v>61</v>
      </c>
      <c r="F514">
        <v>2</v>
      </c>
      <c r="G514">
        <v>2</v>
      </c>
      <c r="H514" t="s">
        <v>78</v>
      </c>
      <c r="I514">
        <v>4</v>
      </c>
      <c r="J514" t="s">
        <v>51</v>
      </c>
      <c r="K514">
        <v>6062</v>
      </c>
      <c r="L514">
        <v>9</v>
      </c>
      <c r="M514" t="s">
        <v>31</v>
      </c>
      <c r="N514">
        <v>13</v>
      </c>
      <c r="O514">
        <v>3</v>
      </c>
      <c r="P514">
        <v>1</v>
      </c>
      <c r="Q514">
        <v>8</v>
      </c>
      <c r="R514">
        <v>4</v>
      </c>
      <c r="S514">
        <v>4</v>
      </c>
      <c r="T514">
        <v>0</v>
      </c>
      <c r="U514">
        <v>2</v>
      </c>
      <c r="V514" t="s">
        <v>37</v>
      </c>
      <c r="W514" s="2">
        <v>42917</v>
      </c>
      <c r="Y514" t="s">
        <v>46</v>
      </c>
      <c r="Z514" t="s">
        <v>47</v>
      </c>
      <c r="AA514">
        <v>0</v>
      </c>
      <c r="AB514">
        <v>0</v>
      </c>
      <c r="AC514" t="s">
        <v>41</v>
      </c>
      <c r="AD514" t="s">
        <v>42</v>
      </c>
      <c r="AE514" t="s">
        <v>60</v>
      </c>
      <c r="AF514" s="3">
        <v>700</v>
      </c>
      <c r="AG514" s="3">
        <v>54</v>
      </c>
      <c r="AH514">
        <v>80</v>
      </c>
      <c r="AI514">
        <v>2</v>
      </c>
      <c r="AJ514">
        <v>0</v>
      </c>
      <c r="AL514">
        <v>0</v>
      </c>
      <c r="AM514">
        <v>1</v>
      </c>
      <c r="AN514" t="s">
        <v>768</v>
      </c>
      <c r="AO514" t="s">
        <v>41</v>
      </c>
    </row>
    <row r="515" spans="1:41" x14ac:dyDescent="0.25">
      <c r="A515">
        <v>38</v>
      </c>
      <c r="B515" t="s">
        <v>66</v>
      </c>
      <c r="C515" t="s">
        <v>33</v>
      </c>
      <c r="D515">
        <v>12</v>
      </c>
      <c r="E515" t="s">
        <v>34</v>
      </c>
      <c r="F515">
        <v>2</v>
      </c>
      <c r="G515">
        <v>2</v>
      </c>
      <c r="H515" t="s">
        <v>89</v>
      </c>
      <c r="I515">
        <v>1</v>
      </c>
      <c r="J515" t="s">
        <v>57</v>
      </c>
      <c r="K515">
        <v>6288</v>
      </c>
      <c r="L515">
        <v>2</v>
      </c>
      <c r="M515" t="s">
        <v>41</v>
      </c>
      <c r="N515">
        <v>15</v>
      </c>
      <c r="O515">
        <v>3</v>
      </c>
      <c r="P515">
        <v>1</v>
      </c>
      <c r="Q515">
        <v>13</v>
      </c>
      <c r="R515">
        <v>3</v>
      </c>
      <c r="S515">
        <v>4</v>
      </c>
      <c r="T515">
        <v>1</v>
      </c>
      <c r="U515">
        <v>2</v>
      </c>
      <c r="V515" t="s">
        <v>52</v>
      </c>
      <c r="W515" s="2">
        <v>42918</v>
      </c>
      <c r="Y515" t="s">
        <v>54</v>
      </c>
      <c r="Z515" t="s">
        <v>40</v>
      </c>
      <c r="AA515">
        <v>1</v>
      </c>
      <c r="AB515">
        <v>3</v>
      </c>
      <c r="AC515" t="s">
        <v>31</v>
      </c>
      <c r="AD515" t="s">
        <v>48</v>
      </c>
      <c r="AE515" t="s">
        <v>43</v>
      </c>
      <c r="AF515" s="3">
        <v>701</v>
      </c>
      <c r="AG515" s="3">
        <v>32</v>
      </c>
      <c r="AH515">
        <v>80</v>
      </c>
      <c r="AI515">
        <v>0</v>
      </c>
      <c r="AJ515">
        <v>1</v>
      </c>
      <c r="AK515">
        <v>1</v>
      </c>
      <c r="AL515">
        <v>1</v>
      </c>
      <c r="AM515">
        <v>0</v>
      </c>
      <c r="AN515" t="s">
        <v>767</v>
      </c>
      <c r="AO515" t="s">
        <v>31</v>
      </c>
    </row>
    <row r="516" spans="1:41" x14ac:dyDescent="0.25">
      <c r="A516">
        <v>43</v>
      </c>
      <c r="B516" t="s">
        <v>32</v>
      </c>
      <c r="C516" t="s">
        <v>33</v>
      </c>
      <c r="D516">
        <v>14</v>
      </c>
      <c r="E516" t="s">
        <v>34</v>
      </c>
      <c r="F516">
        <v>3</v>
      </c>
      <c r="G516">
        <v>4</v>
      </c>
      <c r="H516" t="s">
        <v>50</v>
      </c>
      <c r="I516">
        <v>1</v>
      </c>
      <c r="J516" t="s">
        <v>51</v>
      </c>
      <c r="K516">
        <v>17159</v>
      </c>
      <c r="L516">
        <v>6</v>
      </c>
      <c r="M516" t="s">
        <v>41</v>
      </c>
      <c r="N516">
        <v>24</v>
      </c>
      <c r="O516">
        <v>4</v>
      </c>
      <c r="P516">
        <v>1</v>
      </c>
      <c r="Q516">
        <v>22</v>
      </c>
      <c r="R516">
        <v>3</v>
      </c>
      <c r="S516">
        <v>4</v>
      </c>
      <c r="T516">
        <v>1</v>
      </c>
      <c r="U516">
        <v>0</v>
      </c>
      <c r="V516" t="s">
        <v>52</v>
      </c>
      <c r="W516" s="1" t="s">
        <v>288</v>
      </c>
      <c r="Y516" t="s">
        <v>54</v>
      </c>
      <c r="Z516" t="s">
        <v>47</v>
      </c>
      <c r="AA516">
        <v>5</v>
      </c>
      <c r="AB516">
        <v>2</v>
      </c>
      <c r="AC516" t="s">
        <v>41</v>
      </c>
      <c r="AD516" t="s">
        <v>48</v>
      </c>
      <c r="AE516" t="s">
        <v>43</v>
      </c>
      <c r="AF516" s="3">
        <v>702</v>
      </c>
      <c r="AG516" s="3">
        <v>70</v>
      </c>
      <c r="AH516">
        <v>80</v>
      </c>
      <c r="AI516">
        <v>8</v>
      </c>
      <c r="AJ516">
        <v>1</v>
      </c>
      <c r="AK516">
        <v>1</v>
      </c>
      <c r="AL516">
        <v>1</v>
      </c>
      <c r="AM516">
        <v>0</v>
      </c>
      <c r="AN516" t="s">
        <v>767</v>
      </c>
      <c r="AO516" t="s">
        <v>31</v>
      </c>
    </row>
    <row r="517" spans="1:41" x14ac:dyDescent="0.25">
      <c r="A517">
        <v>25</v>
      </c>
      <c r="B517" t="s">
        <v>32</v>
      </c>
      <c r="C517" t="s">
        <v>33</v>
      </c>
      <c r="D517">
        <v>2</v>
      </c>
      <c r="E517" t="s">
        <v>34</v>
      </c>
      <c r="F517">
        <v>4</v>
      </c>
      <c r="G517">
        <v>1</v>
      </c>
      <c r="H517" t="s">
        <v>44</v>
      </c>
      <c r="I517">
        <v>1</v>
      </c>
      <c r="J517" t="s">
        <v>36</v>
      </c>
      <c r="K517">
        <v>3424</v>
      </c>
      <c r="L517">
        <v>7</v>
      </c>
      <c r="M517" t="s">
        <v>41</v>
      </c>
      <c r="N517">
        <v>13</v>
      </c>
      <c r="O517">
        <v>3</v>
      </c>
      <c r="P517">
        <v>0</v>
      </c>
      <c r="Q517">
        <v>6</v>
      </c>
      <c r="R517">
        <v>3</v>
      </c>
      <c r="S517">
        <v>4</v>
      </c>
      <c r="T517">
        <v>0</v>
      </c>
      <c r="U517">
        <v>1</v>
      </c>
      <c r="V517" t="s">
        <v>37</v>
      </c>
      <c r="W517" s="2">
        <v>42771</v>
      </c>
      <c r="Y517" t="s">
        <v>54</v>
      </c>
      <c r="Z517" t="s">
        <v>47</v>
      </c>
      <c r="AA517">
        <v>5</v>
      </c>
      <c r="AB517">
        <v>1</v>
      </c>
      <c r="AC517" t="s">
        <v>31</v>
      </c>
      <c r="AD517" t="s">
        <v>42</v>
      </c>
      <c r="AE517" t="s">
        <v>60</v>
      </c>
      <c r="AF517" s="3">
        <v>704</v>
      </c>
      <c r="AG517" s="3">
        <v>41</v>
      </c>
      <c r="AH517">
        <v>80</v>
      </c>
      <c r="AI517">
        <v>0</v>
      </c>
      <c r="AJ517">
        <v>0</v>
      </c>
      <c r="AL517">
        <v>0</v>
      </c>
      <c r="AM517">
        <v>1</v>
      </c>
      <c r="AN517" t="s">
        <v>768</v>
      </c>
      <c r="AO517" t="s">
        <v>41</v>
      </c>
    </row>
    <row r="518" spans="1:41" x14ac:dyDescent="0.25">
      <c r="A518">
        <v>49</v>
      </c>
      <c r="B518" t="s">
        <v>32</v>
      </c>
      <c r="C518" t="s">
        <v>33</v>
      </c>
      <c r="D518">
        <v>1</v>
      </c>
      <c r="E518" t="s">
        <v>61</v>
      </c>
      <c r="F518">
        <v>3</v>
      </c>
      <c r="G518">
        <v>1</v>
      </c>
      <c r="H518" t="s">
        <v>44</v>
      </c>
      <c r="I518">
        <v>1</v>
      </c>
      <c r="J518" t="s">
        <v>51</v>
      </c>
      <c r="K518">
        <v>3580</v>
      </c>
      <c r="L518">
        <v>2</v>
      </c>
      <c r="M518" t="s">
        <v>41</v>
      </c>
      <c r="N518">
        <v>16</v>
      </c>
      <c r="O518">
        <v>3</v>
      </c>
      <c r="P518">
        <v>1</v>
      </c>
      <c r="Q518">
        <v>7</v>
      </c>
      <c r="R518">
        <v>2</v>
      </c>
      <c r="S518">
        <v>4</v>
      </c>
      <c r="T518">
        <v>0</v>
      </c>
      <c r="U518">
        <v>2</v>
      </c>
      <c r="V518" t="s">
        <v>37</v>
      </c>
      <c r="W518" s="1" t="s">
        <v>289</v>
      </c>
      <c r="Y518" t="s">
        <v>69</v>
      </c>
      <c r="Z518" t="s">
        <v>40</v>
      </c>
      <c r="AA518">
        <v>3</v>
      </c>
      <c r="AB518">
        <v>1</v>
      </c>
      <c r="AC518" t="s">
        <v>31</v>
      </c>
      <c r="AD518" t="s">
        <v>48</v>
      </c>
      <c r="AE518" t="s">
        <v>43</v>
      </c>
      <c r="AF518" s="3">
        <v>705</v>
      </c>
      <c r="AG518" s="3">
        <v>58</v>
      </c>
      <c r="AH518">
        <v>80</v>
      </c>
      <c r="AI518">
        <v>2</v>
      </c>
      <c r="AJ518">
        <v>0</v>
      </c>
      <c r="AL518">
        <v>0</v>
      </c>
      <c r="AM518">
        <v>1</v>
      </c>
      <c r="AN518" t="s">
        <v>768</v>
      </c>
      <c r="AO518" t="s">
        <v>41</v>
      </c>
    </row>
    <row r="519" spans="1:41" x14ac:dyDescent="0.25">
      <c r="A519">
        <v>33</v>
      </c>
      <c r="B519" t="s">
        <v>32</v>
      </c>
      <c r="C519" t="s">
        <v>120</v>
      </c>
      <c r="D519">
        <v>3</v>
      </c>
      <c r="E519" t="s">
        <v>34</v>
      </c>
      <c r="F519">
        <v>3</v>
      </c>
      <c r="G519">
        <v>1</v>
      </c>
      <c r="H519" t="s">
        <v>120</v>
      </c>
      <c r="I519">
        <v>2</v>
      </c>
      <c r="J519" t="s">
        <v>57</v>
      </c>
      <c r="K519">
        <v>2277</v>
      </c>
      <c r="L519">
        <v>3</v>
      </c>
      <c r="M519" t="s">
        <v>31</v>
      </c>
      <c r="N519">
        <v>11</v>
      </c>
      <c r="O519">
        <v>3</v>
      </c>
      <c r="P519">
        <v>1</v>
      </c>
      <c r="Q519">
        <v>7</v>
      </c>
      <c r="R519">
        <v>4</v>
      </c>
      <c r="S519">
        <v>4</v>
      </c>
      <c r="T519">
        <v>0</v>
      </c>
      <c r="U519">
        <v>3</v>
      </c>
      <c r="V519" t="s">
        <v>37</v>
      </c>
      <c r="W519" s="1" t="s">
        <v>281</v>
      </c>
      <c r="Y519" t="s">
        <v>54</v>
      </c>
      <c r="Z519" t="s">
        <v>47</v>
      </c>
      <c r="AA519">
        <v>4</v>
      </c>
      <c r="AB519">
        <v>0</v>
      </c>
      <c r="AC519" t="s">
        <v>31</v>
      </c>
      <c r="AD519" t="s">
        <v>48</v>
      </c>
      <c r="AE519" t="s">
        <v>49</v>
      </c>
      <c r="AF519" s="3">
        <v>707</v>
      </c>
      <c r="AG519" s="3">
        <v>57</v>
      </c>
      <c r="AH519">
        <v>80</v>
      </c>
      <c r="AI519">
        <v>2</v>
      </c>
      <c r="AJ519">
        <v>0</v>
      </c>
      <c r="AL519">
        <v>0</v>
      </c>
      <c r="AM519">
        <v>1</v>
      </c>
      <c r="AN519" t="s">
        <v>768</v>
      </c>
      <c r="AO519" t="s">
        <v>41</v>
      </c>
    </row>
    <row r="520" spans="1:41" x14ac:dyDescent="0.25">
      <c r="A520">
        <v>29</v>
      </c>
      <c r="B520" t="s">
        <v>32</v>
      </c>
      <c r="C520" t="s">
        <v>33</v>
      </c>
      <c r="D520">
        <v>7</v>
      </c>
      <c r="E520" t="s">
        <v>61</v>
      </c>
      <c r="F520">
        <v>2</v>
      </c>
      <c r="G520">
        <v>1</v>
      </c>
      <c r="H520" t="s">
        <v>35</v>
      </c>
      <c r="I520">
        <v>4</v>
      </c>
      <c r="J520" t="s">
        <v>57</v>
      </c>
      <c r="K520">
        <v>2532</v>
      </c>
      <c r="L520">
        <v>6</v>
      </c>
      <c r="M520" t="s">
        <v>41</v>
      </c>
      <c r="N520">
        <v>14</v>
      </c>
      <c r="O520">
        <v>3</v>
      </c>
      <c r="P520">
        <v>3</v>
      </c>
      <c r="Q520">
        <v>8</v>
      </c>
      <c r="R520">
        <v>5</v>
      </c>
      <c r="S520">
        <v>4</v>
      </c>
      <c r="T520">
        <v>0</v>
      </c>
      <c r="U520">
        <v>3</v>
      </c>
      <c r="V520" t="s">
        <v>58</v>
      </c>
      <c r="W520" s="2">
        <v>43071</v>
      </c>
      <c r="Y520" t="s">
        <v>63</v>
      </c>
      <c r="Z520" t="s">
        <v>40</v>
      </c>
      <c r="AA520">
        <v>5</v>
      </c>
      <c r="AB520">
        <v>3</v>
      </c>
      <c r="AC520" t="s">
        <v>31</v>
      </c>
      <c r="AD520" t="s">
        <v>67</v>
      </c>
      <c r="AE520" t="s">
        <v>43</v>
      </c>
      <c r="AF520" s="3">
        <v>709</v>
      </c>
      <c r="AG520" s="3">
        <v>46</v>
      </c>
      <c r="AH520">
        <v>80</v>
      </c>
      <c r="AI520">
        <v>7</v>
      </c>
      <c r="AJ520">
        <v>0</v>
      </c>
      <c r="AL520">
        <v>0</v>
      </c>
      <c r="AM520">
        <v>1</v>
      </c>
      <c r="AN520" t="s">
        <v>768</v>
      </c>
      <c r="AO520" t="s">
        <v>41</v>
      </c>
    </row>
    <row r="521" spans="1:41" x14ac:dyDescent="0.25">
      <c r="A521">
        <v>28</v>
      </c>
      <c r="B521" t="s">
        <v>32</v>
      </c>
      <c r="C521" t="s">
        <v>55</v>
      </c>
      <c r="D521">
        <v>5</v>
      </c>
      <c r="E521" t="s">
        <v>34</v>
      </c>
      <c r="F521">
        <v>3</v>
      </c>
      <c r="G521">
        <v>2</v>
      </c>
      <c r="H521" t="s">
        <v>70</v>
      </c>
      <c r="I521">
        <v>4</v>
      </c>
      <c r="J521" t="s">
        <v>36</v>
      </c>
      <c r="K521">
        <v>4908</v>
      </c>
      <c r="L521">
        <v>1</v>
      </c>
      <c r="M521" t="s">
        <v>41</v>
      </c>
      <c r="N521">
        <v>14</v>
      </c>
      <c r="O521">
        <v>3</v>
      </c>
      <c r="P521">
        <v>0</v>
      </c>
      <c r="Q521">
        <v>4</v>
      </c>
      <c r="R521">
        <v>3</v>
      </c>
      <c r="S521">
        <v>4</v>
      </c>
      <c r="T521">
        <v>0</v>
      </c>
      <c r="U521">
        <v>2</v>
      </c>
      <c r="V521" t="s">
        <v>52</v>
      </c>
      <c r="W521" s="2">
        <v>42769</v>
      </c>
      <c r="Y521" t="s">
        <v>39</v>
      </c>
      <c r="Z521" t="s">
        <v>40</v>
      </c>
      <c r="AA521">
        <v>5</v>
      </c>
      <c r="AB521">
        <v>2</v>
      </c>
      <c r="AC521" t="s">
        <v>41</v>
      </c>
      <c r="AD521" t="s">
        <v>65</v>
      </c>
      <c r="AE521" t="s">
        <v>49</v>
      </c>
      <c r="AF521" s="3">
        <v>710</v>
      </c>
      <c r="AG521" s="3">
        <v>76</v>
      </c>
      <c r="AH521">
        <v>80</v>
      </c>
      <c r="AI521">
        <v>7</v>
      </c>
      <c r="AJ521">
        <v>0</v>
      </c>
      <c r="AL521">
        <v>0</v>
      </c>
      <c r="AM521">
        <v>1</v>
      </c>
      <c r="AN521" t="s">
        <v>768</v>
      </c>
      <c r="AO521" t="s">
        <v>41</v>
      </c>
    </row>
    <row r="522" spans="1:41" x14ac:dyDescent="0.25">
      <c r="A522">
        <v>24</v>
      </c>
      <c r="B522" t="s">
        <v>32</v>
      </c>
      <c r="C522" t="s">
        <v>33</v>
      </c>
      <c r="D522">
        <v>17</v>
      </c>
      <c r="E522" t="s">
        <v>61</v>
      </c>
      <c r="F522">
        <v>2</v>
      </c>
      <c r="G522">
        <v>2</v>
      </c>
      <c r="H522" t="s">
        <v>78</v>
      </c>
      <c r="I522">
        <v>3</v>
      </c>
      <c r="J522" t="s">
        <v>57</v>
      </c>
      <c r="K522">
        <v>4377</v>
      </c>
      <c r="L522">
        <v>1</v>
      </c>
      <c r="M522" t="s">
        <v>41</v>
      </c>
      <c r="N522">
        <v>15</v>
      </c>
      <c r="O522">
        <v>3</v>
      </c>
      <c r="P522">
        <v>2</v>
      </c>
      <c r="Q522">
        <v>5</v>
      </c>
      <c r="R522">
        <v>6</v>
      </c>
      <c r="S522">
        <v>4</v>
      </c>
      <c r="T522">
        <v>3</v>
      </c>
      <c r="U522">
        <v>2</v>
      </c>
      <c r="V522" t="s">
        <v>37</v>
      </c>
      <c r="W522" s="2">
        <v>42770</v>
      </c>
      <c r="Y522" t="s">
        <v>54</v>
      </c>
      <c r="Z522" t="s">
        <v>40</v>
      </c>
      <c r="AA522">
        <v>5</v>
      </c>
      <c r="AB522">
        <v>1</v>
      </c>
      <c r="AC522" t="s">
        <v>31</v>
      </c>
      <c r="AD522" t="s">
        <v>67</v>
      </c>
      <c r="AE522" t="s">
        <v>49</v>
      </c>
      <c r="AF522" s="3">
        <v>712</v>
      </c>
      <c r="AG522" s="3">
        <v>56</v>
      </c>
      <c r="AH522">
        <v>80</v>
      </c>
      <c r="AI522">
        <v>2</v>
      </c>
      <c r="AJ522">
        <v>0</v>
      </c>
      <c r="AL522">
        <v>0</v>
      </c>
      <c r="AM522">
        <v>1</v>
      </c>
      <c r="AN522" t="s">
        <v>768</v>
      </c>
      <c r="AO522" t="s">
        <v>41</v>
      </c>
    </row>
    <row r="523" spans="1:41" x14ac:dyDescent="0.25">
      <c r="A523">
        <v>35</v>
      </c>
      <c r="B523" t="s">
        <v>32</v>
      </c>
      <c r="C523" t="s">
        <v>33</v>
      </c>
      <c r="D523">
        <v>14</v>
      </c>
      <c r="E523" t="s">
        <v>34</v>
      </c>
      <c r="F523">
        <v>2</v>
      </c>
      <c r="G523">
        <v>1</v>
      </c>
      <c r="H523" t="s">
        <v>35</v>
      </c>
      <c r="I523">
        <v>2</v>
      </c>
      <c r="J523" t="s">
        <v>57</v>
      </c>
      <c r="K523">
        <v>3743</v>
      </c>
      <c r="L523">
        <v>1</v>
      </c>
      <c r="M523" t="s">
        <v>31</v>
      </c>
      <c r="N523">
        <v>24</v>
      </c>
      <c r="O523">
        <v>4</v>
      </c>
      <c r="P523">
        <v>1</v>
      </c>
      <c r="Q523">
        <v>5</v>
      </c>
      <c r="R523">
        <v>2</v>
      </c>
      <c r="S523">
        <v>4</v>
      </c>
      <c r="T523">
        <v>0</v>
      </c>
      <c r="U523">
        <v>2</v>
      </c>
      <c r="V523" t="s">
        <v>52</v>
      </c>
      <c r="W523" s="1" t="s">
        <v>290</v>
      </c>
      <c r="Y523" t="s">
        <v>69</v>
      </c>
      <c r="Z523" t="s">
        <v>40</v>
      </c>
      <c r="AA523">
        <v>5</v>
      </c>
      <c r="AB523">
        <v>1</v>
      </c>
      <c r="AC523" t="s">
        <v>31</v>
      </c>
      <c r="AD523" t="s">
        <v>67</v>
      </c>
      <c r="AE523" t="s">
        <v>43</v>
      </c>
      <c r="AF523" s="3">
        <v>714</v>
      </c>
      <c r="AG523" s="3">
        <v>71</v>
      </c>
      <c r="AH523">
        <v>80</v>
      </c>
      <c r="AI523">
        <v>5</v>
      </c>
      <c r="AJ523">
        <v>0</v>
      </c>
      <c r="AL523">
        <v>0</v>
      </c>
      <c r="AM523">
        <v>1</v>
      </c>
      <c r="AN523" t="s">
        <v>768</v>
      </c>
      <c r="AO523" t="s">
        <v>41</v>
      </c>
    </row>
    <row r="524" spans="1:41" x14ac:dyDescent="0.25">
      <c r="A524">
        <v>31</v>
      </c>
      <c r="B524" t="s">
        <v>66</v>
      </c>
      <c r="C524" t="s">
        <v>33</v>
      </c>
      <c r="D524">
        <v>1</v>
      </c>
      <c r="E524" t="s">
        <v>61</v>
      </c>
      <c r="F524">
        <v>3</v>
      </c>
      <c r="G524">
        <v>2</v>
      </c>
      <c r="H524" t="s">
        <v>78</v>
      </c>
      <c r="I524">
        <v>1</v>
      </c>
      <c r="J524" t="s">
        <v>51</v>
      </c>
      <c r="K524">
        <v>4148</v>
      </c>
      <c r="L524">
        <v>1</v>
      </c>
      <c r="M524" t="s">
        <v>41</v>
      </c>
      <c r="N524">
        <v>12</v>
      </c>
      <c r="O524">
        <v>3</v>
      </c>
      <c r="P524">
        <v>1</v>
      </c>
      <c r="Q524">
        <v>4</v>
      </c>
      <c r="R524">
        <v>1</v>
      </c>
      <c r="S524">
        <v>4</v>
      </c>
      <c r="T524">
        <v>0</v>
      </c>
      <c r="U524">
        <v>3</v>
      </c>
      <c r="V524" t="s">
        <v>52</v>
      </c>
      <c r="W524" s="1" t="s">
        <v>291</v>
      </c>
      <c r="Y524" t="s">
        <v>63</v>
      </c>
      <c r="Z524" t="s">
        <v>40</v>
      </c>
      <c r="AA524">
        <v>4</v>
      </c>
      <c r="AB524">
        <v>2</v>
      </c>
      <c r="AC524" t="s">
        <v>41</v>
      </c>
      <c r="AD524" t="s">
        <v>65</v>
      </c>
      <c r="AE524" t="s">
        <v>60</v>
      </c>
      <c r="AF524" s="3">
        <v>715</v>
      </c>
      <c r="AG524" s="3">
        <v>80</v>
      </c>
      <c r="AH524">
        <v>80</v>
      </c>
      <c r="AI524">
        <v>0</v>
      </c>
      <c r="AJ524">
        <v>0</v>
      </c>
      <c r="AL524">
        <v>0</v>
      </c>
      <c r="AM524">
        <v>1</v>
      </c>
      <c r="AN524" t="s">
        <v>768</v>
      </c>
      <c r="AO524" t="s">
        <v>41</v>
      </c>
    </row>
    <row r="525" spans="1:41" x14ac:dyDescent="0.25">
      <c r="A525">
        <v>22</v>
      </c>
      <c r="B525" t="s">
        <v>32</v>
      </c>
      <c r="C525" t="s">
        <v>33</v>
      </c>
      <c r="D525">
        <v>8</v>
      </c>
      <c r="E525" t="s">
        <v>34</v>
      </c>
      <c r="F525">
        <v>1</v>
      </c>
      <c r="G525">
        <v>1</v>
      </c>
      <c r="H525" t="s">
        <v>35</v>
      </c>
      <c r="I525">
        <v>1</v>
      </c>
      <c r="J525" t="s">
        <v>51</v>
      </c>
      <c r="K525">
        <v>2451</v>
      </c>
      <c r="L525">
        <v>1</v>
      </c>
      <c r="M525" t="s">
        <v>41</v>
      </c>
      <c r="N525">
        <v>15</v>
      </c>
      <c r="O525">
        <v>3</v>
      </c>
      <c r="P525">
        <v>1</v>
      </c>
      <c r="Q525">
        <v>4</v>
      </c>
      <c r="R525">
        <v>3</v>
      </c>
      <c r="S525">
        <v>4</v>
      </c>
      <c r="T525">
        <v>1</v>
      </c>
      <c r="U525">
        <v>1</v>
      </c>
      <c r="V525" t="s">
        <v>52</v>
      </c>
      <c r="W525" s="2">
        <v>43073</v>
      </c>
      <c r="Y525" t="s">
        <v>63</v>
      </c>
      <c r="Z525" t="s">
        <v>47</v>
      </c>
      <c r="AA525">
        <v>3</v>
      </c>
      <c r="AB525">
        <v>3</v>
      </c>
      <c r="AC525" t="s">
        <v>41</v>
      </c>
      <c r="AD525" t="s">
        <v>65</v>
      </c>
      <c r="AE525" t="s">
        <v>49</v>
      </c>
      <c r="AF525" s="3">
        <v>716</v>
      </c>
      <c r="AG525" s="3">
        <v>74</v>
      </c>
      <c r="AH525">
        <v>80</v>
      </c>
      <c r="AI525">
        <v>8</v>
      </c>
      <c r="AJ525">
        <v>0</v>
      </c>
      <c r="AL525">
        <v>0</v>
      </c>
      <c r="AM525">
        <v>1</v>
      </c>
      <c r="AN525" t="s">
        <v>768</v>
      </c>
      <c r="AO525" t="s">
        <v>41</v>
      </c>
    </row>
    <row r="526" spans="1:41" x14ac:dyDescent="0.25">
      <c r="A526">
        <v>37</v>
      </c>
      <c r="B526" t="s">
        <v>32</v>
      </c>
      <c r="C526" t="s">
        <v>33</v>
      </c>
      <c r="D526">
        <v>3</v>
      </c>
      <c r="E526" t="s">
        <v>61</v>
      </c>
      <c r="F526">
        <v>3</v>
      </c>
      <c r="G526">
        <v>2</v>
      </c>
      <c r="H526" t="s">
        <v>89</v>
      </c>
      <c r="I526">
        <v>2</v>
      </c>
      <c r="J526" t="s">
        <v>36</v>
      </c>
      <c r="K526">
        <v>4107</v>
      </c>
      <c r="L526">
        <v>3</v>
      </c>
      <c r="M526" t="s">
        <v>41</v>
      </c>
      <c r="N526">
        <v>15</v>
      </c>
      <c r="O526">
        <v>3</v>
      </c>
      <c r="P526">
        <v>0</v>
      </c>
      <c r="Q526">
        <v>8</v>
      </c>
      <c r="R526">
        <v>3</v>
      </c>
      <c r="S526">
        <v>4</v>
      </c>
      <c r="T526">
        <v>0</v>
      </c>
      <c r="U526">
        <v>1</v>
      </c>
      <c r="V526" t="s">
        <v>72</v>
      </c>
      <c r="W526" s="2">
        <v>43013</v>
      </c>
      <c r="Y526" t="s">
        <v>39</v>
      </c>
      <c r="Z526" t="s">
        <v>47</v>
      </c>
      <c r="AA526">
        <v>1</v>
      </c>
      <c r="AB526">
        <v>3</v>
      </c>
      <c r="AC526" t="s">
        <v>41</v>
      </c>
      <c r="AD526" t="s">
        <v>48</v>
      </c>
      <c r="AE526" t="s">
        <v>60</v>
      </c>
      <c r="AF526" s="3">
        <v>717</v>
      </c>
      <c r="AG526" s="3">
        <v>46</v>
      </c>
      <c r="AH526">
        <v>80</v>
      </c>
      <c r="AI526">
        <v>7</v>
      </c>
      <c r="AJ526">
        <v>0</v>
      </c>
      <c r="AL526">
        <v>0</v>
      </c>
      <c r="AM526">
        <v>1</v>
      </c>
      <c r="AN526" t="s">
        <v>768</v>
      </c>
      <c r="AO526" t="s">
        <v>41</v>
      </c>
    </row>
    <row r="527" spans="1:41" x14ac:dyDescent="0.25">
      <c r="A527">
        <v>28</v>
      </c>
      <c r="B527" t="s">
        <v>32</v>
      </c>
      <c r="C527" t="s">
        <v>33</v>
      </c>
      <c r="D527">
        <v>15</v>
      </c>
      <c r="E527" t="s">
        <v>34</v>
      </c>
      <c r="F527">
        <v>3</v>
      </c>
      <c r="G527">
        <v>1</v>
      </c>
      <c r="H527" t="s">
        <v>35</v>
      </c>
      <c r="I527">
        <v>3</v>
      </c>
      <c r="J527" t="s">
        <v>57</v>
      </c>
      <c r="K527">
        <v>2207</v>
      </c>
      <c r="L527">
        <v>1</v>
      </c>
      <c r="M527" t="s">
        <v>41</v>
      </c>
      <c r="N527">
        <v>16</v>
      </c>
      <c r="O527">
        <v>3</v>
      </c>
      <c r="P527">
        <v>1</v>
      </c>
      <c r="Q527">
        <v>4</v>
      </c>
      <c r="R527">
        <v>5</v>
      </c>
      <c r="S527">
        <v>4</v>
      </c>
      <c r="T527">
        <v>2</v>
      </c>
      <c r="U527">
        <v>2</v>
      </c>
      <c r="V527" t="s">
        <v>58</v>
      </c>
      <c r="W527" s="2">
        <v>42769</v>
      </c>
      <c r="Y527" t="s">
        <v>39</v>
      </c>
      <c r="Z527" t="s">
        <v>40</v>
      </c>
      <c r="AA527">
        <v>0</v>
      </c>
      <c r="AB527">
        <v>2</v>
      </c>
      <c r="AC527" t="s">
        <v>31</v>
      </c>
      <c r="AD527" t="s">
        <v>42</v>
      </c>
      <c r="AE527" t="s">
        <v>49</v>
      </c>
      <c r="AF527" s="3">
        <v>720</v>
      </c>
      <c r="AG527" s="3">
        <v>65</v>
      </c>
      <c r="AH527">
        <v>80</v>
      </c>
      <c r="AI527">
        <v>2</v>
      </c>
      <c r="AJ527">
        <v>1</v>
      </c>
      <c r="AK527">
        <v>1</v>
      </c>
      <c r="AL527">
        <v>1</v>
      </c>
      <c r="AM527">
        <v>0</v>
      </c>
      <c r="AN527" t="s">
        <v>767</v>
      </c>
      <c r="AO527" t="s">
        <v>31</v>
      </c>
    </row>
    <row r="528" spans="1:41" x14ac:dyDescent="0.25">
      <c r="A528">
        <v>27</v>
      </c>
      <c r="B528" t="s">
        <v>32</v>
      </c>
      <c r="C528" t="s">
        <v>33</v>
      </c>
      <c r="D528">
        <v>6</v>
      </c>
      <c r="E528" t="s">
        <v>34</v>
      </c>
      <c r="F528">
        <v>2</v>
      </c>
      <c r="G528">
        <v>1</v>
      </c>
      <c r="H528" t="s">
        <v>44</v>
      </c>
      <c r="I528">
        <v>3</v>
      </c>
      <c r="J528" t="s">
        <v>51</v>
      </c>
      <c r="K528">
        <v>2539</v>
      </c>
      <c r="L528">
        <v>1</v>
      </c>
      <c r="M528" t="s">
        <v>41</v>
      </c>
      <c r="N528">
        <v>13</v>
      </c>
      <c r="O528">
        <v>3</v>
      </c>
      <c r="P528">
        <v>1</v>
      </c>
      <c r="Q528">
        <v>4</v>
      </c>
      <c r="R528">
        <v>0</v>
      </c>
      <c r="S528">
        <v>4</v>
      </c>
      <c r="T528">
        <v>2</v>
      </c>
      <c r="U528">
        <v>2</v>
      </c>
      <c r="V528" t="s">
        <v>52</v>
      </c>
      <c r="W528" s="2">
        <v>42795</v>
      </c>
      <c r="Y528" t="s">
        <v>63</v>
      </c>
      <c r="Z528" t="s">
        <v>40</v>
      </c>
      <c r="AA528">
        <v>1</v>
      </c>
      <c r="AB528">
        <v>3</v>
      </c>
      <c r="AC528" t="s">
        <v>41</v>
      </c>
      <c r="AD528" t="s">
        <v>42</v>
      </c>
      <c r="AE528" t="s">
        <v>60</v>
      </c>
      <c r="AF528" s="3">
        <v>721</v>
      </c>
      <c r="AG528" s="3">
        <v>80</v>
      </c>
      <c r="AH528">
        <v>80</v>
      </c>
      <c r="AI528">
        <v>7</v>
      </c>
      <c r="AJ528">
        <v>0</v>
      </c>
      <c r="AL528">
        <v>0</v>
      </c>
      <c r="AM528">
        <v>1</v>
      </c>
      <c r="AN528" t="s">
        <v>768</v>
      </c>
      <c r="AO528" t="s">
        <v>41</v>
      </c>
    </row>
    <row r="529" spans="1:41" x14ac:dyDescent="0.25">
      <c r="A529">
        <v>24</v>
      </c>
      <c r="B529" t="s">
        <v>32</v>
      </c>
      <c r="C529" t="s">
        <v>33</v>
      </c>
      <c r="D529">
        <v>24</v>
      </c>
      <c r="E529" t="s">
        <v>34</v>
      </c>
      <c r="F529">
        <v>3</v>
      </c>
      <c r="G529">
        <v>1</v>
      </c>
      <c r="H529" t="s">
        <v>35</v>
      </c>
      <c r="I529">
        <v>2</v>
      </c>
      <c r="J529" t="s">
        <v>36</v>
      </c>
      <c r="K529">
        <v>3597</v>
      </c>
      <c r="L529">
        <v>8</v>
      </c>
      <c r="M529" t="s">
        <v>41</v>
      </c>
      <c r="N529">
        <v>22</v>
      </c>
      <c r="O529">
        <v>4</v>
      </c>
      <c r="P529">
        <v>0</v>
      </c>
      <c r="Q529">
        <v>6</v>
      </c>
      <c r="R529">
        <v>2</v>
      </c>
      <c r="S529">
        <v>4</v>
      </c>
      <c r="T529">
        <v>1</v>
      </c>
      <c r="U529">
        <v>2</v>
      </c>
      <c r="V529" t="s">
        <v>72</v>
      </c>
      <c r="W529" s="1" t="s">
        <v>292</v>
      </c>
      <c r="Y529" t="s">
        <v>54</v>
      </c>
      <c r="Z529" t="s">
        <v>40</v>
      </c>
      <c r="AA529">
        <v>2</v>
      </c>
      <c r="AB529">
        <v>1</v>
      </c>
      <c r="AC529" t="s">
        <v>41</v>
      </c>
      <c r="AD529" t="s">
        <v>42</v>
      </c>
      <c r="AE529" t="s">
        <v>49</v>
      </c>
      <c r="AF529" s="3">
        <v>722</v>
      </c>
      <c r="AG529" s="3">
        <v>55</v>
      </c>
      <c r="AH529">
        <v>80</v>
      </c>
      <c r="AI529">
        <v>7</v>
      </c>
      <c r="AJ529">
        <v>0</v>
      </c>
      <c r="AL529">
        <v>0</v>
      </c>
      <c r="AM529">
        <v>1</v>
      </c>
      <c r="AN529" t="s">
        <v>768</v>
      </c>
      <c r="AO529" t="s">
        <v>41</v>
      </c>
    </row>
    <row r="530" spans="1:41" x14ac:dyDescent="0.25">
      <c r="A530">
        <v>43</v>
      </c>
      <c r="B530" t="s">
        <v>32</v>
      </c>
      <c r="C530" t="s">
        <v>55</v>
      </c>
      <c r="D530">
        <v>9</v>
      </c>
      <c r="E530" t="s">
        <v>61</v>
      </c>
      <c r="F530">
        <v>1</v>
      </c>
      <c r="G530">
        <v>2</v>
      </c>
      <c r="H530" t="s">
        <v>70</v>
      </c>
      <c r="I530">
        <v>3</v>
      </c>
      <c r="J530" t="s">
        <v>36</v>
      </c>
      <c r="K530">
        <v>5346</v>
      </c>
      <c r="L530">
        <v>8</v>
      </c>
      <c r="M530" t="s">
        <v>41</v>
      </c>
      <c r="N530">
        <v>13</v>
      </c>
      <c r="O530">
        <v>3</v>
      </c>
      <c r="P530">
        <v>0</v>
      </c>
      <c r="Q530">
        <v>7</v>
      </c>
      <c r="R530">
        <v>2</v>
      </c>
      <c r="S530">
        <v>4</v>
      </c>
      <c r="T530">
        <v>1</v>
      </c>
      <c r="U530">
        <v>3</v>
      </c>
      <c r="V530" t="s">
        <v>58</v>
      </c>
      <c r="W530" s="2">
        <v>42738</v>
      </c>
      <c r="Y530" t="s">
        <v>63</v>
      </c>
      <c r="Z530" t="s">
        <v>40</v>
      </c>
      <c r="AA530">
        <v>5</v>
      </c>
      <c r="AB530">
        <v>0</v>
      </c>
      <c r="AC530" t="s">
        <v>31</v>
      </c>
      <c r="AD530" t="s">
        <v>48</v>
      </c>
      <c r="AE530" t="s">
        <v>49</v>
      </c>
      <c r="AF530" s="3">
        <v>723</v>
      </c>
      <c r="AG530" s="3">
        <v>50</v>
      </c>
      <c r="AH530">
        <v>80</v>
      </c>
      <c r="AI530">
        <v>3</v>
      </c>
      <c r="AJ530">
        <v>1</v>
      </c>
      <c r="AK530">
        <v>1</v>
      </c>
      <c r="AL530">
        <v>1</v>
      </c>
      <c r="AM530">
        <v>0</v>
      </c>
      <c r="AN530" t="s">
        <v>767</v>
      </c>
      <c r="AO530" t="s">
        <v>31</v>
      </c>
    </row>
    <row r="531" spans="1:41" x14ac:dyDescent="0.25">
      <c r="A531">
        <v>30</v>
      </c>
      <c r="B531" t="s">
        <v>32</v>
      </c>
      <c r="C531" t="s">
        <v>55</v>
      </c>
      <c r="D531">
        <v>29</v>
      </c>
      <c r="E531" t="s">
        <v>34</v>
      </c>
      <c r="F531">
        <v>3</v>
      </c>
      <c r="G531">
        <v>2</v>
      </c>
      <c r="H531" t="s">
        <v>70</v>
      </c>
      <c r="I531">
        <v>1</v>
      </c>
      <c r="J531" t="s">
        <v>57</v>
      </c>
      <c r="K531">
        <v>4115</v>
      </c>
      <c r="L531">
        <v>8</v>
      </c>
      <c r="M531" t="s">
        <v>41</v>
      </c>
      <c r="N531">
        <v>19</v>
      </c>
      <c r="O531">
        <v>3</v>
      </c>
      <c r="P531">
        <v>3</v>
      </c>
      <c r="Q531">
        <v>8</v>
      </c>
      <c r="R531">
        <v>3</v>
      </c>
      <c r="S531">
        <v>4</v>
      </c>
      <c r="T531">
        <v>0</v>
      </c>
      <c r="U531">
        <v>3</v>
      </c>
      <c r="V531" t="s">
        <v>58</v>
      </c>
      <c r="W531" s="2">
        <v>43073</v>
      </c>
      <c r="Y531" t="s">
        <v>69</v>
      </c>
      <c r="Z531" t="s">
        <v>47</v>
      </c>
      <c r="AA531">
        <v>2</v>
      </c>
      <c r="AB531">
        <v>1</v>
      </c>
      <c r="AC531" t="s">
        <v>41</v>
      </c>
      <c r="AD531" t="s">
        <v>42</v>
      </c>
      <c r="AE531" t="s">
        <v>43</v>
      </c>
      <c r="AF531" s="3">
        <v>724</v>
      </c>
      <c r="AG531" s="3">
        <v>33</v>
      </c>
      <c r="AH531">
        <v>80</v>
      </c>
      <c r="AI531">
        <v>7</v>
      </c>
      <c r="AJ531">
        <v>0</v>
      </c>
      <c r="AL531">
        <v>0</v>
      </c>
      <c r="AM531">
        <v>1</v>
      </c>
      <c r="AN531" t="s">
        <v>768</v>
      </c>
      <c r="AO531" t="s">
        <v>41</v>
      </c>
    </row>
    <row r="532" spans="1:41" x14ac:dyDescent="0.25">
      <c r="A532">
        <v>46</v>
      </c>
      <c r="B532" t="s">
        <v>32</v>
      </c>
      <c r="C532" t="s">
        <v>33</v>
      </c>
      <c r="D532">
        <v>15</v>
      </c>
      <c r="E532" t="s">
        <v>34</v>
      </c>
      <c r="F532">
        <v>3</v>
      </c>
      <c r="G532">
        <v>5</v>
      </c>
      <c r="H532" t="s">
        <v>50</v>
      </c>
      <c r="I532">
        <v>2</v>
      </c>
      <c r="J532" t="s">
        <v>51</v>
      </c>
      <c r="K532">
        <v>19081</v>
      </c>
      <c r="L532">
        <v>5</v>
      </c>
      <c r="M532" t="s">
        <v>41</v>
      </c>
      <c r="N532">
        <v>11</v>
      </c>
      <c r="O532">
        <v>3</v>
      </c>
      <c r="P532">
        <v>1</v>
      </c>
      <c r="Q532">
        <v>25</v>
      </c>
      <c r="R532">
        <v>2</v>
      </c>
      <c r="S532">
        <v>4</v>
      </c>
      <c r="T532">
        <v>0</v>
      </c>
      <c r="U532">
        <v>3</v>
      </c>
      <c r="V532" t="s">
        <v>37</v>
      </c>
      <c r="W532" s="1" t="s">
        <v>293</v>
      </c>
      <c r="Y532" t="s">
        <v>69</v>
      </c>
      <c r="Z532" t="s">
        <v>47</v>
      </c>
      <c r="AA532">
        <v>1</v>
      </c>
      <c r="AB532">
        <v>2</v>
      </c>
      <c r="AC532" t="s">
        <v>31</v>
      </c>
      <c r="AD532" t="s">
        <v>48</v>
      </c>
      <c r="AE532" t="s">
        <v>49</v>
      </c>
      <c r="AF532" s="3">
        <v>725</v>
      </c>
      <c r="AG532" s="3">
        <v>68</v>
      </c>
      <c r="AH532">
        <v>80</v>
      </c>
      <c r="AI532">
        <v>7</v>
      </c>
      <c r="AJ532">
        <v>0</v>
      </c>
      <c r="AL532">
        <v>0</v>
      </c>
      <c r="AM532">
        <v>1</v>
      </c>
      <c r="AN532" t="s">
        <v>768</v>
      </c>
      <c r="AO532" t="s">
        <v>41</v>
      </c>
    </row>
    <row r="533" spans="1:41" x14ac:dyDescent="0.25">
      <c r="A533">
        <v>42</v>
      </c>
      <c r="B533" t="s">
        <v>81</v>
      </c>
      <c r="C533" t="s">
        <v>120</v>
      </c>
      <c r="D533">
        <v>2</v>
      </c>
      <c r="E533" t="s">
        <v>34</v>
      </c>
      <c r="F533">
        <v>4</v>
      </c>
      <c r="G533">
        <v>2</v>
      </c>
      <c r="H533" t="s">
        <v>120</v>
      </c>
      <c r="I533">
        <v>1</v>
      </c>
      <c r="J533" t="s">
        <v>51</v>
      </c>
      <c r="K533">
        <v>6272</v>
      </c>
      <c r="L533">
        <v>7</v>
      </c>
      <c r="M533" t="s">
        <v>41</v>
      </c>
      <c r="N533">
        <v>16</v>
      </c>
      <c r="O533">
        <v>3</v>
      </c>
      <c r="P533">
        <v>1</v>
      </c>
      <c r="Q533">
        <v>10</v>
      </c>
      <c r="R533">
        <v>3</v>
      </c>
      <c r="S533">
        <v>4</v>
      </c>
      <c r="T533">
        <v>0</v>
      </c>
      <c r="U533">
        <v>3</v>
      </c>
      <c r="V533" t="s">
        <v>58</v>
      </c>
      <c r="W533" s="1" t="s">
        <v>294</v>
      </c>
      <c r="Y533" t="s">
        <v>69</v>
      </c>
      <c r="Z533" t="s">
        <v>40</v>
      </c>
      <c r="AA533">
        <v>4</v>
      </c>
      <c r="AB533">
        <v>3</v>
      </c>
      <c r="AC533" t="s">
        <v>41</v>
      </c>
      <c r="AD533" t="s">
        <v>65</v>
      </c>
      <c r="AE533" t="s">
        <v>49</v>
      </c>
      <c r="AF533" s="3">
        <v>727</v>
      </c>
      <c r="AG533" s="3">
        <v>39</v>
      </c>
      <c r="AH533">
        <v>80</v>
      </c>
      <c r="AI533">
        <v>7</v>
      </c>
      <c r="AJ533">
        <v>0</v>
      </c>
      <c r="AL533">
        <v>0</v>
      </c>
      <c r="AM533">
        <v>1</v>
      </c>
      <c r="AN533" t="s">
        <v>768</v>
      </c>
      <c r="AO533" t="s">
        <v>41</v>
      </c>
    </row>
    <row r="534" spans="1:41" x14ac:dyDescent="0.25">
      <c r="A534">
        <v>25</v>
      </c>
      <c r="B534" t="s">
        <v>32</v>
      </c>
      <c r="C534" t="s">
        <v>55</v>
      </c>
      <c r="D534">
        <v>10</v>
      </c>
      <c r="E534" t="s">
        <v>34</v>
      </c>
      <c r="F534">
        <v>3</v>
      </c>
      <c r="G534">
        <v>2</v>
      </c>
      <c r="H534" t="s">
        <v>70</v>
      </c>
      <c r="I534">
        <v>4</v>
      </c>
      <c r="J534" t="s">
        <v>36</v>
      </c>
      <c r="K534">
        <v>4950</v>
      </c>
      <c r="L534">
        <v>0</v>
      </c>
      <c r="M534" t="s">
        <v>41</v>
      </c>
      <c r="N534">
        <v>14</v>
      </c>
      <c r="O534">
        <v>3</v>
      </c>
      <c r="P534">
        <v>0</v>
      </c>
      <c r="Q534">
        <v>5</v>
      </c>
      <c r="R534">
        <v>4</v>
      </c>
      <c r="S534">
        <v>4</v>
      </c>
      <c r="T534">
        <v>1</v>
      </c>
      <c r="U534">
        <v>1</v>
      </c>
      <c r="V534" t="s">
        <v>37</v>
      </c>
      <c r="W534" s="1" t="s">
        <v>295</v>
      </c>
      <c r="Y534" t="s">
        <v>63</v>
      </c>
      <c r="Z534" t="s">
        <v>40</v>
      </c>
      <c r="AA534">
        <v>3</v>
      </c>
      <c r="AB534">
        <v>3</v>
      </c>
      <c r="AC534" t="s">
        <v>41</v>
      </c>
      <c r="AD534" t="s">
        <v>42</v>
      </c>
      <c r="AE534" t="s">
        <v>49</v>
      </c>
      <c r="AF534" s="3">
        <v>728</v>
      </c>
      <c r="AG534" s="3">
        <v>42</v>
      </c>
      <c r="AH534">
        <v>80</v>
      </c>
      <c r="AI534">
        <v>7</v>
      </c>
      <c r="AJ534">
        <v>0</v>
      </c>
      <c r="AL534">
        <v>0</v>
      </c>
      <c r="AM534">
        <v>1</v>
      </c>
      <c r="AN534" t="s">
        <v>768</v>
      </c>
      <c r="AO534" t="s">
        <v>41</v>
      </c>
    </row>
    <row r="535" spans="1:41" x14ac:dyDescent="0.25">
      <c r="A535">
        <v>28</v>
      </c>
      <c r="B535" t="s">
        <v>66</v>
      </c>
      <c r="C535" t="s">
        <v>33</v>
      </c>
      <c r="D535">
        <v>1</v>
      </c>
      <c r="E535" t="s">
        <v>34</v>
      </c>
      <c r="F535">
        <v>3</v>
      </c>
      <c r="G535">
        <v>1</v>
      </c>
      <c r="H535" t="s">
        <v>35</v>
      </c>
      <c r="I535">
        <v>3</v>
      </c>
      <c r="J535" t="s">
        <v>36</v>
      </c>
      <c r="K535">
        <v>2154</v>
      </c>
      <c r="L535">
        <v>0</v>
      </c>
      <c r="M535" t="s">
        <v>31</v>
      </c>
      <c r="N535">
        <v>11</v>
      </c>
      <c r="O535">
        <v>3</v>
      </c>
      <c r="P535">
        <v>0</v>
      </c>
      <c r="Q535">
        <v>5</v>
      </c>
      <c r="R535">
        <v>2</v>
      </c>
      <c r="S535">
        <v>4</v>
      </c>
      <c r="T535">
        <v>0</v>
      </c>
      <c r="U535">
        <v>2</v>
      </c>
      <c r="V535" t="s">
        <v>58</v>
      </c>
      <c r="W535" s="1" t="s">
        <v>271</v>
      </c>
      <c r="Y535" t="s">
        <v>46</v>
      </c>
      <c r="Z535" t="s">
        <v>47</v>
      </c>
      <c r="AA535">
        <v>2</v>
      </c>
      <c r="AB535">
        <v>3</v>
      </c>
      <c r="AC535" t="s">
        <v>41</v>
      </c>
      <c r="AD535" t="s">
        <v>67</v>
      </c>
      <c r="AE535" t="s">
        <v>43</v>
      </c>
      <c r="AF535" s="3">
        <v>729</v>
      </c>
      <c r="AG535" s="3">
        <v>48</v>
      </c>
      <c r="AH535">
        <v>80</v>
      </c>
      <c r="AI535">
        <v>13</v>
      </c>
      <c r="AJ535">
        <v>0</v>
      </c>
      <c r="AL535">
        <v>0</v>
      </c>
      <c r="AM535">
        <v>1</v>
      </c>
      <c r="AN535" t="s">
        <v>768</v>
      </c>
      <c r="AO535" t="s">
        <v>41</v>
      </c>
    </row>
    <row r="536" spans="1:41" x14ac:dyDescent="0.25">
      <c r="A536">
        <v>40</v>
      </c>
      <c r="B536" t="s">
        <v>81</v>
      </c>
      <c r="C536" t="s">
        <v>33</v>
      </c>
      <c r="D536">
        <v>16</v>
      </c>
      <c r="E536" t="s">
        <v>34</v>
      </c>
      <c r="F536">
        <v>3</v>
      </c>
      <c r="G536">
        <v>1</v>
      </c>
      <c r="H536" t="s">
        <v>44</v>
      </c>
      <c r="I536">
        <v>3</v>
      </c>
      <c r="J536" t="s">
        <v>57</v>
      </c>
      <c r="K536">
        <v>3544</v>
      </c>
      <c r="L536">
        <v>9</v>
      </c>
      <c r="M536" t="s">
        <v>41</v>
      </c>
      <c r="N536">
        <v>16</v>
      </c>
      <c r="O536">
        <v>3</v>
      </c>
      <c r="P536">
        <v>1</v>
      </c>
      <c r="Q536">
        <v>6</v>
      </c>
      <c r="R536">
        <v>0</v>
      </c>
      <c r="S536">
        <v>4</v>
      </c>
      <c r="T536">
        <v>0</v>
      </c>
      <c r="U536">
        <v>0</v>
      </c>
      <c r="V536" t="s">
        <v>72</v>
      </c>
      <c r="W536" s="1" t="s">
        <v>271</v>
      </c>
      <c r="Y536" t="s">
        <v>46</v>
      </c>
      <c r="Z536" t="s">
        <v>47</v>
      </c>
      <c r="AA536">
        <v>5</v>
      </c>
      <c r="AB536">
        <v>1</v>
      </c>
      <c r="AC536" t="s">
        <v>41</v>
      </c>
      <c r="AD536" t="s">
        <v>42</v>
      </c>
      <c r="AE536" t="s">
        <v>49</v>
      </c>
      <c r="AF536" s="3">
        <v>730</v>
      </c>
      <c r="AG536" s="3">
        <v>59</v>
      </c>
      <c r="AH536">
        <v>80</v>
      </c>
      <c r="AI536">
        <v>1</v>
      </c>
      <c r="AJ536">
        <v>0</v>
      </c>
      <c r="AL536">
        <v>0</v>
      </c>
      <c r="AM536">
        <v>1</v>
      </c>
      <c r="AN536" t="s">
        <v>768</v>
      </c>
      <c r="AO536" t="s">
        <v>41</v>
      </c>
    </row>
    <row r="537" spans="1:41" x14ac:dyDescent="0.25">
      <c r="A537">
        <v>40</v>
      </c>
      <c r="B537" t="s">
        <v>32</v>
      </c>
      <c r="C537" t="s">
        <v>33</v>
      </c>
      <c r="D537">
        <v>1</v>
      </c>
      <c r="E537" t="s">
        <v>34</v>
      </c>
      <c r="F537">
        <v>3</v>
      </c>
      <c r="G537">
        <v>1</v>
      </c>
      <c r="H537" t="s">
        <v>35</v>
      </c>
      <c r="I537">
        <v>2</v>
      </c>
      <c r="J537" t="s">
        <v>51</v>
      </c>
      <c r="K537">
        <v>2387</v>
      </c>
      <c r="L537">
        <v>3</v>
      </c>
      <c r="M537" t="s">
        <v>41</v>
      </c>
      <c r="N537">
        <v>22</v>
      </c>
      <c r="O537">
        <v>4</v>
      </c>
      <c r="P537">
        <v>1</v>
      </c>
      <c r="Q537">
        <v>7</v>
      </c>
      <c r="R537">
        <v>3</v>
      </c>
      <c r="S537">
        <v>4</v>
      </c>
      <c r="T537">
        <v>0</v>
      </c>
      <c r="U537">
        <v>3</v>
      </c>
      <c r="V537" t="s">
        <v>52</v>
      </c>
      <c r="W537" s="2">
        <v>42921</v>
      </c>
      <c r="Y537" t="s">
        <v>39</v>
      </c>
      <c r="Z537" t="s">
        <v>40</v>
      </c>
      <c r="AA537">
        <v>5</v>
      </c>
      <c r="AB537">
        <v>3</v>
      </c>
      <c r="AC537" t="s">
        <v>41</v>
      </c>
      <c r="AD537" t="s">
        <v>65</v>
      </c>
      <c r="AE537" t="s">
        <v>49</v>
      </c>
      <c r="AF537" s="3">
        <v>731</v>
      </c>
      <c r="AG537" s="3">
        <v>73</v>
      </c>
      <c r="AH537">
        <v>80</v>
      </c>
      <c r="AI537">
        <v>6</v>
      </c>
      <c r="AJ537">
        <v>0</v>
      </c>
      <c r="AL537">
        <v>0</v>
      </c>
      <c r="AM537">
        <v>1</v>
      </c>
      <c r="AN537" t="s">
        <v>768</v>
      </c>
      <c r="AO537" t="s">
        <v>41</v>
      </c>
    </row>
    <row r="538" spans="1:41" x14ac:dyDescent="0.25">
      <c r="A538">
        <v>35</v>
      </c>
      <c r="B538" t="s">
        <v>66</v>
      </c>
      <c r="C538" t="s">
        <v>55</v>
      </c>
      <c r="D538">
        <v>18</v>
      </c>
      <c r="E538" t="s">
        <v>61</v>
      </c>
      <c r="F538">
        <v>3</v>
      </c>
      <c r="G538">
        <v>2</v>
      </c>
      <c r="H538" t="s">
        <v>70</v>
      </c>
      <c r="I538">
        <v>3</v>
      </c>
      <c r="J538" t="s">
        <v>51</v>
      </c>
      <c r="K538">
        <v>4614</v>
      </c>
      <c r="L538">
        <v>0</v>
      </c>
      <c r="M538" t="s">
        <v>31</v>
      </c>
      <c r="N538">
        <v>18</v>
      </c>
      <c r="O538">
        <v>3</v>
      </c>
      <c r="P538">
        <v>1</v>
      </c>
      <c r="Q538">
        <v>5</v>
      </c>
      <c r="R538">
        <v>0</v>
      </c>
      <c r="S538">
        <v>4</v>
      </c>
      <c r="T538">
        <v>3</v>
      </c>
      <c r="U538">
        <v>2</v>
      </c>
      <c r="V538" t="s">
        <v>58</v>
      </c>
      <c r="W538" s="1" t="s">
        <v>296</v>
      </c>
      <c r="Y538" t="s">
        <v>54</v>
      </c>
      <c r="Z538" t="s">
        <v>40</v>
      </c>
      <c r="AA538">
        <v>4</v>
      </c>
      <c r="AB538">
        <v>2</v>
      </c>
      <c r="AC538" t="s">
        <v>31</v>
      </c>
      <c r="AD538" t="s">
        <v>48</v>
      </c>
      <c r="AE538" t="s">
        <v>60</v>
      </c>
      <c r="AF538" s="3">
        <v>732</v>
      </c>
      <c r="AG538" s="3">
        <v>84</v>
      </c>
      <c r="AH538">
        <v>80</v>
      </c>
      <c r="AI538">
        <v>2</v>
      </c>
      <c r="AJ538">
        <v>0</v>
      </c>
      <c r="AL538">
        <v>0</v>
      </c>
      <c r="AM538">
        <v>1</v>
      </c>
      <c r="AN538" t="s">
        <v>768</v>
      </c>
      <c r="AO538" t="s">
        <v>41</v>
      </c>
    </row>
    <row r="539" spans="1:41" x14ac:dyDescent="0.25">
      <c r="A539">
        <v>38</v>
      </c>
      <c r="B539" t="s">
        <v>66</v>
      </c>
      <c r="C539" t="s">
        <v>33</v>
      </c>
      <c r="D539">
        <v>7</v>
      </c>
      <c r="E539" t="s">
        <v>34</v>
      </c>
      <c r="F539">
        <v>4</v>
      </c>
      <c r="G539">
        <v>1</v>
      </c>
      <c r="H539" t="s">
        <v>44</v>
      </c>
      <c r="I539">
        <v>3</v>
      </c>
      <c r="J539" t="s">
        <v>57</v>
      </c>
      <c r="K539">
        <v>2610</v>
      </c>
      <c r="L539">
        <v>1</v>
      </c>
      <c r="M539" t="s">
        <v>41</v>
      </c>
      <c r="N539">
        <v>11</v>
      </c>
      <c r="O539">
        <v>3</v>
      </c>
      <c r="P539">
        <v>3</v>
      </c>
      <c r="Q539">
        <v>4</v>
      </c>
      <c r="R539">
        <v>2</v>
      </c>
      <c r="S539">
        <v>4</v>
      </c>
      <c r="T539">
        <v>0</v>
      </c>
      <c r="U539">
        <v>3</v>
      </c>
      <c r="V539" t="s">
        <v>37</v>
      </c>
      <c r="W539" s="2">
        <v>42890</v>
      </c>
      <c r="Y539" t="s">
        <v>39</v>
      </c>
      <c r="Z539" t="s">
        <v>47</v>
      </c>
      <c r="AA539">
        <v>4</v>
      </c>
      <c r="AB539">
        <v>3</v>
      </c>
      <c r="AC539" t="s">
        <v>31</v>
      </c>
      <c r="AD539" t="s">
        <v>67</v>
      </c>
      <c r="AE539" t="s">
        <v>60</v>
      </c>
      <c r="AF539" s="3">
        <v>733</v>
      </c>
      <c r="AG539" s="3">
        <v>32</v>
      </c>
      <c r="AH539">
        <v>80</v>
      </c>
      <c r="AI539">
        <v>7</v>
      </c>
      <c r="AJ539">
        <v>0</v>
      </c>
      <c r="AL539">
        <v>0</v>
      </c>
      <c r="AM539">
        <v>1</v>
      </c>
      <c r="AN539" t="s">
        <v>768</v>
      </c>
      <c r="AO539" t="s">
        <v>41</v>
      </c>
    </row>
    <row r="540" spans="1:41" x14ac:dyDescent="0.25">
      <c r="A540">
        <v>51</v>
      </c>
      <c r="B540" t="s">
        <v>66</v>
      </c>
      <c r="C540" t="s">
        <v>55</v>
      </c>
      <c r="D540">
        <v>2</v>
      </c>
      <c r="E540" t="s">
        <v>34</v>
      </c>
      <c r="F540">
        <v>3</v>
      </c>
      <c r="G540">
        <v>3</v>
      </c>
      <c r="H540" t="s">
        <v>70</v>
      </c>
      <c r="I540">
        <v>2</v>
      </c>
      <c r="J540" t="s">
        <v>51</v>
      </c>
      <c r="K540">
        <v>10596</v>
      </c>
      <c r="L540">
        <v>2</v>
      </c>
      <c r="M540" t="s">
        <v>41</v>
      </c>
      <c r="N540">
        <v>11</v>
      </c>
      <c r="O540">
        <v>3</v>
      </c>
      <c r="P540">
        <v>0</v>
      </c>
      <c r="Q540">
        <v>14</v>
      </c>
      <c r="R540">
        <v>5</v>
      </c>
      <c r="S540">
        <v>4</v>
      </c>
      <c r="T540">
        <v>3</v>
      </c>
      <c r="U540">
        <v>2</v>
      </c>
      <c r="V540" t="s">
        <v>72</v>
      </c>
      <c r="W540" s="2">
        <v>42740</v>
      </c>
      <c r="Y540" t="s">
        <v>69</v>
      </c>
      <c r="Z540" t="s">
        <v>40</v>
      </c>
      <c r="AA540">
        <v>0</v>
      </c>
      <c r="AB540">
        <v>1</v>
      </c>
      <c r="AC540" t="s">
        <v>41</v>
      </c>
      <c r="AD540" t="s">
        <v>48</v>
      </c>
      <c r="AE540" t="s">
        <v>49</v>
      </c>
      <c r="AF540" s="3">
        <v>734</v>
      </c>
      <c r="AG540" s="3">
        <v>59</v>
      </c>
      <c r="AH540">
        <v>80</v>
      </c>
      <c r="AI540">
        <v>7</v>
      </c>
      <c r="AJ540">
        <v>0</v>
      </c>
      <c r="AL540">
        <v>0</v>
      </c>
      <c r="AM540">
        <v>1</v>
      </c>
      <c r="AN540" t="s">
        <v>768</v>
      </c>
      <c r="AO540" t="s">
        <v>41</v>
      </c>
    </row>
    <row r="541" spans="1:41" x14ac:dyDescent="0.25">
      <c r="A541">
        <v>26</v>
      </c>
      <c r="B541" t="s">
        <v>32</v>
      </c>
      <c r="C541" t="s">
        <v>33</v>
      </c>
      <c r="D541">
        <v>2</v>
      </c>
      <c r="E541" t="s">
        <v>34</v>
      </c>
      <c r="F541">
        <v>2</v>
      </c>
      <c r="G541">
        <v>1</v>
      </c>
      <c r="H541" t="s">
        <v>44</v>
      </c>
      <c r="I541">
        <v>4</v>
      </c>
      <c r="J541" t="s">
        <v>36</v>
      </c>
      <c r="K541">
        <v>3904</v>
      </c>
      <c r="L541">
        <v>0</v>
      </c>
      <c r="M541" t="s">
        <v>41</v>
      </c>
      <c r="N541">
        <v>12</v>
      </c>
      <c r="O541">
        <v>3</v>
      </c>
      <c r="P541">
        <v>0</v>
      </c>
      <c r="Q541">
        <v>5</v>
      </c>
      <c r="R541">
        <v>2</v>
      </c>
      <c r="S541">
        <v>4</v>
      </c>
      <c r="T541">
        <v>1</v>
      </c>
      <c r="U541">
        <v>1</v>
      </c>
      <c r="V541" t="s">
        <v>58</v>
      </c>
      <c r="W541" s="1" t="s">
        <v>270</v>
      </c>
      <c r="Y541" t="s">
        <v>46</v>
      </c>
      <c r="Z541" t="s">
        <v>47</v>
      </c>
      <c r="AA541">
        <v>4</v>
      </c>
      <c r="AB541">
        <v>3</v>
      </c>
      <c r="AC541" t="s">
        <v>41</v>
      </c>
      <c r="AD541" t="s">
        <v>67</v>
      </c>
      <c r="AE541" t="s">
        <v>49</v>
      </c>
      <c r="AF541" s="3">
        <v>738</v>
      </c>
      <c r="AG541" s="3">
        <v>54</v>
      </c>
      <c r="AH541">
        <v>80</v>
      </c>
      <c r="AI541">
        <v>2</v>
      </c>
      <c r="AJ541">
        <v>0</v>
      </c>
      <c r="AL541">
        <v>0</v>
      </c>
      <c r="AM541">
        <v>1</v>
      </c>
      <c r="AN541" t="s">
        <v>768</v>
      </c>
      <c r="AO541" t="s">
        <v>41</v>
      </c>
    </row>
    <row r="542" spans="1:41" x14ac:dyDescent="0.25">
      <c r="A542">
        <v>49</v>
      </c>
      <c r="B542" t="s">
        <v>66</v>
      </c>
      <c r="C542" t="s">
        <v>33</v>
      </c>
      <c r="D542">
        <v>28</v>
      </c>
      <c r="E542" t="s">
        <v>34</v>
      </c>
      <c r="F542">
        <v>2</v>
      </c>
      <c r="G542">
        <v>2</v>
      </c>
      <c r="H542" t="s">
        <v>35</v>
      </c>
      <c r="I542">
        <v>1</v>
      </c>
      <c r="J542" t="s">
        <v>36</v>
      </c>
      <c r="K542">
        <v>4284</v>
      </c>
      <c r="L542">
        <v>3</v>
      </c>
      <c r="M542" t="s">
        <v>41</v>
      </c>
      <c r="N542">
        <v>20</v>
      </c>
      <c r="O542">
        <v>4</v>
      </c>
      <c r="P542">
        <v>0</v>
      </c>
      <c r="Q542">
        <v>20</v>
      </c>
      <c r="R542">
        <v>2</v>
      </c>
      <c r="S542">
        <v>4</v>
      </c>
      <c r="T542">
        <v>1</v>
      </c>
      <c r="U542">
        <v>3</v>
      </c>
      <c r="V542" t="s">
        <v>37</v>
      </c>
      <c r="W542" s="2">
        <v>42980</v>
      </c>
      <c r="Y542" t="s">
        <v>63</v>
      </c>
      <c r="Z542" t="s">
        <v>40</v>
      </c>
      <c r="AA542">
        <v>1</v>
      </c>
      <c r="AB542">
        <v>3</v>
      </c>
      <c r="AC542" t="s">
        <v>31</v>
      </c>
      <c r="AD542" t="s">
        <v>48</v>
      </c>
      <c r="AE542" t="s">
        <v>60</v>
      </c>
      <c r="AF542" s="3">
        <v>741</v>
      </c>
      <c r="AG542" s="3">
        <v>67</v>
      </c>
      <c r="AH542">
        <v>80</v>
      </c>
      <c r="AI542">
        <v>7</v>
      </c>
      <c r="AJ542">
        <v>1</v>
      </c>
      <c r="AK542">
        <v>1</v>
      </c>
      <c r="AL542">
        <v>1</v>
      </c>
      <c r="AM542">
        <v>0</v>
      </c>
      <c r="AN542" t="s">
        <v>767</v>
      </c>
      <c r="AO542" t="s">
        <v>31</v>
      </c>
    </row>
    <row r="543" spans="1:41" x14ac:dyDescent="0.25">
      <c r="A543">
        <v>34</v>
      </c>
      <c r="B543" t="s">
        <v>66</v>
      </c>
      <c r="C543" t="s">
        <v>33</v>
      </c>
      <c r="D543">
        <v>1</v>
      </c>
      <c r="E543" t="s">
        <v>34</v>
      </c>
      <c r="F543">
        <v>3</v>
      </c>
      <c r="G543">
        <v>1</v>
      </c>
      <c r="H543" t="s">
        <v>44</v>
      </c>
      <c r="I543">
        <v>1</v>
      </c>
      <c r="J543" t="s">
        <v>57</v>
      </c>
      <c r="K543">
        <v>2996</v>
      </c>
      <c r="L543">
        <v>5</v>
      </c>
      <c r="M543" t="s">
        <v>41</v>
      </c>
      <c r="N543">
        <v>14</v>
      </c>
      <c r="O543">
        <v>3</v>
      </c>
      <c r="P543">
        <v>2</v>
      </c>
      <c r="Q543">
        <v>10</v>
      </c>
      <c r="R543">
        <v>2</v>
      </c>
      <c r="S543">
        <v>4</v>
      </c>
      <c r="T543">
        <v>1</v>
      </c>
      <c r="U543">
        <v>3</v>
      </c>
      <c r="V543" t="s">
        <v>58</v>
      </c>
      <c r="W543" s="1" t="s">
        <v>297</v>
      </c>
      <c r="Y543" t="s">
        <v>69</v>
      </c>
      <c r="Z543" t="s">
        <v>47</v>
      </c>
      <c r="AA543">
        <v>0</v>
      </c>
      <c r="AB543">
        <v>3</v>
      </c>
      <c r="AC543" t="s">
        <v>41</v>
      </c>
      <c r="AD543" t="s">
        <v>67</v>
      </c>
      <c r="AE543" t="s">
        <v>43</v>
      </c>
      <c r="AF543" s="3">
        <v>742</v>
      </c>
      <c r="AG543" s="3">
        <v>63</v>
      </c>
      <c r="AH543">
        <v>80</v>
      </c>
      <c r="AI543">
        <v>7</v>
      </c>
      <c r="AJ543">
        <v>0</v>
      </c>
      <c r="AL543">
        <v>0</v>
      </c>
      <c r="AM543">
        <v>1</v>
      </c>
      <c r="AN543" t="s">
        <v>768</v>
      </c>
      <c r="AO543" t="s">
        <v>41</v>
      </c>
    </row>
    <row r="544" spans="1:41" x14ac:dyDescent="0.25">
      <c r="A544">
        <v>32</v>
      </c>
      <c r="B544" t="s">
        <v>32</v>
      </c>
      <c r="C544" t="s">
        <v>55</v>
      </c>
      <c r="D544">
        <v>7</v>
      </c>
      <c r="E544" t="s">
        <v>34</v>
      </c>
      <c r="F544">
        <v>3</v>
      </c>
      <c r="G544">
        <v>2</v>
      </c>
      <c r="H544" t="s">
        <v>70</v>
      </c>
      <c r="I544">
        <v>4</v>
      </c>
      <c r="J544" t="s">
        <v>51</v>
      </c>
      <c r="K544">
        <v>9204</v>
      </c>
      <c r="L544">
        <v>4</v>
      </c>
      <c r="M544" t="s">
        <v>41</v>
      </c>
      <c r="N544">
        <v>12</v>
      </c>
      <c r="O544">
        <v>3</v>
      </c>
      <c r="P544">
        <v>1</v>
      </c>
      <c r="Q544">
        <v>7</v>
      </c>
      <c r="R544">
        <v>3</v>
      </c>
      <c r="S544">
        <v>4</v>
      </c>
      <c r="T544">
        <v>0</v>
      </c>
      <c r="U544">
        <v>3</v>
      </c>
      <c r="V544" t="s">
        <v>58</v>
      </c>
      <c r="W544" s="1" t="s">
        <v>298</v>
      </c>
      <c r="Y544" t="s">
        <v>69</v>
      </c>
      <c r="Z544" t="s">
        <v>40</v>
      </c>
      <c r="AA544">
        <v>3</v>
      </c>
      <c r="AB544">
        <v>2</v>
      </c>
      <c r="AC544" t="s">
        <v>31</v>
      </c>
      <c r="AD544" t="s">
        <v>65</v>
      </c>
      <c r="AE544" t="s">
        <v>43</v>
      </c>
      <c r="AF544" s="3">
        <v>743</v>
      </c>
      <c r="AG544" s="3">
        <v>81</v>
      </c>
      <c r="AH544">
        <v>80</v>
      </c>
      <c r="AI544">
        <v>0</v>
      </c>
      <c r="AJ544">
        <v>0</v>
      </c>
      <c r="AL544">
        <v>0</v>
      </c>
      <c r="AM544">
        <v>1</v>
      </c>
      <c r="AN544" t="s">
        <v>768</v>
      </c>
      <c r="AO544" t="s">
        <v>41</v>
      </c>
    </row>
    <row r="545" spans="1:41" x14ac:dyDescent="0.25">
      <c r="A545">
        <v>41</v>
      </c>
      <c r="B545" t="s">
        <v>32</v>
      </c>
      <c r="C545" t="s">
        <v>33</v>
      </c>
      <c r="D545">
        <v>5</v>
      </c>
      <c r="E545" t="s">
        <v>34</v>
      </c>
      <c r="F545">
        <v>4</v>
      </c>
      <c r="G545">
        <v>1</v>
      </c>
      <c r="H545" t="s">
        <v>44</v>
      </c>
      <c r="I545">
        <v>3</v>
      </c>
      <c r="J545" t="s">
        <v>51</v>
      </c>
      <c r="K545">
        <v>2127</v>
      </c>
      <c r="L545">
        <v>2</v>
      </c>
      <c r="M545" t="s">
        <v>31</v>
      </c>
      <c r="N545">
        <v>12</v>
      </c>
      <c r="O545">
        <v>3</v>
      </c>
      <c r="P545">
        <v>0</v>
      </c>
      <c r="Q545">
        <v>7</v>
      </c>
      <c r="R545">
        <v>5</v>
      </c>
      <c r="S545">
        <v>4</v>
      </c>
      <c r="T545">
        <v>0</v>
      </c>
      <c r="U545">
        <v>3</v>
      </c>
      <c r="V545" t="s">
        <v>58</v>
      </c>
      <c r="W545" s="2">
        <v>42858</v>
      </c>
      <c r="Y545" t="s">
        <v>54</v>
      </c>
      <c r="Z545" t="s">
        <v>40</v>
      </c>
      <c r="AA545">
        <v>2</v>
      </c>
      <c r="AB545">
        <v>2</v>
      </c>
      <c r="AC545" t="s">
        <v>41</v>
      </c>
      <c r="AD545" t="s">
        <v>65</v>
      </c>
      <c r="AE545" t="s">
        <v>43</v>
      </c>
      <c r="AF545" s="3">
        <v>744</v>
      </c>
      <c r="AG545" s="3">
        <v>49</v>
      </c>
      <c r="AH545">
        <v>80</v>
      </c>
      <c r="AI545">
        <v>2</v>
      </c>
      <c r="AJ545">
        <v>0</v>
      </c>
      <c r="AL545">
        <v>0</v>
      </c>
      <c r="AM545">
        <v>1</v>
      </c>
      <c r="AN545" t="s">
        <v>768</v>
      </c>
      <c r="AO545" t="s">
        <v>41</v>
      </c>
    </row>
    <row r="546" spans="1:41" x14ac:dyDescent="0.25">
      <c r="A546">
        <v>33</v>
      </c>
      <c r="B546" t="s">
        <v>66</v>
      </c>
      <c r="C546" t="s">
        <v>55</v>
      </c>
      <c r="D546">
        <v>7</v>
      </c>
      <c r="E546" t="s">
        <v>34</v>
      </c>
      <c r="F546">
        <v>3</v>
      </c>
      <c r="G546">
        <v>2</v>
      </c>
      <c r="H546" t="s">
        <v>70</v>
      </c>
      <c r="I546">
        <v>1</v>
      </c>
      <c r="J546" t="s">
        <v>51</v>
      </c>
      <c r="K546">
        <v>4373</v>
      </c>
      <c r="L546">
        <v>0</v>
      </c>
      <c r="M546" t="s">
        <v>41</v>
      </c>
      <c r="N546">
        <v>14</v>
      </c>
      <c r="O546">
        <v>3</v>
      </c>
      <c r="P546">
        <v>2</v>
      </c>
      <c r="Q546">
        <v>5</v>
      </c>
      <c r="R546">
        <v>2</v>
      </c>
      <c r="S546">
        <v>4</v>
      </c>
      <c r="T546">
        <v>0</v>
      </c>
      <c r="U546">
        <v>3</v>
      </c>
      <c r="V546" t="s">
        <v>58</v>
      </c>
      <c r="W546" s="1" t="s">
        <v>299</v>
      </c>
      <c r="Y546" t="s">
        <v>39</v>
      </c>
      <c r="Z546" t="s">
        <v>47</v>
      </c>
      <c r="AA546">
        <v>3</v>
      </c>
      <c r="AB546">
        <v>2</v>
      </c>
      <c r="AC546" t="s">
        <v>31</v>
      </c>
      <c r="AD546" t="s">
        <v>67</v>
      </c>
      <c r="AE546" t="s">
        <v>49</v>
      </c>
      <c r="AF546" s="3">
        <v>746</v>
      </c>
      <c r="AG546" s="3">
        <v>49</v>
      </c>
      <c r="AH546">
        <v>80</v>
      </c>
      <c r="AI546">
        <v>2</v>
      </c>
      <c r="AJ546">
        <v>0</v>
      </c>
      <c r="AL546">
        <v>0</v>
      </c>
      <c r="AM546">
        <v>1</v>
      </c>
      <c r="AN546" t="s">
        <v>768</v>
      </c>
      <c r="AO546" t="s">
        <v>41</v>
      </c>
    </row>
    <row r="547" spans="1:41" x14ac:dyDescent="0.25">
      <c r="A547">
        <v>28</v>
      </c>
      <c r="B547" t="s">
        <v>66</v>
      </c>
      <c r="C547" t="s">
        <v>55</v>
      </c>
      <c r="D547">
        <v>7</v>
      </c>
      <c r="E547" t="s">
        <v>34</v>
      </c>
      <c r="F547">
        <v>3</v>
      </c>
      <c r="G547">
        <v>2</v>
      </c>
      <c r="H547" t="s">
        <v>70</v>
      </c>
      <c r="I547">
        <v>1</v>
      </c>
      <c r="J547" t="s">
        <v>36</v>
      </c>
      <c r="K547">
        <v>4898</v>
      </c>
      <c r="L547">
        <v>0</v>
      </c>
      <c r="M547" t="s">
        <v>41</v>
      </c>
      <c r="N547">
        <v>14</v>
      </c>
      <c r="O547">
        <v>3</v>
      </c>
      <c r="P547">
        <v>0</v>
      </c>
      <c r="Q547">
        <v>5</v>
      </c>
      <c r="R547">
        <v>5</v>
      </c>
      <c r="S547">
        <v>4</v>
      </c>
      <c r="T547">
        <v>1</v>
      </c>
      <c r="U547">
        <v>3</v>
      </c>
      <c r="V547" t="s">
        <v>58</v>
      </c>
      <c r="W547" s="1" t="s">
        <v>300</v>
      </c>
      <c r="Y547" t="s">
        <v>54</v>
      </c>
      <c r="Z547" t="s">
        <v>47</v>
      </c>
      <c r="AA547">
        <v>2</v>
      </c>
      <c r="AB547">
        <v>1</v>
      </c>
      <c r="AC547" t="s">
        <v>31</v>
      </c>
      <c r="AD547" t="s">
        <v>42</v>
      </c>
      <c r="AE547" t="s">
        <v>43</v>
      </c>
      <c r="AF547" s="3">
        <v>747</v>
      </c>
      <c r="AG547" s="3">
        <v>99</v>
      </c>
      <c r="AH547">
        <v>80</v>
      </c>
      <c r="AI547">
        <v>7</v>
      </c>
      <c r="AJ547">
        <v>0</v>
      </c>
      <c r="AL547">
        <v>0</v>
      </c>
      <c r="AM547">
        <v>1</v>
      </c>
      <c r="AN547" t="s">
        <v>768</v>
      </c>
      <c r="AO547" t="s">
        <v>41</v>
      </c>
    </row>
    <row r="548" spans="1:41" x14ac:dyDescent="0.25">
      <c r="A548">
        <v>23</v>
      </c>
      <c r="B548" t="s">
        <v>32</v>
      </c>
      <c r="C548" t="s">
        <v>33</v>
      </c>
      <c r="D548">
        <v>20</v>
      </c>
      <c r="E548" t="s">
        <v>34</v>
      </c>
      <c r="F548">
        <v>3</v>
      </c>
      <c r="G548">
        <v>2</v>
      </c>
      <c r="H548" t="s">
        <v>35</v>
      </c>
      <c r="I548">
        <v>3</v>
      </c>
      <c r="J548" t="s">
        <v>36</v>
      </c>
      <c r="K548">
        <v>2272</v>
      </c>
      <c r="L548">
        <v>0</v>
      </c>
      <c r="M548" t="s">
        <v>41</v>
      </c>
      <c r="N548">
        <v>14</v>
      </c>
      <c r="O548">
        <v>3</v>
      </c>
      <c r="P548">
        <v>0</v>
      </c>
      <c r="Q548">
        <v>5</v>
      </c>
      <c r="R548">
        <v>2</v>
      </c>
      <c r="S548">
        <v>4</v>
      </c>
      <c r="T548">
        <v>1</v>
      </c>
      <c r="U548">
        <v>2</v>
      </c>
      <c r="V548" t="s">
        <v>72</v>
      </c>
      <c r="W548" s="2">
        <v>42768</v>
      </c>
      <c r="Y548" t="s">
        <v>54</v>
      </c>
      <c r="Z548" t="s">
        <v>47</v>
      </c>
      <c r="AA548">
        <v>1</v>
      </c>
      <c r="AB548">
        <v>2</v>
      </c>
      <c r="AC548" t="s">
        <v>41</v>
      </c>
      <c r="AD548" t="s">
        <v>48</v>
      </c>
      <c r="AE548" t="s">
        <v>49</v>
      </c>
      <c r="AF548" s="3">
        <v>749</v>
      </c>
      <c r="AG548" s="3">
        <v>99</v>
      </c>
      <c r="AH548">
        <v>80</v>
      </c>
      <c r="AI548">
        <v>0</v>
      </c>
      <c r="AJ548">
        <v>0</v>
      </c>
      <c r="AL548">
        <v>0</v>
      </c>
      <c r="AM548">
        <v>1</v>
      </c>
      <c r="AN548" t="s">
        <v>768</v>
      </c>
      <c r="AO548" t="s">
        <v>41</v>
      </c>
    </row>
    <row r="549" spans="1:41" x14ac:dyDescent="0.25">
      <c r="A549">
        <v>30</v>
      </c>
      <c r="B549" t="s">
        <v>32</v>
      </c>
      <c r="C549" t="s">
        <v>55</v>
      </c>
      <c r="D549">
        <v>29</v>
      </c>
      <c r="E549" t="s">
        <v>34</v>
      </c>
      <c r="F549">
        <v>3</v>
      </c>
      <c r="G549">
        <v>3</v>
      </c>
      <c r="H549" t="s">
        <v>70</v>
      </c>
      <c r="I549">
        <v>2</v>
      </c>
      <c r="J549" t="s">
        <v>51</v>
      </c>
      <c r="K549">
        <v>9250</v>
      </c>
      <c r="L549">
        <v>3</v>
      </c>
      <c r="M549" t="s">
        <v>41</v>
      </c>
      <c r="N549">
        <v>12</v>
      </c>
      <c r="O549">
        <v>3</v>
      </c>
      <c r="P549">
        <v>1</v>
      </c>
      <c r="Q549">
        <v>9</v>
      </c>
      <c r="R549">
        <v>3</v>
      </c>
      <c r="S549">
        <v>4</v>
      </c>
      <c r="T549">
        <v>1</v>
      </c>
      <c r="U549">
        <v>3</v>
      </c>
      <c r="V549" t="s">
        <v>58</v>
      </c>
      <c r="W549" s="1" t="s">
        <v>293</v>
      </c>
      <c r="Y549" t="s">
        <v>46</v>
      </c>
      <c r="Z549" t="s">
        <v>47</v>
      </c>
      <c r="AA549">
        <v>1</v>
      </c>
      <c r="AB549">
        <v>0</v>
      </c>
      <c r="AC549" t="s">
        <v>41</v>
      </c>
      <c r="AD549" t="s">
        <v>67</v>
      </c>
      <c r="AE549" t="s">
        <v>60</v>
      </c>
      <c r="AF549" s="3">
        <v>752</v>
      </c>
      <c r="AG549" s="3">
        <v>57</v>
      </c>
      <c r="AH549">
        <v>80</v>
      </c>
      <c r="AI549">
        <v>2</v>
      </c>
      <c r="AJ549">
        <v>1</v>
      </c>
      <c r="AK549">
        <v>1</v>
      </c>
      <c r="AL549">
        <v>1</v>
      </c>
      <c r="AM549">
        <v>0</v>
      </c>
      <c r="AN549" t="s">
        <v>767</v>
      </c>
      <c r="AO549" t="s">
        <v>31</v>
      </c>
    </row>
    <row r="550" spans="1:41" x14ac:dyDescent="0.25">
      <c r="A550">
        <v>22</v>
      </c>
      <c r="B550" t="s">
        <v>81</v>
      </c>
      <c r="C550" t="s">
        <v>33</v>
      </c>
      <c r="D550">
        <v>26</v>
      </c>
      <c r="E550" t="s">
        <v>61</v>
      </c>
      <c r="F550">
        <v>2</v>
      </c>
      <c r="G550">
        <v>1</v>
      </c>
      <c r="H550" t="s">
        <v>44</v>
      </c>
      <c r="I550">
        <v>3</v>
      </c>
      <c r="J550" t="s">
        <v>51</v>
      </c>
      <c r="K550">
        <v>2814</v>
      </c>
      <c r="L550">
        <v>1</v>
      </c>
      <c r="M550" t="s">
        <v>31</v>
      </c>
      <c r="N550">
        <v>14</v>
      </c>
      <c r="O550">
        <v>3</v>
      </c>
      <c r="P550">
        <v>0</v>
      </c>
      <c r="Q550">
        <v>4</v>
      </c>
      <c r="R550">
        <v>2</v>
      </c>
      <c r="S550">
        <v>4</v>
      </c>
      <c r="T550">
        <v>1</v>
      </c>
      <c r="U550">
        <v>3</v>
      </c>
      <c r="V550" t="s">
        <v>72</v>
      </c>
      <c r="W550" s="1" t="s">
        <v>284</v>
      </c>
      <c r="Y550" t="s">
        <v>69</v>
      </c>
      <c r="Z550" t="s">
        <v>47</v>
      </c>
      <c r="AA550">
        <v>4</v>
      </c>
      <c r="AB550">
        <v>2</v>
      </c>
      <c r="AC550" t="s">
        <v>41</v>
      </c>
      <c r="AD550" t="s">
        <v>42</v>
      </c>
      <c r="AE550" t="s">
        <v>49</v>
      </c>
      <c r="AF550" s="3">
        <v>754</v>
      </c>
      <c r="AG550" s="3">
        <v>47</v>
      </c>
      <c r="AH550">
        <v>80</v>
      </c>
      <c r="AI550">
        <v>2</v>
      </c>
      <c r="AJ550">
        <v>0</v>
      </c>
      <c r="AL550">
        <v>0</v>
      </c>
      <c r="AM550">
        <v>1</v>
      </c>
      <c r="AN550" t="s">
        <v>768</v>
      </c>
      <c r="AO550" t="s">
        <v>41</v>
      </c>
    </row>
    <row r="551" spans="1:41" x14ac:dyDescent="0.25">
      <c r="A551">
        <v>37</v>
      </c>
      <c r="B551" t="s">
        <v>32</v>
      </c>
      <c r="C551" t="s">
        <v>33</v>
      </c>
      <c r="D551">
        <v>19</v>
      </c>
      <c r="E551" t="s">
        <v>34</v>
      </c>
      <c r="F551">
        <v>3</v>
      </c>
      <c r="G551">
        <v>2</v>
      </c>
      <c r="H551" t="s">
        <v>78</v>
      </c>
      <c r="I551">
        <v>3</v>
      </c>
      <c r="J551" t="s">
        <v>51</v>
      </c>
      <c r="K551">
        <v>5768</v>
      </c>
      <c r="L551">
        <v>3</v>
      </c>
      <c r="M551" t="s">
        <v>41</v>
      </c>
      <c r="N551">
        <v>17</v>
      </c>
      <c r="O551">
        <v>3</v>
      </c>
      <c r="P551">
        <v>3</v>
      </c>
      <c r="Q551">
        <v>9</v>
      </c>
      <c r="R551">
        <v>2</v>
      </c>
      <c r="S551">
        <v>4</v>
      </c>
      <c r="T551">
        <v>0</v>
      </c>
      <c r="U551">
        <v>2</v>
      </c>
      <c r="V551" t="s">
        <v>72</v>
      </c>
      <c r="W551" s="1" t="s">
        <v>301</v>
      </c>
      <c r="Y551" t="s">
        <v>54</v>
      </c>
      <c r="Z551" t="s">
        <v>40</v>
      </c>
      <c r="AA551">
        <v>1</v>
      </c>
      <c r="AB551">
        <v>1</v>
      </c>
      <c r="AC551" t="s">
        <v>41</v>
      </c>
      <c r="AD551" t="s">
        <v>65</v>
      </c>
      <c r="AE551" t="s">
        <v>60</v>
      </c>
      <c r="AF551" s="3">
        <v>757</v>
      </c>
      <c r="AG551" s="3">
        <v>96</v>
      </c>
      <c r="AH551">
        <v>80</v>
      </c>
      <c r="AI551">
        <v>1</v>
      </c>
      <c r="AJ551">
        <v>0</v>
      </c>
      <c r="AL551">
        <v>0</v>
      </c>
      <c r="AM551">
        <v>1</v>
      </c>
      <c r="AN551" t="s">
        <v>768</v>
      </c>
      <c r="AO551" t="s">
        <v>41</v>
      </c>
    </row>
    <row r="552" spans="1:41" x14ac:dyDescent="0.25">
      <c r="A552">
        <v>40</v>
      </c>
      <c r="B552" t="s">
        <v>32</v>
      </c>
      <c r="C552" t="s">
        <v>33</v>
      </c>
      <c r="D552">
        <v>16</v>
      </c>
      <c r="E552" t="s">
        <v>61</v>
      </c>
      <c r="F552">
        <v>3</v>
      </c>
      <c r="G552">
        <v>3</v>
      </c>
      <c r="H552" t="s">
        <v>78</v>
      </c>
      <c r="I552">
        <v>4</v>
      </c>
      <c r="J552" t="s">
        <v>36</v>
      </c>
      <c r="K552">
        <v>7945</v>
      </c>
      <c r="L552">
        <v>6</v>
      </c>
      <c r="M552" t="s">
        <v>31</v>
      </c>
      <c r="N552">
        <v>15</v>
      </c>
      <c r="O552">
        <v>3</v>
      </c>
      <c r="P552">
        <v>0</v>
      </c>
      <c r="Q552">
        <v>18</v>
      </c>
      <c r="R552">
        <v>2</v>
      </c>
      <c r="S552">
        <v>4</v>
      </c>
      <c r="T552">
        <v>3</v>
      </c>
      <c r="U552">
        <v>3</v>
      </c>
      <c r="V552" t="s">
        <v>72</v>
      </c>
      <c r="W552" s="2">
        <v>42799</v>
      </c>
      <c r="Y552" t="s">
        <v>46</v>
      </c>
      <c r="Z552" t="s">
        <v>47</v>
      </c>
      <c r="AA552">
        <v>0</v>
      </c>
      <c r="AB552">
        <v>3</v>
      </c>
      <c r="AC552" t="s">
        <v>41</v>
      </c>
      <c r="AD552" t="s">
        <v>65</v>
      </c>
      <c r="AE552" t="s">
        <v>43</v>
      </c>
      <c r="AF552" s="3">
        <v>758</v>
      </c>
      <c r="AG552" s="3">
        <v>37</v>
      </c>
      <c r="AH552">
        <v>80</v>
      </c>
      <c r="AI552">
        <v>3</v>
      </c>
      <c r="AJ552">
        <v>0</v>
      </c>
      <c r="AL552">
        <v>0</v>
      </c>
      <c r="AM552">
        <v>1</v>
      </c>
      <c r="AN552" t="s">
        <v>768</v>
      </c>
      <c r="AO552" t="s">
        <v>41</v>
      </c>
    </row>
    <row r="553" spans="1:41" x14ac:dyDescent="0.25">
      <c r="A553">
        <v>27</v>
      </c>
      <c r="B553" t="s">
        <v>66</v>
      </c>
      <c r="C553" t="s">
        <v>33</v>
      </c>
      <c r="D553">
        <v>2</v>
      </c>
      <c r="E553" t="s">
        <v>34</v>
      </c>
      <c r="F553">
        <v>3</v>
      </c>
      <c r="G553">
        <v>1</v>
      </c>
      <c r="H553" t="s">
        <v>44</v>
      </c>
      <c r="I553">
        <v>4</v>
      </c>
      <c r="J553" t="s">
        <v>36</v>
      </c>
      <c r="K553">
        <v>2580</v>
      </c>
      <c r="L553">
        <v>2</v>
      </c>
      <c r="M553" t="s">
        <v>41</v>
      </c>
      <c r="N553">
        <v>13</v>
      </c>
      <c r="O553">
        <v>3</v>
      </c>
      <c r="P553">
        <v>0</v>
      </c>
      <c r="Q553">
        <v>6</v>
      </c>
      <c r="R553">
        <v>0</v>
      </c>
      <c r="S553">
        <v>4</v>
      </c>
      <c r="T553">
        <v>1</v>
      </c>
      <c r="U553">
        <v>2</v>
      </c>
      <c r="V553" t="s">
        <v>72</v>
      </c>
      <c r="W553" s="1" t="s">
        <v>302</v>
      </c>
      <c r="Y553" t="s">
        <v>63</v>
      </c>
      <c r="Z553" t="s">
        <v>40</v>
      </c>
      <c r="AA553">
        <v>2</v>
      </c>
      <c r="AB553">
        <v>3</v>
      </c>
      <c r="AC553" t="s">
        <v>31</v>
      </c>
      <c r="AD553" t="s">
        <v>48</v>
      </c>
      <c r="AE553" t="s">
        <v>49</v>
      </c>
      <c r="AF553" s="3">
        <v>760</v>
      </c>
      <c r="AG553" s="3">
        <v>44</v>
      </c>
      <c r="AH553">
        <v>80</v>
      </c>
      <c r="AI553">
        <v>3</v>
      </c>
      <c r="AJ553">
        <v>0</v>
      </c>
      <c r="AL553">
        <v>0</v>
      </c>
      <c r="AM553">
        <v>1</v>
      </c>
      <c r="AN553" t="s">
        <v>768</v>
      </c>
      <c r="AO553" t="s">
        <v>41</v>
      </c>
    </row>
    <row r="554" spans="1:41" x14ac:dyDescent="0.25">
      <c r="A554">
        <v>40</v>
      </c>
      <c r="B554" t="s">
        <v>32</v>
      </c>
      <c r="C554" t="s">
        <v>33</v>
      </c>
      <c r="D554">
        <v>7</v>
      </c>
      <c r="E554" t="s">
        <v>34</v>
      </c>
      <c r="F554">
        <v>3</v>
      </c>
      <c r="G554">
        <v>1</v>
      </c>
      <c r="H554" t="s">
        <v>35</v>
      </c>
      <c r="I554">
        <v>1</v>
      </c>
      <c r="J554" t="s">
        <v>36</v>
      </c>
      <c r="K554">
        <v>2166</v>
      </c>
      <c r="L554">
        <v>3</v>
      </c>
      <c r="M554" t="s">
        <v>31</v>
      </c>
      <c r="N554">
        <v>14</v>
      </c>
      <c r="O554">
        <v>3</v>
      </c>
      <c r="P554">
        <v>0</v>
      </c>
      <c r="Q554">
        <v>10</v>
      </c>
      <c r="R554">
        <v>3</v>
      </c>
      <c r="S554">
        <v>4</v>
      </c>
      <c r="T554">
        <v>0</v>
      </c>
      <c r="U554">
        <v>3</v>
      </c>
      <c r="V554" t="s">
        <v>52</v>
      </c>
      <c r="W554" s="1" t="s">
        <v>302</v>
      </c>
      <c r="Y554" t="s">
        <v>69</v>
      </c>
      <c r="Z554" t="s">
        <v>47</v>
      </c>
      <c r="AA554">
        <v>1</v>
      </c>
      <c r="AB554">
        <v>1</v>
      </c>
      <c r="AC554" t="s">
        <v>41</v>
      </c>
      <c r="AD554" t="s">
        <v>67</v>
      </c>
      <c r="AE554" t="s">
        <v>60</v>
      </c>
      <c r="AF554" s="3">
        <v>762</v>
      </c>
      <c r="AG554" s="3">
        <v>81</v>
      </c>
      <c r="AH554">
        <v>80</v>
      </c>
      <c r="AI554">
        <v>7</v>
      </c>
      <c r="AJ554">
        <v>0</v>
      </c>
      <c r="AL554">
        <v>0</v>
      </c>
      <c r="AM554">
        <v>1</v>
      </c>
      <c r="AN554" t="s">
        <v>768</v>
      </c>
      <c r="AO554" t="s">
        <v>41</v>
      </c>
    </row>
    <row r="555" spans="1:41" x14ac:dyDescent="0.25">
      <c r="A555">
        <v>49</v>
      </c>
      <c r="B555" t="s">
        <v>32</v>
      </c>
      <c r="C555" t="s">
        <v>33</v>
      </c>
      <c r="D555">
        <v>22</v>
      </c>
      <c r="E555" t="s">
        <v>61</v>
      </c>
      <c r="F555">
        <v>3</v>
      </c>
      <c r="G555">
        <v>4</v>
      </c>
      <c r="H555" t="s">
        <v>50</v>
      </c>
      <c r="I555">
        <v>2</v>
      </c>
      <c r="J555" t="s">
        <v>51</v>
      </c>
      <c r="K555">
        <v>16413</v>
      </c>
      <c r="L555">
        <v>3</v>
      </c>
      <c r="M555" t="s">
        <v>41</v>
      </c>
      <c r="N555">
        <v>16</v>
      </c>
      <c r="O555">
        <v>3</v>
      </c>
      <c r="P555">
        <v>2</v>
      </c>
      <c r="Q555">
        <v>27</v>
      </c>
      <c r="R555">
        <v>2</v>
      </c>
      <c r="S555">
        <v>4</v>
      </c>
      <c r="T555">
        <v>1</v>
      </c>
      <c r="U555">
        <v>2</v>
      </c>
      <c r="V555" t="s">
        <v>37</v>
      </c>
      <c r="W555" s="1" t="s">
        <v>303</v>
      </c>
      <c r="Y555" t="s">
        <v>54</v>
      </c>
      <c r="Z555" t="s">
        <v>40</v>
      </c>
      <c r="AA555">
        <v>0</v>
      </c>
      <c r="AB555">
        <v>0</v>
      </c>
      <c r="AC555" t="s">
        <v>41</v>
      </c>
      <c r="AD555" t="s">
        <v>67</v>
      </c>
      <c r="AE555" t="s">
        <v>43</v>
      </c>
      <c r="AF555" s="3">
        <v>763</v>
      </c>
      <c r="AG555" s="3">
        <v>86</v>
      </c>
      <c r="AH555">
        <v>80</v>
      </c>
      <c r="AI555">
        <v>2</v>
      </c>
      <c r="AJ555">
        <v>0</v>
      </c>
      <c r="AL555">
        <v>0</v>
      </c>
      <c r="AM555">
        <v>1</v>
      </c>
      <c r="AN555" t="s">
        <v>768</v>
      </c>
      <c r="AO555" t="s">
        <v>41</v>
      </c>
    </row>
    <row r="556" spans="1:41" x14ac:dyDescent="0.25">
      <c r="A556">
        <v>36</v>
      </c>
      <c r="B556" t="s">
        <v>32</v>
      </c>
      <c r="C556" t="s">
        <v>33</v>
      </c>
      <c r="D556">
        <v>7</v>
      </c>
      <c r="E556" t="s">
        <v>34</v>
      </c>
      <c r="F556">
        <v>3</v>
      </c>
      <c r="G556">
        <v>1</v>
      </c>
      <c r="H556" t="s">
        <v>35</v>
      </c>
      <c r="I556">
        <v>2</v>
      </c>
      <c r="J556" t="s">
        <v>36</v>
      </c>
      <c r="K556">
        <v>2013</v>
      </c>
      <c r="L556">
        <v>2</v>
      </c>
      <c r="M556" t="s">
        <v>41</v>
      </c>
      <c r="N556">
        <v>11</v>
      </c>
      <c r="O556">
        <v>3</v>
      </c>
      <c r="P556">
        <v>0</v>
      </c>
      <c r="Q556">
        <v>15</v>
      </c>
      <c r="R556">
        <v>4</v>
      </c>
      <c r="S556">
        <v>4</v>
      </c>
      <c r="T556">
        <v>1</v>
      </c>
      <c r="U556">
        <v>3</v>
      </c>
      <c r="V556" t="s">
        <v>58</v>
      </c>
      <c r="W556" s="1" t="s">
        <v>304</v>
      </c>
      <c r="Y556" t="s">
        <v>46</v>
      </c>
      <c r="Z556" t="s">
        <v>47</v>
      </c>
      <c r="AA556">
        <v>4</v>
      </c>
      <c r="AB556">
        <v>0</v>
      </c>
      <c r="AC556" t="s">
        <v>31</v>
      </c>
      <c r="AD556" t="s">
        <v>48</v>
      </c>
      <c r="AE556" t="s">
        <v>43</v>
      </c>
      <c r="AF556" s="3">
        <v>764</v>
      </c>
      <c r="AG556" s="3">
        <v>55</v>
      </c>
      <c r="AH556">
        <v>80</v>
      </c>
      <c r="AI556">
        <v>6</v>
      </c>
      <c r="AJ556">
        <v>0</v>
      </c>
      <c r="AL556">
        <v>0</v>
      </c>
      <c r="AM556">
        <v>1</v>
      </c>
      <c r="AN556" t="s">
        <v>768</v>
      </c>
      <c r="AO556" t="s">
        <v>41</v>
      </c>
    </row>
    <row r="557" spans="1:41" x14ac:dyDescent="0.25">
      <c r="A557">
        <v>38</v>
      </c>
      <c r="B557" t="s">
        <v>66</v>
      </c>
      <c r="C557" t="s">
        <v>33</v>
      </c>
      <c r="D557">
        <v>2</v>
      </c>
      <c r="E557" t="s">
        <v>61</v>
      </c>
      <c r="F557">
        <v>2</v>
      </c>
      <c r="G557">
        <v>1</v>
      </c>
      <c r="H557" t="s">
        <v>35</v>
      </c>
      <c r="I557">
        <v>2</v>
      </c>
      <c r="J557" t="s">
        <v>36</v>
      </c>
      <c r="K557">
        <v>2440</v>
      </c>
      <c r="L557">
        <v>1</v>
      </c>
      <c r="M557" t="s">
        <v>41</v>
      </c>
      <c r="N557">
        <v>22</v>
      </c>
      <c r="O557">
        <v>4</v>
      </c>
      <c r="P557">
        <v>0</v>
      </c>
      <c r="Q557">
        <v>4</v>
      </c>
      <c r="R557">
        <v>3</v>
      </c>
      <c r="S557">
        <v>4</v>
      </c>
      <c r="T557">
        <v>3</v>
      </c>
      <c r="U557">
        <v>3</v>
      </c>
      <c r="V557" t="s">
        <v>37</v>
      </c>
      <c r="W557" s="2">
        <v>42920</v>
      </c>
      <c r="Y557" t="s">
        <v>69</v>
      </c>
      <c r="Z557" t="s">
        <v>47</v>
      </c>
      <c r="AA557">
        <v>5</v>
      </c>
      <c r="AB557">
        <v>1</v>
      </c>
      <c r="AC557" t="s">
        <v>41</v>
      </c>
      <c r="AD557" t="s">
        <v>65</v>
      </c>
      <c r="AE557" t="s">
        <v>43</v>
      </c>
      <c r="AF557" s="3">
        <v>766</v>
      </c>
      <c r="AG557" s="3">
        <v>83</v>
      </c>
      <c r="AH557">
        <v>80</v>
      </c>
      <c r="AI557">
        <v>2</v>
      </c>
      <c r="AJ557">
        <v>0</v>
      </c>
      <c r="AL557">
        <v>0</v>
      </c>
      <c r="AM557">
        <v>1</v>
      </c>
      <c r="AN557" t="s">
        <v>768</v>
      </c>
      <c r="AO557" t="s">
        <v>41</v>
      </c>
    </row>
    <row r="558" spans="1:41" x14ac:dyDescent="0.25">
      <c r="A558">
        <v>53</v>
      </c>
      <c r="B558" t="s">
        <v>32</v>
      </c>
      <c r="C558" t="s">
        <v>33</v>
      </c>
      <c r="D558">
        <v>24</v>
      </c>
      <c r="E558" t="s">
        <v>34</v>
      </c>
      <c r="F558">
        <v>4</v>
      </c>
      <c r="G558">
        <v>3</v>
      </c>
      <c r="H558" t="s">
        <v>89</v>
      </c>
      <c r="I558">
        <v>4</v>
      </c>
      <c r="J558" t="s">
        <v>51</v>
      </c>
      <c r="K558">
        <v>7005</v>
      </c>
      <c r="L558">
        <v>3</v>
      </c>
      <c r="M558" t="s">
        <v>41</v>
      </c>
      <c r="N558">
        <v>15</v>
      </c>
      <c r="O558">
        <v>3</v>
      </c>
      <c r="P558">
        <v>0</v>
      </c>
      <c r="Q558">
        <v>11</v>
      </c>
      <c r="R558">
        <v>2</v>
      </c>
      <c r="S558">
        <v>4</v>
      </c>
      <c r="T558">
        <v>1</v>
      </c>
      <c r="U558">
        <v>2</v>
      </c>
      <c r="V558" t="s">
        <v>58</v>
      </c>
      <c r="W558" s="1" t="s">
        <v>305</v>
      </c>
      <c r="Y558" t="s">
        <v>63</v>
      </c>
      <c r="Z558" t="s">
        <v>40</v>
      </c>
      <c r="AA558">
        <v>5</v>
      </c>
      <c r="AB558">
        <v>3</v>
      </c>
      <c r="AC558" t="s">
        <v>31</v>
      </c>
      <c r="AD558" t="s">
        <v>65</v>
      </c>
      <c r="AE558" t="s">
        <v>60</v>
      </c>
      <c r="AF558" s="3">
        <v>769</v>
      </c>
      <c r="AG558" s="3">
        <v>86</v>
      </c>
      <c r="AH558">
        <v>80</v>
      </c>
      <c r="AI558">
        <v>2</v>
      </c>
      <c r="AJ558">
        <v>0</v>
      </c>
      <c r="AL558">
        <v>0</v>
      </c>
      <c r="AM558">
        <v>1</v>
      </c>
      <c r="AN558" t="s">
        <v>768</v>
      </c>
      <c r="AO558" t="s">
        <v>41</v>
      </c>
    </row>
    <row r="559" spans="1:41" x14ac:dyDescent="0.25">
      <c r="A559">
        <v>55</v>
      </c>
      <c r="B559" t="s">
        <v>32</v>
      </c>
      <c r="C559" t="s">
        <v>33</v>
      </c>
      <c r="D559">
        <v>22</v>
      </c>
      <c r="E559" t="s">
        <v>34</v>
      </c>
      <c r="F559">
        <v>2</v>
      </c>
      <c r="G559">
        <v>1</v>
      </c>
      <c r="H559" t="s">
        <v>44</v>
      </c>
      <c r="I559">
        <v>2</v>
      </c>
      <c r="J559" t="s">
        <v>57</v>
      </c>
      <c r="K559">
        <v>3537</v>
      </c>
      <c r="L559">
        <v>5</v>
      </c>
      <c r="M559" t="s">
        <v>41</v>
      </c>
      <c r="N559">
        <v>12</v>
      </c>
      <c r="O559">
        <v>3</v>
      </c>
      <c r="P559">
        <v>1</v>
      </c>
      <c r="Q559">
        <v>8</v>
      </c>
      <c r="R559">
        <v>1</v>
      </c>
      <c r="S559">
        <v>4</v>
      </c>
      <c r="T559">
        <v>1</v>
      </c>
      <c r="U559">
        <v>2</v>
      </c>
      <c r="V559" t="s">
        <v>52</v>
      </c>
      <c r="W559" s="1" t="s">
        <v>306</v>
      </c>
      <c r="Y559" t="s">
        <v>63</v>
      </c>
      <c r="Z559" t="s">
        <v>47</v>
      </c>
      <c r="AA559">
        <v>5</v>
      </c>
      <c r="AB559">
        <v>1</v>
      </c>
      <c r="AC559" t="s">
        <v>31</v>
      </c>
      <c r="AD559" t="s">
        <v>48</v>
      </c>
      <c r="AE559" t="s">
        <v>43</v>
      </c>
      <c r="AF559" s="3">
        <v>771</v>
      </c>
      <c r="AG559" s="3">
        <v>61</v>
      </c>
      <c r="AH559">
        <v>80</v>
      </c>
      <c r="AI559">
        <v>0</v>
      </c>
      <c r="AJ559">
        <v>0</v>
      </c>
      <c r="AL559">
        <v>0</v>
      </c>
      <c r="AM559">
        <v>1</v>
      </c>
      <c r="AN559" t="s">
        <v>768</v>
      </c>
      <c r="AO559" t="s">
        <v>41</v>
      </c>
    </row>
    <row r="560" spans="1:41" x14ac:dyDescent="0.25">
      <c r="A560">
        <v>32</v>
      </c>
      <c r="B560" t="s">
        <v>32</v>
      </c>
      <c r="C560" t="s">
        <v>55</v>
      </c>
      <c r="D560">
        <v>19</v>
      </c>
      <c r="E560" t="s">
        <v>34</v>
      </c>
      <c r="F560">
        <v>1</v>
      </c>
      <c r="G560">
        <v>3</v>
      </c>
      <c r="H560" t="s">
        <v>70</v>
      </c>
      <c r="I560">
        <v>3</v>
      </c>
      <c r="J560" t="s">
        <v>51</v>
      </c>
      <c r="K560">
        <v>9610</v>
      </c>
      <c r="L560">
        <v>3</v>
      </c>
      <c r="M560" t="s">
        <v>41</v>
      </c>
      <c r="N560">
        <v>13</v>
      </c>
      <c r="O560">
        <v>3</v>
      </c>
      <c r="P560">
        <v>1</v>
      </c>
      <c r="Q560">
        <v>10</v>
      </c>
      <c r="R560">
        <v>2</v>
      </c>
      <c r="S560">
        <v>4</v>
      </c>
      <c r="T560">
        <v>0</v>
      </c>
      <c r="U560">
        <v>2</v>
      </c>
      <c r="V560" t="s">
        <v>52</v>
      </c>
      <c r="W560" s="1" t="s">
        <v>307</v>
      </c>
      <c r="Y560" t="s">
        <v>54</v>
      </c>
      <c r="Z560" t="s">
        <v>47</v>
      </c>
      <c r="AA560">
        <v>5</v>
      </c>
      <c r="AB560">
        <v>3</v>
      </c>
      <c r="AC560" t="s">
        <v>41</v>
      </c>
      <c r="AD560" t="s">
        <v>42</v>
      </c>
      <c r="AE560" t="s">
        <v>43</v>
      </c>
      <c r="AF560" s="3">
        <v>772</v>
      </c>
      <c r="AG560" s="3">
        <v>80</v>
      </c>
      <c r="AH560">
        <v>80</v>
      </c>
      <c r="AI560">
        <v>8</v>
      </c>
      <c r="AJ560">
        <v>0</v>
      </c>
      <c r="AL560">
        <v>0</v>
      </c>
      <c r="AM560">
        <v>1</v>
      </c>
      <c r="AN560" t="s">
        <v>768</v>
      </c>
      <c r="AO560" t="s">
        <v>41</v>
      </c>
    </row>
    <row r="561" spans="1:41" x14ac:dyDescent="0.25">
      <c r="A561">
        <v>30</v>
      </c>
      <c r="B561" t="s">
        <v>66</v>
      </c>
      <c r="C561" t="s">
        <v>120</v>
      </c>
      <c r="D561">
        <v>8</v>
      </c>
      <c r="E561" t="s">
        <v>61</v>
      </c>
      <c r="F561">
        <v>2</v>
      </c>
      <c r="G561">
        <v>1</v>
      </c>
      <c r="H561" t="s">
        <v>120</v>
      </c>
      <c r="I561">
        <v>4</v>
      </c>
      <c r="J561" t="s">
        <v>57</v>
      </c>
      <c r="K561">
        <v>2180</v>
      </c>
      <c r="L561">
        <v>6</v>
      </c>
      <c r="M561" t="s">
        <v>41</v>
      </c>
      <c r="N561">
        <v>11</v>
      </c>
      <c r="O561">
        <v>3</v>
      </c>
      <c r="P561">
        <v>1</v>
      </c>
      <c r="Q561">
        <v>6</v>
      </c>
      <c r="R561">
        <v>0</v>
      </c>
      <c r="S561">
        <v>4</v>
      </c>
      <c r="T561">
        <v>1</v>
      </c>
      <c r="U561">
        <v>2</v>
      </c>
      <c r="V561" t="s">
        <v>37</v>
      </c>
      <c r="W561" s="1" t="s">
        <v>308</v>
      </c>
      <c r="Y561" t="s">
        <v>54</v>
      </c>
      <c r="Z561" t="s">
        <v>47</v>
      </c>
      <c r="AA561">
        <v>4</v>
      </c>
      <c r="AB561">
        <v>1</v>
      </c>
      <c r="AC561" t="s">
        <v>31</v>
      </c>
      <c r="AD561" t="s">
        <v>67</v>
      </c>
      <c r="AE561" t="s">
        <v>43</v>
      </c>
      <c r="AF561" s="3">
        <v>773</v>
      </c>
      <c r="AG561" s="3">
        <v>92</v>
      </c>
      <c r="AH561">
        <v>80</v>
      </c>
      <c r="AI561">
        <v>0</v>
      </c>
      <c r="AJ561">
        <v>0</v>
      </c>
      <c r="AL561">
        <v>0</v>
      </c>
      <c r="AM561">
        <v>1</v>
      </c>
      <c r="AN561" t="s">
        <v>768</v>
      </c>
      <c r="AO561" t="s">
        <v>41</v>
      </c>
    </row>
    <row r="562" spans="1:41" x14ac:dyDescent="0.25">
      <c r="A562">
        <v>39</v>
      </c>
      <c r="B562" t="s">
        <v>32</v>
      </c>
      <c r="C562" t="s">
        <v>33</v>
      </c>
      <c r="D562">
        <v>10</v>
      </c>
      <c r="E562" t="s">
        <v>34</v>
      </c>
      <c r="F562">
        <v>3</v>
      </c>
      <c r="G562">
        <v>3</v>
      </c>
      <c r="H562" t="s">
        <v>50</v>
      </c>
      <c r="I562">
        <v>3</v>
      </c>
      <c r="J562" t="s">
        <v>36</v>
      </c>
      <c r="K562">
        <v>13464</v>
      </c>
      <c r="L562">
        <v>7</v>
      </c>
      <c r="M562" t="s">
        <v>41</v>
      </c>
      <c r="N562">
        <v>21</v>
      </c>
      <c r="O562">
        <v>4</v>
      </c>
      <c r="P562">
        <v>0</v>
      </c>
      <c r="Q562">
        <v>9</v>
      </c>
      <c r="R562">
        <v>3</v>
      </c>
      <c r="S562">
        <v>4</v>
      </c>
      <c r="T562">
        <v>2</v>
      </c>
      <c r="U562">
        <v>2</v>
      </c>
      <c r="V562" t="s">
        <v>52</v>
      </c>
      <c r="W562" s="1" t="s">
        <v>309</v>
      </c>
      <c r="Y562" t="s">
        <v>54</v>
      </c>
      <c r="Z562" t="s">
        <v>47</v>
      </c>
      <c r="AA562">
        <v>3</v>
      </c>
      <c r="AB562">
        <v>2</v>
      </c>
      <c r="AC562" t="s">
        <v>31</v>
      </c>
      <c r="AD562" t="s">
        <v>65</v>
      </c>
      <c r="AE562" t="s">
        <v>49</v>
      </c>
      <c r="AF562" s="3">
        <v>775</v>
      </c>
      <c r="AG562" s="3">
        <v>32</v>
      </c>
      <c r="AH562">
        <v>80</v>
      </c>
      <c r="AI562">
        <v>0</v>
      </c>
      <c r="AJ562">
        <v>0</v>
      </c>
      <c r="AL562">
        <v>0</v>
      </c>
      <c r="AM562">
        <v>1</v>
      </c>
      <c r="AN562" t="s">
        <v>768</v>
      </c>
      <c r="AO562" t="s">
        <v>41</v>
      </c>
    </row>
    <row r="563" spans="1:41" x14ac:dyDescent="0.25">
      <c r="A563">
        <v>40</v>
      </c>
      <c r="B563" t="s">
        <v>32</v>
      </c>
      <c r="C563" t="s">
        <v>33</v>
      </c>
      <c r="D563">
        <v>2</v>
      </c>
      <c r="E563" t="s">
        <v>61</v>
      </c>
      <c r="F563">
        <v>3</v>
      </c>
      <c r="G563">
        <v>1</v>
      </c>
      <c r="H563" t="s">
        <v>35</v>
      </c>
      <c r="I563">
        <v>1</v>
      </c>
      <c r="J563" t="s">
        <v>51</v>
      </c>
      <c r="K563">
        <v>3377</v>
      </c>
      <c r="L563">
        <v>4</v>
      </c>
      <c r="M563" t="s">
        <v>41</v>
      </c>
      <c r="N563">
        <v>17</v>
      </c>
      <c r="O563">
        <v>3</v>
      </c>
      <c r="P563">
        <v>1</v>
      </c>
      <c r="Q563">
        <v>7</v>
      </c>
      <c r="R563">
        <v>5</v>
      </c>
      <c r="S563">
        <v>4</v>
      </c>
      <c r="T563">
        <v>0</v>
      </c>
      <c r="U563">
        <v>2</v>
      </c>
      <c r="V563" t="s">
        <v>52</v>
      </c>
      <c r="W563" s="2">
        <v>42828</v>
      </c>
      <c r="Y563" t="s">
        <v>63</v>
      </c>
      <c r="Z563" t="s">
        <v>40</v>
      </c>
      <c r="AA563">
        <v>2</v>
      </c>
      <c r="AB563">
        <v>1</v>
      </c>
      <c r="AC563" t="s">
        <v>41</v>
      </c>
      <c r="AD563" t="s">
        <v>65</v>
      </c>
      <c r="AE563" t="s">
        <v>60</v>
      </c>
      <c r="AF563" s="3">
        <v>776</v>
      </c>
      <c r="AG563" s="3">
        <v>31</v>
      </c>
      <c r="AH563">
        <v>80</v>
      </c>
      <c r="AI563">
        <v>6</v>
      </c>
      <c r="AJ563">
        <v>0</v>
      </c>
      <c r="AL563">
        <v>0</v>
      </c>
      <c r="AM563">
        <v>1</v>
      </c>
      <c r="AN563" t="s">
        <v>768</v>
      </c>
      <c r="AO563" t="s">
        <v>41</v>
      </c>
    </row>
    <row r="564" spans="1:41" x14ac:dyDescent="0.25">
      <c r="A564">
        <v>38</v>
      </c>
      <c r="B564" t="s">
        <v>32</v>
      </c>
      <c r="C564" t="s">
        <v>55</v>
      </c>
      <c r="D564">
        <v>2</v>
      </c>
      <c r="E564" t="s">
        <v>61</v>
      </c>
      <c r="F564">
        <v>1</v>
      </c>
      <c r="G564">
        <v>2</v>
      </c>
      <c r="H564" t="s">
        <v>56</v>
      </c>
      <c r="I564">
        <v>4</v>
      </c>
      <c r="J564" t="s">
        <v>51</v>
      </c>
      <c r="K564">
        <v>5405</v>
      </c>
      <c r="L564">
        <v>2</v>
      </c>
      <c r="M564" t="s">
        <v>31</v>
      </c>
      <c r="N564">
        <v>20</v>
      </c>
      <c r="O564">
        <v>4</v>
      </c>
      <c r="P564">
        <v>2</v>
      </c>
      <c r="Q564">
        <v>20</v>
      </c>
      <c r="R564">
        <v>4</v>
      </c>
      <c r="S564">
        <v>4</v>
      </c>
      <c r="T564">
        <v>0</v>
      </c>
      <c r="U564">
        <v>3</v>
      </c>
      <c r="V564" t="s">
        <v>52</v>
      </c>
      <c r="W564" s="1" t="s">
        <v>310</v>
      </c>
      <c r="Y564" t="s">
        <v>46</v>
      </c>
      <c r="Z564" t="s">
        <v>40</v>
      </c>
      <c r="AA564">
        <v>5</v>
      </c>
      <c r="AB564">
        <v>3</v>
      </c>
      <c r="AC564" t="s">
        <v>31</v>
      </c>
      <c r="AD564" t="s">
        <v>42</v>
      </c>
      <c r="AE564" t="s">
        <v>60</v>
      </c>
      <c r="AF564" s="3">
        <v>780</v>
      </c>
      <c r="AG564" s="3">
        <v>63</v>
      </c>
      <c r="AH564">
        <v>80</v>
      </c>
      <c r="AI564">
        <v>9</v>
      </c>
      <c r="AJ564">
        <v>1</v>
      </c>
      <c r="AK564">
        <v>1</v>
      </c>
      <c r="AL564">
        <v>1</v>
      </c>
      <c r="AM564">
        <v>0</v>
      </c>
      <c r="AN564" t="s">
        <v>767</v>
      </c>
      <c r="AO564" t="s">
        <v>31</v>
      </c>
    </row>
    <row r="565" spans="1:41" x14ac:dyDescent="0.25">
      <c r="A565">
        <v>56</v>
      </c>
      <c r="B565" t="s">
        <v>32</v>
      </c>
      <c r="C565" t="s">
        <v>33</v>
      </c>
      <c r="D565">
        <v>24</v>
      </c>
      <c r="E565" t="s">
        <v>34</v>
      </c>
      <c r="F565">
        <v>3</v>
      </c>
      <c r="G565">
        <v>1</v>
      </c>
      <c r="H565" t="s">
        <v>35</v>
      </c>
      <c r="I565">
        <v>4</v>
      </c>
      <c r="J565" t="s">
        <v>36</v>
      </c>
      <c r="K565">
        <v>2587</v>
      </c>
      <c r="L565">
        <v>1</v>
      </c>
      <c r="M565" t="s">
        <v>41</v>
      </c>
      <c r="N565">
        <v>16</v>
      </c>
      <c r="O565">
        <v>3</v>
      </c>
      <c r="P565">
        <v>0</v>
      </c>
      <c r="Q565">
        <v>5</v>
      </c>
      <c r="R565">
        <v>3</v>
      </c>
      <c r="S565">
        <v>4</v>
      </c>
      <c r="T565">
        <v>1</v>
      </c>
      <c r="U565">
        <v>0</v>
      </c>
      <c r="V565" t="s">
        <v>37</v>
      </c>
      <c r="W565" s="1" t="s">
        <v>311</v>
      </c>
      <c r="Y565" t="s">
        <v>39</v>
      </c>
      <c r="Z565" t="s">
        <v>47</v>
      </c>
      <c r="AA565">
        <v>1</v>
      </c>
      <c r="AB565">
        <v>3</v>
      </c>
      <c r="AC565" t="s">
        <v>31</v>
      </c>
      <c r="AD565" t="s">
        <v>42</v>
      </c>
      <c r="AE565" t="s">
        <v>49</v>
      </c>
      <c r="AF565" s="3">
        <v>781</v>
      </c>
      <c r="AG565" s="3">
        <v>32</v>
      </c>
      <c r="AH565">
        <v>80</v>
      </c>
      <c r="AI565">
        <v>5</v>
      </c>
      <c r="AJ565">
        <v>0</v>
      </c>
      <c r="AL565">
        <v>0</v>
      </c>
      <c r="AM565">
        <v>1</v>
      </c>
      <c r="AN565" t="s">
        <v>768</v>
      </c>
      <c r="AO565" t="s">
        <v>41</v>
      </c>
    </row>
    <row r="566" spans="1:41" x14ac:dyDescent="0.25">
      <c r="A566">
        <v>36</v>
      </c>
      <c r="B566" t="s">
        <v>32</v>
      </c>
      <c r="C566" t="s">
        <v>55</v>
      </c>
      <c r="D566">
        <v>17</v>
      </c>
      <c r="E566" t="s">
        <v>34</v>
      </c>
      <c r="F566">
        <v>2</v>
      </c>
      <c r="G566">
        <v>2</v>
      </c>
      <c r="H566" t="s">
        <v>70</v>
      </c>
      <c r="I566">
        <v>2</v>
      </c>
      <c r="J566" t="s">
        <v>51</v>
      </c>
      <c r="K566">
        <v>5507</v>
      </c>
      <c r="L566">
        <v>2</v>
      </c>
      <c r="M566" t="s">
        <v>41</v>
      </c>
      <c r="N566">
        <v>16</v>
      </c>
      <c r="O566">
        <v>3</v>
      </c>
      <c r="P566">
        <v>2</v>
      </c>
      <c r="Q566">
        <v>12</v>
      </c>
      <c r="R566">
        <v>1</v>
      </c>
      <c r="S566">
        <v>4</v>
      </c>
      <c r="T566">
        <v>1</v>
      </c>
      <c r="U566">
        <v>3</v>
      </c>
      <c r="V566" t="s">
        <v>52</v>
      </c>
      <c r="W566" s="2">
        <v>42770</v>
      </c>
      <c r="Y566" t="s">
        <v>39</v>
      </c>
      <c r="Z566" t="s">
        <v>47</v>
      </c>
      <c r="AA566">
        <v>0</v>
      </c>
      <c r="AB566">
        <v>0</v>
      </c>
      <c r="AC566" t="s">
        <v>31</v>
      </c>
      <c r="AD566" t="s">
        <v>48</v>
      </c>
      <c r="AE566" t="s">
        <v>43</v>
      </c>
      <c r="AF566" s="3">
        <v>783</v>
      </c>
      <c r="AG566" s="3">
        <v>46</v>
      </c>
      <c r="AH566">
        <v>80</v>
      </c>
      <c r="AI566">
        <v>7</v>
      </c>
      <c r="AJ566">
        <v>0</v>
      </c>
      <c r="AL566">
        <v>0</v>
      </c>
      <c r="AM566">
        <v>1</v>
      </c>
      <c r="AN566" t="s">
        <v>768</v>
      </c>
      <c r="AO566" t="s">
        <v>41</v>
      </c>
    </row>
    <row r="567" spans="1:41" x14ac:dyDescent="0.25">
      <c r="A567">
        <v>34</v>
      </c>
      <c r="B567" t="s">
        <v>32</v>
      </c>
      <c r="C567" t="s">
        <v>55</v>
      </c>
      <c r="D567">
        <v>3</v>
      </c>
      <c r="E567" t="s">
        <v>61</v>
      </c>
      <c r="F567">
        <v>2</v>
      </c>
      <c r="G567">
        <v>2</v>
      </c>
      <c r="H567" t="s">
        <v>70</v>
      </c>
      <c r="I567">
        <v>4</v>
      </c>
      <c r="J567" t="s">
        <v>51</v>
      </c>
      <c r="K567">
        <v>8103</v>
      </c>
      <c r="L567">
        <v>3</v>
      </c>
      <c r="M567" t="s">
        <v>31</v>
      </c>
      <c r="N567">
        <v>12</v>
      </c>
      <c r="O567">
        <v>3</v>
      </c>
      <c r="P567">
        <v>0</v>
      </c>
      <c r="Q567">
        <v>9</v>
      </c>
      <c r="R567">
        <v>3</v>
      </c>
      <c r="S567">
        <v>4</v>
      </c>
      <c r="T567">
        <v>0</v>
      </c>
      <c r="U567">
        <v>1</v>
      </c>
      <c r="V567" t="s">
        <v>52</v>
      </c>
      <c r="W567" s="2">
        <v>42981</v>
      </c>
      <c r="Y567" t="s">
        <v>54</v>
      </c>
      <c r="Z567" t="s">
        <v>40</v>
      </c>
      <c r="AA567">
        <v>1</v>
      </c>
      <c r="AB567">
        <v>2</v>
      </c>
      <c r="AC567" t="s">
        <v>31</v>
      </c>
      <c r="AD567" t="s">
        <v>67</v>
      </c>
      <c r="AE567" t="s">
        <v>49</v>
      </c>
      <c r="AF567" s="3">
        <v>784</v>
      </c>
      <c r="AG567" s="3">
        <v>79</v>
      </c>
      <c r="AH567">
        <v>80</v>
      </c>
      <c r="AI567">
        <v>2</v>
      </c>
      <c r="AJ567">
        <v>0</v>
      </c>
      <c r="AL567">
        <v>0</v>
      </c>
      <c r="AM567">
        <v>1</v>
      </c>
      <c r="AN567" t="s">
        <v>768</v>
      </c>
      <c r="AO567" t="s">
        <v>41</v>
      </c>
    </row>
    <row r="568" spans="1:41" x14ac:dyDescent="0.25">
      <c r="A568">
        <v>45</v>
      </c>
      <c r="B568" t="s">
        <v>66</v>
      </c>
      <c r="C568" t="s">
        <v>33</v>
      </c>
      <c r="D568">
        <v>1</v>
      </c>
      <c r="E568" t="s">
        <v>34</v>
      </c>
      <c r="F568">
        <v>3</v>
      </c>
      <c r="G568">
        <v>2</v>
      </c>
      <c r="H568" t="s">
        <v>89</v>
      </c>
      <c r="I568">
        <v>3</v>
      </c>
      <c r="J568" t="s">
        <v>36</v>
      </c>
      <c r="K568">
        <v>5399</v>
      </c>
      <c r="L568">
        <v>4</v>
      </c>
      <c r="M568" t="s">
        <v>41</v>
      </c>
      <c r="N568">
        <v>12</v>
      </c>
      <c r="O568">
        <v>3</v>
      </c>
      <c r="P568">
        <v>0</v>
      </c>
      <c r="Q568">
        <v>12</v>
      </c>
      <c r="R568">
        <v>3</v>
      </c>
      <c r="S568">
        <v>4</v>
      </c>
      <c r="T568">
        <v>0</v>
      </c>
      <c r="U568">
        <v>3</v>
      </c>
      <c r="V568" t="s">
        <v>72</v>
      </c>
      <c r="W568" s="2">
        <v>43071</v>
      </c>
      <c r="Y568" t="s">
        <v>39</v>
      </c>
      <c r="Z568" t="s">
        <v>47</v>
      </c>
      <c r="AA568">
        <v>3</v>
      </c>
      <c r="AB568">
        <v>2</v>
      </c>
      <c r="AC568" t="s">
        <v>41</v>
      </c>
      <c r="AD568" t="s">
        <v>67</v>
      </c>
      <c r="AE568" t="s">
        <v>49</v>
      </c>
      <c r="AF568" s="3">
        <v>785</v>
      </c>
      <c r="AG568" s="3">
        <v>77</v>
      </c>
      <c r="AH568">
        <v>80</v>
      </c>
      <c r="AI568">
        <v>4</v>
      </c>
      <c r="AJ568">
        <v>1</v>
      </c>
      <c r="AK568">
        <v>1</v>
      </c>
      <c r="AL568">
        <v>1</v>
      </c>
      <c r="AM568">
        <v>0</v>
      </c>
      <c r="AN568" t="s">
        <v>767</v>
      </c>
      <c r="AO568" t="s">
        <v>31</v>
      </c>
    </row>
    <row r="569" spans="1:41" x14ac:dyDescent="0.25">
      <c r="A569">
        <v>32</v>
      </c>
      <c r="B569" t="s">
        <v>66</v>
      </c>
      <c r="C569" t="s">
        <v>33</v>
      </c>
      <c r="D569">
        <v>5</v>
      </c>
      <c r="E569" t="s">
        <v>61</v>
      </c>
      <c r="F569">
        <v>4</v>
      </c>
      <c r="G569">
        <v>1</v>
      </c>
      <c r="H569" t="s">
        <v>44</v>
      </c>
      <c r="I569">
        <v>3</v>
      </c>
      <c r="J569" t="s">
        <v>36</v>
      </c>
      <c r="K569">
        <v>2432</v>
      </c>
      <c r="L569">
        <v>3</v>
      </c>
      <c r="M569" t="s">
        <v>31</v>
      </c>
      <c r="N569">
        <v>14</v>
      </c>
      <c r="O569">
        <v>3</v>
      </c>
      <c r="P569">
        <v>0</v>
      </c>
      <c r="Q569">
        <v>8</v>
      </c>
      <c r="R569">
        <v>2</v>
      </c>
      <c r="S569">
        <v>4</v>
      </c>
      <c r="T569">
        <v>0</v>
      </c>
      <c r="U569">
        <v>3</v>
      </c>
      <c r="V569" t="s">
        <v>72</v>
      </c>
      <c r="W569" s="1" t="s">
        <v>312</v>
      </c>
      <c r="Y569" t="s">
        <v>69</v>
      </c>
      <c r="Z569" t="s">
        <v>40</v>
      </c>
      <c r="AA569">
        <v>4</v>
      </c>
      <c r="AB569">
        <v>1</v>
      </c>
      <c r="AC569" t="s">
        <v>31</v>
      </c>
      <c r="AD569" t="s">
        <v>65</v>
      </c>
      <c r="AE569" t="s">
        <v>49</v>
      </c>
      <c r="AF569" s="3">
        <v>786</v>
      </c>
      <c r="AG569" s="3">
        <v>60</v>
      </c>
      <c r="AH569">
        <v>80</v>
      </c>
      <c r="AI569">
        <v>5</v>
      </c>
      <c r="AJ569">
        <v>0</v>
      </c>
      <c r="AL569">
        <v>0</v>
      </c>
      <c r="AM569">
        <v>1</v>
      </c>
      <c r="AN569" t="s">
        <v>768</v>
      </c>
      <c r="AO569" t="s">
        <v>41</v>
      </c>
    </row>
    <row r="570" spans="1:41" x14ac:dyDescent="0.25">
      <c r="A570">
        <v>31</v>
      </c>
      <c r="B570" t="s">
        <v>81</v>
      </c>
      <c r="C570" t="s">
        <v>33</v>
      </c>
      <c r="D570">
        <v>3</v>
      </c>
      <c r="E570" t="s">
        <v>34</v>
      </c>
      <c r="F570">
        <v>3</v>
      </c>
      <c r="G570">
        <v>1</v>
      </c>
      <c r="H570" t="s">
        <v>44</v>
      </c>
      <c r="I570">
        <v>1</v>
      </c>
      <c r="J570" t="s">
        <v>57</v>
      </c>
      <c r="K570">
        <v>3065</v>
      </c>
      <c r="L570">
        <v>1</v>
      </c>
      <c r="M570" t="s">
        <v>31</v>
      </c>
      <c r="N570">
        <v>13</v>
      </c>
      <c r="O570">
        <v>3</v>
      </c>
      <c r="P570">
        <v>1</v>
      </c>
      <c r="Q570">
        <v>4</v>
      </c>
      <c r="R570">
        <v>3</v>
      </c>
      <c r="S570">
        <v>4</v>
      </c>
      <c r="T570">
        <v>2</v>
      </c>
      <c r="U570">
        <v>3</v>
      </c>
      <c r="V570" t="s">
        <v>37</v>
      </c>
      <c r="W570" s="2">
        <v>42921</v>
      </c>
      <c r="Y570" t="s">
        <v>54</v>
      </c>
      <c r="Z570" t="s">
        <v>40</v>
      </c>
      <c r="AA570">
        <v>1</v>
      </c>
      <c r="AB570">
        <v>0</v>
      </c>
      <c r="AC570" t="s">
        <v>31</v>
      </c>
      <c r="AD570" t="s">
        <v>42</v>
      </c>
      <c r="AE570" t="s">
        <v>60</v>
      </c>
      <c r="AF570" s="3">
        <v>787</v>
      </c>
      <c r="AG570" s="3">
        <v>78</v>
      </c>
      <c r="AH570">
        <v>80</v>
      </c>
      <c r="AI570">
        <v>2</v>
      </c>
      <c r="AJ570">
        <v>1</v>
      </c>
      <c r="AK570">
        <v>1</v>
      </c>
      <c r="AL570">
        <v>1</v>
      </c>
      <c r="AM570">
        <v>0</v>
      </c>
      <c r="AN570" t="s">
        <v>767</v>
      </c>
      <c r="AO570" t="s">
        <v>31</v>
      </c>
    </row>
    <row r="571" spans="1:41" x14ac:dyDescent="0.25">
      <c r="A571">
        <v>28</v>
      </c>
      <c r="B571" t="s">
        <v>32</v>
      </c>
      <c r="C571" t="s">
        <v>33</v>
      </c>
      <c r="D571">
        <v>17</v>
      </c>
      <c r="E571" t="s">
        <v>34</v>
      </c>
      <c r="F571">
        <v>2</v>
      </c>
      <c r="G571">
        <v>1</v>
      </c>
      <c r="H571" t="s">
        <v>35</v>
      </c>
      <c r="I571">
        <v>4</v>
      </c>
      <c r="J571" t="s">
        <v>57</v>
      </c>
      <c r="K571">
        <v>2367</v>
      </c>
      <c r="L571">
        <v>5</v>
      </c>
      <c r="M571" t="s">
        <v>41</v>
      </c>
      <c r="N571">
        <v>12</v>
      </c>
      <c r="O571">
        <v>3</v>
      </c>
      <c r="P571">
        <v>1</v>
      </c>
      <c r="Q571">
        <v>6</v>
      </c>
      <c r="R571">
        <v>2</v>
      </c>
      <c r="S571">
        <v>4</v>
      </c>
      <c r="T571">
        <v>0</v>
      </c>
      <c r="U571">
        <v>3</v>
      </c>
      <c r="V571" t="s">
        <v>52</v>
      </c>
      <c r="W571" s="1" t="s">
        <v>290</v>
      </c>
      <c r="Y571" t="s">
        <v>46</v>
      </c>
      <c r="Z571" t="s">
        <v>47</v>
      </c>
      <c r="AA571">
        <v>0</v>
      </c>
      <c r="AB571">
        <v>2</v>
      </c>
      <c r="AC571" t="s">
        <v>41</v>
      </c>
      <c r="AD571" t="s">
        <v>48</v>
      </c>
      <c r="AE571" t="s">
        <v>49</v>
      </c>
      <c r="AF571" s="3">
        <v>789</v>
      </c>
      <c r="AG571" s="3">
        <v>76</v>
      </c>
      <c r="AH571">
        <v>80</v>
      </c>
      <c r="AI571">
        <v>7</v>
      </c>
      <c r="AJ571">
        <v>0</v>
      </c>
      <c r="AL571">
        <v>0</v>
      </c>
      <c r="AM571">
        <v>1</v>
      </c>
      <c r="AN571" t="s">
        <v>768</v>
      </c>
      <c r="AO571" t="s">
        <v>41</v>
      </c>
    </row>
    <row r="572" spans="1:41" x14ac:dyDescent="0.25">
      <c r="A572">
        <v>54</v>
      </c>
      <c r="B572" t="s">
        <v>32</v>
      </c>
      <c r="C572" t="s">
        <v>33</v>
      </c>
      <c r="D572">
        <v>9</v>
      </c>
      <c r="E572" t="s">
        <v>61</v>
      </c>
      <c r="F572">
        <v>3</v>
      </c>
      <c r="G572">
        <v>2</v>
      </c>
      <c r="H572" t="s">
        <v>44</v>
      </c>
      <c r="I572">
        <v>3</v>
      </c>
      <c r="J572" t="s">
        <v>51</v>
      </c>
      <c r="K572">
        <v>2897</v>
      </c>
      <c r="L572">
        <v>3</v>
      </c>
      <c r="M572" t="s">
        <v>41</v>
      </c>
      <c r="N572">
        <v>11</v>
      </c>
      <c r="O572">
        <v>3</v>
      </c>
      <c r="P572">
        <v>2</v>
      </c>
      <c r="Q572">
        <v>9</v>
      </c>
      <c r="R572">
        <v>6</v>
      </c>
      <c r="S572">
        <v>4</v>
      </c>
      <c r="T572">
        <v>2</v>
      </c>
      <c r="U572">
        <v>3</v>
      </c>
      <c r="V572" t="s">
        <v>52</v>
      </c>
      <c r="W572" s="1" t="s">
        <v>304</v>
      </c>
      <c r="Y572" t="s">
        <v>54</v>
      </c>
      <c r="Z572" t="s">
        <v>47</v>
      </c>
      <c r="AA572">
        <v>5</v>
      </c>
      <c r="AB572">
        <v>1</v>
      </c>
      <c r="AC572" t="s">
        <v>31</v>
      </c>
      <c r="AD572" t="s">
        <v>65</v>
      </c>
      <c r="AE572" t="s">
        <v>43</v>
      </c>
      <c r="AF572" s="3">
        <v>791</v>
      </c>
      <c r="AG572" s="3">
        <v>41</v>
      </c>
      <c r="AH572">
        <v>80</v>
      </c>
      <c r="AI572">
        <v>3</v>
      </c>
      <c r="AJ572">
        <v>0</v>
      </c>
      <c r="AL572">
        <v>0</v>
      </c>
      <c r="AM572">
        <v>1</v>
      </c>
      <c r="AN572" t="s">
        <v>768</v>
      </c>
      <c r="AO572" t="s">
        <v>41</v>
      </c>
    </row>
    <row r="573" spans="1:41" x14ac:dyDescent="0.25">
      <c r="A573">
        <v>24</v>
      </c>
      <c r="B573" t="s">
        <v>32</v>
      </c>
      <c r="C573" t="s">
        <v>33</v>
      </c>
      <c r="D573">
        <v>1</v>
      </c>
      <c r="E573" t="s">
        <v>34</v>
      </c>
      <c r="F573">
        <v>2</v>
      </c>
      <c r="G573">
        <v>2</v>
      </c>
      <c r="H573" t="s">
        <v>89</v>
      </c>
      <c r="I573">
        <v>3</v>
      </c>
      <c r="J573" t="s">
        <v>36</v>
      </c>
      <c r="K573">
        <v>4617</v>
      </c>
      <c r="L573">
        <v>1</v>
      </c>
      <c r="M573" t="s">
        <v>41</v>
      </c>
      <c r="N573">
        <v>12</v>
      </c>
      <c r="O573">
        <v>3</v>
      </c>
      <c r="P573">
        <v>0</v>
      </c>
      <c r="Q573">
        <v>4</v>
      </c>
      <c r="R573">
        <v>2</v>
      </c>
      <c r="S573">
        <v>4</v>
      </c>
      <c r="T573">
        <v>1</v>
      </c>
      <c r="U573">
        <v>2</v>
      </c>
      <c r="V573" t="s">
        <v>37</v>
      </c>
      <c r="W573" s="2">
        <v>42741</v>
      </c>
      <c r="Y573" t="s">
        <v>54</v>
      </c>
      <c r="Z573" t="s">
        <v>47</v>
      </c>
      <c r="AA573">
        <v>0</v>
      </c>
      <c r="AB573">
        <v>1</v>
      </c>
      <c r="AC573" t="s">
        <v>41</v>
      </c>
      <c r="AD573" t="s">
        <v>67</v>
      </c>
      <c r="AE573" t="s">
        <v>49</v>
      </c>
      <c r="AF573" s="3">
        <v>792</v>
      </c>
      <c r="AG573" s="3">
        <v>71</v>
      </c>
      <c r="AH573">
        <v>80</v>
      </c>
      <c r="AI573">
        <v>2</v>
      </c>
      <c r="AJ573">
        <v>0</v>
      </c>
      <c r="AL573">
        <v>0</v>
      </c>
      <c r="AM573">
        <v>1</v>
      </c>
      <c r="AN573" t="s">
        <v>768</v>
      </c>
      <c r="AO573" t="s">
        <v>41</v>
      </c>
    </row>
    <row r="574" spans="1:41" x14ac:dyDescent="0.25">
      <c r="A574">
        <v>42</v>
      </c>
      <c r="B574" t="s">
        <v>32</v>
      </c>
      <c r="C574" t="s">
        <v>33</v>
      </c>
      <c r="D574">
        <v>18</v>
      </c>
      <c r="E574" t="s">
        <v>34</v>
      </c>
      <c r="F574">
        <v>3</v>
      </c>
      <c r="G574">
        <v>2</v>
      </c>
      <c r="H574" t="s">
        <v>44</v>
      </c>
      <c r="I574">
        <v>1</v>
      </c>
      <c r="J574" t="s">
        <v>57</v>
      </c>
      <c r="K574">
        <v>5410</v>
      </c>
      <c r="L574">
        <v>6</v>
      </c>
      <c r="M574" t="s">
        <v>31</v>
      </c>
      <c r="N574">
        <v>17</v>
      </c>
      <c r="O574">
        <v>3</v>
      </c>
      <c r="P574">
        <v>1</v>
      </c>
      <c r="Q574">
        <v>9</v>
      </c>
      <c r="R574">
        <v>3</v>
      </c>
      <c r="S574">
        <v>4</v>
      </c>
      <c r="T574">
        <v>1</v>
      </c>
      <c r="U574">
        <v>2</v>
      </c>
      <c r="V574" t="s">
        <v>58</v>
      </c>
      <c r="W574" s="2">
        <v>42741</v>
      </c>
      <c r="Y574" t="s">
        <v>69</v>
      </c>
      <c r="Z574" t="s">
        <v>47</v>
      </c>
      <c r="AA574">
        <v>3</v>
      </c>
      <c r="AB574">
        <v>0</v>
      </c>
      <c r="AC574" t="s">
        <v>31</v>
      </c>
      <c r="AD574" t="s">
        <v>65</v>
      </c>
      <c r="AE574" t="s">
        <v>60</v>
      </c>
      <c r="AF574" s="3">
        <v>793</v>
      </c>
      <c r="AG574" s="3">
        <v>66</v>
      </c>
      <c r="AH574">
        <v>80</v>
      </c>
      <c r="AI574">
        <v>7</v>
      </c>
      <c r="AJ574">
        <v>0</v>
      </c>
      <c r="AL574">
        <v>0</v>
      </c>
      <c r="AM574">
        <v>1</v>
      </c>
      <c r="AN574" t="s">
        <v>768</v>
      </c>
      <c r="AO574" t="s">
        <v>41</v>
      </c>
    </row>
    <row r="575" spans="1:41" x14ac:dyDescent="0.25">
      <c r="A575">
        <v>44</v>
      </c>
      <c r="B575" t="s">
        <v>32</v>
      </c>
      <c r="C575" t="s">
        <v>33</v>
      </c>
      <c r="D575">
        <v>1</v>
      </c>
      <c r="E575" t="s">
        <v>34</v>
      </c>
      <c r="F575">
        <v>3</v>
      </c>
      <c r="G575">
        <v>1</v>
      </c>
      <c r="H575" t="s">
        <v>44</v>
      </c>
      <c r="I575">
        <v>4</v>
      </c>
      <c r="J575" t="s">
        <v>36</v>
      </c>
      <c r="K575">
        <v>2436</v>
      </c>
      <c r="L575">
        <v>6</v>
      </c>
      <c r="M575" t="s">
        <v>31</v>
      </c>
      <c r="N575">
        <v>12</v>
      </c>
      <c r="O575">
        <v>3</v>
      </c>
      <c r="P575">
        <v>0</v>
      </c>
      <c r="Q575">
        <v>6</v>
      </c>
      <c r="R575">
        <v>2</v>
      </c>
      <c r="S575">
        <v>4</v>
      </c>
      <c r="T575">
        <v>1</v>
      </c>
      <c r="U575">
        <v>2</v>
      </c>
      <c r="V575" t="s">
        <v>52</v>
      </c>
      <c r="W575" s="1" t="s">
        <v>307</v>
      </c>
      <c r="Y575" t="s">
        <v>39</v>
      </c>
      <c r="Z575" t="s">
        <v>47</v>
      </c>
      <c r="AA575">
        <v>2</v>
      </c>
      <c r="AB575">
        <v>2</v>
      </c>
      <c r="AC575" t="s">
        <v>41</v>
      </c>
      <c r="AD575" t="s">
        <v>67</v>
      </c>
      <c r="AE575" t="s">
        <v>60</v>
      </c>
      <c r="AF575" s="3">
        <v>796</v>
      </c>
      <c r="AG575" s="3">
        <v>38</v>
      </c>
      <c r="AH575">
        <v>80</v>
      </c>
      <c r="AI575">
        <v>3</v>
      </c>
      <c r="AJ575">
        <v>1</v>
      </c>
      <c r="AK575">
        <v>1</v>
      </c>
      <c r="AL575">
        <v>1</v>
      </c>
      <c r="AM575">
        <v>0</v>
      </c>
      <c r="AN575" t="s">
        <v>767</v>
      </c>
      <c r="AO575" t="s">
        <v>31</v>
      </c>
    </row>
    <row r="576" spans="1:41" x14ac:dyDescent="0.25">
      <c r="A576">
        <v>36</v>
      </c>
      <c r="B576" t="s">
        <v>66</v>
      </c>
      <c r="C576" t="s">
        <v>33</v>
      </c>
      <c r="D576">
        <v>4</v>
      </c>
      <c r="E576" t="s">
        <v>61</v>
      </c>
      <c r="F576">
        <v>3</v>
      </c>
      <c r="G576">
        <v>2</v>
      </c>
      <c r="H576" t="s">
        <v>78</v>
      </c>
      <c r="I576">
        <v>2</v>
      </c>
      <c r="J576" t="s">
        <v>57</v>
      </c>
      <c r="K576">
        <v>5131</v>
      </c>
      <c r="L576">
        <v>7</v>
      </c>
      <c r="M576" t="s">
        <v>41</v>
      </c>
      <c r="N576">
        <v>13</v>
      </c>
      <c r="O576">
        <v>3</v>
      </c>
      <c r="P576">
        <v>3</v>
      </c>
      <c r="Q576">
        <v>18</v>
      </c>
      <c r="R576">
        <v>3</v>
      </c>
      <c r="S576">
        <v>4</v>
      </c>
      <c r="T576">
        <v>0</v>
      </c>
      <c r="U576">
        <v>2</v>
      </c>
      <c r="V576" t="s">
        <v>72</v>
      </c>
      <c r="W576" s="1" t="s">
        <v>313</v>
      </c>
      <c r="Y576" t="s">
        <v>69</v>
      </c>
      <c r="Z576" t="s">
        <v>40</v>
      </c>
      <c r="AA576">
        <v>3</v>
      </c>
      <c r="AB576">
        <v>1</v>
      </c>
      <c r="AC576" t="s">
        <v>41</v>
      </c>
      <c r="AD576" t="s">
        <v>67</v>
      </c>
      <c r="AE576" t="s">
        <v>49</v>
      </c>
      <c r="AF576" s="3">
        <v>797</v>
      </c>
      <c r="AG576" s="3">
        <v>72</v>
      </c>
      <c r="AH576">
        <v>80</v>
      </c>
      <c r="AI576">
        <v>2</v>
      </c>
      <c r="AJ576">
        <v>0</v>
      </c>
      <c r="AL576">
        <v>0</v>
      </c>
      <c r="AM576">
        <v>1</v>
      </c>
      <c r="AN576" t="s">
        <v>768</v>
      </c>
      <c r="AO576" t="s">
        <v>41</v>
      </c>
    </row>
    <row r="577" spans="1:41" x14ac:dyDescent="0.25">
      <c r="A577">
        <v>32</v>
      </c>
      <c r="B577" t="s">
        <v>32</v>
      </c>
      <c r="C577" t="s">
        <v>33</v>
      </c>
      <c r="D577">
        <v>2</v>
      </c>
      <c r="E577" t="s">
        <v>34</v>
      </c>
      <c r="F577">
        <v>3</v>
      </c>
      <c r="G577">
        <v>1</v>
      </c>
      <c r="H577" t="s">
        <v>44</v>
      </c>
      <c r="I577">
        <v>1</v>
      </c>
      <c r="J577" t="s">
        <v>36</v>
      </c>
      <c r="K577">
        <v>2439</v>
      </c>
      <c r="L577">
        <v>1</v>
      </c>
      <c r="M577" t="s">
        <v>41</v>
      </c>
      <c r="N577">
        <v>14</v>
      </c>
      <c r="O577">
        <v>3</v>
      </c>
      <c r="P577">
        <v>0</v>
      </c>
      <c r="Q577">
        <v>4</v>
      </c>
      <c r="R577">
        <v>4</v>
      </c>
      <c r="S577">
        <v>4</v>
      </c>
      <c r="T577">
        <v>1</v>
      </c>
      <c r="U577">
        <v>2</v>
      </c>
      <c r="V577" t="s">
        <v>72</v>
      </c>
      <c r="W577" s="1" t="s">
        <v>314</v>
      </c>
      <c r="Y577" t="s">
        <v>63</v>
      </c>
      <c r="Z577" t="s">
        <v>40</v>
      </c>
      <c r="AA577">
        <v>4</v>
      </c>
      <c r="AB577">
        <v>2</v>
      </c>
      <c r="AC577" t="s">
        <v>31</v>
      </c>
      <c r="AD577" t="s">
        <v>65</v>
      </c>
      <c r="AE577" t="s">
        <v>49</v>
      </c>
      <c r="AF577" s="3">
        <v>799</v>
      </c>
      <c r="AG577" s="3">
        <v>95</v>
      </c>
      <c r="AH577">
        <v>80</v>
      </c>
      <c r="AI577">
        <v>3</v>
      </c>
      <c r="AJ577">
        <v>0</v>
      </c>
      <c r="AL577">
        <v>0</v>
      </c>
      <c r="AM577">
        <v>1</v>
      </c>
      <c r="AN577" t="s">
        <v>768</v>
      </c>
      <c r="AO577" t="s">
        <v>41</v>
      </c>
    </row>
    <row r="578" spans="1:41" x14ac:dyDescent="0.25">
      <c r="A578">
        <v>35</v>
      </c>
      <c r="B578" t="s">
        <v>32</v>
      </c>
      <c r="C578" t="s">
        <v>33</v>
      </c>
      <c r="D578">
        <v>1</v>
      </c>
      <c r="E578" t="s">
        <v>61</v>
      </c>
      <c r="F578">
        <v>1</v>
      </c>
      <c r="G578">
        <v>1</v>
      </c>
      <c r="H578" t="s">
        <v>44</v>
      </c>
      <c r="I578">
        <v>4</v>
      </c>
      <c r="J578" t="s">
        <v>51</v>
      </c>
      <c r="K578">
        <v>2977</v>
      </c>
      <c r="L578">
        <v>1</v>
      </c>
      <c r="M578" t="s">
        <v>41</v>
      </c>
      <c r="N578">
        <v>12</v>
      </c>
      <c r="O578">
        <v>3</v>
      </c>
      <c r="P578">
        <v>1</v>
      </c>
      <c r="Q578">
        <v>4</v>
      </c>
      <c r="R578">
        <v>5</v>
      </c>
      <c r="S578">
        <v>4</v>
      </c>
      <c r="T578">
        <v>1</v>
      </c>
      <c r="U578">
        <v>1</v>
      </c>
      <c r="V578" t="s">
        <v>37</v>
      </c>
      <c r="W578" s="1" t="s">
        <v>306</v>
      </c>
      <c r="Y578" t="s">
        <v>46</v>
      </c>
      <c r="Z578" t="s">
        <v>47</v>
      </c>
      <c r="AA578">
        <v>4</v>
      </c>
      <c r="AB578">
        <v>0</v>
      </c>
      <c r="AC578" t="s">
        <v>31</v>
      </c>
      <c r="AD578" t="s">
        <v>48</v>
      </c>
      <c r="AE578" t="s">
        <v>49</v>
      </c>
      <c r="AF578" s="3">
        <v>800</v>
      </c>
      <c r="AG578" s="3">
        <v>84</v>
      </c>
      <c r="AH578">
        <v>80</v>
      </c>
      <c r="AI578">
        <v>2</v>
      </c>
      <c r="AJ578">
        <v>0</v>
      </c>
      <c r="AL578">
        <v>0</v>
      </c>
      <c r="AM578">
        <v>1</v>
      </c>
      <c r="AN578" t="s">
        <v>768</v>
      </c>
      <c r="AO578" t="s">
        <v>41</v>
      </c>
    </row>
    <row r="579" spans="1:41" x14ac:dyDescent="0.25">
      <c r="A579">
        <v>29</v>
      </c>
      <c r="B579" t="s">
        <v>32</v>
      </c>
      <c r="C579" t="s">
        <v>33</v>
      </c>
      <c r="D579">
        <v>13</v>
      </c>
      <c r="E579" t="s">
        <v>34</v>
      </c>
      <c r="F579">
        <v>2</v>
      </c>
      <c r="G579">
        <v>2</v>
      </c>
      <c r="H579" t="s">
        <v>35</v>
      </c>
      <c r="I579">
        <v>2</v>
      </c>
      <c r="J579" t="s">
        <v>51</v>
      </c>
      <c r="K579">
        <v>4025</v>
      </c>
      <c r="L579">
        <v>4</v>
      </c>
      <c r="M579" t="s">
        <v>31</v>
      </c>
      <c r="N579">
        <v>13</v>
      </c>
      <c r="O579">
        <v>3</v>
      </c>
      <c r="P579">
        <v>1</v>
      </c>
      <c r="Q579">
        <v>10</v>
      </c>
      <c r="R579">
        <v>2</v>
      </c>
      <c r="S579">
        <v>4</v>
      </c>
      <c r="T579">
        <v>0</v>
      </c>
      <c r="U579">
        <v>3</v>
      </c>
      <c r="V579" t="s">
        <v>72</v>
      </c>
      <c r="W579" s="1" t="s">
        <v>301</v>
      </c>
      <c r="Y579" t="s">
        <v>46</v>
      </c>
      <c r="Z579" t="s">
        <v>40</v>
      </c>
      <c r="AA579">
        <v>5</v>
      </c>
      <c r="AB579">
        <v>2</v>
      </c>
      <c r="AC579" t="s">
        <v>41</v>
      </c>
      <c r="AD579" t="s">
        <v>65</v>
      </c>
      <c r="AE579" t="s">
        <v>60</v>
      </c>
      <c r="AF579" s="3">
        <v>802</v>
      </c>
      <c r="AG579" s="3">
        <v>82</v>
      </c>
      <c r="AH579">
        <v>80</v>
      </c>
      <c r="AI579">
        <v>3</v>
      </c>
      <c r="AJ579">
        <v>0</v>
      </c>
      <c r="AL579">
        <v>0</v>
      </c>
      <c r="AM579">
        <v>1</v>
      </c>
      <c r="AN579" t="s">
        <v>768</v>
      </c>
      <c r="AO579" t="s">
        <v>41</v>
      </c>
    </row>
    <row r="580" spans="1:41" x14ac:dyDescent="0.25">
      <c r="A580">
        <v>26</v>
      </c>
      <c r="B580" t="s">
        <v>32</v>
      </c>
      <c r="C580" t="s">
        <v>55</v>
      </c>
      <c r="D580">
        <v>5</v>
      </c>
      <c r="E580" t="s">
        <v>61</v>
      </c>
      <c r="F580">
        <v>2</v>
      </c>
      <c r="G580">
        <v>1</v>
      </c>
      <c r="H580" t="s">
        <v>56</v>
      </c>
      <c r="I580">
        <v>3</v>
      </c>
      <c r="J580" t="s">
        <v>36</v>
      </c>
      <c r="K580">
        <v>2966</v>
      </c>
      <c r="L580">
        <v>0</v>
      </c>
      <c r="M580" t="s">
        <v>41</v>
      </c>
      <c r="N580">
        <v>18</v>
      </c>
      <c r="O580">
        <v>3</v>
      </c>
      <c r="P580">
        <v>0</v>
      </c>
      <c r="Q580">
        <v>5</v>
      </c>
      <c r="R580">
        <v>2</v>
      </c>
      <c r="S580">
        <v>4</v>
      </c>
      <c r="T580">
        <v>0</v>
      </c>
      <c r="U580">
        <v>0</v>
      </c>
      <c r="V580" t="s">
        <v>58</v>
      </c>
      <c r="W580" s="2">
        <v>42737</v>
      </c>
      <c r="Y580" t="s">
        <v>69</v>
      </c>
      <c r="Z580" t="s">
        <v>47</v>
      </c>
      <c r="AA580">
        <v>4</v>
      </c>
      <c r="AB580">
        <v>2</v>
      </c>
      <c r="AC580" t="s">
        <v>31</v>
      </c>
      <c r="AD580" t="s">
        <v>48</v>
      </c>
      <c r="AE580" t="s">
        <v>60</v>
      </c>
      <c r="AF580" s="3">
        <v>803</v>
      </c>
      <c r="AG580" s="3">
        <v>75</v>
      </c>
      <c r="AH580">
        <v>80</v>
      </c>
      <c r="AI580">
        <v>7</v>
      </c>
      <c r="AJ580">
        <v>0</v>
      </c>
      <c r="AL580">
        <v>0</v>
      </c>
      <c r="AM580">
        <v>1</v>
      </c>
      <c r="AN580" t="s">
        <v>768</v>
      </c>
      <c r="AO580" t="s">
        <v>41</v>
      </c>
    </row>
    <row r="581" spans="1:41" x14ac:dyDescent="0.25">
      <c r="A581">
        <v>34</v>
      </c>
      <c r="B581" t="s">
        <v>32</v>
      </c>
      <c r="C581" t="s">
        <v>33</v>
      </c>
      <c r="D581">
        <v>8</v>
      </c>
      <c r="E581" t="s">
        <v>34</v>
      </c>
      <c r="F581">
        <v>4</v>
      </c>
      <c r="G581">
        <v>2</v>
      </c>
      <c r="H581" t="s">
        <v>35</v>
      </c>
      <c r="I581">
        <v>3</v>
      </c>
      <c r="J581" t="s">
        <v>51</v>
      </c>
      <c r="K581">
        <v>4404</v>
      </c>
      <c r="L581">
        <v>2</v>
      </c>
      <c r="M581" t="s">
        <v>41</v>
      </c>
      <c r="N581">
        <v>12</v>
      </c>
      <c r="O581">
        <v>3</v>
      </c>
      <c r="P581">
        <v>0</v>
      </c>
      <c r="Q581">
        <v>6</v>
      </c>
      <c r="R581">
        <v>3</v>
      </c>
      <c r="S581">
        <v>4</v>
      </c>
      <c r="T581">
        <v>1</v>
      </c>
      <c r="U581">
        <v>2</v>
      </c>
      <c r="V581" t="s">
        <v>37</v>
      </c>
      <c r="W581" s="1" t="s">
        <v>315</v>
      </c>
      <c r="Y581" t="s">
        <v>46</v>
      </c>
      <c r="Z581" t="s">
        <v>40</v>
      </c>
      <c r="AA581">
        <v>5</v>
      </c>
      <c r="AB581">
        <v>3</v>
      </c>
      <c r="AC581" t="s">
        <v>41</v>
      </c>
      <c r="AD581" t="s">
        <v>67</v>
      </c>
      <c r="AE581" t="s">
        <v>49</v>
      </c>
      <c r="AF581" s="3">
        <v>804</v>
      </c>
      <c r="AG581" s="3">
        <v>86</v>
      </c>
      <c r="AH581">
        <v>80</v>
      </c>
      <c r="AI581">
        <v>5</v>
      </c>
      <c r="AJ581">
        <v>0</v>
      </c>
      <c r="AL581">
        <v>0</v>
      </c>
      <c r="AM581">
        <v>1</v>
      </c>
      <c r="AN581" t="s">
        <v>768</v>
      </c>
      <c r="AO581" t="s">
        <v>41</v>
      </c>
    </row>
    <row r="582" spans="1:41" x14ac:dyDescent="0.25">
      <c r="A582">
        <v>35</v>
      </c>
      <c r="B582" t="s">
        <v>32</v>
      </c>
      <c r="C582" t="s">
        <v>33</v>
      </c>
      <c r="D582">
        <v>16</v>
      </c>
      <c r="E582" t="s">
        <v>34</v>
      </c>
      <c r="F582">
        <v>4</v>
      </c>
      <c r="G582">
        <v>1</v>
      </c>
      <c r="H582" t="s">
        <v>35</v>
      </c>
      <c r="I582">
        <v>2</v>
      </c>
      <c r="J582" t="s">
        <v>51</v>
      </c>
      <c r="K582">
        <v>2426</v>
      </c>
      <c r="L582">
        <v>0</v>
      </c>
      <c r="M582" t="s">
        <v>41</v>
      </c>
      <c r="N582">
        <v>13</v>
      </c>
      <c r="O582">
        <v>3</v>
      </c>
      <c r="P582">
        <v>1</v>
      </c>
      <c r="Q582">
        <v>6</v>
      </c>
      <c r="R582">
        <v>5</v>
      </c>
      <c r="S582">
        <v>5</v>
      </c>
      <c r="T582">
        <v>0</v>
      </c>
      <c r="U582">
        <v>3</v>
      </c>
      <c r="V582" t="s">
        <v>58</v>
      </c>
      <c r="W582" s="1" t="s">
        <v>316</v>
      </c>
      <c r="Y582" t="s">
        <v>54</v>
      </c>
      <c r="Z582" t="s">
        <v>40</v>
      </c>
      <c r="AA582">
        <v>1</v>
      </c>
      <c r="AB582">
        <v>3</v>
      </c>
      <c r="AC582" t="s">
        <v>31</v>
      </c>
      <c r="AD582" t="s">
        <v>65</v>
      </c>
      <c r="AE582" t="s">
        <v>43</v>
      </c>
      <c r="AF582" s="3">
        <v>805</v>
      </c>
      <c r="AG582" s="3">
        <v>72</v>
      </c>
      <c r="AH582">
        <v>80</v>
      </c>
      <c r="AI582">
        <v>2</v>
      </c>
      <c r="AJ582">
        <v>0</v>
      </c>
      <c r="AL582">
        <v>0</v>
      </c>
      <c r="AM582">
        <v>1</v>
      </c>
      <c r="AN582" t="s">
        <v>768</v>
      </c>
      <c r="AO582" t="s">
        <v>41</v>
      </c>
    </row>
    <row r="583" spans="1:41" x14ac:dyDescent="0.25">
      <c r="A583">
        <v>31</v>
      </c>
      <c r="B583" t="s">
        <v>32</v>
      </c>
      <c r="C583" t="s">
        <v>33</v>
      </c>
      <c r="D583">
        <v>26</v>
      </c>
      <c r="E583" t="s">
        <v>34</v>
      </c>
      <c r="F583">
        <v>3</v>
      </c>
      <c r="G583">
        <v>1</v>
      </c>
      <c r="H583" t="s">
        <v>44</v>
      </c>
      <c r="I583">
        <v>3</v>
      </c>
      <c r="J583" t="s">
        <v>57</v>
      </c>
      <c r="K583">
        <v>2911</v>
      </c>
      <c r="L583">
        <v>1</v>
      </c>
      <c r="M583" t="s">
        <v>41</v>
      </c>
      <c r="N583">
        <v>17</v>
      </c>
      <c r="O583">
        <v>3</v>
      </c>
      <c r="P583">
        <v>1</v>
      </c>
      <c r="Q583">
        <v>5</v>
      </c>
      <c r="R583">
        <v>1</v>
      </c>
      <c r="S583">
        <v>5</v>
      </c>
      <c r="T583">
        <v>4</v>
      </c>
      <c r="U583">
        <v>3</v>
      </c>
      <c r="V583" t="s">
        <v>58</v>
      </c>
      <c r="W583" s="1" t="s">
        <v>317</v>
      </c>
      <c r="Y583" t="s">
        <v>39</v>
      </c>
      <c r="Z583" t="s">
        <v>47</v>
      </c>
      <c r="AA583">
        <v>3</v>
      </c>
      <c r="AB583">
        <v>2</v>
      </c>
      <c r="AC583" t="s">
        <v>31</v>
      </c>
      <c r="AD583" t="s">
        <v>67</v>
      </c>
      <c r="AE583" t="s">
        <v>43</v>
      </c>
      <c r="AF583" s="3">
        <v>806</v>
      </c>
      <c r="AG583" s="3">
        <v>38</v>
      </c>
      <c r="AH583">
        <v>80</v>
      </c>
      <c r="AI583">
        <v>2</v>
      </c>
      <c r="AJ583">
        <v>0</v>
      </c>
      <c r="AL583">
        <v>0</v>
      </c>
      <c r="AM583">
        <v>1</v>
      </c>
      <c r="AN583" t="s">
        <v>768</v>
      </c>
      <c r="AO583" t="s">
        <v>41</v>
      </c>
    </row>
    <row r="584" spans="1:41" x14ac:dyDescent="0.25">
      <c r="A584">
        <v>36</v>
      </c>
      <c r="B584" t="s">
        <v>32</v>
      </c>
      <c r="C584" t="s">
        <v>55</v>
      </c>
      <c r="D584">
        <v>9</v>
      </c>
      <c r="E584" t="s">
        <v>34</v>
      </c>
      <c r="F584">
        <v>2</v>
      </c>
      <c r="G584">
        <v>1</v>
      </c>
      <c r="H584" t="s">
        <v>56</v>
      </c>
      <c r="I584">
        <v>1</v>
      </c>
      <c r="J584" t="s">
        <v>36</v>
      </c>
      <c r="K584">
        <v>3407</v>
      </c>
      <c r="L584">
        <v>7</v>
      </c>
      <c r="M584" t="s">
        <v>41</v>
      </c>
      <c r="N584">
        <v>23</v>
      </c>
      <c r="O584">
        <v>4</v>
      </c>
      <c r="P584">
        <v>0</v>
      </c>
      <c r="Q584">
        <v>10</v>
      </c>
      <c r="R584">
        <v>4</v>
      </c>
      <c r="S584">
        <v>5</v>
      </c>
      <c r="T584">
        <v>0</v>
      </c>
      <c r="U584">
        <v>3</v>
      </c>
      <c r="V584" t="s">
        <v>58</v>
      </c>
      <c r="W584" s="1" t="s">
        <v>318</v>
      </c>
      <c r="Y584" t="s">
        <v>54</v>
      </c>
      <c r="Z584" t="s">
        <v>47</v>
      </c>
      <c r="AA584">
        <v>3</v>
      </c>
      <c r="AB584">
        <v>2</v>
      </c>
      <c r="AC584" t="s">
        <v>41</v>
      </c>
      <c r="AD584" t="s">
        <v>48</v>
      </c>
      <c r="AE584" t="s">
        <v>43</v>
      </c>
      <c r="AF584" s="3">
        <v>807</v>
      </c>
      <c r="AG584" s="3">
        <v>38</v>
      </c>
      <c r="AH584">
        <v>80</v>
      </c>
      <c r="AI584">
        <v>7</v>
      </c>
      <c r="AJ584">
        <v>0</v>
      </c>
      <c r="AL584">
        <v>0</v>
      </c>
      <c r="AM584">
        <v>1</v>
      </c>
      <c r="AN584" t="s">
        <v>768</v>
      </c>
      <c r="AO584" t="s">
        <v>41</v>
      </c>
    </row>
    <row r="585" spans="1:41" x14ac:dyDescent="0.25">
      <c r="A585">
        <v>43</v>
      </c>
      <c r="B585" t="s">
        <v>32</v>
      </c>
      <c r="C585" t="s">
        <v>33</v>
      </c>
      <c r="D585">
        <v>2</v>
      </c>
      <c r="E585" t="s">
        <v>61</v>
      </c>
      <c r="F585">
        <v>4</v>
      </c>
      <c r="G585">
        <v>1</v>
      </c>
      <c r="H585" t="s">
        <v>44</v>
      </c>
      <c r="I585">
        <v>3</v>
      </c>
      <c r="J585" t="s">
        <v>57</v>
      </c>
      <c r="K585">
        <v>2645</v>
      </c>
      <c r="L585">
        <v>1</v>
      </c>
      <c r="M585" t="s">
        <v>41</v>
      </c>
      <c r="N585">
        <v>12</v>
      </c>
      <c r="O585">
        <v>3</v>
      </c>
      <c r="P585">
        <v>2</v>
      </c>
      <c r="Q585">
        <v>6</v>
      </c>
      <c r="R585">
        <v>3</v>
      </c>
      <c r="S585">
        <v>5</v>
      </c>
      <c r="T585">
        <v>1</v>
      </c>
      <c r="U585">
        <v>4</v>
      </c>
      <c r="V585" t="s">
        <v>72</v>
      </c>
      <c r="W585" s="2">
        <v>42614</v>
      </c>
      <c r="Y585" t="s">
        <v>54</v>
      </c>
      <c r="Z585" t="s">
        <v>40</v>
      </c>
      <c r="AA585">
        <v>0</v>
      </c>
      <c r="AB585">
        <v>0</v>
      </c>
      <c r="AC585" t="s">
        <v>31</v>
      </c>
      <c r="AD585" t="s">
        <v>67</v>
      </c>
      <c r="AE585" t="s">
        <v>60</v>
      </c>
      <c r="AF585" s="3">
        <v>808</v>
      </c>
      <c r="AG585" s="3">
        <v>93</v>
      </c>
      <c r="AH585">
        <v>80</v>
      </c>
      <c r="AI585">
        <v>2</v>
      </c>
      <c r="AJ585">
        <v>0</v>
      </c>
      <c r="AL585">
        <v>0</v>
      </c>
      <c r="AM585">
        <v>1</v>
      </c>
      <c r="AN585" t="s">
        <v>768</v>
      </c>
      <c r="AO585" t="s">
        <v>41</v>
      </c>
    </row>
    <row r="586" spans="1:41" x14ac:dyDescent="0.25">
      <c r="A586">
        <v>33</v>
      </c>
      <c r="B586" t="s">
        <v>66</v>
      </c>
      <c r="C586" t="s">
        <v>55</v>
      </c>
      <c r="D586">
        <v>1</v>
      </c>
      <c r="E586" t="s">
        <v>61</v>
      </c>
      <c r="F586">
        <v>4</v>
      </c>
      <c r="G586">
        <v>2</v>
      </c>
      <c r="H586" t="s">
        <v>70</v>
      </c>
      <c r="I586">
        <v>1</v>
      </c>
      <c r="J586" t="s">
        <v>51</v>
      </c>
      <c r="K586">
        <v>5376</v>
      </c>
      <c r="L586">
        <v>2</v>
      </c>
      <c r="M586" t="s">
        <v>41</v>
      </c>
      <c r="N586">
        <v>19</v>
      </c>
      <c r="O586">
        <v>3</v>
      </c>
      <c r="P586">
        <v>2</v>
      </c>
      <c r="Q586">
        <v>10</v>
      </c>
      <c r="R586">
        <v>3</v>
      </c>
      <c r="S586">
        <v>5</v>
      </c>
      <c r="T586">
        <v>1</v>
      </c>
      <c r="U586">
        <v>3</v>
      </c>
      <c r="V586" t="s">
        <v>37</v>
      </c>
      <c r="W586" s="1" t="s">
        <v>319</v>
      </c>
      <c r="Y586" t="s">
        <v>63</v>
      </c>
      <c r="Z586" t="s">
        <v>47</v>
      </c>
      <c r="AA586">
        <v>4</v>
      </c>
      <c r="AB586">
        <v>3</v>
      </c>
      <c r="AC586" t="s">
        <v>41</v>
      </c>
      <c r="AD586" t="s">
        <v>48</v>
      </c>
      <c r="AE586" t="s">
        <v>60</v>
      </c>
      <c r="AF586" s="3">
        <v>809</v>
      </c>
      <c r="AG586" s="3">
        <v>66</v>
      </c>
      <c r="AH586">
        <v>80</v>
      </c>
      <c r="AI586">
        <v>7</v>
      </c>
      <c r="AJ586">
        <v>0</v>
      </c>
      <c r="AL586">
        <v>0</v>
      </c>
      <c r="AM586">
        <v>1</v>
      </c>
      <c r="AN586" t="s">
        <v>768</v>
      </c>
      <c r="AO586" t="s">
        <v>41</v>
      </c>
    </row>
    <row r="587" spans="1:41" x14ac:dyDescent="0.25">
      <c r="A587">
        <v>55</v>
      </c>
      <c r="B587" t="s">
        <v>32</v>
      </c>
      <c r="C587" t="s">
        <v>33</v>
      </c>
      <c r="D587">
        <v>8</v>
      </c>
      <c r="E587" t="s">
        <v>61</v>
      </c>
      <c r="F587">
        <v>3</v>
      </c>
      <c r="G587">
        <v>4</v>
      </c>
      <c r="H587" t="s">
        <v>75</v>
      </c>
      <c r="I587">
        <v>3</v>
      </c>
      <c r="J587" t="s">
        <v>57</v>
      </c>
      <c r="K587">
        <v>14756</v>
      </c>
      <c r="L587">
        <v>2</v>
      </c>
      <c r="M587" t="s">
        <v>31</v>
      </c>
      <c r="N587">
        <v>14</v>
      </c>
      <c r="O587">
        <v>3</v>
      </c>
      <c r="P587">
        <v>3</v>
      </c>
      <c r="Q587">
        <v>21</v>
      </c>
      <c r="R587">
        <v>2</v>
      </c>
      <c r="S587">
        <v>5</v>
      </c>
      <c r="T587">
        <v>0</v>
      </c>
      <c r="U587">
        <v>2</v>
      </c>
      <c r="V587" t="s">
        <v>58</v>
      </c>
      <c r="W587" s="2">
        <v>42675</v>
      </c>
      <c r="Y587" t="s">
        <v>39</v>
      </c>
      <c r="Z587" t="s">
        <v>47</v>
      </c>
      <c r="AA587">
        <v>5</v>
      </c>
      <c r="AB587">
        <v>3</v>
      </c>
      <c r="AC587" t="s">
        <v>41</v>
      </c>
      <c r="AD587" t="s">
        <v>42</v>
      </c>
      <c r="AE587" t="s">
        <v>60</v>
      </c>
      <c r="AF587" s="3">
        <v>811</v>
      </c>
      <c r="AG587" s="3">
        <v>63</v>
      </c>
      <c r="AH587">
        <v>80</v>
      </c>
      <c r="AI587">
        <v>0</v>
      </c>
      <c r="AJ587">
        <v>1</v>
      </c>
      <c r="AK587">
        <v>1</v>
      </c>
      <c r="AL587">
        <v>1</v>
      </c>
      <c r="AM587">
        <v>0</v>
      </c>
      <c r="AN587" t="s">
        <v>767</v>
      </c>
      <c r="AO587" t="s">
        <v>31</v>
      </c>
    </row>
    <row r="588" spans="1:41" x14ac:dyDescent="0.25">
      <c r="A588">
        <v>29</v>
      </c>
      <c r="B588" t="s">
        <v>32</v>
      </c>
      <c r="C588" t="s">
        <v>33</v>
      </c>
      <c r="D588">
        <v>2</v>
      </c>
      <c r="E588" t="s">
        <v>34</v>
      </c>
      <c r="F588">
        <v>3</v>
      </c>
      <c r="G588">
        <v>1</v>
      </c>
      <c r="H588" t="s">
        <v>44</v>
      </c>
      <c r="I588">
        <v>2</v>
      </c>
      <c r="J588" t="s">
        <v>51</v>
      </c>
      <c r="K588">
        <v>2703</v>
      </c>
      <c r="L588">
        <v>0</v>
      </c>
      <c r="M588" t="s">
        <v>41</v>
      </c>
      <c r="N588">
        <v>23</v>
      </c>
      <c r="O588">
        <v>4</v>
      </c>
      <c r="P588">
        <v>1</v>
      </c>
      <c r="Q588">
        <v>6</v>
      </c>
      <c r="R588">
        <v>3</v>
      </c>
      <c r="S588">
        <v>5</v>
      </c>
      <c r="T588">
        <v>0</v>
      </c>
      <c r="U588">
        <v>4</v>
      </c>
      <c r="V588" t="s">
        <v>37</v>
      </c>
      <c r="W588" s="1" t="s">
        <v>320</v>
      </c>
      <c r="Y588" t="s">
        <v>46</v>
      </c>
      <c r="Z588" t="s">
        <v>40</v>
      </c>
      <c r="AA588">
        <v>0</v>
      </c>
      <c r="AB588">
        <v>3</v>
      </c>
      <c r="AC588" t="s">
        <v>31</v>
      </c>
      <c r="AD588" t="s">
        <v>67</v>
      </c>
      <c r="AE588" t="s">
        <v>49</v>
      </c>
      <c r="AF588" s="3">
        <v>812</v>
      </c>
      <c r="AG588" s="3">
        <v>60</v>
      </c>
      <c r="AH588">
        <v>80</v>
      </c>
      <c r="AI588">
        <v>0</v>
      </c>
      <c r="AJ588">
        <v>0</v>
      </c>
      <c r="AL588">
        <v>0</v>
      </c>
      <c r="AM588">
        <v>1</v>
      </c>
      <c r="AN588" t="s">
        <v>768</v>
      </c>
      <c r="AO588" t="s">
        <v>41</v>
      </c>
    </row>
    <row r="589" spans="1:41" x14ac:dyDescent="0.25">
      <c r="A589">
        <v>37</v>
      </c>
      <c r="B589" t="s">
        <v>32</v>
      </c>
      <c r="C589" t="s">
        <v>33</v>
      </c>
      <c r="D589">
        <v>7</v>
      </c>
      <c r="E589" t="s">
        <v>34</v>
      </c>
      <c r="F589">
        <v>3</v>
      </c>
      <c r="G589">
        <v>3</v>
      </c>
      <c r="H589" t="s">
        <v>50</v>
      </c>
      <c r="I589">
        <v>3</v>
      </c>
      <c r="J589" t="s">
        <v>36</v>
      </c>
      <c r="K589">
        <v>13664</v>
      </c>
      <c r="L589">
        <v>4</v>
      </c>
      <c r="M589" t="s">
        <v>41</v>
      </c>
      <c r="N589">
        <v>13</v>
      </c>
      <c r="O589">
        <v>3</v>
      </c>
      <c r="P589">
        <v>0</v>
      </c>
      <c r="Q589">
        <v>16</v>
      </c>
      <c r="R589">
        <v>3</v>
      </c>
      <c r="S589">
        <v>5</v>
      </c>
      <c r="T589">
        <v>0</v>
      </c>
      <c r="U589">
        <v>2</v>
      </c>
      <c r="V589" t="s">
        <v>37</v>
      </c>
      <c r="W589" s="1" t="s">
        <v>321</v>
      </c>
      <c r="Y589" t="s">
        <v>46</v>
      </c>
      <c r="Z589" t="s">
        <v>47</v>
      </c>
      <c r="AA589">
        <v>3</v>
      </c>
      <c r="AB589">
        <v>0</v>
      </c>
      <c r="AC589" t="s">
        <v>31</v>
      </c>
      <c r="AD589" t="s">
        <v>48</v>
      </c>
      <c r="AE589" t="s">
        <v>43</v>
      </c>
      <c r="AF589" s="3">
        <v>813</v>
      </c>
      <c r="AG589" s="3">
        <v>82</v>
      </c>
      <c r="AH589">
        <v>80</v>
      </c>
      <c r="AI589">
        <v>2</v>
      </c>
      <c r="AJ589">
        <v>0</v>
      </c>
      <c r="AL589">
        <v>0</v>
      </c>
      <c r="AM589">
        <v>1</v>
      </c>
      <c r="AN589" t="s">
        <v>768</v>
      </c>
      <c r="AO589" t="s">
        <v>41</v>
      </c>
    </row>
    <row r="590" spans="1:41" x14ac:dyDescent="0.25">
      <c r="A590">
        <v>34</v>
      </c>
      <c r="B590" t="s">
        <v>32</v>
      </c>
      <c r="C590" t="s">
        <v>33</v>
      </c>
      <c r="D590">
        <v>1</v>
      </c>
      <c r="E590" t="s">
        <v>34</v>
      </c>
      <c r="F590">
        <v>3</v>
      </c>
      <c r="G590">
        <v>2</v>
      </c>
      <c r="H590" t="s">
        <v>78</v>
      </c>
      <c r="I590">
        <v>2</v>
      </c>
      <c r="J590" t="s">
        <v>51</v>
      </c>
      <c r="K590">
        <v>4325</v>
      </c>
      <c r="L590">
        <v>1</v>
      </c>
      <c r="M590" t="s">
        <v>41</v>
      </c>
      <c r="N590">
        <v>15</v>
      </c>
      <c r="O590">
        <v>3</v>
      </c>
      <c r="P590">
        <v>0</v>
      </c>
      <c r="Q590">
        <v>5</v>
      </c>
      <c r="R590">
        <v>2</v>
      </c>
      <c r="S590">
        <v>5</v>
      </c>
      <c r="T590">
        <v>1</v>
      </c>
      <c r="U590">
        <v>3</v>
      </c>
      <c r="V590" t="s">
        <v>37</v>
      </c>
      <c r="W590" s="1" t="s">
        <v>322</v>
      </c>
      <c r="Y590" t="s">
        <v>69</v>
      </c>
      <c r="Z590" t="s">
        <v>40</v>
      </c>
      <c r="AA590">
        <v>1</v>
      </c>
      <c r="AB590">
        <v>1</v>
      </c>
      <c r="AC590" t="s">
        <v>41</v>
      </c>
      <c r="AD590" t="s">
        <v>42</v>
      </c>
      <c r="AE590" t="s">
        <v>49</v>
      </c>
      <c r="AF590" s="3">
        <v>815</v>
      </c>
      <c r="AG590" s="3">
        <v>64</v>
      </c>
      <c r="AH590">
        <v>80</v>
      </c>
      <c r="AI590">
        <v>3</v>
      </c>
      <c r="AJ590">
        <v>0</v>
      </c>
      <c r="AL590">
        <v>0</v>
      </c>
      <c r="AM590">
        <v>1</v>
      </c>
      <c r="AN590" t="s">
        <v>768</v>
      </c>
      <c r="AO590" t="s">
        <v>41</v>
      </c>
    </row>
    <row r="591" spans="1:41" x14ac:dyDescent="0.25">
      <c r="A591">
        <v>28</v>
      </c>
      <c r="B591" t="s">
        <v>81</v>
      </c>
      <c r="C591" t="s">
        <v>55</v>
      </c>
      <c r="D591">
        <v>4</v>
      </c>
      <c r="E591" t="s">
        <v>34</v>
      </c>
      <c r="F591">
        <v>3</v>
      </c>
      <c r="G591">
        <v>2</v>
      </c>
      <c r="H591" t="s">
        <v>70</v>
      </c>
      <c r="I591">
        <v>3</v>
      </c>
      <c r="J591" t="s">
        <v>51</v>
      </c>
      <c r="K591">
        <v>4221</v>
      </c>
      <c r="L591">
        <v>1</v>
      </c>
      <c r="M591" t="s">
        <v>41</v>
      </c>
      <c r="N591">
        <v>15</v>
      </c>
      <c r="O591">
        <v>3</v>
      </c>
      <c r="P591">
        <v>0</v>
      </c>
      <c r="Q591">
        <v>5</v>
      </c>
      <c r="R591">
        <v>3</v>
      </c>
      <c r="S591">
        <v>5</v>
      </c>
      <c r="T591">
        <v>0</v>
      </c>
      <c r="U591">
        <v>4</v>
      </c>
      <c r="V591" t="s">
        <v>58</v>
      </c>
      <c r="W591" s="1" t="s">
        <v>323</v>
      </c>
      <c r="Y591" t="s">
        <v>54</v>
      </c>
      <c r="Z591" t="s">
        <v>40</v>
      </c>
      <c r="AA591">
        <v>2</v>
      </c>
      <c r="AB591">
        <v>1</v>
      </c>
      <c r="AC591" t="s">
        <v>41</v>
      </c>
      <c r="AD591" t="s">
        <v>42</v>
      </c>
      <c r="AE591" t="s">
        <v>49</v>
      </c>
      <c r="AF591" s="3">
        <v>816</v>
      </c>
      <c r="AG591" s="3">
        <v>36</v>
      </c>
      <c r="AH591">
        <v>80</v>
      </c>
      <c r="AI591">
        <v>0</v>
      </c>
      <c r="AJ591">
        <v>1</v>
      </c>
      <c r="AK591">
        <v>1</v>
      </c>
      <c r="AL591">
        <v>1</v>
      </c>
      <c r="AM591">
        <v>0</v>
      </c>
      <c r="AN591" t="s">
        <v>767</v>
      </c>
      <c r="AO591" t="s">
        <v>31</v>
      </c>
    </row>
    <row r="592" spans="1:41" x14ac:dyDescent="0.25">
      <c r="A592">
        <v>54</v>
      </c>
      <c r="B592" t="s">
        <v>81</v>
      </c>
      <c r="C592" t="s">
        <v>120</v>
      </c>
      <c r="D592">
        <v>26</v>
      </c>
      <c r="E592" t="s">
        <v>61</v>
      </c>
      <c r="F592">
        <v>4</v>
      </c>
      <c r="G592">
        <v>4</v>
      </c>
      <c r="H592" t="s">
        <v>75</v>
      </c>
      <c r="I592">
        <v>4</v>
      </c>
      <c r="J592" t="s">
        <v>36</v>
      </c>
      <c r="K592">
        <v>17328</v>
      </c>
      <c r="L592">
        <v>2</v>
      </c>
      <c r="M592" t="s">
        <v>31</v>
      </c>
      <c r="N592">
        <v>12</v>
      </c>
      <c r="O592">
        <v>3</v>
      </c>
      <c r="P592">
        <v>0</v>
      </c>
      <c r="Q592">
        <v>23</v>
      </c>
      <c r="R592">
        <v>3</v>
      </c>
      <c r="S592">
        <v>5</v>
      </c>
      <c r="T592">
        <v>4</v>
      </c>
      <c r="U592">
        <v>4</v>
      </c>
      <c r="V592" t="s">
        <v>58</v>
      </c>
      <c r="W592" s="1" t="s">
        <v>324</v>
      </c>
      <c r="Y592" t="s">
        <v>39</v>
      </c>
      <c r="Z592" t="s">
        <v>40</v>
      </c>
      <c r="AA592">
        <v>1</v>
      </c>
      <c r="AB592">
        <v>3</v>
      </c>
      <c r="AC592" t="s">
        <v>41</v>
      </c>
      <c r="AD592" t="s">
        <v>42</v>
      </c>
      <c r="AE592" t="s">
        <v>49</v>
      </c>
      <c r="AF592" s="3">
        <v>817</v>
      </c>
      <c r="AG592" s="3">
        <v>49</v>
      </c>
      <c r="AH592">
        <v>80</v>
      </c>
      <c r="AI592">
        <v>9</v>
      </c>
      <c r="AJ592">
        <v>0</v>
      </c>
      <c r="AL592">
        <v>0</v>
      </c>
      <c r="AM592">
        <v>1</v>
      </c>
      <c r="AN592" t="s">
        <v>768</v>
      </c>
      <c r="AO592" t="s">
        <v>41</v>
      </c>
    </row>
    <row r="593" spans="1:41" x14ac:dyDescent="0.25">
      <c r="A593">
        <v>24</v>
      </c>
      <c r="B593" t="s">
        <v>32</v>
      </c>
      <c r="C593" t="s">
        <v>33</v>
      </c>
      <c r="D593">
        <v>18</v>
      </c>
      <c r="E593" t="s">
        <v>34</v>
      </c>
      <c r="F593">
        <v>3</v>
      </c>
      <c r="G593">
        <v>1</v>
      </c>
      <c r="H593" t="s">
        <v>35</v>
      </c>
      <c r="I593">
        <v>3</v>
      </c>
      <c r="J593" t="s">
        <v>51</v>
      </c>
      <c r="K593">
        <v>2774</v>
      </c>
      <c r="L593">
        <v>0</v>
      </c>
      <c r="M593" t="s">
        <v>41</v>
      </c>
      <c r="N593">
        <v>12</v>
      </c>
      <c r="O593">
        <v>3</v>
      </c>
      <c r="P593">
        <v>1</v>
      </c>
      <c r="Q593">
        <v>6</v>
      </c>
      <c r="R593">
        <v>2</v>
      </c>
      <c r="S593">
        <v>5</v>
      </c>
      <c r="T593">
        <v>1</v>
      </c>
      <c r="U593">
        <v>2</v>
      </c>
      <c r="V593" t="s">
        <v>52</v>
      </c>
      <c r="W593" s="2">
        <v>42587</v>
      </c>
      <c r="Y593" t="s">
        <v>69</v>
      </c>
      <c r="Z593" t="s">
        <v>40</v>
      </c>
      <c r="AA593">
        <v>3</v>
      </c>
      <c r="AB593">
        <v>0</v>
      </c>
      <c r="AC593" t="s">
        <v>31</v>
      </c>
      <c r="AD593" t="s">
        <v>48</v>
      </c>
      <c r="AE593" t="s">
        <v>43</v>
      </c>
      <c r="AF593" s="3">
        <v>819</v>
      </c>
      <c r="AG593" s="3">
        <v>69</v>
      </c>
      <c r="AH593">
        <v>80</v>
      </c>
      <c r="AI593">
        <v>2</v>
      </c>
      <c r="AJ593">
        <v>1</v>
      </c>
      <c r="AK593">
        <v>1</v>
      </c>
      <c r="AL593">
        <v>1</v>
      </c>
      <c r="AM593">
        <v>0</v>
      </c>
      <c r="AN593" t="s">
        <v>767</v>
      </c>
      <c r="AO593" t="s">
        <v>31</v>
      </c>
    </row>
    <row r="594" spans="1:41" x14ac:dyDescent="0.25">
      <c r="A594">
        <v>37</v>
      </c>
      <c r="B594" t="s">
        <v>32</v>
      </c>
      <c r="C594" t="s">
        <v>55</v>
      </c>
      <c r="D594">
        <v>3</v>
      </c>
      <c r="E594" t="s">
        <v>34</v>
      </c>
      <c r="F594">
        <v>3</v>
      </c>
      <c r="G594">
        <v>3</v>
      </c>
      <c r="H594" t="s">
        <v>70</v>
      </c>
      <c r="I594">
        <v>4</v>
      </c>
      <c r="J594" t="s">
        <v>36</v>
      </c>
      <c r="K594">
        <v>7428</v>
      </c>
      <c r="L594">
        <v>2</v>
      </c>
      <c r="M594" t="s">
        <v>41</v>
      </c>
      <c r="N594">
        <v>12</v>
      </c>
      <c r="O594">
        <v>3</v>
      </c>
      <c r="P594">
        <v>0</v>
      </c>
      <c r="Q594">
        <v>12</v>
      </c>
      <c r="R594">
        <v>3</v>
      </c>
      <c r="S594">
        <v>5</v>
      </c>
      <c r="T594">
        <v>1</v>
      </c>
      <c r="U594">
        <v>3</v>
      </c>
      <c r="V594" t="s">
        <v>58</v>
      </c>
      <c r="W594" s="1" t="s">
        <v>325</v>
      </c>
      <c r="Y594" t="s">
        <v>69</v>
      </c>
      <c r="Z594" t="s">
        <v>47</v>
      </c>
      <c r="AA594">
        <v>5</v>
      </c>
      <c r="AB594">
        <v>3</v>
      </c>
      <c r="AC594" t="s">
        <v>41</v>
      </c>
      <c r="AD594" t="s">
        <v>42</v>
      </c>
      <c r="AE594" t="s">
        <v>49</v>
      </c>
      <c r="AF594" s="3">
        <v>820</v>
      </c>
      <c r="AG594" s="3">
        <v>33</v>
      </c>
      <c r="AH594">
        <v>80</v>
      </c>
      <c r="AI594">
        <v>14</v>
      </c>
      <c r="AJ594">
        <v>0</v>
      </c>
      <c r="AL594">
        <v>0</v>
      </c>
      <c r="AM594">
        <v>1</v>
      </c>
      <c r="AN594" t="s">
        <v>768</v>
      </c>
      <c r="AO594" t="s">
        <v>41</v>
      </c>
    </row>
    <row r="595" spans="1:41" x14ac:dyDescent="0.25">
      <c r="A595">
        <v>56</v>
      </c>
      <c r="B595" t="s">
        <v>32</v>
      </c>
      <c r="C595" t="s">
        <v>33</v>
      </c>
      <c r="D595">
        <v>14</v>
      </c>
      <c r="E595" t="s">
        <v>61</v>
      </c>
      <c r="F595">
        <v>3</v>
      </c>
      <c r="G595">
        <v>1</v>
      </c>
      <c r="H595" t="s">
        <v>44</v>
      </c>
      <c r="I595">
        <v>2</v>
      </c>
      <c r="J595" t="s">
        <v>51</v>
      </c>
      <c r="K595">
        <v>4963</v>
      </c>
      <c r="L595">
        <v>9</v>
      </c>
      <c r="M595" t="s">
        <v>31</v>
      </c>
      <c r="N595">
        <v>18</v>
      </c>
      <c r="O595">
        <v>3</v>
      </c>
      <c r="P595">
        <v>3</v>
      </c>
      <c r="Q595">
        <v>7</v>
      </c>
      <c r="R595">
        <v>2</v>
      </c>
      <c r="S595">
        <v>5</v>
      </c>
      <c r="T595">
        <v>4</v>
      </c>
      <c r="U595">
        <v>3</v>
      </c>
      <c r="V595" t="s">
        <v>37</v>
      </c>
      <c r="W595" s="2">
        <v>42553</v>
      </c>
      <c r="Y595" t="s">
        <v>39</v>
      </c>
      <c r="Z595" t="s">
        <v>47</v>
      </c>
      <c r="AA595">
        <v>0</v>
      </c>
      <c r="AB595">
        <v>3</v>
      </c>
      <c r="AC595" t="s">
        <v>31</v>
      </c>
      <c r="AD595" t="s">
        <v>42</v>
      </c>
      <c r="AE595" t="s">
        <v>43</v>
      </c>
      <c r="AF595" s="3">
        <v>823</v>
      </c>
      <c r="AG595" s="3">
        <v>35</v>
      </c>
      <c r="AH595">
        <v>80</v>
      </c>
      <c r="AI595">
        <v>7</v>
      </c>
      <c r="AJ595">
        <v>0</v>
      </c>
      <c r="AL595">
        <v>0</v>
      </c>
      <c r="AM595">
        <v>1</v>
      </c>
      <c r="AN595" t="s">
        <v>768</v>
      </c>
      <c r="AO595" t="s">
        <v>41</v>
      </c>
    </row>
    <row r="596" spans="1:41" x14ac:dyDescent="0.25">
      <c r="A596">
        <v>26</v>
      </c>
      <c r="B596" t="s">
        <v>32</v>
      </c>
      <c r="C596" t="s">
        <v>33</v>
      </c>
      <c r="D596">
        <v>6</v>
      </c>
      <c r="E596" t="s">
        <v>61</v>
      </c>
      <c r="F596">
        <v>2</v>
      </c>
      <c r="G596">
        <v>1</v>
      </c>
      <c r="H596" t="s">
        <v>44</v>
      </c>
      <c r="I596">
        <v>2</v>
      </c>
      <c r="J596" t="s">
        <v>51</v>
      </c>
      <c r="K596">
        <v>2368</v>
      </c>
      <c r="L596">
        <v>1</v>
      </c>
      <c r="M596" t="s">
        <v>41</v>
      </c>
      <c r="N596">
        <v>19</v>
      </c>
      <c r="O596">
        <v>3</v>
      </c>
      <c r="P596">
        <v>0</v>
      </c>
      <c r="Q596">
        <v>5</v>
      </c>
      <c r="R596">
        <v>3</v>
      </c>
      <c r="S596">
        <v>5</v>
      </c>
      <c r="T596">
        <v>4</v>
      </c>
      <c r="U596">
        <v>3</v>
      </c>
      <c r="V596" t="s">
        <v>37</v>
      </c>
      <c r="W596" s="1" t="s">
        <v>326</v>
      </c>
      <c r="Y596" t="s">
        <v>54</v>
      </c>
      <c r="Z596" t="s">
        <v>47</v>
      </c>
      <c r="AA596">
        <v>0</v>
      </c>
      <c r="AB596">
        <v>3</v>
      </c>
      <c r="AC596" t="s">
        <v>31</v>
      </c>
      <c r="AD596" t="s">
        <v>65</v>
      </c>
      <c r="AE596" t="s">
        <v>43</v>
      </c>
      <c r="AF596" s="3">
        <v>824</v>
      </c>
      <c r="AG596" s="3">
        <v>81</v>
      </c>
      <c r="AH596">
        <v>80</v>
      </c>
      <c r="AI596">
        <v>7</v>
      </c>
      <c r="AJ596">
        <v>0</v>
      </c>
      <c r="AL596">
        <v>0</v>
      </c>
      <c r="AM596">
        <v>1</v>
      </c>
      <c r="AN596" t="s">
        <v>768</v>
      </c>
      <c r="AO596" t="s">
        <v>41</v>
      </c>
    </row>
    <row r="597" spans="1:41" x14ac:dyDescent="0.25">
      <c r="A597">
        <v>32</v>
      </c>
      <c r="B597" t="s">
        <v>32</v>
      </c>
      <c r="C597" t="s">
        <v>33</v>
      </c>
      <c r="D597">
        <v>9</v>
      </c>
      <c r="E597" t="s">
        <v>61</v>
      </c>
      <c r="F597">
        <v>3</v>
      </c>
      <c r="G597">
        <v>1</v>
      </c>
      <c r="H597" t="s">
        <v>35</v>
      </c>
      <c r="I597">
        <v>1</v>
      </c>
      <c r="J597" t="s">
        <v>36</v>
      </c>
      <c r="K597">
        <v>4200</v>
      </c>
      <c r="L597">
        <v>7</v>
      </c>
      <c r="M597" t="s">
        <v>41</v>
      </c>
      <c r="N597">
        <v>22</v>
      </c>
      <c r="O597">
        <v>4</v>
      </c>
      <c r="P597">
        <v>0</v>
      </c>
      <c r="Q597">
        <v>10</v>
      </c>
      <c r="R597">
        <v>2</v>
      </c>
      <c r="S597">
        <v>5</v>
      </c>
      <c r="T597">
        <v>0</v>
      </c>
      <c r="U597">
        <v>4</v>
      </c>
      <c r="V597" t="s">
        <v>72</v>
      </c>
      <c r="W597" s="1" t="s">
        <v>327</v>
      </c>
      <c r="Y597" t="s">
        <v>69</v>
      </c>
      <c r="Z597" t="s">
        <v>47</v>
      </c>
      <c r="AA597">
        <v>5</v>
      </c>
      <c r="AB597">
        <v>1</v>
      </c>
      <c r="AC597" t="s">
        <v>31</v>
      </c>
      <c r="AD597" t="s">
        <v>67</v>
      </c>
      <c r="AE597" t="s">
        <v>43</v>
      </c>
      <c r="AF597" s="3">
        <v>825</v>
      </c>
      <c r="AG597" s="3">
        <v>31</v>
      </c>
      <c r="AH597">
        <v>80</v>
      </c>
      <c r="AI597">
        <v>15</v>
      </c>
      <c r="AJ597">
        <v>1</v>
      </c>
      <c r="AK597">
        <v>1</v>
      </c>
      <c r="AL597">
        <v>1</v>
      </c>
      <c r="AM597">
        <v>0</v>
      </c>
      <c r="AN597" t="s">
        <v>767</v>
      </c>
      <c r="AO597" t="s">
        <v>31</v>
      </c>
    </row>
    <row r="598" spans="1:41" x14ac:dyDescent="0.25">
      <c r="A598">
        <v>30</v>
      </c>
      <c r="B598" t="s">
        <v>32</v>
      </c>
      <c r="C598" t="s">
        <v>33</v>
      </c>
      <c r="D598">
        <v>18</v>
      </c>
      <c r="E598" t="s">
        <v>61</v>
      </c>
      <c r="F598">
        <v>3</v>
      </c>
      <c r="G598">
        <v>1</v>
      </c>
      <c r="H598" t="s">
        <v>44</v>
      </c>
      <c r="I598">
        <v>3</v>
      </c>
      <c r="J598" t="s">
        <v>36</v>
      </c>
      <c r="K598">
        <v>2632</v>
      </c>
      <c r="L598">
        <v>1</v>
      </c>
      <c r="M598" t="s">
        <v>41</v>
      </c>
      <c r="N598">
        <v>14</v>
      </c>
      <c r="O598">
        <v>3</v>
      </c>
      <c r="P598">
        <v>0</v>
      </c>
      <c r="Q598">
        <v>5</v>
      </c>
      <c r="R598">
        <v>4</v>
      </c>
      <c r="S598">
        <v>5</v>
      </c>
      <c r="T598">
        <v>0</v>
      </c>
      <c r="U598">
        <v>4</v>
      </c>
      <c r="V598" t="s">
        <v>72</v>
      </c>
      <c r="W598" s="2">
        <v>42372</v>
      </c>
      <c r="Y598" t="s">
        <v>46</v>
      </c>
      <c r="Z598" t="s">
        <v>40</v>
      </c>
      <c r="AA598">
        <v>1</v>
      </c>
      <c r="AB598">
        <v>3</v>
      </c>
      <c r="AC598" t="s">
        <v>41</v>
      </c>
      <c r="AD598" t="s">
        <v>42</v>
      </c>
      <c r="AE598" t="s">
        <v>60</v>
      </c>
      <c r="AF598" s="3">
        <v>826</v>
      </c>
      <c r="AG598" s="3">
        <v>40</v>
      </c>
      <c r="AH598">
        <v>80</v>
      </c>
      <c r="AI598">
        <v>2</v>
      </c>
      <c r="AJ598">
        <v>0</v>
      </c>
      <c r="AL598">
        <v>0</v>
      </c>
      <c r="AM598">
        <v>1</v>
      </c>
      <c r="AN598" t="s">
        <v>768</v>
      </c>
      <c r="AO598" t="s">
        <v>41</v>
      </c>
    </row>
    <row r="599" spans="1:41" x14ac:dyDescent="0.25">
      <c r="A599">
        <v>30</v>
      </c>
      <c r="B599" t="s">
        <v>32</v>
      </c>
      <c r="C599" t="s">
        <v>33</v>
      </c>
      <c r="D599">
        <v>2</v>
      </c>
      <c r="E599" t="s">
        <v>34</v>
      </c>
      <c r="F599">
        <v>2</v>
      </c>
      <c r="G599">
        <v>1</v>
      </c>
      <c r="H599" t="s">
        <v>35</v>
      </c>
      <c r="I599">
        <v>4</v>
      </c>
      <c r="J599" t="s">
        <v>36</v>
      </c>
      <c r="K599">
        <v>2720</v>
      </c>
      <c r="L599">
        <v>0</v>
      </c>
      <c r="M599" t="s">
        <v>41</v>
      </c>
      <c r="N599">
        <v>13</v>
      </c>
      <c r="O599">
        <v>3</v>
      </c>
      <c r="P599">
        <v>0</v>
      </c>
      <c r="Q599">
        <v>6</v>
      </c>
      <c r="R599">
        <v>3</v>
      </c>
      <c r="S599">
        <v>5</v>
      </c>
      <c r="T599">
        <v>1</v>
      </c>
      <c r="U599">
        <v>2</v>
      </c>
      <c r="V599" t="s">
        <v>58</v>
      </c>
      <c r="W599" s="2">
        <v>42496</v>
      </c>
      <c r="Y599" t="s">
        <v>63</v>
      </c>
      <c r="Z599" t="s">
        <v>47</v>
      </c>
      <c r="AA599">
        <v>1</v>
      </c>
      <c r="AB599">
        <v>1</v>
      </c>
      <c r="AC599" t="s">
        <v>31</v>
      </c>
      <c r="AD599" t="s">
        <v>42</v>
      </c>
      <c r="AE599" t="s">
        <v>43</v>
      </c>
      <c r="AF599" s="3">
        <v>827</v>
      </c>
      <c r="AG599" s="3">
        <v>43</v>
      </c>
      <c r="AH599">
        <v>80</v>
      </c>
      <c r="AI599">
        <v>3</v>
      </c>
      <c r="AJ599">
        <v>0</v>
      </c>
      <c r="AL599">
        <v>0</v>
      </c>
      <c r="AM599">
        <v>1</v>
      </c>
      <c r="AN599" t="s">
        <v>768</v>
      </c>
      <c r="AO599" t="s">
        <v>41</v>
      </c>
    </row>
    <row r="600" spans="1:41" x14ac:dyDescent="0.25">
      <c r="A600">
        <v>41</v>
      </c>
      <c r="B600" t="s">
        <v>32</v>
      </c>
      <c r="C600" t="s">
        <v>33</v>
      </c>
      <c r="D600">
        <v>9</v>
      </c>
      <c r="E600" t="s">
        <v>34</v>
      </c>
      <c r="F600">
        <v>3</v>
      </c>
      <c r="G600">
        <v>1</v>
      </c>
      <c r="H600" t="s">
        <v>35</v>
      </c>
      <c r="I600">
        <v>1</v>
      </c>
      <c r="J600" t="s">
        <v>51</v>
      </c>
      <c r="K600">
        <v>2238</v>
      </c>
      <c r="L600">
        <v>2</v>
      </c>
      <c r="M600" t="s">
        <v>41</v>
      </c>
      <c r="N600">
        <v>21</v>
      </c>
      <c r="O600">
        <v>4</v>
      </c>
      <c r="P600">
        <v>1</v>
      </c>
      <c r="Q600">
        <v>7</v>
      </c>
      <c r="R600">
        <v>2</v>
      </c>
      <c r="S600">
        <v>5</v>
      </c>
      <c r="T600">
        <v>1</v>
      </c>
      <c r="U600">
        <v>4</v>
      </c>
      <c r="V600" t="s">
        <v>52</v>
      </c>
      <c r="W600" s="2">
        <v>42402</v>
      </c>
      <c r="Y600" t="s">
        <v>69</v>
      </c>
      <c r="Z600" t="s">
        <v>47</v>
      </c>
      <c r="AA600">
        <v>1</v>
      </c>
      <c r="AB600">
        <v>2</v>
      </c>
      <c r="AC600" t="s">
        <v>41</v>
      </c>
      <c r="AD600" t="s">
        <v>48</v>
      </c>
      <c r="AE600" t="s">
        <v>49</v>
      </c>
      <c r="AF600" s="3">
        <v>828</v>
      </c>
      <c r="AG600" s="3">
        <v>46</v>
      </c>
      <c r="AH600">
        <v>80</v>
      </c>
      <c r="AI600">
        <v>2</v>
      </c>
      <c r="AJ600">
        <v>1</v>
      </c>
      <c r="AK600">
        <v>1</v>
      </c>
      <c r="AL600">
        <v>1</v>
      </c>
      <c r="AM600">
        <v>0</v>
      </c>
      <c r="AN600" t="s">
        <v>767</v>
      </c>
      <c r="AO600" t="s">
        <v>31</v>
      </c>
    </row>
    <row r="601" spans="1:41" x14ac:dyDescent="0.25">
      <c r="A601">
        <v>28</v>
      </c>
      <c r="B601" t="s">
        <v>32</v>
      </c>
      <c r="C601" t="s">
        <v>33</v>
      </c>
      <c r="D601">
        <v>21</v>
      </c>
      <c r="E601" t="s">
        <v>34</v>
      </c>
      <c r="F601">
        <v>3</v>
      </c>
      <c r="G601">
        <v>1</v>
      </c>
      <c r="H601" t="s">
        <v>44</v>
      </c>
      <c r="I601">
        <v>4</v>
      </c>
      <c r="J601" t="s">
        <v>51</v>
      </c>
      <c r="K601">
        <v>2713</v>
      </c>
      <c r="L601">
        <v>1</v>
      </c>
      <c r="M601" t="s">
        <v>41</v>
      </c>
      <c r="N601">
        <v>11</v>
      </c>
      <c r="O601">
        <v>3</v>
      </c>
      <c r="P601">
        <v>1</v>
      </c>
      <c r="Q601">
        <v>5</v>
      </c>
      <c r="R601">
        <v>2</v>
      </c>
      <c r="S601">
        <v>5</v>
      </c>
      <c r="T601">
        <v>0</v>
      </c>
      <c r="U601">
        <v>2</v>
      </c>
      <c r="V601" t="s">
        <v>52</v>
      </c>
      <c r="W601" s="1" t="s">
        <v>328</v>
      </c>
      <c r="Y601" t="s">
        <v>69</v>
      </c>
      <c r="Z601" t="s">
        <v>47</v>
      </c>
      <c r="AA601">
        <v>2</v>
      </c>
      <c r="AB601">
        <v>0</v>
      </c>
      <c r="AC601" t="s">
        <v>41</v>
      </c>
      <c r="AD601" t="s">
        <v>42</v>
      </c>
      <c r="AE601" t="s">
        <v>60</v>
      </c>
      <c r="AF601" s="3">
        <v>829</v>
      </c>
      <c r="AG601" s="3">
        <v>36</v>
      </c>
      <c r="AH601">
        <v>80</v>
      </c>
      <c r="AI601">
        <v>2</v>
      </c>
      <c r="AJ601">
        <v>0</v>
      </c>
      <c r="AL601">
        <v>0</v>
      </c>
      <c r="AM601">
        <v>1</v>
      </c>
      <c r="AN601" t="s">
        <v>768</v>
      </c>
      <c r="AO601" t="s">
        <v>41</v>
      </c>
    </row>
    <row r="602" spans="1:41" x14ac:dyDescent="0.25">
      <c r="A602">
        <v>57</v>
      </c>
      <c r="B602" t="s">
        <v>32</v>
      </c>
      <c r="C602" t="s">
        <v>33</v>
      </c>
      <c r="D602">
        <v>24</v>
      </c>
      <c r="E602" t="s">
        <v>34</v>
      </c>
      <c r="F602">
        <v>4</v>
      </c>
      <c r="G602">
        <v>3</v>
      </c>
      <c r="H602" t="s">
        <v>89</v>
      </c>
      <c r="I602">
        <v>4</v>
      </c>
      <c r="J602" t="s">
        <v>57</v>
      </c>
      <c r="K602">
        <v>9439</v>
      </c>
      <c r="L602">
        <v>3</v>
      </c>
      <c r="M602" t="s">
        <v>31</v>
      </c>
      <c r="N602">
        <v>16</v>
      </c>
      <c r="O602">
        <v>3</v>
      </c>
      <c r="P602">
        <v>1</v>
      </c>
      <c r="Q602">
        <v>12</v>
      </c>
      <c r="R602">
        <v>2</v>
      </c>
      <c r="S602">
        <v>5</v>
      </c>
      <c r="T602">
        <v>1</v>
      </c>
      <c r="U602">
        <v>4</v>
      </c>
      <c r="V602" t="s">
        <v>72</v>
      </c>
      <c r="W602" s="1" t="s">
        <v>329</v>
      </c>
      <c r="Y602" t="s">
        <v>69</v>
      </c>
      <c r="Z602" t="s">
        <v>47</v>
      </c>
      <c r="AA602">
        <v>4</v>
      </c>
      <c r="AB602">
        <v>2</v>
      </c>
      <c r="AC602" t="s">
        <v>31</v>
      </c>
      <c r="AD602" t="s">
        <v>65</v>
      </c>
      <c r="AE602" t="s">
        <v>60</v>
      </c>
      <c r="AF602" s="3">
        <v>830</v>
      </c>
      <c r="AG602" s="3">
        <v>98</v>
      </c>
      <c r="AH602">
        <v>80</v>
      </c>
      <c r="AI602">
        <v>13</v>
      </c>
      <c r="AJ602">
        <v>0</v>
      </c>
      <c r="AL602">
        <v>0</v>
      </c>
      <c r="AM602">
        <v>1</v>
      </c>
      <c r="AN602" t="s">
        <v>768</v>
      </c>
      <c r="AO602" t="s">
        <v>41</v>
      </c>
    </row>
    <row r="603" spans="1:41" x14ac:dyDescent="0.25">
      <c r="A603">
        <v>50</v>
      </c>
      <c r="B603" t="s">
        <v>32</v>
      </c>
      <c r="C603" t="s">
        <v>33</v>
      </c>
      <c r="D603">
        <v>11</v>
      </c>
      <c r="E603" t="s">
        <v>61</v>
      </c>
      <c r="F603">
        <v>3</v>
      </c>
      <c r="G603">
        <v>5</v>
      </c>
      <c r="H603" t="s">
        <v>75</v>
      </c>
      <c r="I603">
        <v>2</v>
      </c>
      <c r="J603" t="s">
        <v>36</v>
      </c>
      <c r="K603">
        <v>19926</v>
      </c>
      <c r="L603">
        <v>3</v>
      </c>
      <c r="M603" t="s">
        <v>41</v>
      </c>
      <c r="N603">
        <v>15</v>
      </c>
      <c r="O603">
        <v>3</v>
      </c>
      <c r="P603">
        <v>0</v>
      </c>
      <c r="Q603">
        <v>21</v>
      </c>
      <c r="R603">
        <v>5</v>
      </c>
      <c r="S603">
        <v>5</v>
      </c>
      <c r="T603">
        <v>4</v>
      </c>
      <c r="U603">
        <v>4</v>
      </c>
      <c r="V603" t="s">
        <v>37</v>
      </c>
      <c r="W603" s="2">
        <v>42405</v>
      </c>
      <c r="Y603" t="s">
        <v>46</v>
      </c>
      <c r="Z603" t="s">
        <v>40</v>
      </c>
      <c r="AA603">
        <v>2</v>
      </c>
      <c r="AB603">
        <v>1</v>
      </c>
      <c r="AC603" t="s">
        <v>31</v>
      </c>
      <c r="AD603" t="s">
        <v>65</v>
      </c>
      <c r="AE603" t="s">
        <v>49</v>
      </c>
      <c r="AF603" s="3">
        <v>832</v>
      </c>
      <c r="AG603" s="3">
        <v>51</v>
      </c>
      <c r="AH603">
        <v>80</v>
      </c>
      <c r="AI603">
        <v>0</v>
      </c>
      <c r="AJ603">
        <v>0</v>
      </c>
      <c r="AL603">
        <v>0</v>
      </c>
      <c r="AM603">
        <v>1</v>
      </c>
      <c r="AN603" t="s">
        <v>768</v>
      </c>
      <c r="AO603" t="s">
        <v>41</v>
      </c>
    </row>
    <row r="604" spans="1:41" x14ac:dyDescent="0.25">
      <c r="A604">
        <v>32</v>
      </c>
      <c r="B604" t="s">
        <v>32</v>
      </c>
      <c r="C604" t="s">
        <v>33</v>
      </c>
      <c r="D604">
        <v>6</v>
      </c>
      <c r="E604" t="s">
        <v>34</v>
      </c>
      <c r="F604">
        <v>3</v>
      </c>
      <c r="G604">
        <v>1</v>
      </c>
      <c r="H604" t="s">
        <v>44</v>
      </c>
      <c r="I604">
        <v>3</v>
      </c>
      <c r="J604" t="s">
        <v>36</v>
      </c>
      <c r="K604">
        <v>3038</v>
      </c>
      <c r="L604">
        <v>3</v>
      </c>
      <c r="M604" t="s">
        <v>41</v>
      </c>
      <c r="N604">
        <v>20</v>
      </c>
      <c r="O604">
        <v>4</v>
      </c>
      <c r="P604">
        <v>0</v>
      </c>
      <c r="Q604">
        <v>8</v>
      </c>
      <c r="R604">
        <v>2</v>
      </c>
      <c r="S604">
        <v>5</v>
      </c>
      <c r="T604">
        <v>1</v>
      </c>
      <c r="U604">
        <v>4</v>
      </c>
      <c r="V604" t="s">
        <v>58</v>
      </c>
      <c r="W604" s="2">
        <v>42644</v>
      </c>
      <c r="Y604" t="s">
        <v>63</v>
      </c>
      <c r="Z604" t="s">
        <v>40</v>
      </c>
      <c r="AA604">
        <v>4</v>
      </c>
      <c r="AB604">
        <v>1</v>
      </c>
      <c r="AC604" t="s">
        <v>41</v>
      </c>
      <c r="AD604" t="s">
        <v>65</v>
      </c>
      <c r="AE604" t="s">
        <v>49</v>
      </c>
      <c r="AF604" s="3">
        <v>833</v>
      </c>
      <c r="AG604" s="3">
        <v>52</v>
      </c>
      <c r="AH604">
        <v>80</v>
      </c>
      <c r="AI604">
        <v>0</v>
      </c>
      <c r="AJ604">
        <v>0</v>
      </c>
      <c r="AL604">
        <v>0</v>
      </c>
      <c r="AM604">
        <v>1</v>
      </c>
      <c r="AN604" t="s">
        <v>768</v>
      </c>
      <c r="AO604" t="s">
        <v>41</v>
      </c>
    </row>
    <row r="605" spans="1:41" x14ac:dyDescent="0.25">
      <c r="A605">
        <v>27</v>
      </c>
      <c r="B605" t="s">
        <v>32</v>
      </c>
      <c r="C605" t="s">
        <v>33</v>
      </c>
      <c r="D605">
        <v>17</v>
      </c>
      <c r="E605" t="s">
        <v>34</v>
      </c>
      <c r="F605">
        <v>3</v>
      </c>
      <c r="G605">
        <v>1</v>
      </c>
      <c r="H605" t="s">
        <v>44</v>
      </c>
      <c r="I605">
        <v>2</v>
      </c>
      <c r="J605" t="s">
        <v>51</v>
      </c>
      <c r="K605">
        <v>3058</v>
      </c>
      <c r="L605">
        <v>0</v>
      </c>
      <c r="M605" t="s">
        <v>31</v>
      </c>
      <c r="N605">
        <v>16</v>
      </c>
      <c r="O605">
        <v>3</v>
      </c>
      <c r="P605">
        <v>1</v>
      </c>
      <c r="Q605">
        <v>6</v>
      </c>
      <c r="R605">
        <v>3</v>
      </c>
      <c r="S605">
        <v>5</v>
      </c>
      <c r="T605">
        <v>1</v>
      </c>
      <c r="U605">
        <v>1</v>
      </c>
      <c r="V605" t="s">
        <v>72</v>
      </c>
      <c r="W605" s="1" t="s">
        <v>330</v>
      </c>
      <c r="Y605" t="s">
        <v>46</v>
      </c>
      <c r="Z605" t="s">
        <v>47</v>
      </c>
      <c r="AA605">
        <v>3</v>
      </c>
      <c r="AB605">
        <v>2</v>
      </c>
      <c r="AC605" t="s">
        <v>41</v>
      </c>
      <c r="AD605" t="s">
        <v>67</v>
      </c>
      <c r="AE605" t="s">
        <v>43</v>
      </c>
      <c r="AF605" s="3">
        <v>834</v>
      </c>
      <c r="AG605" s="3">
        <v>95</v>
      </c>
      <c r="AH605">
        <v>80</v>
      </c>
      <c r="AI605">
        <v>0</v>
      </c>
      <c r="AJ605">
        <v>0</v>
      </c>
      <c r="AL605">
        <v>0</v>
      </c>
      <c r="AM605">
        <v>1</v>
      </c>
      <c r="AN605" t="s">
        <v>768</v>
      </c>
      <c r="AO605" t="s">
        <v>41</v>
      </c>
    </row>
    <row r="606" spans="1:41" x14ac:dyDescent="0.25">
      <c r="A606">
        <v>45</v>
      </c>
      <c r="B606" t="s">
        <v>32</v>
      </c>
      <c r="C606" t="s">
        <v>55</v>
      </c>
      <c r="D606">
        <v>4</v>
      </c>
      <c r="E606" t="s">
        <v>61</v>
      </c>
      <c r="F606">
        <v>3</v>
      </c>
      <c r="G606">
        <v>2</v>
      </c>
      <c r="H606" t="s">
        <v>70</v>
      </c>
      <c r="I606">
        <v>1</v>
      </c>
      <c r="J606" t="s">
        <v>57</v>
      </c>
      <c r="K606">
        <v>5006</v>
      </c>
      <c r="L606">
        <v>4</v>
      </c>
      <c r="M606" t="s">
        <v>31</v>
      </c>
      <c r="N606">
        <v>11</v>
      </c>
      <c r="O606">
        <v>3</v>
      </c>
      <c r="P606">
        <v>1</v>
      </c>
      <c r="Q606">
        <v>9</v>
      </c>
      <c r="R606">
        <v>3</v>
      </c>
      <c r="S606">
        <v>5</v>
      </c>
      <c r="T606">
        <v>0</v>
      </c>
      <c r="U606">
        <v>3</v>
      </c>
      <c r="V606" t="s">
        <v>58</v>
      </c>
      <c r="W606" s="2">
        <v>42494</v>
      </c>
      <c r="Y606" t="s">
        <v>69</v>
      </c>
      <c r="Z606" t="s">
        <v>47</v>
      </c>
      <c r="AA606">
        <v>2</v>
      </c>
      <c r="AB606">
        <v>3</v>
      </c>
      <c r="AC606" t="s">
        <v>41</v>
      </c>
      <c r="AD606" t="s">
        <v>42</v>
      </c>
      <c r="AE606" t="s">
        <v>43</v>
      </c>
      <c r="AF606" s="3">
        <v>836</v>
      </c>
      <c r="AG606" s="3">
        <v>98</v>
      </c>
      <c r="AH606">
        <v>80</v>
      </c>
      <c r="AI606">
        <v>8</v>
      </c>
      <c r="AJ606">
        <v>0</v>
      </c>
      <c r="AL606">
        <v>0</v>
      </c>
      <c r="AM606">
        <v>1</v>
      </c>
      <c r="AN606" t="s">
        <v>768</v>
      </c>
      <c r="AO606" t="s">
        <v>41</v>
      </c>
    </row>
    <row r="607" spans="1:41" x14ac:dyDescent="0.25">
      <c r="A607">
        <v>43</v>
      </c>
      <c r="B607" t="s">
        <v>81</v>
      </c>
      <c r="C607" t="s">
        <v>33</v>
      </c>
      <c r="D607">
        <v>7</v>
      </c>
      <c r="E607" t="s">
        <v>34</v>
      </c>
      <c r="F607">
        <v>4</v>
      </c>
      <c r="G607">
        <v>1</v>
      </c>
      <c r="H607" t="s">
        <v>44</v>
      </c>
      <c r="I607">
        <v>4</v>
      </c>
      <c r="J607" t="s">
        <v>57</v>
      </c>
      <c r="K607">
        <v>2089</v>
      </c>
      <c r="L607">
        <v>4</v>
      </c>
      <c r="M607" t="s">
        <v>41</v>
      </c>
      <c r="N607">
        <v>14</v>
      </c>
      <c r="O607">
        <v>3</v>
      </c>
      <c r="P607">
        <v>3</v>
      </c>
      <c r="Q607">
        <v>7</v>
      </c>
      <c r="R607">
        <v>3</v>
      </c>
      <c r="S607">
        <v>5</v>
      </c>
      <c r="T607">
        <v>2</v>
      </c>
      <c r="U607">
        <v>2</v>
      </c>
      <c r="V607" t="s">
        <v>72</v>
      </c>
      <c r="W607" s="2">
        <v>42461</v>
      </c>
      <c r="Y607" t="s">
        <v>63</v>
      </c>
      <c r="Z607" t="s">
        <v>47</v>
      </c>
      <c r="AA607">
        <v>3</v>
      </c>
      <c r="AB607">
        <v>3</v>
      </c>
      <c r="AC607" t="s">
        <v>41</v>
      </c>
      <c r="AD607" t="s">
        <v>48</v>
      </c>
      <c r="AE607" t="s">
        <v>60</v>
      </c>
      <c r="AF607" s="3">
        <v>837</v>
      </c>
      <c r="AG607" s="3">
        <v>45</v>
      </c>
      <c r="AH607">
        <v>80</v>
      </c>
      <c r="AI607">
        <v>3</v>
      </c>
      <c r="AJ607">
        <v>0</v>
      </c>
      <c r="AL607">
        <v>0</v>
      </c>
      <c r="AM607">
        <v>1</v>
      </c>
      <c r="AN607" t="s">
        <v>768</v>
      </c>
      <c r="AO607" t="s">
        <v>41</v>
      </c>
    </row>
    <row r="608" spans="1:41" x14ac:dyDescent="0.25">
      <c r="A608">
        <v>42</v>
      </c>
      <c r="B608" t="s">
        <v>81</v>
      </c>
      <c r="C608" t="s">
        <v>33</v>
      </c>
      <c r="D608">
        <v>21</v>
      </c>
      <c r="E608" t="s">
        <v>61</v>
      </c>
      <c r="F608">
        <v>3</v>
      </c>
      <c r="G608">
        <v>2</v>
      </c>
      <c r="H608" t="s">
        <v>78</v>
      </c>
      <c r="I608">
        <v>3</v>
      </c>
      <c r="J608" t="s">
        <v>57</v>
      </c>
      <c r="K608">
        <v>5265</v>
      </c>
      <c r="L608">
        <v>2</v>
      </c>
      <c r="M608" t="s">
        <v>41</v>
      </c>
      <c r="N608">
        <v>16</v>
      </c>
      <c r="O608">
        <v>3</v>
      </c>
      <c r="P608">
        <v>1</v>
      </c>
      <c r="Q608">
        <v>11</v>
      </c>
      <c r="R608">
        <v>5</v>
      </c>
      <c r="S608">
        <v>5</v>
      </c>
      <c r="T608">
        <v>0</v>
      </c>
      <c r="U608">
        <v>2</v>
      </c>
      <c r="V608" t="s">
        <v>72</v>
      </c>
      <c r="W608" s="2">
        <v>42406</v>
      </c>
      <c r="Y608" t="s">
        <v>63</v>
      </c>
      <c r="Z608" t="s">
        <v>47</v>
      </c>
      <c r="AA608">
        <v>2</v>
      </c>
      <c r="AB608">
        <v>0</v>
      </c>
      <c r="AC608" t="s">
        <v>41</v>
      </c>
      <c r="AD608" t="s">
        <v>67</v>
      </c>
      <c r="AE608" t="s">
        <v>43</v>
      </c>
      <c r="AF608" s="3">
        <v>838</v>
      </c>
      <c r="AG608" s="3">
        <v>100</v>
      </c>
      <c r="AH608">
        <v>80</v>
      </c>
      <c r="AI608">
        <v>2</v>
      </c>
      <c r="AJ608">
        <v>0</v>
      </c>
      <c r="AL608">
        <v>0</v>
      </c>
      <c r="AM608">
        <v>1</v>
      </c>
      <c r="AN608" t="s">
        <v>768</v>
      </c>
      <c r="AO608" t="s">
        <v>41</v>
      </c>
    </row>
    <row r="609" spans="1:41" x14ac:dyDescent="0.25">
      <c r="A609">
        <v>34</v>
      </c>
      <c r="B609" t="s">
        <v>66</v>
      </c>
      <c r="C609" t="s">
        <v>33</v>
      </c>
      <c r="D609">
        <v>10</v>
      </c>
      <c r="E609" t="s">
        <v>34</v>
      </c>
      <c r="F609">
        <v>3</v>
      </c>
      <c r="G609">
        <v>1</v>
      </c>
      <c r="H609" t="s">
        <v>44</v>
      </c>
      <c r="I609">
        <v>3</v>
      </c>
      <c r="J609" t="s">
        <v>57</v>
      </c>
      <c r="K609">
        <v>3815</v>
      </c>
      <c r="L609">
        <v>1</v>
      </c>
      <c r="M609" t="s">
        <v>31</v>
      </c>
      <c r="N609">
        <v>17</v>
      </c>
      <c r="O609">
        <v>3</v>
      </c>
      <c r="P609">
        <v>1</v>
      </c>
      <c r="Q609">
        <v>5</v>
      </c>
      <c r="R609">
        <v>4</v>
      </c>
      <c r="S609">
        <v>5</v>
      </c>
      <c r="T609">
        <v>2</v>
      </c>
      <c r="U609">
        <v>0</v>
      </c>
      <c r="V609" t="s">
        <v>58</v>
      </c>
      <c r="W609" s="1" t="s">
        <v>331</v>
      </c>
      <c r="Y609" t="s">
        <v>39</v>
      </c>
      <c r="Z609" t="s">
        <v>40</v>
      </c>
      <c r="AA609">
        <v>0</v>
      </c>
      <c r="AB609">
        <v>2</v>
      </c>
      <c r="AC609" t="s">
        <v>31</v>
      </c>
      <c r="AD609" t="s">
        <v>42</v>
      </c>
      <c r="AE609" t="s">
        <v>43</v>
      </c>
      <c r="AF609" s="3">
        <v>840</v>
      </c>
      <c r="AG609" s="3">
        <v>43</v>
      </c>
      <c r="AH609">
        <v>80</v>
      </c>
      <c r="AI609">
        <v>8</v>
      </c>
      <c r="AJ609">
        <v>1</v>
      </c>
      <c r="AK609">
        <v>1</v>
      </c>
      <c r="AL609">
        <v>1</v>
      </c>
      <c r="AM609">
        <v>0</v>
      </c>
      <c r="AN609" t="s">
        <v>767</v>
      </c>
      <c r="AO609" t="s">
        <v>31</v>
      </c>
    </row>
    <row r="610" spans="1:41" x14ac:dyDescent="0.25">
      <c r="A610">
        <v>30</v>
      </c>
      <c r="B610" t="s">
        <v>32</v>
      </c>
      <c r="C610" t="s">
        <v>33</v>
      </c>
      <c r="D610">
        <v>3</v>
      </c>
      <c r="E610" t="s">
        <v>61</v>
      </c>
      <c r="F610">
        <v>3</v>
      </c>
      <c r="G610">
        <v>1</v>
      </c>
      <c r="H610" t="s">
        <v>44</v>
      </c>
      <c r="I610">
        <v>1</v>
      </c>
      <c r="J610" t="s">
        <v>36</v>
      </c>
      <c r="K610">
        <v>2657</v>
      </c>
      <c r="L610">
        <v>5</v>
      </c>
      <c r="M610" t="s">
        <v>31</v>
      </c>
      <c r="N610">
        <v>11</v>
      </c>
      <c r="O610">
        <v>3</v>
      </c>
      <c r="P610">
        <v>0</v>
      </c>
      <c r="Q610">
        <v>8</v>
      </c>
      <c r="R610">
        <v>5</v>
      </c>
      <c r="S610">
        <v>5</v>
      </c>
      <c r="T610">
        <v>0</v>
      </c>
      <c r="U610">
        <v>4</v>
      </c>
      <c r="V610" t="s">
        <v>37</v>
      </c>
      <c r="W610" s="1" t="s">
        <v>332</v>
      </c>
      <c r="Y610" t="s">
        <v>46</v>
      </c>
      <c r="Z610" t="s">
        <v>40</v>
      </c>
      <c r="AA610">
        <v>4</v>
      </c>
      <c r="AB610">
        <v>0</v>
      </c>
      <c r="AC610" t="s">
        <v>41</v>
      </c>
      <c r="AD610" t="s">
        <v>67</v>
      </c>
      <c r="AE610" t="s">
        <v>43</v>
      </c>
      <c r="AF610" s="3">
        <v>842</v>
      </c>
      <c r="AG610" s="3">
        <v>37</v>
      </c>
      <c r="AH610">
        <v>80</v>
      </c>
      <c r="AI610">
        <v>7</v>
      </c>
      <c r="AJ610">
        <v>1</v>
      </c>
      <c r="AK610">
        <v>1</v>
      </c>
      <c r="AL610">
        <v>1</v>
      </c>
      <c r="AM610">
        <v>0</v>
      </c>
      <c r="AN610" t="s">
        <v>767</v>
      </c>
      <c r="AO610" t="s">
        <v>31</v>
      </c>
    </row>
    <row r="611" spans="1:41" x14ac:dyDescent="0.25">
      <c r="A611">
        <v>31</v>
      </c>
      <c r="B611" t="s">
        <v>81</v>
      </c>
      <c r="C611" t="s">
        <v>33</v>
      </c>
      <c r="D611">
        <v>1</v>
      </c>
      <c r="E611" t="s">
        <v>34</v>
      </c>
      <c r="F611">
        <v>1</v>
      </c>
      <c r="G611">
        <v>2</v>
      </c>
      <c r="H611" t="s">
        <v>78</v>
      </c>
      <c r="I611">
        <v>3</v>
      </c>
      <c r="J611" t="s">
        <v>51</v>
      </c>
      <c r="K611">
        <v>4345</v>
      </c>
      <c r="L611">
        <v>0</v>
      </c>
      <c r="M611" t="s">
        <v>41</v>
      </c>
      <c r="N611">
        <v>12</v>
      </c>
      <c r="O611">
        <v>3</v>
      </c>
      <c r="P611">
        <v>1</v>
      </c>
      <c r="Q611">
        <v>6</v>
      </c>
      <c r="R611">
        <v>2</v>
      </c>
      <c r="S611">
        <v>5</v>
      </c>
      <c r="T611">
        <v>1</v>
      </c>
      <c r="U611">
        <v>4</v>
      </c>
      <c r="V611" t="s">
        <v>52</v>
      </c>
      <c r="W611" s="1" t="s">
        <v>325</v>
      </c>
      <c r="Y611" t="s">
        <v>63</v>
      </c>
      <c r="Z611" t="s">
        <v>47</v>
      </c>
      <c r="AA611">
        <v>5</v>
      </c>
      <c r="AB611">
        <v>1</v>
      </c>
      <c r="AC611" t="s">
        <v>41</v>
      </c>
      <c r="AD611" t="s">
        <v>65</v>
      </c>
      <c r="AE611" t="s">
        <v>49</v>
      </c>
      <c r="AF611" s="3">
        <v>843</v>
      </c>
      <c r="AG611" s="3">
        <v>94</v>
      </c>
      <c r="AH611">
        <v>80</v>
      </c>
      <c r="AI611">
        <v>1</v>
      </c>
      <c r="AJ611">
        <v>0</v>
      </c>
      <c r="AL611">
        <v>0</v>
      </c>
      <c r="AM611">
        <v>1</v>
      </c>
      <c r="AN611" t="s">
        <v>768</v>
      </c>
      <c r="AO611" t="s">
        <v>41</v>
      </c>
    </row>
    <row r="612" spans="1:41" x14ac:dyDescent="0.25">
      <c r="A612">
        <v>33</v>
      </c>
      <c r="B612" t="s">
        <v>32</v>
      </c>
      <c r="C612" t="s">
        <v>33</v>
      </c>
      <c r="D612">
        <v>14</v>
      </c>
      <c r="E612" t="s">
        <v>34</v>
      </c>
      <c r="F612">
        <v>3</v>
      </c>
      <c r="G612">
        <v>1</v>
      </c>
      <c r="H612" t="s">
        <v>35</v>
      </c>
      <c r="I612">
        <v>4</v>
      </c>
      <c r="J612" t="s">
        <v>51</v>
      </c>
      <c r="K612">
        <v>2436</v>
      </c>
      <c r="L612">
        <v>5</v>
      </c>
      <c r="M612" t="s">
        <v>31</v>
      </c>
      <c r="N612">
        <v>13</v>
      </c>
      <c r="O612">
        <v>3</v>
      </c>
      <c r="P612">
        <v>1</v>
      </c>
      <c r="Q612">
        <v>8</v>
      </c>
      <c r="R612">
        <v>2</v>
      </c>
      <c r="S612">
        <v>5</v>
      </c>
      <c r="T612">
        <v>0</v>
      </c>
      <c r="U612">
        <v>4</v>
      </c>
      <c r="V612" t="s">
        <v>58</v>
      </c>
      <c r="W612" s="2">
        <v>42588</v>
      </c>
      <c r="Y612" t="s">
        <v>39</v>
      </c>
      <c r="Z612" t="s">
        <v>47</v>
      </c>
      <c r="AA612">
        <v>1</v>
      </c>
      <c r="AB612">
        <v>1</v>
      </c>
      <c r="AC612" t="s">
        <v>31</v>
      </c>
      <c r="AD612" t="s">
        <v>65</v>
      </c>
      <c r="AE612" t="s">
        <v>43</v>
      </c>
      <c r="AF612" s="3">
        <v>844</v>
      </c>
      <c r="AG612" s="3">
        <v>42</v>
      </c>
      <c r="AH612">
        <v>80</v>
      </c>
      <c r="AI612">
        <v>8</v>
      </c>
      <c r="AJ612">
        <v>0</v>
      </c>
      <c r="AL612">
        <v>0</v>
      </c>
      <c r="AM612">
        <v>1</v>
      </c>
      <c r="AN612" t="s">
        <v>768</v>
      </c>
      <c r="AO612" t="s">
        <v>41</v>
      </c>
    </row>
    <row r="613" spans="1:41" x14ac:dyDescent="0.25">
      <c r="A613">
        <v>31</v>
      </c>
      <c r="B613" t="s">
        <v>66</v>
      </c>
      <c r="C613" t="s">
        <v>33</v>
      </c>
      <c r="D613">
        <v>29</v>
      </c>
      <c r="E613" t="s">
        <v>34</v>
      </c>
      <c r="F613">
        <v>2</v>
      </c>
      <c r="G613">
        <v>1</v>
      </c>
      <c r="H613" t="s">
        <v>35</v>
      </c>
      <c r="I613">
        <v>2</v>
      </c>
      <c r="J613" t="s">
        <v>36</v>
      </c>
      <c r="K613">
        <v>3479</v>
      </c>
      <c r="L613">
        <v>0</v>
      </c>
      <c r="M613" t="s">
        <v>41</v>
      </c>
      <c r="N613">
        <v>11</v>
      </c>
      <c r="O613">
        <v>3</v>
      </c>
      <c r="P613">
        <v>0</v>
      </c>
      <c r="Q613">
        <v>6</v>
      </c>
      <c r="R613">
        <v>2</v>
      </c>
      <c r="S613">
        <v>5</v>
      </c>
      <c r="T613">
        <v>1</v>
      </c>
      <c r="U613">
        <v>4</v>
      </c>
      <c r="V613" t="s">
        <v>52</v>
      </c>
      <c r="W613" s="2">
        <v>42680</v>
      </c>
      <c r="Y613" t="s">
        <v>46</v>
      </c>
      <c r="Z613" t="s">
        <v>47</v>
      </c>
      <c r="AA613">
        <v>3</v>
      </c>
      <c r="AB613">
        <v>2</v>
      </c>
      <c r="AC613" t="s">
        <v>41</v>
      </c>
      <c r="AD613" t="s">
        <v>42</v>
      </c>
      <c r="AE613" t="s">
        <v>43</v>
      </c>
      <c r="AF613" s="3">
        <v>845</v>
      </c>
      <c r="AG613" s="3">
        <v>59</v>
      </c>
      <c r="AH613">
        <v>80</v>
      </c>
      <c r="AI613">
        <v>5</v>
      </c>
      <c r="AJ613">
        <v>0</v>
      </c>
      <c r="AL613">
        <v>0</v>
      </c>
      <c r="AM613">
        <v>1</v>
      </c>
      <c r="AN613" t="s">
        <v>768</v>
      </c>
      <c r="AO613" t="s">
        <v>41</v>
      </c>
    </row>
    <row r="614" spans="1:41" x14ac:dyDescent="0.25">
      <c r="A614">
        <v>32</v>
      </c>
      <c r="B614" t="s">
        <v>66</v>
      </c>
      <c r="C614" t="s">
        <v>33</v>
      </c>
      <c r="D614">
        <v>7</v>
      </c>
      <c r="E614" t="s">
        <v>34</v>
      </c>
      <c r="F614">
        <v>4</v>
      </c>
      <c r="G614">
        <v>1</v>
      </c>
      <c r="H614" t="s">
        <v>35</v>
      </c>
      <c r="I614">
        <v>2</v>
      </c>
      <c r="J614" t="s">
        <v>51</v>
      </c>
      <c r="K614">
        <v>2794</v>
      </c>
      <c r="L614">
        <v>1</v>
      </c>
      <c r="M614" t="s">
        <v>41</v>
      </c>
      <c r="N614">
        <v>20</v>
      </c>
      <c r="O614">
        <v>4</v>
      </c>
      <c r="P614">
        <v>0</v>
      </c>
      <c r="Q614">
        <v>5</v>
      </c>
      <c r="R614">
        <v>3</v>
      </c>
      <c r="S614">
        <v>5</v>
      </c>
      <c r="T614">
        <v>0</v>
      </c>
      <c r="U614">
        <v>3</v>
      </c>
      <c r="V614" t="s">
        <v>58</v>
      </c>
      <c r="W614" s="2">
        <v>42401</v>
      </c>
      <c r="Y614" t="s">
        <v>39</v>
      </c>
      <c r="Z614" t="s">
        <v>47</v>
      </c>
      <c r="AA614">
        <v>4</v>
      </c>
      <c r="AB614">
        <v>1</v>
      </c>
      <c r="AC614" t="s">
        <v>41</v>
      </c>
      <c r="AD614" t="s">
        <v>67</v>
      </c>
      <c r="AE614" t="s">
        <v>49</v>
      </c>
      <c r="AF614" s="3">
        <v>846</v>
      </c>
      <c r="AG614" s="3">
        <v>81</v>
      </c>
      <c r="AH614">
        <v>80</v>
      </c>
      <c r="AI614">
        <v>7</v>
      </c>
      <c r="AJ614">
        <v>0</v>
      </c>
      <c r="AL614">
        <v>0</v>
      </c>
      <c r="AM614">
        <v>1</v>
      </c>
      <c r="AN614" t="s">
        <v>768</v>
      </c>
      <c r="AO614" t="s">
        <v>41</v>
      </c>
    </row>
    <row r="615" spans="1:41" x14ac:dyDescent="0.25">
      <c r="A615">
        <v>28</v>
      </c>
      <c r="B615" t="s">
        <v>32</v>
      </c>
      <c r="C615" t="s">
        <v>33</v>
      </c>
      <c r="D615">
        <v>9</v>
      </c>
      <c r="E615" t="s">
        <v>34</v>
      </c>
      <c r="F615">
        <v>3</v>
      </c>
      <c r="G615">
        <v>1</v>
      </c>
      <c r="H615" t="s">
        <v>44</v>
      </c>
      <c r="I615">
        <v>4</v>
      </c>
      <c r="J615" t="s">
        <v>51</v>
      </c>
      <c r="K615">
        <v>2070</v>
      </c>
      <c r="L615">
        <v>1</v>
      </c>
      <c r="M615" t="s">
        <v>41</v>
      </c>
      <c r="N615">
        <v>23</v>
      </c>
      <c r="O615">
        <v>4</v>
      </c>
      <c r="P615">
        <v>1</v>
      </c>
      <c r="Q615">
        <v>5</v>
      </c>
      <c r="R615">
        <v>3</v>
      </c>
      <c r="S615">
        <v>5</v>
      </c>
      <c r="T615">
        <v>0</v>
      </c>
      <c r="U615">
        <v>4</v>
      </c>
      <c r="V615" t="s">
        <v>52</v>
      </c>
      <c r="W615" s="2">
        <v>42588</v>
      </c>
      <c r="Y615" t="s">
        <v>39</v>
      </c>
      <c r="Z615" t="s">
        <v>47</v>
      </c>
      <c r="AA615">
        <v>5</v>
      </c>
      <c r="AB615">
        <v>0</v>
      </c>
      <c r="AC615" t="s">
        <v>41</v>
      </c>
      <c r="AD615" t="s">
        <v>42</v>
      </c>
      <c r="AE615" t="s">
        <v>60</v>
      </c>
      <c r="AF615" s="3">
        <v>847</v>
      </c>
      <c r="AG615" s="3">
        <v>88</v>
      </c>
      <c r="AH615">
        <v>80</v>
      </c>
      <c r="AI615">
        <v>2</v>
      </c>
      <c r="AJ615">
        <v>0</v>
      </c>
      <c r="AL615">
        <v>0</v>
      </c>
      <c r="AM615">
        <v>1</v>
      </c>
      <c r="AN615" t="s">
        <v>768</v>
      </c>
      <c r="AO615" t="s">
        <v>41</v>
      </c>
    </row>
    <row r="616" spans="1:41" x14ac:dyDescent="0.25">
      <c r="A616">
        <v>37</v>
      </c>
      <c r="B616" t="s">
        <v>32</v>
      </c>
      <c r="C616" t="s">
        <v>55</v>
      </c>
      <c r="D616">
        <v>6</v>
      </c>
      <c r="E616" t="s">
        <v>34</v>
      </c>
      <c r="F616">
        <v>3</v>
      </c>
      <c r="G616">
        <v>2</v>
      </c>
      <c r="H616" t="s">
        <v>70</v>
      </c>
      <c r="I616">
        <v>4</v>
      </c>
      <c r="J616" t="s">
        <v>51</v>
      </c>
      <c r="K616">
        <v>6502</v>
      </c>
      <c r="L616">
        <v>4</v>
      </c>
      <c r="M616" t="s">
        <v>41</v>
      </c>
      <c r="N616">
        <v>14</v>
      </c>
      <c r="O616">
        <v>3</v>
      </c>
      <c r="P616">
        <v>1</v>
      </c>
      <c r="Q616">
        <v>7</v>
      </c>
      <c r="R616">
        <v>5</v>
      </c>
      <c r="S616">
        <v>5</v>
      </c>
      <c r="T616">
        <v>0</v>
      </c>
      <c r="U616">
        <v>1</v>
      </c>
      <c r="V616" t="s">
        <v>72</v>
      </c>
      <c r="W616" s="2">
        <v>42587</v>
      </c>
      <c r="Y616" t="s">
        <v>54</v>
      </c>
      <c r="Z616" t="s">
        <v>47</v>
      </c>
      <c r="AA616">
        <v>3</v>
      </c>
      <c r="AB616">
        <v>2</v>
      </c>
      <c r="AC616" t="s">
        <v>31</v>
      </c>
      <c r="AD616" t="s">
        <v>67</v>
      </c>
      <c r="AE616" t="s">
        <v>43</v>
      </c>
      <c r="AF616" s="3">
        <v>848</v>
      </c>
      <c r="AG616" s="3">
        <v>88</v>
      </c>
      <c r="AH616">
        <v>80</v>
      </c>
      <c r="AI616">
        <v>7</v>
      </c>
      <c r="AJ616">
        <v>1</v>
      </c>
      <c r="AK616">
        <v>1</v>
      </c>
      <c r="AL616">
        <v>1</v>
      </c>
      <c r="AM616">
        <v>0</v>
      </c>
      <c r="AN616" t="s">
        <v>767</v>
      </c>
      <c r="AO616" t="s">
        <v>31</v>
      </c>
    </row>
    <row r="617" spans="1:41" x14ac:dyDescent="0.25">
      <c r="A617">
        <v>37</v>
      </c>
      <c r="B617" t="s">
        <v>81</v>
      </c>
      <c r="C617" t="s">
        <v>33</v>
      </c>
      <c r="D617">
        <v>1</v>
      </c>
      <c r="E617" t="s">
        <v>61</v>
      </c>
      <c r="F617">
        <v>3</v>
      </c>
      <c r="G617">
        <v>3</v>
      </c>
      <c r="H617" t="s">
        <v>50</v>
      </c>
      <c r="I617">
        <v>4</v>
      </c>
      <c r="J617" t="s">
        <v>57</v>
      </c>
      <c r="K617">
        <v>13603</v>
      </c>
      <c r="L617">
        <v>2</v>
      </c>
      <c r="M617" t="s">
        <v>31</v>
      </c>
      <c r="N617">
        <v>18</v>
      </c>
      <c r="O617">
        <v>3</v>
      </c>
      <c r="P617">
        <v>2</v>
      </c>
      <c r="Q617">
        <v>15</v>
      </c>
      <c r="R617">
        <v>2</v>
      </c>
      <c r="S617">
        <v>5</v>
      </c>
      <c r="T617">
        <v>0</v>
      </c>
      <c r="U617">
        <v>2</v>
      </c>
      <c r="V617" t="s">
        <v>58</v>
      </c>
      <c r="W617" s="1" t="s">
        <v>333</v>
      </c>
      <c r="Y617" t="s">
        <v>39</v>
      </c>
      <c r="Z617" t="s">
        <v>40</v>
      </c>
      <c r="AA617">
        <v>2</v>
      </c>
      <c r="AB617">
        <v>2</v>
      </c>
      <c r="AC617" t="s">
        <v>41</v>
      </c>
      <c r="AD617" t="s">
        <v>67</v>
      </c>
      <c r="AE617" t="s">
        <v>49</v>
      </c>
      <c r="AF617" s="3">
        <v>850</v>
      </c>
      <c r="AG617" s="3">
        <v>50</v>
      </c>
      <c r="AH617">
        <v>80</v>
      </c>
      <c r="AI617">
        <v>0</v>
      </c>
      <c r="AJ617">
        <v>0</v>
      </c>
      <c r="AL617">
        <v>0</v>
      </c>
      <c r="AM617">
        <v>1</v>
      </c>
      <c r="AN617" t="s">
        <v>768</v>
      </c>
      <c r="AO617" t="s">
        <v>41</v>
      </c>
    </row>
    <row r="618" spans="1:41" x14ac:dyDescent="0.25">
      <c r="A618">
        <v>53</v>
      </c>
      <c r="B618" t="s">
        <v>32</v>
      </c>
      <c r="C618" t="s">
        <v>33</v>
      </c>
      <c r="D618">
        <v>3</v>
      </c>
      <c r="E618" t="s">
        <v>34</v>
      </c>
      <c r="F618">
        <v>3</v>
      </c>
      <c r="G618">
        <v>4</v>
      </c>
      <c r="H618" t="s">
        <v>50</v>
      </c>
      <c r="I618">
        <v>3</v>
      </c>
      <c r="J618" t="s">
        <v>51</v>
      </c>
      <c r="K618">
        <v>17584</v>
      </c>
      <c r="L618">
        <v>3</v>
      </c>
      <c r="M618" t="s">
        <v>31</v>
      </c>
      <c r="N618">
        <v>16</v>
      </c>
      <c r="O618">
        <v>3</v>
      </c>
      <c r="P618">
        <v>3</v>
      </c>
      <c r="Q618">
        <v>21</v>
      </c>
      <c r="R618">
        <v>5</v>
      </c>
      <c r="S618">
        <v>5</v>
      </c>
      <c r="T618">
        <v>1</v>
      </c>
      <c r="U618">
        <v>3</v>
      </c>
      <c r="V618" t="s">
        <v>72</v>
      </c>
      <c r="W618" s="1" t="s">
        <v>322</v>
      </c>
      <c r="Y618" t="s">
        <v>63</v>
      </c>
      <c r="Z618" t="s">
        <v>40</v>
      </c>
      <c r="AA618">
        <v>0</v>
      </c>
      <c r="AB618">
        <v>0</v>
      </c>
      <c r="AC618" t="s">
        <v>31</v>
      </c>
      <c r="AD618" t="s">
        <v>42</v>
      </c>
      <c r="AE618" t="s">
        <v>49</v>
      </c>
      <c r="AF618" s="3">
        <v>851</v>
      </c>
      <c r="AG618" s="3">
        <v>66</v>
      </c>
      <c r="AH618">
        <v>80</v>
      </c>
      <c r="AI618">
        <v>6</v>
      </c>
      <c r="AJ618">
        <v>0</v>
      </c>
      <c r="AL618">
        <v>0</v>
      </c>
      <c r="AM618">
        <v>1</v>
      </c>
      <c r="AN618" t="s">
        <v>768</v>
      </c>
      <c r="AO618" t="s">
        <v>41</v>
      </c>
    </row>
    <row r="619" spans="1:41" x14ac:dyDescent="0.25">
      <c r="A619">
        <v>26</v>
      </c>
      <c r="B619" t="s">
        <v>66</v>
      </c>
      <c r="C619" t="s">
        <v>33</v>
      </c>
      <c r="D619">
        <v>11</v>
      </c>
      <c r="E619" t="s">
        <v>34</v>
      </c>
      <c r="F619">
        <v>3</v>
      </c>
      <c r="G619">
        <v>2</v>
      </c>
      <c r="H619" t="s">
        <v>89</v>
      </c>
      <c r="I619">
        <v>1</v>
      </c>
      <c r="J619" t="s">
        <v>51</v>
      </c>
      <c r="K619">
        <v>4741</v>
      </c>
      <c r="L619">
        <v>1</v>
      </c>
      <c r="M619" t="s">
        <v>31</v>
      </c>
      <c r="N619">
        <v>13</v>
      </c>
      <c r="O619">
        <v>3</v>
      </c>
      <c r="P619">
        <v>1</v>
      </c>
      <c r="Q619">
        <v>5</v>
      </c>
      <c r="R619">
        <v>3</v>
      </c>
      <c r="S619">
        <v>5</v>
      </c>
      <c r="T619">
        <v>3</v>
      </c>
      <c r="U619">
        <v>3</v>
      </c>
      <c r="V619" t="s">
        <v>58</v>
      </c>
      <c r="W619" s="2">
        <v>42524</v>
      </c>
      <c r="Y619" t="s">
        <v>54</v>
      </c>
      <c r="Z619" t="s">
        <v>47</v>
      </c>
      <c r="AA619">
        <v>4</v>
      </c>
      <c r="AB619">
        <v>1</v>
      </c>
      <c r="AC619" t="s">
        <v>31</v>
      </c>
      <c r="AD619" t="s">
        <v>67</v>
      </c>
      <c r="AE619" t="s">
        <v>49</v>
      </c>
      <c r="AF619" s="3">
        <v>852</v>
      </c>
      <c r="AG619" s="3">
        <v>50</v>
      </c>
      <c r="AH619">
        <v>80</v>
      </c>
      <c r="AI619">
        <v>2</v>
      </c>
      <c r="AJ619">
        <v>0</v>
      </c>
      <c r="AL619">
        <v>0</v>
      </c>
      <c r="AM619">
        <v>1</v>
      </c>
      <c r="AN619" t="s">
        <v>768</v>
      </c>
      <c r="AO619" t="s">
        <v>41</v>
      </c>
    </row>
    <row r="620" spans="1:41" x14ac:dyDescent="0.25">
      <c r="A620">
        <v>28</v>
      </c>
      <c r="B620" t="s">
        <v>32</v>
      </c>
      <c r="C620" t="s">
        <v>33</v>
      </c>
      <c r="D620">
        <v>8</v>
      </c>
      <c r="E620" t="s">
        <v>61</v>
      </c>
      <c r="F620">
        <v>3</v>
      </c>
      <c r="G620">
        <v>1</v>
      </c>
      <c r="H620" t="s">
        <v>44</v>
      </c>
      <c r="I620">
        <v>4</v>
      </c>
      <c r="J620" t="s">
        <v>36</v>
      </c>
      <c r="K620">
        <v>3310</v>
      </c>
      <c r="L620">
        <v>1</v>
      </c>
      <c r="M620" t="s">
        <v>41</v>
      </c>
      <c r="N620">
        <v>21</v>
      </c>
      <c r="O620">
        <v>4</v>
      </c>
      <c r="P620">
        <v>0</v>
      </c>
      <c r="Q620">
        <v>5</v>
      </c>
      <c r="R620">
        <v>3</v>
      </c>
      <c r="S620">
        <v>5</v>
      </c>
      <c r="T620">
        <v>0</v>
      </c>
      <c r="U620">
        <v>2</v>
      </c>
      <c r="V620" t="s">
        <v>72</v>
      </c>
      <c r="W620" s="1" t="s">
        <v>334</v>
      </c>
      <c r="Y620" t="s">
        <v>46</v>
      </c>
      <c r="Z620" t="s">
        <v>47</v>
      </c>
      <c r="AA620">
        <v>5</v>
      </c>
      <c r="AB620">
        <v>3</v>
      </c>
      <c r="AC620" t="s">
        <v>31</v>
      </c>
      <c r="AD620" t="s">
        <v>42</v>
      </c>
      <c r="AE620" t="s">
        <v>60</v>
      </c>
      <c r="AF620" s="3">
        <v>854</v>
      </c>
      <c r="AG620" s="3">
        <v>65</v>
      </c>
      <c r="AH620">
        <v>80</v>
      </c>
      <c r="AI620">
        <v>3</v>
      </c>
      <c r="AJ620">
        <v>0</v>
      </c>
      <c r="AL620">
        <v>0</v>
      </c>
      <c r="AM620">
        <v>1</v>
      </c>
      <c r="AN620" t="s">
        <v>768</v>
      </c>
      <c r="AO620" t="s">
        <v>41</v>
      </c>
    </row>
    <row r="621" spans="1:41" x14ac:dyDescent="0.25">
      <c r="A621">
        <v>58</v>
      </c>
      <c r="B621" t="s">
        <v>81</v>
      </c>
      <c r="C621" t="s">
        <v>33</v>
      </c>
      <c r="D621">
        <v>1</v>
      </c>
      <c r="E621" t="s">
        <v>34</v>
      </c>
      <c r="F621">
        <v>1</v>
      </c>
      <c r="G621">
        <v>2</v>
      </c>
      <c r="H621" t="s">
        <v>89</v>
      </c>
      <c r="I621">
        <v>3</v>
      </c>
      <c r="J621" t="s">
        <v>57</v>
      </c>
      <c r="K621">
        <v>5660</v>
      </c>
      <c r="L621">
        <v>2</v>
      </c>
      <c r="M621" t="s">
        <v>31</v>
      </c>
      <c r="N621">
        <v>13</v>
      </c>
      <c r="O621">
        <v>3</v>
      </c>
      <c r="P621">
        <v>1</v>
      </c>
      <c r="Q621">
        <v>12</v>
      </c>
      <c r="R621">
        <v>2</v>
      </c>
      <c r="S621">
        <v>5</v>
      </c>
      <c r="T621">
        <v>1</v>
      </c>
      <c r="U621">
        <v>2</v>
      </c>
      <c r="V621" t="s">
        <v>72</v>
      </c>
      <c r="W621" s="2">
        <v>42644</v>
      </c>
      <c r="Y621" t="s">
        <v>54</v>
      </c>
      <c r="Z621" t="s">
        <v>40</v>
      </c>
      <c r="AA621">
        <v>4</v>
      </c>
      <c r="AB621">
        <v>2</v>
      </c>
      <c r="AC621" t="s">
        <v>31</v>
      </c>
      <c r="AD621" t="s">
        <v>67</v>
      </c>
      <c r="AE621" t="s">
        <v>49</v>
      </c>
      <c r="AF621" s="3">
        <v>855</v>
      </c>
      <c r="AG621" s="3">
        <v>48</v>
      </c>
      <c r="AH621">
        <v>80</v>
      </c>
      <c r="AI621">
        <v>8</v>
      </c>
      <c r="AJ621">
        <v>0</v>
      </c>
      <c r="AL621">
        <v>0</v>
      </c>
      <c r="AM621">
        <v>1</v>
      </c>
      <c r="AN621" t="s">
        <v>768</v>
      </c>
      <c r="AO621" t="s">
        <v>41</v>
      </c>
    </row>
    <row r="622" spans="1:41" x14ac:dyDescent="0.25">
      <c r="A622">
        <v>31</v>
      </c>
      <c r="B622" t="s">
        <v>32</v>
      </c>
      <c r="C622" t="s">
        <v>33</v>
      </c>
      <c r="D622">
        <v>5</v>
      </c>
      <c r="E622" t="s">
        <v>34</v>
      </c>
      <c r="F622">
        <v>3</v>
      </c>
      <c r="G622">
        <v>1</v>
      </c>
      <c r="H622" t="s">
        <v>44</v>
      </c>
      <c r="I622">
        <v>4</v>
      </c>
      <c r="J622" t="s">
        <v>51</v>
      </c>
      <c r="K622">
        <v>4821</v>
      </c>
      <c r="L622">
        <v>0</v>
      </c>
      <c r="M622" t="s">
        <v>31</v>
      </c>
      <c r="N622">
        <v>12</v>
      </c>
      <c r="O622">
        <v>3</v>
      </c>
      <c r="P622">
        <v>1</v>
      </c>
      <c r="Q622">
        <v>6</v>
      </c>
      <c r="R622">
        <v>4</v>
      </c>
      <c r="S622">
        <v>5</v>
      </c>
      <c r="T622">
        <v>0</v>
      </c>
      <c r="U622">
        <v>3</v>
      </c>
      <c r="V622" t="s">
        <v>37</v>
      </c>
      <c r="W622" s="1" t="s">
        <v>335</v>
      </c>
      <c r="Y622" t="s">
        <v>54</v>
      </c>
      <c r="Z622" t="s">
        <v>47</v>
      </c>
      <c r="AA622">
        <v>1</v>
      </c>
      <c r="AB622">
        <v>0</v>
      </c>
      <c r="AC622" t="s">
        <v>31</v>
      </c>
      <c r="AD622" t="s">
        <v>48</v>
      </c>
      <c r="AE622" t="s">
        <v>49</v>
      </c>
      <c r="AF622" s="3">
        <v>856</v>
      </c>
      <c r="AG622" s="3">
        <v>53</v>
      </c>
      <c r="AH622">
        <v>80</v>
      </c>
      <c r="AI622">
        <v>5</v>
      </c>
      <c r="AJ622">
        <v>0</v>
      </c>
      <c r="AL622">
        <v>0</v>
      </c>
      <c r="AM622">
        <v>1</v>
      </c>
      <c r="AN622" t="s">
        <v>768</v>
      </c>
      <c r="AO622" t="s">
        <v>41</v>
      </c>
    </row>
    <row r="623" spans="1:41" x14ac:dyDescent="0.25">
      <c r="A623">
        <v>27</v>
      </c>
      <c r="B623" t="s">
        <v>32</v>
      </c>
      <c r="C623" t="s">
        <v>55</v>
      </c>
      <c r="D623">
        <v>2</v>
      </c>
      <c r="E623" t="s">
        <v>34</v>
      </c>
      <c r="F623">
        <v>3</v>
      </c>
      <c r="G623">
        <v>2</v>
      </c>
      <c r="H623" t="s">
        <v>70</v>
      </c>
      <c r="I623">
        <v>3</v>
      </c>
      <c r="J623" t="s">
        <v>36</v>
      </c>
      <c r="K623">
        <v>4478</v>
      </c>
      <c r="L623">
        <v>1</v>
      </c>
      <c r="M623" t="s">
        <v>31</v>
      </c>
      <c r="N623">
        <v>11</v>
      </c>
      <c r="O623">
        <v>3</v>
      </c>
      <c r="P623">
        <v>0</v>
      </c>
      <c r="Q623">
        <v>5</v>
      </c>
      <c r="R623">
        <v>3</v>
      </c>
      <c r="S623">
        <v>5</v>
      </c>
      <c r="T623">
        <v>0</v>
      </c>
      <c r="U623">
        <v>4</v>
      </c>
      <c r="V623" t="s">
        <v>72</v>
      </c>
      <c r="W623" s="1" t="s">
        <v>319</v>
      </c>
      <c r="Y623" t="s">
        <v>63</v>
      </c>
      <c r="Z623" t="s">
        <v>47</v>
      </c>
      <c r="AA623">
        <v>5</v>
      </c>
      <c r="AB623">
        <v>2</v>
      </c>
      <c r="AC623" t="s">
        <v>31</v>
      </c>
      <c r="AD623" t="s">
        <v>65</v>
      </c>
      <c r="AE623" t="s">
        <v>49</v>
      </c>
      <c r="AF623" s="3">
        <v>857</v>
      </c>
      <c r="AG623" s="3">
        <v>56</v>
      </c>
      <c r="AH623">
        <v>80</v>
      </c>
      <c r="AI623">
        <v>14</v>
      </c>
      <c r="AJ623">
        <v>0</v>
      </c>
      <c r="AL623">
        <v>0</v>
      </c>
      <c r="AM623">
        <v>1</v>
      </c>
      <c r="AN623" t="s">
        <v>768</v>
      </c>
      <c r="AO623" t="s">
        <v>41</v>
      </c>
    </row>
    <row r="624" spans="1:41" x14ac:dyDescent="0.25">
      <c r="A624">
        <v>27</v>
      </c>
      <c r="B624" t="s">
        <v>81</v>
      </c>
      <c r="C624" t="s">
        <v>55</v>
      </c>
      <c r="D624">
        <v>1</v>
      </c>
      <c r="E624" t="s">
        <v>34</v>
      </c>
      <c r="F624">
        <v>3</v>
      </c>
      <c r="G624">
        <v>2</v>
      </c>
      <c r="H624" t="s">
        <v>70</v>
      </c>
      <c r="I624">
        <v>2</v>
      </c>
      <c r="J624" t="s">
        <v>51</v>
      </c>
      <c r="K624">
        <v>6349</v>
      </c>
      <c r="L624">
        <v>0</v>
      </c>
      <c r="M624" t="s">
        <v>31</v>
      </c>
      <c r="N624">
        <v>13</v>
      </c>
      <c r="O624">
        <v>3</v>
      </c>
      <c r="P624">
        <v>1</v>
      </c>
      <c r="Q624">
        <v>6</v>
      </c>
      <c r="R624">
        <v>0</v>
      </c>
      <c r="S624">
        <v>5</v>
      </c>
      <c r="T624">
        <v>1</v>
      </c>
      <c r="U624">
        <v>4</v>
      </c>
      <c r="V624" t="s">
        <v>58</v>
      </c>
      <c r="W624" s="1" t="s">
        <v>336</v>
      </c>
      <c r="Y624" t="s">
        <v>39</v>
      </c>
      <c r="Z624" t="s">
        <v>40</v>
      </c>
      <c r="AA624">
        <v>2</v>
      </c>
      <c r="AB624">
        <v>2</v>
      </c>
      <c r="AC624" t="s">
        <v>41</v>
      </c>
      <c r="AD624" t="s">
        <v>48</v>
      </c>
      <c r="AE624" t="s">
        <v>60</v>
      </c>
      <c r="AF624" s="3">
        <v>859</v>
      </c>
      <c r="AG624" s="3">
        <v>73</v>
      </c>
      <c r="AH624">
        <v>80</v>
      </c>
      <c r="AI624">
        <v>2</v>
      </c>
      <c r="AJ624">
        <v>0</v>
      </c>
      <c r="AL624">
        <v>0</v>
      </c>
      <c r="AM624">
        <v>1</v>
      </c>
      <c r="AN624" t="s">
        <v>768</v>
      </c>
      <c r="AO624" t="s">
        <v>41</v>
      </c>
    </row>
    <row r="625" spans="1:41" x14ac:dyDescent="0.25">
      <c r="A625">
        <v>41</v>
      </c>
      <c r="B625" t="s">
        <v>32</v>
      </c>
      <c r="C625" t="s">
        <v>33</v>
      </c>
      <c r="D625">
        <v>6</v>
      </c>
      <c r="E625" t="s">
        <v>34</v>
      </c>
      <c r="F625">
        <v>2</v>
      </c>
      <c r="G625">
        <v>2</v>
      </c>
      <c r="H625" t="s">
        <v>78</v>
      </c>
      <c r="I625">
        <v>2</v>
      </c>
      <c r="J625" t="s">
        <v>36</v>
      </c>
      <c r="K625">
        <v>6032</v>
      </c>
      <c r="L625">
        <v>6</v>
      </c>
      <c r="M625" t="s">
        <v>31</v>
      </c>
      <c r="N625">
        <v>15</v>
      </c>
      <c r="O625">
        <v>3</v>
      </c>
      <c r="P625">
        <v>0</v>
      </c>
      <c r="Q625">
        <v>8</v>
      </c>
      <c r="R625">
        <v>3</v>
      </c>
      <c r="S625">
        <v>5</v>
      </c>
      <c r="T625">
        <v>1</v>
      </c>
      <c r="U625">
        <v>2</v>
      </c>
      <c r="V625" t="s">
        <v>72</v>
      </c>
      <c r="W625" s="1" t="s">
        <v>333</v>
      </c>
      <c r="Y625" t="s">
        <v>54</v>
      </c>
      <c r="Z625" t="s">
        <v>47</v>
      </c>
      <c r="AA625">
        <v>1</v>
      </c>
      <c r="AB625">
        <v>1</v>
      </c>
      <c r="AC625" t="s">
        <v>41</v>
      </c>
      <c r="AD625" t="s">
        <v>65</v>
      </c>
      <c r="AE625" t="s">
        <v>49</v>
      </c>
      <c r="AF625" s="3">
        <v>861</v>
      </c>
      <c r="AG625" s="3">
        <v>75</v>
      </c>
      <c r="AH625">
        <v>80</v>
      </c>
      <c r="AI625">
        <v>4</v>
      </c>
      <c r="AJ625">
        <v>0</v>
      </c>
      <c r="AL625">
        <v>0</v>
      </c>
      <c r="AM625">
        <v>1</v>
      </c>
      <c r="AN625" t="s">
        <v>768</v>
      </c>
      <c r="AO625" t="s">
        <v>41</v>
      </c>
    </row>
    <row r="626" spans="1:41" x14ac:dyDescent="0.25">
      <c r="A626">
        <v>37</v>
      </c>
      <c r="B626" t="s">
        <v>32</v>
      </c>
      <c r="C626" t="s">
        <v>33</v>
      </c>
      <c r="D626">
        <v>10</v>
      </c>
      <c r="E626" t="s">
        <v>61</v>
      </c>
      <c r="F626">
        <v>3</v>
      </c>
      <c r="G626">
        <v>1</v>
      </c>
      <c r="H626" t="s">
        <v>35</v>
      </c>
      <c r="I626">
        <v>1</v>
      </c>
      <c r="J626" t="s">
        <v>51</v>
      </c>
      <c r="K626">
        <v>3452</v>
      </c>
      <c r="L626">
        <v>6</v>
      </c>
      <c r="M626" t="s">
        <v>41</v>
      </c>
      <c r="N626">
        <v>20</v>
      </c>
      <c r="O626">
        <v>4</v>
      </c>
      <c r="P626">
        <v>1</v>
      </c>
      <c r="Q626">
        <v>17</v>
      </c>
      <c r="R626">
        <v>3</v>
      </c>
      <c r="S626">
        <v>5</v>
      </c>
      <c r="T626">
        <v>0</v>
      </c>
      <c r="U626">
        <v>3</v>
      </c>
      <c r="V626" t="s">
        <v>58</v>
      </c>
      <c r="W626" s="1" t="s">
        <v>331</v>
      </c>
      <c r="Y626" t="s">
        <v>39</v>
      </c>
      <c r="Z626" t="s">
        <v>40</v>
      </c>
      <c r="AA626">
        <v>4</v>
      </c>
      <c r="AB626">
        <v>1</v>
      </c>
      <c r="AC626" t="s">
        <v>41</v>
      </c>
      <c r="AD626" t="s">
        <v>65</v>
      </c>
      <c r="AE626" t="s">
        <v>43</v>
      </c>
      <c r="AF626" s="3">
        <v>862</v>
      </c>
      <c r="AG626" s="3">
        <v>78</v>
      </c>
      <c r="AH626">
        <v>80</v>
      </c>
      <c r="AI626">
        <v>2</v>
      </c>
      <c r="AJ626">
        <v>0</v>
      </c>
      <c r="AL626">
        <v>0</v>
      </c>
      <c r="AM626">
        <v>1</v>
      </c>
      <c r="AN626" t="s">
        <v>768</v>
      </c>
      <c r="AO626" t="s">
        <v>41</v>
      </c>
    </row>
    <row r="627" spans="1:41" x14ac:dyDescent="0.25">
      <c r="A627">
        <v>27</v>
      </c>
      <c r="B627" t="s">
        <v>32</v>
      </c>
      <c r="C627" t="s">
        <v>33</v>
      </c>
      <c r="D627">
        <v>1</v>
      </c>
      <c r="E627" t="s">
        <v>34</v>
      </c>
      <c r="F627">
        <v>3</v>
      </c>
      <c r="G627">
        <v>1</v>
      </c>
      <c r="H627" t="s">
        <v>35</v>
      </c>
      <c r="I627">
        <v>2</v>
      </c>
      <c r="J627" t="s">
        <v>57</v>
      </c>
      <c r="K627">
        <v>3816</v>
      </c>
      <c r="L627">
        <v>1</v>
      </c>
      <c r="M627" t="s">
        <v>41</v>
      </c>
      <c r="N627">
        <v>11</v>
      </c>
      <c r="O627">
        <v>3</v>
      </c>
      <c r="P627">
        <v>1</v>
      </c>
      <c r="Q627">
        <v>5</v>
      </c>
      <c r="R627">
        <v>2</v>
      </c>
      <c r="S627">
        <v>5</v>
      </c>
      <c r="T627">
        <v>0</v>
      </c>
      <c r="U627">
        <v>4</v>
      </c>
      <c r="V627" t="s">
        <v>72</v>
      </c>
      <c r="W627" s="1" t="s">
        <v>337</v>
      </c>
      <c r="Y627" t="s">
        <v>54</v>
      </c>
      <c r="Z627" t="s">
        <v>47</v>
      </c>
      <c r="AA627">
        <v>5</v>
      </c>
      <c r="AB627">
        <v>0</v>
      </c>
      <c r="AC627" t="s">
        <v>31</v>
      </c>
      <c r="AD627" t="s">
        <v>65</v>
      </c>
      <c r="AE627" t="s">
        <v>43</v>
      </c>
      <c r="AF627" s="3">
        <v>864</v>
      </c>
      <c r="AG627" s="3">
        <v>74</v>
      </c>
      <c r="AH627">
        <v>80</v>
      </c>
      <c r="AI627">
        <v>4</v>
      </c>
      <c r="AJ627">
        <v>0</v>
      </c>
      <c r="AL627">
        <v>0</v>
      </c>
      <c r="AM627">
        <v>1</v>
      </c>
      <c r="AN627" t="s">
        <v>768</v>
      </c>
      <c r="AO627" t="s">
        <v>41</v>
      </c>
    </row>
    <row r="628" spans="1:41" x14ac:dyDescent="0.25">
      <c r="A628">
        <v>49</v>
      </c>
      <c r="B628" t="s">
        <v>32</v>
      </c>
      <c r="C628" t="s">
        <v>33</v>
      </c>
      <c r="D628">
        <v>7</v>
      </c>
      <c r="E628" t="s">
        <v>34</v>
      </c>
      <c r="F628">
        <v>2</v>
      </c>
      <c r="G628">
        <v>3</v>
      </c>
      <c r="H628" t="s">
        <v>89</v>
      </c>
      <c r="I628">
        <v>3</v>
      </c>
      <c r="J628" t="s">
        <v>36</v>
      </c>
      <c r="K628">
        <v>10965</v>
      </c>
      <c r="L628">
        <v>8</v>
      </c>
      <c r="M628" t="s">
        <v>41</v>
      </c>
      <c r="N628">
        <v>24</v>
      </c>
      <c r="O628">
        <v>4</v>
      </c>
      <c r="P628">
        <v>0</v>
      </c>
      <c r="Q628">
        <v>26</v>
      </c>
      <c r="R628">
        <v>2</v>
      </c>
      <c r="S628">
        <v>5</v>
      </c>
      <c r="T628">
        <v>0</v>
      </c>
      <c r="U628">
        <v>0</v>
      </c>
      <c r="V628" t="s">
        <v>37</v>
      </c>
      <c r="W628" s="2">
        <v>42555</v>
      </c>
      <c r="Y628" t="s">
        <v>54</v>
      </c>
      <c r="Z628" t="s">
        <v>40</v>
      </c>
      <c r="AA628">
        <v>3</v>
      </c>
      <c r="AB628">
        <v>0</v>
      </c>
      <c r="AC628" t="s">
        <v>31</v>
      </c>
      <c r="AD628" t="s">
        <v>67</v>
      </c>
      <c r="AE628" t="s">
        <v>49</v>
      </c>
      <c r="AF628" s="3">
        <v>865</v>
      </c>
      <c r="AG628" s="3">
        <v>91</v>
      </c>
      <c r="AH628">
        <v>80</v>
      </c>
      <c r="AI628">
        <v>3</v>
      </c>
      <c r="AJ628">
        <v>0</v>
      </c>
      <c r="AL628">
        <v>0</v>
      </c>
      <c r="AM628">
        <v>1</v>
      </c>
      <c r="AN628" t="s">
        <v>768</v>
      </c>
      <c r="AO628" t="s">
        <v>41</v>
      </c>
    </row>
    <row r="629" spans="1:41" x14ac:dyDescent="0.25">
      <c r="A629">
        <v>34</v>
      </c>
      <c r="B629" t="s">
        <v>81</v>
      </c>
      <c r="C629" t="s">
        <v>55</v>
      </c>
      <c r="D629">
        <v>19</v>
      </c>
      <c r="E629" t="s">
        <v>34</v>
      </c>
      <c r="F629">
        <v>4</v>
      </c>
      <c r="G629">
        <v>2</v>
      </c>
      <c r="H629" t="s">
        <v>70</v>
      </c>
      <c r="I629">
        <v>4</v>
      </c>
      <c r="J629" t="s">
        <v>36</v>
      </c>
      <c r="K629">
        <v>5304</v>
      </c>
      <c r="L629">
        <v>8</v>
      </c>
      <c r="M629" t="s">
        <v>31</v>
      </c>
      <c r="N629">
        <v>13</v>
      </c>
      <c r="O629">
        <v>3</v>
      </c>
      <c r="P629">
        <v>0</v>
      </c>
      <c r="Q629">
        <v>9</v>
      </c>
      <c r="R629">
        <v>3</v>
      </c>
      <c r="S629">
        <v>5</v>
      </c>
      <c r="T629">
        <v>0</v>
      </c>
      <c r="U629">
        <v>4</v>
      </c>
      <c r="V629" t="s">
        <v>72</v>
      </c>
      <c r="W629" s="2">
        <v>42373</v>
      </c>
      <c r="Y629" t="s">
        <v>63</v>
      </c>
      <c r="Z629" t="s">
        <v>47</v>
      </c>
      <c r="AA629">
        <v>0</v>
      </c>
      <c r="AB629">
        <v>3</v>
      </c>
      <c r="AC629" t="s">
        <v>31</v>
      </c>
      <c r="AD629" t="s">
        <v>42</v>
      </c>
      <c r="AE629" t="s">
        <v>43</v>
      </c>
      <c r="AF629" s="3">
        <v>867</v>
      </c>
      <c r="AG629" s="3">
        <v>81</v>
      </c>
      <c r="AH629">
        <v>80</v>
      </c>
      <c r="AI629">
        <v>8</v>
      </c>
      <c r="AJ629">
        <v>0</v>
      </c>
      <c r="AL629">
        <v>0</v>
      </c>
      <c r="AM629">
        <v>1</v>
      </c>
      <c r="AN629" t="s">
        <v>768</v>
      </c>
      <c r="AO629" t="s">
        <v>41</v>
      </c>
    </row>
    <row r="630" spans="1:41" x14ac:dyDescent="0.25">
      <c r="A630">
        <v>55</v>
      </c>
      <c r="B630" t="s">
        <v>32</v>
      </c>
      <c r="C630" t="s">
        <v>33</v>
      </c>
      <c r="D630">
        <v>2</v>
      </c>
      <c r="E630" t="s">
        <v>61</v>
      </c>
      <c r="F630">
        <v>3</v>
      </c>
      <c r="G630">
        <v>4</v>
      </c>
      <c r="H630" t="s">
        <v>75</v>
      </c>
      <c r="I630">
        <v>4</v>
      </c>
      <c r="J630" t="s">
        <v>36</v>
      </c>
      <c r="K630">
        <v>16659</v>
      </c>
      <c r="L630">
        <v>2</v>
      </c>
      <c r="M630" t="s">
        <v>31</v>
      </c>
      <c r="N630">
        <v>13</v>
      </c>
      <c r="O630">
        <v>3</v>
      </c>
      <c r="P630">
        <v>0</v>
      </c>
      <c r="Q630">
        <v>30</v>
      </c>
      <c r="R630">
        <v>2</v>
      </c>
      <c r="S630">
        <v>5</v>
      </c>
      <c r="T630">
        <v>1</v>
      </c>
      <c r="U630">
        <v>2</v>
      </c>
      <c r="V630" t="s">
        <v>37</v>
      </c>
      <c r="W630" s="2">
        <v>42552</v>
      </c>
      <c r="Y630" t="s">
        <v>39</v>
      </c>
      <c r="Z630" t="s">
        <v>40</v>
      </c>
      <c r="AA630">
        <v>0</v>
      </c>
      <c r="AB630">
        <v>3</v>
      </c>
      <c r="AC630" t="s">
        <v>31</v>
      </c>
      <c r="AD630" t="s">
        <v>65</v>
      </c>
      <c r="AE630" t="s">
        <v>60</v>
      </c>
      <c r="AF630" s="3">
        <v>868</v>
      </c>
      <c r="AG630" s="3">
        <v>66</v>
      </c>
      <c r="AH630">
        <v>80</v>
      </c>
      <c r="AI630">
        <v>0</v>
      </c>
      <c r="AJ630">
        <v>0</v>
      </c>
      <c r="AL630">
        <v>0</v>
      </c>
      <c r="AM630">
        <v>1</v>
      </c>
      <c r="AN630" t="s">
        <v>768</v>
      </c>
      <c r="AO630" t="s">
        <v>41</v>
      </c>
    </row>
    <row r="631" spans="1:41" x14ac:dyDescent="0.25">
      <c r="A631">
        <v>24</v>
      </c>
      <c r="B631" t="s">
        <v>32</v>
      </c>
      <c r="C631" t="s">
        <v>55</v>
      </c>
      <c r="D631">
        <v>10</v>
      </c>
      <c r="E631" t="s">
        <v>61</v>
      </c>
      <c r="F631">
        <v>3</v>
      </c>
      <c r="G631">
        <v>2</v>
      </c>
      <c r="H631" t="s">
        <v>70</v>
      </c>
      <c r="I631">
        <v>3</v>
      </c>
      <c r="J631" t="s">
        <v>57</v>
      </c>
      <c r="K631">
        <v>4260</v>
      </c>
      <c r="L631">
        <v>1</v>
      </c>
      <c r="M631" t="s">
        <v>31</v>
      </c>
      <c r="N631">
        <v>12</v>
      </c>
      <c r="O631">
        <v>3</v>
      </c>
      <c r="P631">
        <v>1</v>
      </c>
      <c r="Q631">
        <v>5</v>
      </c>
      <c r="R631">
        <v>2</v>
      </c>
      <c r="S631">
        <v>5</v>
      </c>
      <c r="T631">
        <v>0</v>
      </c>
      <c r="U631">
        <v>3</v>
      </c>
      <c r="V631" t="s">
        <v>72</v>
      </c>
      <c r="W631" s="2">
        <v>42583</v>
      </c>
      <c r="Y631" t="s">
        <v>63</v>
      </c>
      <c r="Z631" t="s">
        <v>47</v>
      </c>
      <c r="AA631">
        <v>2</v>
      </c>
      <c r="AB631">
        <v>0</v>
      </c>
      <c r="AC631" t="s">
        <v>41</v>
      </c>
      <c r="AD631" t="s">
        <v>65</v>
      </c>
      <c r="AE631" t="s">
        <v>60</v>
      </c>
      <c r="AF631" s="3">
        <v>869</v>
      </c>
      <c r="AG631" s="3">
        <v>63</v>
      </c>
      <c r="AH631">
        <v>80</v>
      </c>
      <c r="AI631">
        <v>1</v>
      </c>
      <c r="AJ631">
        <v>0</v>
      </c>
      <c r="AL631">
        <v>0</v>
      </c>
      <c r="AM631">
        <v>1</v>
      </c>
      <c r="AN631" t="s">
        <v>768</v>
      </c>
      <c r="AO631" t="s">
        <v>41</v>
      </c>
    </row>
    <row r="632" spans="1:41" x14ac:dyDescent="0.25">
      <c r="A632">
        <v>40</v>
      </c>
      <c r="B632" t="s">
        <v>32</v>
      </c>
      <c r="C632" t="s">
        <v>55</v>
      </c>
      <c r="D632">
        <v>2</v>
      </c>
      <c r="E632" t="s">
        <v>61</v>
      </c>
      <c r="F632">
        <v>3</v>
      </c>
      <c r="G632">
        <v>2</v>
      </c>
      <c r="H632" t="s">
        <v>70</v>
      </c>
      <c r="I632">
        <v>2</v>
      </c>
      <c r="J632" t="s">
        <v>57</v>
      </c>
      <c r="K632">
        <v>5715</v>
      </c>
      <c r="L632">
        <v>7</v>
      </c>
      <c r="M632" t="s">
        <v>41</v>
      </c>
      <c r="N632">
        <v>12</v>
      </c>
      <c r="O632">
        <v>3</v>
      </c>
      <c r="P632">
        <v>2</v>
      </c>
      <c r="Q632">
        <v>8</v>
      </c>
      <c r="R632">
        <v>5</v>
      </c>
      <c r="S632">
        <v>5</v>
      </c>
      <c r="T632">
        <v>1</v>
      </c>
      <c r="U632">
        <v>3</v>
      </c>
      <c r="V632" t="s">
        <v>58</v>
      </c>
      <c r="W632" s="2">
        <v>42615</v>
      </c>
      <c r="Y632" t="s">
        <v>63</v>
      </c>
      <c r="Z632" t="s">
        <v>47</v>
      </c>
      <c r="AA632">
        <v>3</v>
      </c>
      <c r="AB632">
        <v>3</v>
      </c>
      <c r="AC632" t="s">
        <v>31</v>
      </c>
      <c r="AD632" t="s">
        <v>48</v>
      </c>
      <c r="AE632" t="s">
        <v>60</v>
      </c>
      <c r="AF632" s="3">
        <v>872</v>
      </c>
      <c r="AG632" s="3">
        <v>33</v>
      </c>
      <c r="AH632">
        <v>80</v>
      </c>
      <c r="AI632">
        <v>2</v>
      </c>
      <c r="AJ632">
        <v>0</v>
      </c>
      <c r="AL632">
        <v>0</v>
      </c>
      <c r="AM632">
        <v>1</v>
      </c>
      <c r="AN632" t="s">
        <v>768</v>
      </c>
      <c r="AO632" t="s">
        <v>41</v>
      </c>
    </row>
    <row r="633" spans="1:41" x14ac:dyDescent="0.25">
      <c r="A633">
        <v>42</v>
      </c>
      <c r="B633" t="s">
        <v>32</v>
      </c>
      <c r="C633" t="s">
        <v>33</v>
      </c>
      <c r="D633">
        <v>1</v>
      </c>
      <c r="E633" t="s">
        <v>61</v>
      </c>
      <c r="F633">
        <v>3</v>
      </c>
      <c r="G633">
        <v>1</v>
      </c>
      <c r="H633" t="s">
        <v>35</v>
      </c>
      <c r="I633">
        <v>1</v>
      </c>
      <c r="J633" t="s">
        <v>57</v>
      </c>
      <c r="K633">
        <v>2576</v>
      </c>
      <c r="L633">
        <v>3</v>
      </c>
      <c r="M633" t="s">
        <v>41</v>
      </c>
      <c r="N633">
        <v>16</v>
      </c>
      <c r="O633">
        <v>3</v>
      </c>
      <c r="P633">
        <v>1</v>
      </c>
      <c r="Q633">
        <v>8</v>
      </c>
      <c r="R633">
        <v>5</v>
      </c>
      <c r="S633">
        <v>5</v>
      </c>
      <c r="T633">
        <v>1</v>
      </c>
      <c r="U633">
        <v>2</v>
      </c>
      <c r="V633" t="s">
        <v>37</v>
      </c>
      <c r="W633" s="1" t="s">
        <v>324</v>
      </c>
      <c r="Y633" t="s">
        <v>69</v>
      </c>
      <c r="Z633" t="s">
        <v>47</v>
      </c>
      <c r="AA633">
        <v>4</v>
      </c>
      <c r="AB633">
        <v>2</v>
      </c>
      <c r="AC633" t="s">
        <v>41</v>
      </c>
      <c r="AD633" t="s">
        <v>42</v>
      </c>
      <c r="AE633" t="s">
        <v>43</v>
      </c>
      <c r="AF633" s="3">
        <v>874</v>
      </c>
      <c r="AG633" s="3">
        <v>62</v>
      </c>
      <c r="AH633">
        <v>80</v>
      </c>
      <c r="AI633">
        <v>2</v>
      </c>
      <c r="AJ633">
        <v>0</v>
      </c>
      <c r="AL633">
        <v>0</v>
      </c>
      <c r="AM633">
        <v>1</v>
      </c>
      <c r="AN633" t="s">
        <v>768</v>
      </c>
      <c r="AO633" t="s">
        <v>41</v>
      </c>
    </row>
    <row r="634" spans="1:41" x14ac:dyDescent="0.25">
      <c r="A634">
        <v>43</v>
      </c>
      <c r="B634" t="s">
        <v>32</v>
      </c>
      <c r="C634" t="s">
        <v>33</v>
      </c>
      <c r="D634">
        <v>8</v>
      </c>
      <c r="E634" t="s">
        <v>61</v>
      </c>
      <c r="F634">
        <v>3</v>
      </c>
      <c r="G634">
        <v>2</v>
      </c>
      <c r="H634" t="s">
        <v>89</v>
      </c>
      <c r="I634">
        <v>3</v>
      </c>
      <c r="J634" t="s">
        <v>57</v>
      </c>
      <c r="K634">
        <v>4522</v>
      </c>
      <c r="L634">
        <v>4</v>
      </c>
      <c r="M634" t="s">
        <v>31</v>
      </c>
      <c r="N634">
        <v>14</v>
      </c>
      <c r="O634">
        <v>3</v>
      </c>
      <c r="P634">
        <v>0</v>
      </c>
      <c r="Q634">
        <v>8</v>
      </c>
      <c r="R634">
        <v>3</v>
      </c>
      <c r="S634">
        <v>5</v>
      </c>
      <c r="T634">
        <v>0</v>
      </c>
      <c r="U634">
        <v>2</v>
      </c>
      <c r="V634" t="s">
        <v>72</v>
      </c>
      <c r="W634" s="1" t="s">
        <v>338</v>
      </c>
      <c r="Y634" t="s">
        <v>46</v>
      </c>
      <c r="Z634" t="s">
        <v>40</v>
      </c>
      <c r="AA634">
        <v>3</v>
      </c>
      <c r="AB634">
        <v>2</v>
      </c>
      <c r="AC634" t="s">
        <v>41</v>
      </c>
      <c r="AD634" t="s">
        <v>65</v>
      </c>
      <c r="AE634" t="s">
        <v>43</v>
      </c>
      <c r="AF634" s="3">
        <v>875</v>
      </c>
      <c r="AG634" s="3">
        <v>35</v>
      </c>
      <c r="AH634">
        <v>80</v>
      </c>
      <c r="AI634">
        <v>1</v>
      </c>
      <c r="AJ634">
        <v>0</v>
      </c>
      <c r="AL634">
        <v>0</v>
      </c>
      <c r="AM634">
        <v>1</v>
      </c>
      <c r="AN634" t="s">
        <v>768</v>
      </c>
      <c r="AO634" t="s">
        <v>41</v>
      </c>
    </row>
    <row r="635" spans="1:41" x14ac:dyDescent="0.25">
      <c r="A635">
        <v>25</v>
      </c>
      <c r="B635" t="s">
        <v>32</v>
      </c>
      <c r="C635" t="s">
        <v>55</v>
      </c>
      <c r="D635">
        <v>4</v>
      </c>
      <c r="E635" t="s">
        <v>61</v>
      </c>
      <c r="F635">
        <v>2</v>
      </c>
      <c r="G635">
        <v>2</v>
      </c>
      <c r="H635" t="s">
        <v>70</v>
      </c>
      <c r="I635">
        <v>4</v>
      </c>
      <c r="J635" t="s">
        <v>36</v>
      </c>
      <c r="K635">
        <v>4487</v>
      </c>
      <c r="L635">
        <v>1</v>
      </c>
      <c r="M635" t="s">
        <v>31</v>
      </c>
      <c r="N635">
        <v>11</v>
      </c>
      <c r="O635">
        <v>3</v>
      </c>
      <c r="P635">
        <v>0</v>
      </c>
      <c r="Q635">
        <v>5</v>
      </c>
      <c r="R635">
        <v>3</v>
      </c>
      <c r="S635">
        <v>5</v>
      </c>
      <c r="T635">
        <v>1</v>
      </c>
      <c r="U635">
        <v>3</v>
      </c>
      <c r="V635" t="s">
        <v>52</v>
      </c>
      <c r="W635" s="1" t="s">
        <v>339</v>
      </c>
      <c r="Y635" t="s">
        <v>39</v>
      </c>
      <c r="Z635" t="s">
        <v>47</v>
      </c>
      <c r="AA635">
        <v>1</v>
      </c>
      <c r="AB635">
        <v>1</v>
      </c>
      <c r="AC635" t="s">
        <v>31</v>
      </c>
      <c r="AD635" t="s">
        <v>48</v>
      </c>
      <c r="AE635" t="s">
        <v>49</v>
      </c>
      <c r="AF635" s="3">
        <v>878</v>
      </c>
      <c r="AG635" s="3">
        <v>77</v>
      </c>
      <c r="AH635">
        <v>80</v>
      </c>
      <c r="AI635">
        <v>4</v>
      </c>
      <c r="AJ635">
        <v>0</v>
      </c>
      <c r="AL635">
        <v>0</v>
      </c>
      <c r="AM635">
        <v>1</v>
      </c>
      <c r="AN635" t="s">
        <v>768</v>
      </c>
      <c r="AO635" t="s">
        <v>41</v>
      </c>
    </row>
    <row r="636" spans="1:41" x14ac:dyDescent="0.25">
      <c r="A636">
        <v>30</v>
      </c>
      <c r="B636" t="s">
        <v>32</v>
      </c>
      <c r="C636" t="s">
        <v>55</v>
      </c>
      <c r="D636">
        <v>12</v>
      </c>
      <c r="E636" t="s">
        <v>61</v>
      </c>
      <c r="F636">
        <v>3</v>
      </c>
      <c r="G636">
        <v>2</v>
      </c>
      <c r="H636" t="s">
        <v>70</v>
      </c>
      <c r="I636">
        <v>3</v>
      </c>
      <c r="J636" t="s">
        <v>36</v>
      </c>
      <c r="K636">
        <v>6577</v>
      </c>
      <c r="L636">
        <v>0</v>
      </c>
      <c r="M636" t="s">
        <v>41</v>
      </c>
      <c r="N636">
        <v>11</v>
      </c>
      <c r="O636">
        <v>3</v>
      </c>
      <c r="P636">
        <v>0</v>
      </c>
      <c r="Q636">
        <v>6</v>
      </c>
      <c r="R636">
        <v>6</v>
      </c>
      <c r="S636">
        <v>5</v>
      </c>
      <c r="T636">
        <v>4</v>
      </c>
      <c r="U636">
        <v>4</v>
      </c>
      <c r="V636" t="s">
        <v>58</v>
      </c>
      <c r="W636" s="1" t="s">
        <v>340</v>
      </c>
      <c r="Y636" t="s">
        <v>39</v>
      </c>
      <c r="Z636" t="s">
        <v>47</v>
      </c>
      <c r="AA636">
        <v>1</v>
      </c>
      <c r="AB636">
        <v>1</v>
      </c>
      <c r="AC636" t="s">
        <v>31</v>
      </c>
      <c r="AD636" t="s">
        <v>42</v>
      </c>
      <c r="AE636" t="s">
        <v>43</v>
      </c>
      <c r="AF636" s="3">
        <v>879</v>
      </c>
      <c r="AG636" s="3">
        <v>98</v>
      </c>
      <c r="AH636">
        <v>80</v>
      </c>
      <c r="AI636">
        <v>3</v>
      </c>
      <c r="AJ636">
        <v>0</v>
      </c>
      <c r="AL636">
        <v>0</v>
      </c>
      <c r="AM636">
        <v>1</v>
      </c>
      <c r="AN636" t="s">
        <v>768</v>
      </c>
      <c r="AO636" t="s">
        <v>41</v>
      </c>
    </row>
    <row r="637" spans="1:41" x14ac:dyDescent="0.25">
      <c r="A637">
        <v>52</v>
      </c>
      <c r="B637" t="s">
        <v>32</v>
      </c>
      <c r="C637" t="s">
        <v>33</v>
      </c>
      <c r="D637">
        <v>3</v>
      </c>
      <c r="E637" t="s">
        <v>34</v>
      </c>
      <c r="F637">
        <v>2</v>
      </c>
      <c r="G637">
        <v>3</v>
      </c>
      <c r="H637" t="s">
        <v>78</v>
      </c>
      <c r="I637">
        <v>3</v>
      </c>
      <c r="J637" t="s">
        <v>51</v>
      </c>
      <c r="K637">
        <v>7969</v>
      </c>
      <c r="L637">
        <v>2</v>
      </c>
      <c r="M637" t="s">
        <v>31</v>
      </c>
      <c r="N637">
        <v>14</v>
      </c>
      <c r="O637">
        <v>3</v>
      </c>
      <c r="P637">
        <v>0</v>
      </c>
      <c r="Q637">
        <v>28</v>
      </c>
      <c r="R637">
        <v>4</v>
      </c>
      <c r="S637">
        <v>5</v>
      </c>
      <c r="T637">
        <v>0</v>
      </c>
      <c r="U637">
        <v>4</v>
      </c>
      <c r="V637" t="s">
        <v>58</v>
      </c>
      <c r="W637" s="1" t="s">
        <v>341</v>
      </c>
      <c r="Y637" t="s">
        <v>39</v>
      </c>
      <c r="Z637" t="s">
        <v>47</v>
      </c>
      <c r="AA637">
        <v>5</v>
      </c>
      <c r="AB637">
        <v>1</v>
      </c>
      <c r="AC637" t="s">
        <v>31</v>
      </c>
      <c r="AD637" t="s">
        <v>67</v>
      </c>
      <c r="AE637" t="s">
        <v>60</v>
      </c>
      <c r="AF637" s="3">
        <v>880</v>
      </c>
      <c r="AG637" s="3">
        <v>66</v>
      </c>
      <c r="AH637">
        <v>80</v>
      </c>
      <c r="AI637">
        <v>14</v>
      </c>
      <c r="AJ637">
        <v>0</v>
      </c>
      <c r="AL637">
        <v>0</v>
      </c>
      <c r="AM637">
        <v>1</v>
      </c>
      <c r="AN637" t="s">
        <v>768</v>
      </c>
      <c r="AO637" t="s">
        <v>41</v>
      </c>
    </row>
    <row r="638" spans="1:41" x14ac:dyDescent="0.25">
      <c r="A638">
        <v>52</v>
      </c>
      <c r="B638" t="s">
        <v>32</v>
      </c>
      <c r="C638" t="s">
        <v>33</v>
      </c>
      <c r="D638">
        <v>4</v>
      </c>
      <c r="E638" t="s">
        <v>61</v>
      </c>
      <c r="F638">
        <v>3</v>
      </c>
      <c r="G638">
        <v>4</v>
      </c>
      <c r="H638" t="s">
        <v>75</v>
      </c>
      <c r="I638">
        <v>4</v>
      </c>
      <c r="J638" t="s">
        <v>51</v>
      </c>
      <c r="K638">
        <v>16555</v>
      </c>
      <c r="L638">
        <v>2</v>
      </c>
      <c r="M638" t="s">
        <v>41</v>
      </c>
      <c r="N638">
        <v>13</v>
      </c>
      <c r="O638">
        <v>3</v>
      </c>
      <c r="P638">
        <v>0</v>
      </c>
      <c r="Q638">
        <v>31</v>
      </c>
      <c r="R638">
        <v>2</v>
      </c>
      <c r="S638">
        <v>5</v>
      </c>
      <c r="T638">
        <v>1</v>
      </c>
      <c r="U638">
        <v>4</v>
      </c>
      <c r="V638" t="s">
        <v>58</v>
      </c>
      <c r="W638" s="2">
        <v>42373</v>
      </c>
      <c r="Y638" t="s">
        <v>46</v>
      </c>
      <c r="Z638" t="s">
        <v>47</v>
      </c>
      <c r="AA638">
        <v>5</v>
      </c>
      <c r="AB638">
        <v>2</v>
      </c>
      <c r="AC638" t="s">
        <v>31</v>
      </c>
      <c r="AD638" t="s">
        <v>48</v>
      </c>
      <c r="AE638" t="s">
        <v>49</v>
      </c>
      <c r="AF638" s="3">
        <v>881</v>
      </c>
      <c r="AG638" s="3">
        <v>96</v>
      </c>
      <c r="AH638">
        <v>80</v>
      </c>
      <c r="AI638">
        <v>2</v>
      </c>
      <c r="AJ638">
        <v>1</v>
      </c>
      <c r="AK638">
        <v>1</v>
      </c>
      <c r="AL638">
        <v>1</v>
      </c>
      <c r="AM638">
        <v>0</v>
      </c>
      <c r="AN638" t="s">
        <v>767</v>
      </c>
      <c r="AO638" t="s">
        <v>31</v>
      </c>
    </row>
    <row r="639" spans="1:41" x14ac:dyDescent="0.25">
      <c r="A639">
        <v>42</v>
      </c>
      <c r="B639" t="s">
        <v>66</v>
      </c>
      <c r="C639" t="s">
        <v>33</v>
      </c>
      <c r="D639">
        <v>29</v>
      </c>
      <c r="E639" t="s">
        <v>61</v>
      </c>
      <c r="F639">
        <v>3</v>
      </c>
      <c r="G639">
        <v>2</v>
      </c>
      <c r="H639" t="s">
        <v>44</v>
      </c>
      <c r="I639">
        <v>3</v>
      </c>
      <c r="J639" t="s">
        <v>57</v>
      </c>
      <c r="K639">
        <v>4556</v>
      </c>
      <c r="L639">
        <v>2</v>
      </c>
      <c r="M639" t="s">
        <v>41</v>
      </c>
      <c r="N639">
        <v>11</v>
      </c>
      <c r="O639">
        <v>3</v>
      </c>
      <c r="P639">
        <v>1</v>
      </c>
      <c r="Q639">
        <v>19</v>
      </c>
      <c r="R639">
        <v>3</v>
      </c>
      <c r="S639">
        <v>5</v>
      </c>
      <c r="T639">
        <v>0</v>
      </c>
      <c r="U639">
        <v>2</v>
      </c>
      <c r="V639" t="s">
        <v>58</v>
      </c>
      <c r="W639" s="2">
        <v>42706</v>
      </c>
      <c r="Y639" t="s">
        <v>54</v>
      </c>
      <c r="Z639" t="s">
        <v>47</v>
      </c>
      <c r="AA639">
        <v>0</v>
      </c>
      <c r="AB639">
        <v>2</v>
      </c>
      <c r="AC639" t="s">
        <v>41</v>
      </c>
      <c r="AD639" t="s">
        <v>67</v>
      </c>
      <c r="AE639" t="s">
        <v>49</v>
      </c>
      <c r="AF639" s="3">
        <v>882</v>
      </c>
      <c r="AG639" s="3">
        <v>61</v>
      </c>
      <c r="AH639">
        <v>80</v>
      </c>
      <c r="AI639">
        <v>0</v>
      </c>
      <c r="AJ639">
        <v>0</v>
      </c>
      <c r="AL639">
        <v>0</v>
      </c>
      <c r="AM639">
        <v>1</v>
      </c>
      <c r="AN639" t="s">
        <v>768</v>
      </c>
      <c r="AO639" t="s">
        <v>41</v>
      </c>
    </row>
    <row r="640" spans="1:41" x14ac:dyDescent="0.25">
      <c r="A640">
        <v>30</v>
      </c>
      <c r="B640" t="s">
        <v>32</v>
      </c>
      <c r="C640" t="s">
        <v>33</v>
      </c>
      <c r="D640">
        <v>2</v>
      </c>
      <c r="E640" t="s">
        <v>61</v>
      </c>
      <c r="F640">
        <v>1</v>
      </c>
      <c r="G640">
        <v>2</v>
      </c>
      <c r="H640" t="s">
        <v>78</v>
      </c>
      <c r="I640">
        <v>4</v>
      </c>
      <c r="J640" t="s">
        <v>36</v>
      </c>
      <c r="K640">
        <v>6091</v>
      </c>
      <c r="L640">
        <v>2</v>
      </c>
      <c r="M640" t="s">
        <v>41</v>
      </c>
      <c r="N640">
        <v>20</v>
      </c>
      <c r="O640">
        <v>4</v>
      </c>
      <c r="P640">
        <v>0</v>
      </c>
      <c r="Q640">
        <v>11</v>
      </c>
      <c r="R640">
        <v>2</v>
      </c>
      <c r="S640">
        <v>5</v>
      </c>
      <c r="T640">
        <v>0</v>
      </c>
      <c r="U640">
        <v>2</v>
      </c>
      <c r="V640" t="s">
        <v>72</v>
      </c>
      <c r="W640" s="1" t="s">
        <v>342</v>
      </c>
      <c r="Y640" t="s">
        <v>54</v>
      </c>
      <c r="Z640" t="s">
        <v>47</v>
      </c>
      <c r="AA640">
        <v>4</v>
      </c>
      <c r="AB640">
        <v>2</v>
      </c>
      <c r="AC640" t="s">
        <v>31</v>
      </c>
      <c r="AD640" t="s">
        <v>48</v>
      </c>
      <c r="AE640" t="s">
        <v>60</v>
      </c>
      <c r="AF640" s="3">
        <v>885</v>
      </c>
      <c r="AG640" s="3">
        <v>87</v>
      </c>
      <c r="AH640">
        <v>80</v>
      </c>
      <c r="AI640">
        <v>2</v>
      </c>
      <c r="AJ640">
        <v>0</v>
      </c>
      <c r="AL640">
        <v>0</v>
      </c>
      <c r="AM640">
        <v>1</v>
      </c>
      <c r="AN640" t="s">
        <v>768</v>
      </c>
      <c r="AO640" t="s">
        <v>41</v>
      </c>
    </row>
    <row r="641" spans="1:41" x14ac:dyDescent="0.25">
      <c r="A641">
        <v>24</v>
      </c>
      <c r="B641" t="s">
        <v>32</v>
      </c>
      <c r="C641" t="s">
        <v>55</v>
      </c>
      <c r="D641">
        <v>1</v>
      </c>
      <c r="E641" t="s">
        <v>61</v>
      </c>
      <c r="F641">
        <v>3</v>
      </c>
      <c r="G641">
        <v>1</v>
      </c>
      <c r="H641" t="s">
        <v>56</v>
      </c>
      <c r="I641">
        <v>2</v>
      </c>
      <c r="J641" t="s">
        <v>36</v>
      </c>
      <c r="K641">
        <v>3202</v>
      </c>
      <c r="L641">
        <v>1</v>
      </c>
      <c r="M641" t="s">
        <v>31</v>
      </c>
      <c r="N641">
        <v>16</v>
      </c>
      <c r="O641">
        <v>3</v>
      </c>
      <c r="P641">
        <v>0</v>
      </c>
      <c r="Q641">
        <v>6</v>
      </c>
      <c r="R641">
        <v>4</v>
      </c>
      <c r="S641">
        <v>5</v>
      </c>
      <c r="T641">
        <v>1</v>
      </c>
      <c r="U641">
        <v>4</v>
      </c>
      <c r="V641" t="s">
        <v>37</v>
      </c>
      <c r="W641" s="1" t="s">
        <v>343</v>
      </c>
      <c r="Y641" t="s">
        <v>54</v>
      </c>
      <c r="Z641" t="s">
        <v>47</v>
      </c>
      <c r="AA641">
        <v>4</v>
      </c>
      <c r="AB641">
        <v>3</v>
      </c>
      <c r="AC641" t="s">
        <v>41</v>
      </c>
      <c r="AD641" t="s">
        <v>48</v>
      </c>
      <c r="AE641" t="s">
        <v>60</v>
      </c>
      <c r="AF641" s="3">
        <v>887</v>
      </c>
      <c r="AG641" s="3">
        <v>36</v>
      </c>
      <c r="AH641">
        <v>80</v>
      </c>
      <c r="AI641">
        <v>2</v>
      </c>
      <c r="AJ641">
        <v>0</v>
      </c>
      <c r="AL641">
        <v>0</v>
      </c>
      <c r="AM641">
        <v>1</v>
      </c>
      <c r="AN641" t="s">
        <v>768</v>
      </c>
      <c r="AO641" t="s">
        <v>41</v>
      </c>
    </row>
    <row r="642" spans="1:41" x14ac:dyDescent="0.25">
      <c r="A642">
        <v>30</v>
      </c>
      <c r="B642" t="s">
        <v>81</v>
      </c>
      <c r="C642" t="s">
        <v>33</v>
      </c>
      <c r="D642">
        <v>3</v>
      </c>
      <c r="E642" t="s">
        <v>34</v>
      </c>
      <c r="F642">
        <v>3</v>
      </c>
      <c r="G642">
        <v>1</v>
      </c>
      <c r="H642" t="s">
        <v>35</v>
      </c>
      <c r="I642">
        <v>4</v>
      </c>
      <c r="J642" t="s">
        <v>51</v>
      </c>
      <c r="K642">
        <v>2097</v>
      </c>
      <c r="L642">
        <v>4</v>
      </c>
      <c r="M642" t="s">
        <v>41</v>
      </c>
      <c r="N642">
        <v>15</v>
      </c>
      <c r="O642">
        <v>3</v>
      </c>
      <c r="P642">
        <v>1</v>
      </c>
      <c r="Q642">
        <v>9</v>
      </c>
      <c r="R642">
        <v>3</v>
      </c>
      <c r="S642">
        <v>5</v>
      </c>
      <c r="T642">
        <v>1</v>
      </c>
      <c r="U642">
        <v>4</v>
      </c>
      <c r="V642" t="s">
        <v>37</v>
      </c>
      <c r="W642" s="1" t="s">
        <v>344</v>
      </c>
      <c r="Y642" t="s">
        <v>46</v>
      </c>
      <c r="Z642" t="s">
        <v>40</v>
      </c>
      <c r="AA642">
        <v>3</v>
      </c>
      <c r="AB642">
        <v>3</v>
      </c>
      <c r="AC642" t="s">
        <v>31</v>
      </c>
      <c r="AD642" t="s">
        <v>67</v>
      </c>
      <c r="AE642" t="s">
        <v>49</v>
      </c>
      <c r="AF642" s="3">
        <v>888</v>
      </c>
      <c r="AG642" s="3">
        <v>46</v>
      </c>
      <c r="AH642">
        <v>80</v>
      </c>
      <c r="AI642">
        <v>2</v>
      </c>
      <c r="AJ642">
        <v>0</v>
      </c>
      <c r="AL642">
        <v>0</v>
      </c>
      <c r="AM642">
        <v>1</v>
      </c>
      <c r="AN642" t="s">
        <v>768</v>
      </c>
      <c r="AO642" t="s">
        <v>41</v>
      </c>
    </row>
    <row r="643" spans="1:41" x14ac:dyDescent="0.25">
      <c r="A643">
        <v>47</v>
      </c>
      <c r="B643" t="s">
        <v>32</v>
      </c>
      <c r="C643" t="s">
        <v>33</v>
      </c>
      <c r="D643">
        <v>2</v>
      </c>
      <c r="E643" t="s">
        <v>61</v>
      </c>
      <c r="F643">
        <v>3</v>
      </c>
      <c r="G643">
        <v>2</v>
      </c>
      <c r="H643" t="s">
        <v>78</v>
      </c>
      <c r="I643">
        <v>4</v>
      </c>
      <c r="J643" t="s">
        <v>57</v>
      </c>
      <c r="K643">
        <v>5070</v>
      </c>
      <c r="L643">
        <v>5</v>
      </c>
      <c r="M643" t="s">
        <v>41</v>
      </c>
      <c r="N643">
        <v>13</v>
      </c>
      <c r="O643">
        <v>3</v>
      </c>
      <c r="P643">
        <v>3</v>
      </c>
      <c r="Q643">
        <v>20</v>
      </c>
      <c r="R643">
        <v>2</v>
      </c>
      <c r="S643">
        <v>5</v>
      </c>
      <c r="T643">
        <v>0</v>
      </c>
      <c r="U643">
        <v>4</v>
      </c>
      <c r="V643" t="s">
        <v>37</v>
      </c>
      <c r="W643" s="1" t="s">
        <v>345</v>
      </c>
      <c r="Y643" t="s">
        <v>69</v>
      </c>
      <c r="Z643" t="s">
        <v>47</v>
      </c>
      <c r="AA643">
        <v>3</v>
      </c>
      <c r="AB643">
        <v>3</v>
      </c>
      <c r="AC643" t="s">
        <v>31</v>
      </c>
      <c r="AD643" t="s">
        <v>42</v>
      </c>
      <c r="AE643" t="s">
        <v>60</v>
      </c>
      <c r="AF643" s="3">
        <v>889</v>
      </c>
      <c r="AG643" s="3">
        <v>48</v>
      </c>
      <c r="AH643">
        <v>80</v>
      </c>
      <c r="AI643">
        <v>8</v>
      </c>
      <c r="AJ643">
        <v>0</v>
      </c>
      <c r="AL643">
        <v>0</v>
      </c>
      <c r="AM643">
        <v>1</v>
      </c>
      <c r="AN643" t="s">
        <v>768</v>
      </c>
      <c r="AO643" t="s">
        <v>41</v>
      </c>
    </row>
    <row r="644" spans="1:41" x14ac:dyDescent="0.25">
      <c r="A644">
        <v>35</v>
      </c>
      <c r="B644" t="s">
        <v>32</v>
      </c>
      <c r="C644" t="s">
        <v>33</v>
      </c>
      <c r="D644">
        <v>22</v>
      </c>
      <c r="E644" t="s">
        <v>34</v>
      </c>
      <c r="F644">
        <v>1</v>
      </c>
      <c r="G644">
        <v>1</v>
      </c>
      <c r="H644" t="s">
        <v>35</v>
      </c>
      <c r="I644">
        <v>3</v>
      </c>
      <c r="J644" t="s">
        <v>36</v>
      </c>
      <c r="K644">
        <v>4230</v>
      </c>
      <c r="L644">
        <v>0</v>
      </c>
      <c r="M644" t="s">
        <v>41</v>
      </c>
      <c r="N644">
        <v>15</v>
      </c>
      <c r="O644">
        <v>3</v>
      </c>
      <c r="P644">
        <v>0</v>
      </c>
      <c r="Q644">
        <v>6</v>
      </c>
      <c r="R644">
        <v>2</v>
      </c>
      <c r="S644">
        <v>5</v>
      </c>
      <c r="T644">
        <v>4</v>
      </c>
      <c r="U644">
        <v>3</v>
      </c>
      <c r="V644" t="s">
        <v>52</v>
      </c>
      <c r="W644" s="1" t="s">
        <v>346</v>
      </c>
      <c r="Y644" t="s">
        <v>39</v>
      </c>
      <c r="Z644" t="s">
        <v>47</v>
      </c>
      <c r="AA644">
        <v>3</v>
      </c>
      <c r="AB644">
        <v>1</v>
      </c>
      <c r="AC644" t="s">
        <v>31</v>
      </c>
      <c r="AD644" t="s">
        <v>65</v>
      </c>
      <c r="AE644" t="s">
        <v>49</v>
      </c>
      <c r="AF644" s="3">
        <v>893</v>
      </c>
      <c r="AG644" s="3">
        <v>98</v>
      </c>
      <c r="AH644">
        <v>80</v>
      </c>
      <c r="AI644">
        <v>2</v>
      </c>
      <c r="AJ644">
        <v>0</v>
      </c>
      <c r="AL644">
        <v>0</v>
      </c>
      <c r="AM644">
        <v>1</v>
      </c>
      <c r="AN644" t="s">
        <v>768</v>
      </c>
      <c r="AO644" t="s">
        <v>41</v>
      </c>
    </row>
    <row r="645" spans="1:41" x14ac:dyDescent="0.25">
      <c r="A645">
        <v>31</v>
      </c>
      <c r="B645" t="s">
        <v>32</v>
      </c>
      <c r="C645" t="s">
        <v>55</v>
      </c>
      <c r="D645">
        <v>7</v>
      </c>
      <c r="E645" t="s">
        <v>34</v>
      </c>
      <c r="F645">
        <v>2</v>
      </c>
      <c r="G645">
        <v>3</v>
      </c>
      <c r="H645" t="s">
        <v>75</v>
      </c>
      <c r="I645">
        <v>4</v>
      </c>
      <c r="J645" t="s">
        <v>57</v>
      </c>
      <c r="K645">
        <v>11557</v>
      </c>
      <c r="L645">
        <v>9</v>
      </c>
      <c r="M645" t="s">
        <v>41</v>
      </c>
      <c r="N645">
        <v>21</v>
      </c>
      <c r="O645">
        <v>4</v>
      </c>
      <c r="P645">
        <v>1</v>
      </c>
      <c r="Q645">
        <v>10</v>
      </c>
      <c r="R645">
        <v>3</v>
      </c>
      <c r="S645">
        <v>5</v>
      </c>
      <c r="T645">
        <v>0</v>
      </c>
      <c r="U645">
        <v>1</v>
      </c>
      <c r="V645" t="s">
        <v>58</v>
      </c>
      <c r="W645" s="1" t="s">
        <v>347</v>
      </c>
      <c r="Y645" t="s">
        <v>54</v>
      </c>
      <c r="Z645" t="s">
        <v>47</v>
      </c>
      <c r="AA645">
        <v>0</v>
      </c>
      <c r="AB645">
        <v>0</v>
      </c>
      <c r="AC645" t="s">
        <v>41</v>
      </c>
      <c r="AD645" t="s">
        <v>42</v>
      </c>
      <c r="AE645" t="s">
        <v>43</v>
      </c>
      <c r="AF645" s="3">
        <v>894</v>
      </c>
      <c r="AG645" s="3">
        <v>95</v>
      </c>
      <c r="AH645">
        <v>80</v>
      </c>
      <c r="AI645">
        <v>3</v>
      </c>
      <c r="AJ645">
        <v>0</v>
      </c>
      <c r="AL645">
        <v>0</v>
      </c>
      <c r="AM645">
        <v>1</v>
      </c>
      <c r="AN645" t="s">
        <v>768</v>
      </c>
      <c r="AO645" t="s">
        <v>41</v>
      </c>
    </row>
    <row r="646" spans="1:41" x14ac:dyDescent="0.25">
      <c r="A646">
        <v>35</v>
      </c>
      <c r="B646" t="s">
        <v>32</v>
      </c>
      <c r="C646" t="s">
        <v>55</v>
      </c>
      <c r="D646">
        <v>1</v>
      </c>
      <c r="E646" t="s">
        <v>61</v>
      </c>
      <c r="F646">
        <v>3</v>
      </c>
      <c r="G646">
        <v>2</v>
      </c>
      <c r="H646" t="s">
        <v>70</v>
      </c>
      <c r="I646">
        <v>3</v>
      </c>
      <c r="J646" t="s">
        <v>36</v>
      </c>
      <c r="K646">
        <v>4859</v>
      </c>
      <c r="L646">
        <v>1</v>
      </c>
      <c r="M646" t="s">
        <v>41</v>
      </c>
      <c r="N646">
        <v>16</v>
      </c>
      <c r="O646">
        <v>3</v>
      </c>
      <c r="P646">
        <v>0</v>
      </c>
      <c r="Q646">
        <v>5</v>
      </c>
      <c r="R646">
        <v>3</v>
      </c>
      <c r="S646">
        <v>5</v>
      </c>
      <c r="T646">
        <v>0</v>
      </c>
      <c r="U646">
        <v>3</v>
      </c>
      <c r="V646" t="s">
        <v>52</v>
      </c>
      <c r="W646" s="2">
        <v>42525</v>
      </c>
      <c r="Y646" t="s">
        <v>63</v>
      </c>
      <c r="Z646" t="s">
        <v>47</v>
      </c>
      <c r="AA646">
        <v>3</v>
      </c>
      <c r="AB646">
        <v>2</v>
      </c>
      <c r="AC646" t="s">
        <v>41</v>
      </c>
      <c r="AD646" t="s">
        <v>48</v>
      </c>
      <c r="AE646" t="s">
        <v>49</v>
      </c>
      <c r="AF646" s="3">
        <v>895</v>
      </c>
      <c r="AG646" s="3">
        <v>48</v>
      </c>
      <c r="AH646">
        <v>80</v>
      </c>
      <c r="AI646">
        <v>4</v>
      </c>
      <c r="AJ646">
        <v>0</v>
      </c>
      <c r="AL646">
        <v>0</v>
      </c>
      <c r="AM646">
        <v>1</v>
      </c>
      <c r="AN646" t="s">
        <v>768</v>
      </c>
      <c r="AO646" t="s">
        <v>41</v>
      </c>
    </row>
    <row r="647" spans="1:41" x14ac:dyDescent="0.25">
      <c r="A647">
        <v>26</v>
      </c>
      <c r="B647" t="s">
        <v>32</v>
      </c>
      <c r="C647" t="s">
        <v>55</v>
      </c>
      <c r="D647">
        <v>28</v>
      </c>
      <c r="E647" t="s">
        <v>34</v>
      </c>
      <c r="F647">
        <v>3</v>
      </c>
      <c r="G647">
        <v>2</v>
      </c>
      <c r="H647" t="s">
        <v>70</v>
      </c>
      <c r="I647">
        <v>2</v>
      </c>
      <c r="J647" t="s">
        <v>51</v>
      </c>
      <c r="K647">
        <v>6272</v>
      </c>
      <c r="L647">
        <v>1</v>
      </c>
      <c r="M647" t="s">
        <v>41</v>
      </c>
      <c r="N647">
        <v>20</v>
      </c>
      <c r="O647">
        <v>4</v>
      </c>
      <c r="P647">
        <v>2</v>
      </c>
      <c r="Q647">
        <v>6</v>
      </c>
      <c r="R647">
        <v>5</v>
      </c>
      <c r="S647">
        <v>5</v>
      </c>
      <c r="T647">
        <v>1</v>
      </c>
      <c r="U647">
        <v>4</v>
      </c>
      <c r="V647" t="s">
        <v>37</v>
      </c>
      <c r="W647" s="1" t="s">
        <v>348</v>
      </c>
      <c r="Y647" t="s">
        <v>63</v>
      </c>
      <c r="Z647" t="s">
        <v>47</v>
      </c>
      <c r="AA647">
        <v>3</v>
      </c>
      <c r="AB647">
        <v>1</v>
      </c>
      <c r="AC647" t="s">
        <v>31</v>
      </c>
      <c r="AD647" t="s">
        <v>67</v>
      </c>
      <c r="AE647" t="s">
        <v>43</v>
      </c>
      <c r="AF647" s="3">
        <v>896</v>
      </c>
      <c r="AG647" s="3">
        <v>48</v>
      </c>
      <c r="AH647">
        <v>80</v>
      </c>
      <c r="AI647">
        <v>2</v>
      </c>
      <c r="AJ647">
        <v>1</v>
      </c>
      <c r="AK647">
        <v>1</v>
      </c>
      <c r="AL647">
        <v>1</v>
      </c>
      <c r="AM647">
        <v>0</v>
      </c>
      <c r="AN647" t="s">
        <v>767</v>
      </c>
      <c r="AO647" t="s">
        <v>31</v>
      </c>
    </row>
    <row r="648" spans="1:41" x14ac:dyDescent="0.25">
      <c r="A648">
        <v>27</v>
      </c>
      <c r="B648" t="s">
        <v>32</v>
      </c>
      <c r="C648" t="s">
        <v>33</v>
      </c>
      <c r="D648">
        <v>6</v>
      </c>
      <c r="E648" t="s">
        <v>61</v>
      </c>
      <c r="F648">
        <v>2</v>
      </c>
      <c r="G648">
        <v>1</v>
      </c>
      <c r="H648" t="s">
        <v>44</v>
      </c>
      <c r="I648">
        <v>3</v>
      </c>
      <c r="J648" t="s">
        <v>57</v>
      </c>
      <c r="K648">
        <v>2187</v>
      </c>
      <c r="L648">
        <v>0</v>
      </c>
      <c r="M648" t="s">
        <v>41</v>
      </c>
      <c r="N648">
        <v>12</v>
      </c>
      <c r="O648">
        <v>3</v>
      </c>
      <c r="P648">
        <v>2</v>
      </c>
      <c r="Q648">
        <v>6</v>
      </c>
      <c r="R648">
        <v>5</v>
      </c>
      <c r="S648">
        <v>5</v>
      </c>
      <c r="T648">
        <v>0</v>
      </c>
      <c r="U648">
        <v>3</v>
      </c>
      <c r="V648" t="s">
        <v>58</v>
      </c>
      <c r="W648" s="1" t="s">
        <v>349</v>
      </c>
      <c r="Y648" t="s">
        <v>46</v>
      </c>
      <c r="Z648" t="s">
        <v>40</v>
      </c>
      <c r="AA648">
        <v>3</v>
      </c>
      <c r="AB648">
        <v>2</v>
      </c>
      <c r="AC648" t="s">
        <v>31</v>
      </c>
      <c r="AD648" t="s">
        <v>48</v>
      </c>
      <c r="AE648" t="s">
        <v>60</v>
      </c>
      <c r="AF648" s="3">
        <v>897</v>
      </c>
      <c r="AG648" s="3">
        <v>73</v>
      </c>
      <c r="AH648">
        <v>80</v>
      </c>
      <c r="AI648">
        <v>0</v>
      </c>
      <c r="AJ648">
        <v>0</v>
      </c>
      <c r="AL648">
        <v>0</v>
      </c>
      <c r="AM648">
        <v>1</v>
      </c>
      <c r="AN648" t="s">
        <v>768</v>
      </c>
      <c r="AO648" t="s">
        <v>41</v>
      </c>
    </row>
    <row r="649" spans="1:41" x14ac:dyDescent="0.25">
      <c r="A649">
        <v>33</v>
      </c>
      <c r="B649" t="s">
        <v>32</v>
      </c>
      <c r="C649" t="s">
        <v>55</v>
      </c>
      <c r="D649">
        <v>8</v>
      </c>
      <c r="E649" t="s">
        <v>34</v>
      </c>
      <c r="F649">
        <v>3</v>
      </c>
      <c r="G649">
        <v>2</v>
      </c>
      <c r="H649" t="s">
        <v>70</v>
      </c>
      <c r="I649">
        <v>3</v>
      </c>
      <c r="J649" t="s">
        <v>57</v>
      </c>
      <c r="K649">
        <v>7104</v>
      </c>
      <c r="L649">
        <v>0</v>
      </c>
      <c r="M649" t="s">
        <v>41</v>
      </c>
      <c r="N649">
        <v>12</v>
      </c>
      <c r="O649">
        <v>3</v>
      </c>
      <c r="P649">
        <v>0</v>
      </c>
      <c r="Q649">
        <v>6</v>
      </c>
      <c r="R649">
        <v>3</v>
      </c>
      <c r="S649">
        <v>5</v>
      </c>
      <c r="T649">
        <v>1</v>
      </c>
      <c r="U649">
        <v>2</v>
      </c>
      <c r="V649" t="s">
        <v>72</v>
      </c>
      <c r="W649" s="1" t="s">
        <v>335</v>
      </c>
      <c r="Y649" t="s">
        <v>39</v>
      </c>
      <c r="Z649" t="s">
        <v>40</v>
      </c>
      <c r="AA649">
        <v>1</v>
      </c>
      <c r="AB649">
        <v>0</v>
      </c>
      <c r="AC649" t="s">
        <v>41</v>
      </c>
      <c r="AD649" t="s">
        <v>48</v>
      </c>
      <c r="AE649" t="s">
        <v>60</v>
      </c>
      <c r="AF649" s="3">
        <v>899</v>
      </c>
      <c r="AG649" s="3">
        <v>78</v>
      </c>
      <c r="AH649">
        <v>80</v>
      </c>
      <c r="AI649">
        <v>10</v>
      </c>
      <c r="AJ649">
        <v>0</v>
      </c>
      <c r="AL649">
        <v>0</v>
      </c>
      <c r="AM649">
        <v>1</v>
      </c>
      <c r="AN649" t="s">
        <v>768</v>
      </c>
      <c r="AO649" t="s">
        <v>41</v>
      </c>
    </row>
    <row r="650" spans="1:41" x14ac:dyDescent="0.25">
      <c r="A650">
        <v>53</v>
      </c>
      <c r="B650" t="s">
        <v>32</v>
      </c>
      <c r="C650" t="s">
        <v>33</v>
      </c>
      <c r="D650">
        <v>7</v>
      </c>
      <c r="E650" t="s">
        <v>34</v>
      </c>
      <c r="F650">
        <v>4</v>
      </c>
      <c r="G650">
        <v>4</v>
      </c>
      <c r="H650" t="s">
        <v>50</v>
      </c>
      <c r="I650">
        <v>3</v>
      </c>
      <c r="J650" t="s">
        <v>51</v>
      </c>
      <c r="K650">
        <v>14814</v>
      </c>
      <c r="L650">
        <v>3</v>
      </c>
      <c r="M650" t="s">
        <v>41</v>
      </c>
      <c r="N650">
        <v>19</v>
      </c>
      <c r="O650">
        <v>3</v>
      </c>
      <c r="P650">
        <v>0</v>
      </c>
      <c r="Q650">
        <v>32</v>
      </c>
      <c r="R650">
        <v>3</v>
      </c>
      <c r="S650">
        <v>5</v>
      </c>
      <c r="T650">
        <v>1</v>
      </c>
      <c r="U650">
        <v>3</v>
      </c>
      <c r="V650" t="s">
        <v>72</v>
      </c>
      <c r="W650" s="1" t="s">
        <v>350</v>
      </c>
      <c r="Y650" t="s">
        <v>63</v>
      </c>
      <c r="Z650" t="s">
        <v>47</v>
      </c>
      <c r="AA650">
        <v>5</v>
      </c>
      <c r="AB650">
        <v>0</v>
      </c>
      <c r="AC650" t="s">
        <v>31</v>
      </c>
      <c r="AD650" t="s">
        <v>67</v>
      </c>
      <c r="AE650" t="s">
        <v>60</v>
      </c>
      <c r="AF650" s="3">
        <v>900</v>
      </c>
      <c r="AG650" s="3">
        <v>54</v>
      </c>
      <c r="AH650">
        <v>80</v>
      </c>
      <c r="AI650">
        <v>4</v>
      </c>
      <c r="AJ650">
        <v>0</v>
      </c>
      <c r="AL650">
        <v>0</v>
      </c>
      <c r="AM650">
        <v>1</v>
      </c>
      <c r="AN650" t="s">
        <v>768</v>
      </c>
      <c r="AO650" t="s">
        <v>41</v>
      </c>
    </row>
    <row r="651" spans="1:41" x14ac:dyDescent="0.25">
      <c r="A651">
        <v>44</v>
      </c>
      <c r="B651" t="s">
        <v>81</v>
      </c>
      <c r="C651" t="s">
        <v>33</v>
      </c>
      <c r="D651">
        <v>24</v>
      </c>
      <c r="E651" t="s">
        <v>34</v>
      </c>
      <c r="F651">
        <v>1</v>
      </c>
      <c r="G651">
        <v>1</v>
      </c>
      <c r="H651" t="s">
        <v>35</v>
      </c>
      <c r="I651">
        <v>3</v>
      </c>
      <c r="J651" t="s">
        <v>36</v>
      </c>
      <c r="K651">
        <v>3708</v>
      </c>
      <c r="L651">
        <v>2</v>
      </c>
      <c r="M651" t="s">
        <v>41</v>
      </c>
      <c r="N651">
        <v>14</v>
      </c>
      <c r="O651">
        <v>3</v>
      </c>
      <c r="P651">
        <v>0</v>
      </c>
      <c r="Q651">
        <v>9</v>
      </c>
      <c r="R651">
        <v>5</v>
      </c>
      <c r="S651">
        <v>5</v>
      </c>
      <c r="T651">
        <v>1</v>
      </c>
      <c r="U651">
        <v>4</v>
      </c>
      <c r="V651" t="s">
        <v>52</v>
      </c>
      <c r="W651" s="1" t="s">
        <v>351</v>
      </c>
      <c r="Y651" t="s">
        <v>54</v>
      </c>
      <c r="Z651" t="s">
        <v>47</v>
      </c>
      <c r="AA651">
        <v>0</v>
      </c>
      <c r="AB651">
        <v>1</v>
      </c>
      <c r="AC651" t="s">
        <v>41</v>
      </c>
      <c r="AD651" t="s">
        <v>42</v>
      </c>
      <c r="AE651" t="s">
        <v>60</v>
      </c>
      <c r="AF651" s="3">
        <v>901</v>
      </c>
      <c r="AG651" s="3">
        <v>72</v>
      </c>
      <c r="AH651">
        <v>80</v>
      </c>
      <c r="AI651">
        <v>9</v>
      </c>
      <c r="AJ651">
        <v>0</v>
      </c>
      <c r="AL651">
        <v>0</v>
      </c>
      <c r="AM651">
        <v>1</v>
      </c>
      <c r="AN651" t="s">
        <v>768</v>
      </c>
      <c r="AO651" t="s">
        <v>41</v>
      </c>
    </row>
    <row r="652" spans="1:41" x14ac:dyDescent="0.25">
      <c r="A652">
        <v>34</v>
      </c>
      <c r="B652" t="s">
        <v>32</v>
      </c>
      <c r="C652" t="s">
        <v>33</v>
      </c>
      <c r="D652">
        <v>8</v>
      </c>
      <c r="E652" t="s">
        <v>61</v>
      </c>
      <c r="F652">
        <v>3</v>
      </c>
      <c r="G652">
        <v>2</v>
      </c>
      <c r="H652" t="s">
        <v>89</v>
      </c>
      <c r="I652">
        <v>3</v>
      </c>
      <c r="J652" t="s">
        <v>36</v>
      </c>
      <c r="K652">
        <v>6142</v>
      </c>
      <c r="L652">
        <v>3</v>
      </c>
      <c r="M652" t="s">
        <v>41</v>
      </c>
      <c r="N652">
        <v>11</v>
      </c>
      <c r="O652">
        <v>3</v>
      </c>
      <c r="P652">
        <v>0</v>
      </c>
      <c r="Q652">
        <v>10</v>
      </c>
      <c r="R652">
        <v>2</v>
      </c>
      <c r="S652">
        <v>5</v>
      </c>
      <c r="T652">
        <v>4</v>
      </c>
      <c r="U652">
        <v>3</v>
      </c>
      <c r="V652" t="s">
        <v>37</v>
      </c>
      <c r="W652" s="2">
        <v>42705</v>
      </c>
      <c r="Y652" t="s">
        <v>63</v>
      </c>
      <c r="Z652" t="s">
        <v>40</v>
      </c>
      <c r="AA652">
        <v>5</v>
      </c>
      <c r="AB652">
        <v>1</v>
      </c>
      <c r="AC652" t="s">
        <v>31</v>
      </c>
      <c r="AD652" t="s">
        <v>42</v>
      </c>
      <c r="AE652" t="s">
        <v>43</v>
      </c>
      <c r="AF652" s="3">
        <v>902</v>
      </c>
      <c r="AG652" s="3">
        <v>33</v>
      </c>
      <c r="AH652">
        <v>80</v>
      </c>
      <c r="AI652">
        <v>2</v>
      </c>
      <c r="AJ652">
        <v>0</v>
      </c>
      <c r="AL652">
        <v>0</v>
      </c>
      <c r="AM652">
        <v>1</v>
      </c>
      <c r="AN652" t="s">
        <v>768</v>
      </c>
      <c r="AO652" t="s">
        <v>41</v>
      </c>
    </row>
    <row r="653" spans="1:41" x14ac:dyDescent="0.25">
      <c r="A653">
        <v>47</v>
      </c>
      <c r="B653" t="s">
        <v>66</v>
      </c>
      <c r="C653" t="s">
        <v>55</v>
      </c>
      <c r="D653">
        <v>27</v>
      </c>
      <c r="E653" t="s">
        <v>61</v>
      </c>
      <c r="F653">
        <v>4</v>
      </c>
      <c r="G653">
        <v>2</v>
      </c>
      <c r="H653" t="s">
        <v>70</v>
      </c>
      <c r="I653">
        <v>3</v>
      </c>
      <c r="J653" t="s">
        <v>36</v>
      </c>
      <c r="K653">
        <v>6397</v>
      </c>
      <c r="L653">
        <v>4</v>
      </c>
      <c r="M653" t="s">
        <v>31</v>
      </c>
      <c r="N653">
        <v>12</v>
      </c>
      <c r="O653">
        <v>3</v>
      </c>
      <c r="P653">
        <v>0</v>
      </c>
      <c r="Q653">
        <v>8</v>
      </c>
      <c r="R653">
        <v>2</v>
      </c>
      <c r="S653">
        <v>5</v>
      </c>
      <c r="T653">
        <v>1</v>
      </c>
      <c r="U653">
        <v>3</v>
      </c>
      <c r="V653" t="s">
        <v>58</v>
      </c>
      <c r="W653" s="1" t="s">
        <v>352</v>
      </c>
      <c r="Y653" t="s">
        <v>63</v>
      </c>
      <c r="Z653" t="s">
        <v>47</v>
      </c>
      <c r="AA653">
        <v>0</v>
      </c>
      <c r="AB653">
        <v>0</v>
      </c>
      <c r="AC653" t="s">
        <v>41</v>
      </c>
      <c r="AD653" t="s">
        <v>67</v>
      </c>
      <c r="AE653" t="s">
        <v>49</v>
      </c>
      <c r="AF653" s="3">
        <v>903</v>
      </c>
      <c r="AG653" s="3">
        <v>35</v>
      </c>
      <c r="AH653">
        <v>80</v>
      </c>
      <c r="AI653">
        <v>6</v>
      </c>
      <c r="AJ653">
        <v>0</v>
      </c>
      <c r="AL653">
        <v>0</v>
      </c>
      <c r="AM653">
        <v>1</v>
      </c>
      <c r="AN653" t="s">
        <v>768</v>
      </c>
      <c r="AO653" t="s">
        <v>41</v>
      </c>
    </row>
    <row r="654" spans="1:41" x14ac:dyDescent="0.25">
      <c r="A654">
        <v>55</v>
      </c>
      <c r="B654" t="s">
        <v>32</v>
      </c>
      <c r="C654" t="s">
        <v>33</v>
      </c>
      <c r="D654">
        <v>2</v>
      </c>
      <c r="E654" t="s">
        <v>34</v>
      </c>
      <c r="F654">
        <v>3</v>
      </c>
      <c r="G654">
        <v>5</v>
      </c>
      <c r="H654" t="s">
        <v>75</v>
      </c>
      <c r="I654">
        <v>1</v>
      </c>
      <c r="J654" t="s">
        <v>51</v>
      </c>
      <c r="K654">
        <v>19859</v>
      </c>
      <c r="L654">
        <v>5</v>
      </c>
      <c r="M654" t="s">
        <v>31</v>
      </c>
      <c r="N654">
        <v>13</v>
      </c>
      <c r="O654">
        <v>3</v>
      </c>
      <c r="P654">
        <v>1</v>
      </c>
      <c r="Q654">
        <v>24</v>
      </c>
      <c r="R654">
        <v>2</v>
      </c>
      <c r="S654">
        <v>5</v>
      </c>
      <c r="T654">
        <v>1</v>
      </c>
      <c r="U654">
        <v>4</v>
      </c>
      <c r="V654" t="s">
        <v>52</v>
      </c>
      <c r="W654" s="1" t="s">
        <v>353</v>
      </c>
      <c r="Y654" t="s">
        <v>46</v>
      </c>
      <c r="Z654" t="s">
        <v>40</v>
      </c>
      <c r="AA654">
        <v>5</v>
      </c>
      <c r="AB654">
        <v>2</v>
      </c>
      <c r="AC654" t="s">
        <v>31</v>
      </c>
      <c r="AD654" t="s">
        <v>67</v>
      </c>
      <c r="AE654" t="s">
        <v>60</v>
      </c>
      <c r="AF654" s="3">
        <v>904</v>
      </c>
      <c r="AG654" s="3">
        <v>32</v>
      </c>
      <c r="AH654">
        <v>80</v>
      </c>
      <c r="AI654">
        <v>0</v>
      </c>
      <c r="AJ654">
        <v>0</v>
      </c>
      <c r="AL654">
        <v>0</v>
      </c>
      <c r="AM654">
        <v>1</v>
      </c>
      <c r="AN654" t="s">
        <v>768</v>
      </c>
      <c r="AO654" t="s">
        <v>41</v>
      </c>
    </row>
    <row r="655" spans="1:41" x14ac:dyDescent="0.25">
      <c r="A655">
        <v>54</v>
      </c>
      <c r="B655" t="s">
        <v>32</v>
      </c>
      <c r="C655" t="s">
        <v>33</v>
      </c>
      <c r="D655">
        <v>19</v>
      </c>
      <c r="E655" t="s">
        <v>61</v>
      </c>
      <c r="F655">
        <v>3</v>
      </c>
      <c r="G655">
        <v>2</v>
      </c>
      <c r="H655" t="s">
        <v>78</v>
      </c>
      <c r="I655">
        <v>1</v>
      </c>
      <c r="J655" t="s">
        <v>57</v>
      </c>
      <c r="K655">
        <v>5485</v>
      </c>
      <c r="L655">
        <v>9</v>
      </c>
      <c r="M655" t="s">
        <v>31</v>
      </c>
      <c r="N655">
        <v>11</v>
      </c>
      <c r="O655">
        <v>3</v>
      </c>
      <c r="P655">
        <v>2</v>
      </c>
      <c r="Q655">
        <v>9</v>
      </c>
      <c r="R655">
        <v>4</v>
      </c>
      <c r="S655">
        <v>5</v>
      </c>
      <c r="T655">
        <v>1</v>
      </c>
      <c r="U655">
        <v>4</v>
      </c>
      <c r="V655" t="s">
        <v>52</v>
      </c>
      <c r="W655" s="1" t="s">
        <v>354</v>
      </c>
      <c r="Y655" t="s">
        <v>54</v>
      </c>
      <c r="Z655" t="s">
        <v>40</v>
      </c>
      <c r="AA655">
        <v>4</v>
      </c>
      <c r="AB655">
        <v>1</v>
      </c>
      <c r="AC655" t="s">
        <v>41</v>
      </c>
      <c r="AD655" t="s">
        <v>48</v>
      </c>
      <c r="AE655" t="s">
        <v>49</v>
      </c>
      <c r="AF655" s="3">
        <v>905</v>
      </c>
      <c r="AG655" s="3">
        <v>98</v>
      </c>
      <c r="AH655">
        <v>80</v>
      </c>
      <c r="AI655">
        <v>6</v>
      </c>
      <c r="AJ655">
        <v>0</v>
      </c>
      <c r="AL655">
        <v>0</v>
      </c>
      <c r="AM655">
        <v>1</v>
      </c>
      <c r="AN655" t="s">
        <v>768</v>
      </c>
      <c r="AO655" t="s">
        <v>41</v>
      </c>
    </row>
    <row r="656" spans="1:41" x14ac:dyDescent="0.25">
      <c r="A656">
        <v>37</v>
      </c>
      <c r="B656" t="s">
        <v>32</v>
      </c>
      <c r="C656" t="s">
        <v>33</v>
      </c>
      <c r="D656">
        <v>10</v>
      </c>
      <c r="E656" t="s">
        <v>61</v>
      </c>
      <c r="F656">
        <v>3</v>
      </c>
      <c r="G656">
        <v>1</v>
      </c>
      <c r="H656" t="s">
        <v>44</v>
      </c>
      <c r="I656">
        <v>1</v>
      </c>
      <c r="J656" t="s">
        <v>57</v>
      </c>
      <c r="K656">
        <v>2782</v>
      </c>
      <c r="L656">
        <v>0</v>
      </c>
      <c r="M656" t="s">
        <v>31</v>
      </c>
      <c r="N656">
        <v>13</v>
      </c>
      <c r="O656">
        <v>3</v>
      </c>
      <c r="P656">
        <v>2</v>
      </c>
      <c r="Q656">
        <v>6</v>
      </c>
      <c r="R656">
        <v>3</v>
      </c>
      <c r="S656">
        <v>5</v>
      </c>
      <c r="T656">
        <v>4</v>
      </c>
      <c r="U656">
        <v>3</v>
      </c>
      <c r="V656" t="s">
        <v>37</v>
      </c>
      <c r="W656" s="1" t="s">
        <v>316</v>
      </c>
      <c r="Y656" t="s">
        <v>39</v>
      </c>
      <c r="Z656" t="s">
        <v>47</v>
      </c>
      <c r="AA656">
        <v>1</v>
      </c>
      <c r="AB656">
        <v>1</v>
      </c>
      <c r="AC656" t="s">
        <v>41</v>
      </c>
      <c r="AD656" t="s">
        <v>48</v>
      </c>
      <c r="AE656" t="s">
        <v>49</v>
      </c>
      <c r="AF656" s="3">
        <v>909</v>
      </c>
      <c r="AG656" s="3">
        <v>42</v>
      </c>
      <c r="AH656">
        <v>80</v>
      </c>
      <c r="AI656">
        <v>4</v>
      </c>
      <c r="AJ656">
        <v>0</v>
      </c>
      <c r="AL656">
        <v>0</v>
      </c>
      <c r="AM656">
        <v>1</v>
      </c>
      <c r="AN656" t="s">
        <v>768</v>
      </c>
      <c r="AO656" t="s">
        <v>41</v>
      </c>
    </row>
    <row r="657" spans="1:41" x14ac:dyDescent="0.25">
      <c r="A657">
        <v>52</v>
      </c>
      <c r="B657" t="s">
        <v>32</v>
      </c>
      <c r="C657" t="s">
        <v>33</v>
      </c>
      <c r="D657">
        <v>11</v>
      </c>
      <c r="E657" t="s">
        <v>61</v>
      </c>
      <c r="F657">
        <v>3</v>
      </c>
      <c r="G657">
        <v>2</v>
      </c>
      <c r="H657" t="s">
        <v>35</v>
      </c>
      <c r="I657">
        <v>3</v>
      </c>
      <c r="J657" t="s">
        <v>51</v>
      </c>
      <c r="K657">
        <v>3149</v>
      </c>
      <c r="L657">
        <v>8</v>
      </c>
      <c r="M657" t="s">
        <v>41</v>
      </c>
      <c r="N657">
        <v>20</v>
      </c>
      <c r="O657">
        <v>4</v>
      </c>
      <c r="P657">
        <v>1</v>
      </c>
      <c r="Q657">
        <v>9</v>
      </c>
      <c r="R657">
        <v>3</v>
      </c>
      <c r="S657">
        <v>5</v>
      </c>
      <c r="T657">
        <v>1</v>
      </c>
      <c r="U657">
        <v>4</v>
      </c>
      <c r="V657" t="s">
        <v>72</v>
      </c>
      <c r="W657" s="1" t="s">
        <v>355</v>
      </c>
      <c r="Y657" t="s">
        <v>69</v>
      </c>
      <c r="Z657" t="s">
        <v>40</v>
      </c>
      <c r="AA657">
        <v>1</v>
      </c>
      <c r="AB657">
        <v>3</v>
      </c>
      <c r="AC657" t="s">
        <v>41</v>
      </c>
      <c r="AD657" t="s">
        <v>67</v>
      </c>
      <c r="AE657" t="s">
        <v>60</v>
      </c>
      <c r="AF657" s="3">
        <v>910</v>
      </c>
      <c r="AG657" s="3">
        <v>57</v>
      </c>
      <c r="AH657">
        <v>80</v>
      </c>
      <c r="AI657">
        <v>3</v>
      </c>
      <c r="AJ657">
        <v>0</v>
      </c>
      <c r="AL657">
        <v>0</v>
      </c>
      <c r="AM657">
        <v>1</v>
      </c>
      <c r="AN657" t="s">
        <v>768</v>
      </c>
      <c r="AO657" t="s">
        <v>41</v>
      </c>
    </row>
    <row r="658" spans="1:41" x14ac:dyDescent="0.25">
      <c r="A658">
        <v>36</v>
      </c>
      <c r="B658" t="s">
        <v>32</v>
      </c>
      <c r="C658" t="s">
        <v>120</v>
      </c>
      <c r="D658">
        <v>13</v>
      </c>
      <c r="E658" t="s">
        <v>34</v>
      </c>
      <c r="F658">
        <v>3</v>
      </c>
      <c r="G658">
        <v>1</v>
      </c>
      <c r="H658" t="s">
        <v>120</v>
      </c>
      <c r="I658">
        <v>2</v>
      </c>
      <c r="J658" t="s">
        <v>51</v>
      </c>
      <c r="K658">
        <v>2143</v>
      </c>
      <c r="L658">
        <v>4</v>
      </c>
      <c r="M658" t="s">
        <v>41</v>
      </c>
      <c r="N658">
        <v>13</v>
      </c>
      <c r="O658">
        <v>3</v>
      </c>
      <c r="P658">
        <v>1</v>
      </c>
      <c r="Q658">
        <v>8</v>
      </c>
      <c r="R658">
        <v>2</v>
      </c>
      <c r="S658">
        <v>5</v>
      </c>
      <c r="T658">
        <v>0</v>
      </c>
      <c r="U658">
        <v>4</v>
      </c>
      <c r="V658" t="s">
        <v>72</v>
      </c>
      <c r="W658" s="2">
        <v>42679</v>
      </c>
      <c r="Y658" t="s">
        <v>46</v>
      </c>
      <c r="Z658" t="s">
        <v>40</v>
      </c>
      <c r="AA658">
        <v>5</v>
      </c>
      <c r="AB658">
        <v>3</v>
      </c>
      <c r="AC658" t="s">
        <v>31</v>
      </c>
      <c r="AD658" t="s">
        <v>67</v>
      </c>
      <c r="AE658" t="s">
        <v>43</v>
      </c>
      <c r="AF658" s="3">
        <v>911</v>
      </c>
      <c r="AG658" s="3">
        <v>87</v>
      </c>
      <c r="AH658">
        <v>80</v>
      </c>
      <c r="AI658">
        <v>0</v>
      </c>
      <c r="AJ658">
        <v>1</v>
      </c>
      <c r="AK658">
        <v>1</v>
      </c>
      <c r="AL658">
        <v>1</v>
      </c>
      <c r="AM658">
        <v>0</v>
      </c>
      <c r="AN658" t="s">
        <v>767</v>
      </c>
      <c r="AO658" t="s">
        <v>31</v>
      </c>
    </row>
    <row r="659" spans="1:41" x14ac:dyDescent="0.25">
      <c r="A659">
        <v>34</v>
      </c>
      <c r="B659" t="s">
        <v>66</v>
      </c>
      <c r="C659" t="s">
        <v>33</v>
      </c>
      <c r="D659">
        <v>16</v>
      </c>
      <c r="E659" t="s">
        <v>61</v>
      </c>
      <c r="F659">
        <v>2</v>
      </c>
      <c r="G659">
        <v>1</v>
      </c>
      <c r="H659" t="s">
        <v>44</v>
      </c>
      <c r="I659">
        <v>4</v>
      </c>
      <c r="J659" t="s">
        <v>36</v>
      </c>
      <c r="K659">
        <v>2553</v>
      </c>
      <c r="L659">
        <v>1</v>
      </c>
      <c r="M659" t="s">
        <v>41</v>
      </c>
      <c r="N659">
        <v>16</v>
      </c>
      <c r="O659">
        <v>3</v>
      </c>
      <c r="P659">
        <v>0</v>
      </c>
      <c r="Q659">
        <v>6</v>
      </c>
      <c r="R659">
        <v>3</v>
      </c>
      <c r="S659">
        <v>5</v>
      </c>
      <c r="T659">
        <v>1</v>
      </c>
      <c r="U659">
        <v>3</v>
      </c>
      <c r="V659" t="s">
        <v>72</v>
      </c>
      <c r="W659" s="1" t="s">
        <v>356</v>
      </c>
      <c r="Y659" t="s">
        <v>46</v>
      </c>
      <c r="Z659" t="s">
        <v>47</v>
      </c>
      <c r="AA659">
        <v>4</v>
      </c>
      <c r="AB659">
        <v>3</v>
      </c>
      <c r="AC659" t="s">
        <v>31</v>
      </c>
      <c r="AD659" t="s">
        <v>48</v>
      </c>
      <c r="AE659" t="s">
        <v>49</v>
      </c>
      <c r="AF659" s="3">
        <v>912</v>
      </c>
      <c r="AG659" s="3">
        <v>62</v>
      </c>
      <c r="AH659">
        <v>80</v>
      </c>
      <c r="AI659">
        <v>3</v>
      </c>
      <c r="AJ659">
        <v>0</v>
      </c>
      <c r="AL659">
        <v>0</v>
      </c>
      <c r="AM659">
        <v>1</v>
      </c>
      <c r="AN659" t="s">
        <v>768</v>
      </c>
      <c r="AO659" t="s">
        <v>41</v>
      </c>
    </row>
    <row r="660" spans="1:41" x14ac:dyDescent="0.25">
      <c r="A660">
        <v>44</v>
      </c>
      <c r="B660" t="s">
        <v>32</v>
      </c>
      <c r="C660" t="s">
        <v>33</v>
      </c>
      <c r="D660">
        <v>4</v>
      </c>
      <c r="E660" t="s">
        <v>34</v>
      </c>
      <c r="F660">
        <v>3</v>
      </c>
      <c r="G660">
        <v>2</v>
      </c>
      <c r="H660" t="s">
        <v>89</v>
      </c>
      <c r="I660">
        <v>2</v>
      </c>
      <c r="J660" t="s">
        <v>36</v>
      </c>
      <c r="K660">
        <v>5933</v>
      </c>
      <c r="L660">
        <v>9</v>
      </c>
      <c r="M660" t="s">
        <v>41</v>
      </c>
      <c r="N660">
        <v>12</v>
      </c>
      <c r="O660">
        <v>3</v>
      </c>
      <c r="P660">
        <v>0</v>
      </c>
      <c r="Q660">
        <v>10</v>
      </c>
      <c r="R660">
        <v>2</v>
      </c>
      <c r="S660">
        <v>5</v>
      </c>
      <c r="T660">
        <v>2</v>
      </c>
      <c r="U660">
        <v>3</v>
      </c>
      <c r="V660" t="s">
        <v>52</v>
      </c>
      <c r="W660" s="1" t="s">
        <v>322</v>
      </c>
      <c r="Y660" t="s">
        <v>69</v>
      </c>
      <c r="Z660" t="s">
        <v>40</v>
      </c>
      <c r="AA660">
        <v>1</v>
      </c>
      <c r="AB660">
        <v>2</v>
      </c>
      <c r="AC660" t="s">
        <v>41</v>
      </c>
      <c r="AD660" t="s">
        <v>48</v>
      </c>
      <c r="AE660" t="s">
        <v>60</v>
      </c>
      <c r="AF660" s="3">
        <v>913</v>
      </c>
      <c r="AG660" s="3">
        <v>61</v>
      </c>
      <c r="AH660">
        <v>80</v>
      </c>
      <c r="AI660">
        <v>7</v>
      </c>
      <c r="AJ660">
        <v>0</v>
      </c>
      <c r="AL660">
        <v>0</v>
      </c>
      <c r="AM660">
        <v>1</v>
      </c>
      <c r="AN660" t="s">
        <v>768</v>
      </c>
      <c r="AO660" t="s">
        <v>41</v>
      </c>
    </row>
    <row r="661" spans="1:41" x14ac:dyDescent="0.25">
      <c r="A661">
        <v>32</v>
      </c>
      <c r="B661" t="s">
        <v>32</v>
      </c>
      <c r="C661" t="s">
        <v>55</v>
      </c>
      <c r="D661">
        <v>13</v>
      </c>
      <c r="E661" t="s">
        <v>34</v>
      </c>
      <c r="F661">
        <v>3</v>
      </c>
      <c r="G661">
        <v>2</v>
      </c>
      <c r="H661" t="s">
        <v>70</v>
      </c>
      <c r="I661">
        <v>4</v>
      </c>
      <c r="J661" t="s">
        <v>57</v>
      </c>
      <c r="K661">
        <v>4403</v>
      </c>
      <c r="L661">
        <v>2</v>
      </c>
      <c r="M661" t="s">
        <v>41</v>
      </c>
      <c r="N661">
        <v>11</v>
      </c>
      <c r="O661">
        <v>3</v>
      </c>
      <c r="P661">
        <v>1</v>
      </c>
      <c r="Q661">
        <v>8</v>
      </c>
      <c r="R661">
        <v>3</v>
      </c>
      <c r="S661">
        <v>5</v>
      </c>
      <c r="T661">
        <v>0</v>
      </c>
      <c r="U661">
        <v>3</v>
      </c>
      <c r="V661" t="s">
        <v>52</v>
      </c>
      <c r="W661" s="2">
        <v>42705</v>
      </c>
      <c r="Y661" t="s">
        <v>39</v>
      </c>
      <c r="Z661" t="s">
        <v>40</v>
      </c>
      <c r="AA661">
        <v>0</v>
      </c>
      <c r="AB661">
        <v>1</v>
      </c>
      <c r="AC661" t="s">
        <v>31</v>
      </c>
      <c r="AD661" t="s">
        <v>65</v>
      </c>
      <c r="AE661" t="s">
        <v>49</v>
      </c>
      <c r="AF661" s="3">
        <v>916</v>
      </c>
      <c r="AG661" s="3">
        <v>98</v>
      </c>
      <c r="AH661">
        <v>80</v>
      </c>
      <c r="AI661">
        <v>2</v>
      </c>
      <c r="AJ661">
        <v>0</v>
      </c>
      <c r="AL661">
        <v>0</v>
      </c>
      <c r="AM661">
        <v>1</v>
      </c>
      <c r="AN661" t="s">
        <v>768</v>
      </c>
      <c r="AO661" t="s">
        <v>41</v>
      </c>
    </row>
    <row r="662" spans="1:41" x14ac:dyDescent="0.25">
      <c r="A662">
        <v>30</v>
      </c>
      <c r="B662" t="s">
        <v>66</v>
      </c>
      <c r="C662" t="s">
        <v>33</v>
      </c>
      <c r="D662">
        <v>5</v>
      </c>
      <c r="E662" t="s">
        <v>34</v>
      </c>
      <c r="F662">
        <v>2</v>
      </c>
      <c r="G662">
        <v>1</v>
      </c>
      <c r="H662" t="s">
        <v>44</v>
      </c>
      <c r="I662">
        <v>4</v>
      </c>
      <c r="J662" t="s">
        <v>57</v>
      </c>
      <c r="K662">
        <v>3761</v>
      </c>
      <c r="L662">
        <v>9</v>
      </c>
      <c r="M662" t="s">
        <v>41</v>
      </c>
      <c r="N662">
        <v>12</v>
      </c>
      <c r="O662">
        <v>3</v>
      </c>
      <c r="P662">
        <v>1</v>
      </c>
      <c r="Q662">
        <v>10</v>
      </c>
      <c r="R662">
        <v>3</v>
      </c>
      <c r="S662">
        <v>5</v>
      </c>
      <c r="T662">
        <v>0</v>
      </c>
      <c r="U662">
        <v>3</v>
      </c>
      <c r="V662" t="s">
        <v>37</v>
      </c>
      <c r="W662" s="1" t="s">
        <v>331</v>
      </c>
      <c r="Y662" t="s">
        <v>54</v>
      </c>
      <c r="Z662" t="s">
        <v>47</v>
      </c>
      <c r="AA662">
        <v>4</v>
      </c>
      <c r="AB662">
        <v>1</v>
      </c>
      <c r="AC662" t="s">
        <v>31</v>
      </c>
      <c r="AD662" t="s">
        <v>67</v>
      </c>
      <c r="AE662" t="s">
        <v>43</v>
      </c>
      <c r="AF662" s="3">
        <v>918</v>
      </c>
      <c r="AG662" s="3">
        <v>57</v>
      </c>
      <c r="AH662">
        <v>80</v>
      </c>
      <c r="AI662">
        <v>0</v>
      </c>
      <c r="AJ662">
        <v>1</v>
      </c>
      <c r="AK662">
        <v>1</v>
      </c>
      <c r="AL662">
        <v>1</v>
      </c>
      <c r="AM662">
        <v>0</v>
      </c>
      <c r="AN662" t="s">
        <v>767</v>
      </c>
      <c r="AO662" t="s">
        <v>31</v>
      </c>
    </row>
    <row r="663" spans="1:41" x14ac:dyDescent="0.25">
      <c r="A663">
        <v>53</v>
      </c>
      <c r="B663" t="s">
        <v>32</v>
      </c>
      <c r="C663" t="s">
        <v>55</v>
      </c>
      <c r="D663">
        <v>7</v>
      </c>
      <c r="E663" t="s">
        <v>61</v>
      </c>
      <c r="F663">
        <v>2</v>
      </c>
      <c r="G663">
        <v>3</v>
      </c>
      <c r="H663" t="s">
        <v>70</v>
      </c>
      <c r="I663">
        <v>4</v>
      </c>
      <c r="J663" t="s">
        <v>51</v>
      </c>
      <c r="K663">
        <v>10934</v>
      </c>
      <c r="L663">
        <v>7</v>
      </c>
      <c r="M663" t="s">
        <v>31</v>
      </c>
      <c r="N663">
        <v>18</v>
      </c>
      <c r="O663">
        <v>3</v>
      </c>
      <c r="P663">
        <v>1</v>
      </c>
      <c r="Q663">
        <v>35</v>
      </c>
      <c r="R663">
        <v>3</v>
      </c>
      <c r="S663">
        <v>5</v>
      </c>
      <c r="T663">
        <v>0</v>
      </c>
      <c r="U663">
        <v>4</v>
      </c>
      <c r="V663" t="s">
        <v>72</v>
      </c>
      <c r="W663" s="1" t="s">
        <v>357</v>
      </c>
      <c r="Y663" t="s">
        <v>63</v>
      </c>
      <c r="Z663" t="s">
        <v>47</v>
      </c>
      <c r="AA663">
        <v>2</v>
      </c>
      <c r="AB663">
        <v>0</v>
      </c>
      <c r="AC663" t="s">
        <v>31</v>
      </c>
      <c r="AD663" t="s">
        <v>42</v>
      </c>
      <c r="AE663" t="s">
        <v>60</v>
      </c>
      <c r="AF663" s="3">
        <v>920</v>
      </c>
      <c r="AG663" s="3">
        <v>55</v>
      </c>
      <c r="AH663">
        <v>80</v>
      </c>
      <c r="AI663">
        <v>0</v>
      </c>
      <c r="AJ663">
        <v>0</v>
      </c>
      <c r="AL663">
        <v>0</v>
      </c>
      <c r="AM663">
        <v>1</v>
      </c>
      <c r="AN663" t="s">
        <v>768</v>
      </c>
      <c r="AO663" t="s">
        <v>41</v>
      </c>
    </row>
    <row r="664" spans="1:41" x14ac:dyDescent="0.25">
      <c r="A664">
        <v>45</v>
      </c>
      <c r="B664" t="s">
        <v>32</v>
      </c>
      <c r="C664" t="s">
        <v>55</v>
      </c>
      <c r="D664">
        <v>9</v>
      </c>
      <c r="E664" t="s">
        <v>34</v>
      </c>
      <c r="F664">
        <v>3</v>
      </c>
      <c r="G664">
        <v>3</v>
      </c>
      <c r="H664" t="s">
        <v>70</v>
      </c>
      <c r="I664">
        <v>1</v>
      </c>
      <c r="J664" t="s">
        <v>57</v>
      </c>
      <c r="K664">
        <v>10761</v>
      </c>
      <c r="L664">
        <v>4</v>
      </c>
      <c r="M664" t="s">
        <v>31</v>
      </c>
      <c r="N664">
        <v>12</v>
      </c>
      <c r="O664">
        <v>3</v>
      </c>
      <c r="P664">
        <v>1</v>
      </c>
      <c r="Q664">
        <v>18</v>
      </c>
      <c r="R664">
        <v>2</v>
      </c>
      <c r="S664">
        <v>5</v>
      </c>
      <c r="T664">
        <v>0</v>
      </c>
      <c r="U664">
        <v>2</v>
      </c>
      <c r="V664" t="s">
        <v>58</v>
      </c>
      <c r="W664" s="1" t="s">
        <v>335</v>
      </c>
      <c r="Y664" t="s">
        <v>39</v>
      </c>
      <c r="Z664" t="s">
        <v>47</v>
      </c>
      <c r="AA664">
        <v>4</v>
      </c>
      <c r="AB664">
        <v>1</v>
      </c>
      <c r="AC664" t="s">
        <v>31</v>
      </c>
      <c r="AD664" t="s">
        <v>48</v>
      </c>
      <c r="AE664" t="s">
        <v>43</v>
      </c>
      <c r="AF664" s="3">
        <v>922</v>
      </c>
      <c r="AG664" s="3">
        <v>49</v>
      </c>
      <c r="AH664">
        <v>80</v>
      </c>
      <c r="AI664">
        <v>2</v>
      </c>
      <c r="AJ664">
        <v>1</v>
      </c>
      <c r="AK664">
        <v>1</v>
      </c>
      <c r="AL664">
        <v>1</v>
      </c>
      <c r="AM664">
        <v>0</v>
      </c>
      <c r="AN664" t="s">
        <v>767</v>
      </c>
      <c r="AO664" t="s">
        <v>31</v>
      </c>
    </row>
    <row r="665" spans="1:41" x14ac:dyDescent="0.25">
      <c r="A665">
        <v>32</v>
      </c>
      <c r="B665" t="s">
        <v>32</v>
      </c>
      <c r="C665" t="s">
        <v>33</v>
      </c>
      <c r="D665">
        <v>8</v>
      </c>
      <c r="E665" t="s">
        <v>61</v>
      </c>
      <c r="F665">
        <v>4</v>
      </c>
      <c r="G665">
        <v>2</v>
      </c>
      <c r="H665" t="s">
        <v>44</v>
      </c>
      <c r="I665">
        <v>3</v>
      </c>
      <c r="J665" t="s">
        <v>51</v>
      </c>
      <c r="K665">
        <v>5175</v>
      </c>
      <c r="L665">
        <v>5</v>
      </c>
      <c r="M665" t="s">
        <v>41</v>
      </c>
      <c r="N665">
        <v>12</v>
      </c>
      <c r="O665">
        <v>3</v>
      </c>
      <c r="P665">
        <v>1</v>
      </c>
      <c r="Q665">
        <v>9</v>
      </c>
      <c r="R665">
        <v>3</v>
      </c>
      <c r="S665">
        <v>5</v>
      </c>
      <c r="T665">
        <v>1</v>
      </c>
      <c r="U665">
        <v>3</v>
      </c>
      <c r="V665" t="s">
        <v>58</v>
      </c>
      <c r="W665" s="1" t="s">
        <v>358</v>
      </c>
      <c r="Y665" t="s">
        <v>46</v>
      </c>
      <c r="Z665" t="s">
        <v>47</v>
      </c>
      <c r="AA665">
        <v>5</v>
      </c>
      <c r="AB665">
        <v>1</v>
      </c>
      <c r="AC665" t="s">
        <v>31</v>
      </c>
      <c r="AD665" t="s">
        <v>48</v>
      </c>
      <c r="AE665" t="s">
        <v>60</v>
      </c>
      <c r="AF665" s="3">
        <v>923</v>
      </c>
      <c r="AG665" s="3">
        <v>65</v>
      </c>
      <c r="AH665">
        <v>80</v>
      </c>
      <c r="AI665">
        <v>0</v>
      </c>
      <c r="AJ665">
        <v>1</v>
      </c>
      <c r="AK665">
        <v>1</v>
      </c>
      <c r="AL665">
        <v>1</v>
      </c>
      <c r="AM665">
        <v>0</v>
      </c>
      <c r="AN665" t="s">
        <v>767</v>
      </c>
      <c r="AO665" t="s">
        <v>31</v>
      </c>
    </row>
    <row r="666" spans="1:41" x14ac:dyDescent="0.25">
      <c r="A666">
        <v>28</v>
      </c>
      <c r="B666" t="s">
        <v>32</v>
      </c>
      <c r="C666" t="s">
        <v>120</v>
      </c>
      <c r="D666">
        <v>8</v>
      </c>
      <c r="E666" t="s">
        <v>34</v>
      </c>
      <c r="F666">
        <v>2</v>
      </c>
      <c r="G666">
        <v>1</v>
      </c>
      <c r="H666" t="s">
        <v>120</v>
      </c>
      <c r="I666">
        <v>4</v>
      </c>
      <c r="J666" t="s">
        <v>57</v>
      </c>
      <c r="K666">
        <v>4936</v>
      </c>
      <c r="L666">
        <v>1</v>
      </c>
      <c r="M666" t="s">
        <v>41</v>
      </c>
      <c r="N666">
        <v>13</v>
      </c>
      <c r="O666">
        <v>3</v>
      </c>
      <c r="P666">
        <v>1</v>
      </c>
      <c r="Q666">
        <v>6</v>
      </c>
      <c r="R666">
        <v>6</v>
      </c>
      <c r="S666">
        <v>5</v>
      </c>
      <c r="T666">
        <v>0</v>
      </c>
      <c r="U666">
        <v>4</v>
      </c>
      <c r="V666" t="s">
        <v>58</v>
      </c>
      <c r="W666" s="1" t="s">
        <v>359</v>
      </c>
      <c r="Y666" t="s">
        <v>69</v>
      </c>
      <c r="Z666" t="s">
        <v>47</v>
      </c>
      <c r="AA666">
        <v>1</v>
      </c>
      <c r="AB666">
        <v>0</v>
      </c>
      <c r="AC666" t="s">
        <v>41</v>
      </c>
      <c r="AD666" t="s">
        <v>42</v>
      </c>
      <c r="AE666" t="s">
        <v>60</v>
      </c>
      <c r="AF666" s="3">
        <v>924</v>
      </c>
      <c r="AG666" s="3">
        <v>68</v>
      </c>
      <c r="AH666">
        <v>80</v>
      </c>
      <c r="AI666">
        <v>8</v>
      </c>
      <c r="AJ666">
        <v>0</v>
      </c>
      <c r="AL666">
        <v>0</v>
      </c>
      <c r="AM666">
        <v>1</v>
      </c>
      <c r="AN666" t="s">
        <v>768</v>
      </c>
      <c r="AO666" t="s">
        <v>41</v>
      </c>
    </row>
    <row r="667" spans="1:41" x14ac:dyDescent="0.25">
      <c r="A667">
        <v>36</v>
      </c>
      <c r="B667" t="s">
        <v>32</v>
      </c>
      <c r="C667" t="s">
        <v>120</v>
      </c>
      <c r="D667">
        <v>8</v>
      </c>
      <c r="E667" t="s">
        <v>34</v>
      </c>
      <c r="F667">
        <v>2</v>
      </c>
      <c r="G667">
        <v>1</v>
      </c>
      <c r="H667" t="s">
        <v>120</v>
      </c>
      <c r="I667">
        <v>1</v>
      </c>
      <c r="J667" t="s">
        <v>51</v>
      </c>
      <c r="K667">
        <v>2342</v>
      </c>
      <c r="L667">
        <v>0</v>
      </c>
      <c r="M667" t="s">
        <v>41</v>
      </c>
      <c r="N667">
        <v>21</v>
      </c>
      <c r="O667">
        <v>4</v>
      </c>
      <c r="P667">
        <v>0</v>
      </c>
      <c r="Q667">
        <v>6</v>
      </c>
      <c r="R667">
        <v>3</v>
      </c>
      <c r="S667">
        <v>5</v>
      </c>
      <c r="T667">
        <v>0</v>
      </c>
      <c r="U667">
        <v>3</v>
      </c>
      <c r="V667" t="s">
        <v>58</v>
      </c>
      <c r="W667" s="1" t="s">
        <v>330</v>
      </c>
      <c r="Y667" t="s">
        <v>69</v>
      </c>
      <c r="Z667" t="s">
        <v>40</v>
      </c>
      <c r="AA667">
        <v>4</v>
      </c>
      <c r="AB667">
        <v>0</v>
      </c>
      <c r="AC667" t="s">
        <v>31</v>
      </c>
      <c r="AD667" t="s">
        <v>65</v>
      </c>
      <c r="AE667" t="s">
        <v>49</v>
      </c>
      <c r="AF667" s="3">
        <v>925</v>
      </c>
      <c r="AG667" s="3">
        <v>65</v>
      </c>
      <c r="AH667">
        <v>80</v>
      </c>
      <c r="AI667">
        <v>2</v>
      </c>
      <c r="AJ667">
        <v>0</v>
      </c>
      <c r="AL667">
        <v>0</v>
      </c>
      <c r="AM667">
        <v>1</v>
      </c>
      <c r="AN667" t="s">
        <v>768</v>
      </c>
      <c r="AO667" t="s">
        <v>41</v>
      </c>
    </row>
    <row r="668" spans="1:41" x14ac:dyDescent="0.25">
      <c r="A668">
        <v>25</v>
      </c>
      <c r="B668" t="s">
        <v>32</v>
      </c>
      <c r="C668" t="s">
        <v>55</v>
      </c>
      <c r="D668">
        <v>3</v>
      </c>
      <c r="E668" t="s">
        <v>34</v>
      </c>
      <c r="F668">
        <v>3</v>
      </c>
      <c r="G668">
        <v>2</v>
      </c>
      <c r="H668" t="s">
        <v>70</v>
      </c>
      <c r="I668">
        <v>1</v>
      </c>
      <c r="J668" t="s">
        <v>51</v>
      </c>
      <c r="K668">
        <v>4194</v>
      </c>
      <c r="L668">
        <v>1</v>
      </c>
      <c r="M668" t="s">
        <v>31</v>
      </c>
      <c r="N668">
        <v>18</v>
      </c>
      <c r="O668">
        <v>3</v>
      </c>
      <c r="P668">
        <v>0</v>
      </c>
      <c r="Q668">
        <v>5</v>
      </c>
      <c r="R668">
        <v>3</v>
      </c>
      <c r="S668">
        <v>5</v>
      </c>
      <c r="T668">
        <v>0</v>
      </c>
      <c r="U668">
        <v>3</v>
      </c>
      <c r="V668" t="s">
        <v>37</v>
      </c>
      <c r="W668" s="1" t="s">
        <v>356</v>
      </c>
      <c r="Y668" t="s">
        <v>46</v>
      </c>
      <c r="Z668" t="s">
        <v>47</v>
      </c>
      <c r="AA668">
        <v>2</v>
      </c>
      <c r="AB668">
        <v>2</v>
      </c>
      <c r="AC668" t="s">
        <v>31</v>
      </c>
      <c r="AD668" t="s">
        <v>42</v>
      </c>
      <c r="AE668" t="s">
        <v>49</v>
      </c>
      <c r="AF668" s="3">
        <v>926</v>
      </c>
      <c r="AG668" s="3">
        <v>34</v>
      </c>
      <c r="AH668">
        <v>80</v>
      </c>
      <c r="AI668">
        <v>2</v>
      </c>
      <c r="AJ668">
        <v>1</v>
      </c>
      <c r="AK668">
        <v>1</v>
      </c>
      <c r="AL668">
        <v>1</v>
      </c>
      <c r="AM668">
        <v>0</v>
      </c>
      <c r="AN668" t="s">
        <v>767</v>
      </c>
      <c r="AO668" t="s">
        <v>31</v>
      </c>
    </row>
    <row r="669" spans="1:41" x14ac:dyDescent="0.25">
      <c r="A669">
        <v>25</v>
      </c>
      <c r="B669" t="s">
        <v>32</v>
      </c>
      <c r="C669" t="s">
        <v>55</v>
      </c>
      <c r="D669">
        <v>4</v>
      </c>
      <c r="E669" t="s">
        <v>34</v>
      </c>
      <c r="F669">
        <v>2</v>
      </c>
      <c r="G669">
        <v>2</v>
      </c>
      <c r="H669" t="s">
        <v>70</v>
      </c>
      <c r="I669">
        <v>1</v>
      </c>
      <c r="J669" t="s">
        <v>51</v>
      </c>
      <c r="K669">
        <v>4256</v>
      </c>
      <c r="L669">
        <v>1</v>
      </c>
      <c r="M669" t="s">
        <v>41</v>
      </c>
      <c r="N669">
        <v>12</v>
      </c>
      <c r="O669">
        <v>3</v>
      </c>
      <c r="P669">
        <v>0</v>
      </c>
      <c r="Q669">
        <v>5</v>
      </c>
      <c r="R669">
        <v>1</v>
      </c>
      <c r="S669">
        <v>5</v>
      </c>
      <c r="T669">
        <v>0</v>
      </c>
      <c r="U669">
        <v>3</v>
      </c>
      <c r="V669" t="s">
        <v>72</v>
      </c>
      <c r="W669" s="1" t="s">
        <v>333</v>
      </c>
      <c r="Y669" t="s">
        <v>54</v>
      </c>
      <c r="Z669" t="s">
        <v>47</v>
      </c>
      <c r="AA669">
        <v>2</v>
      </c>
      <c r="AB669">
        <v>1</v>
      </c>
      <c r="AC669" t="s">
        <v>31</v>
      </c>
      <c r="AD669" t="s">
        <v>48</v>
      </c>
      <c r="AE669" t="s">
        <v>49</v>
      </c>
      <c r="AF669" s="3">
        <v>927</v>
      </c>
      <c r="AG669" s="3">
        <v>57</v>
      </c>
      <c r="AH669">
        <v>80</v>
      </c>
      <c r="AI669">
        <v>7</v>
      </c>
      <c r="AJ669">
        <v>1</v>
      </c>
      <c r="AK669">
        <v>1</v>
      </c>
      <c r="AL669">
        <v>1</v>
      </c>
      <c r="AM669">
        <v>0</v>
      </c>
      <c r="AN669" t="s">
        <v>767</v>
      </c>
      <c r="AO669" t="s">
        <v>31</v>
      </c>
    </row>
    <row r="670" spans="1:41" x14ac:dyDescent="0.25">
      <c r="A670">
        <v>24</v>
      </c>
      <c r="B670" t="s">
        <v>81</v>
      </c>
      <c r="C670" t="s">
        <v>33</v>
      </c>
      <c r="D670">
        <v>4</v>
      </c>
      <c r="E670" t="s">
        <v>34</v>
      </c>
      <c r="F670">
        <v>2</v>
      </c>
      <c r="G670">
        <v>1</v>
      </c>
      <c r="H670" t="s">
        <v>35</v>
      </c>
      <c r="I670">
        <v>4</v>
      </c>
      <c r="J670" t="s">
        <v>51</v>
      </c>
      <c r="K670">
        <v>3162</v>
      </c>
      <c r="L670">
        <v>0</v>
      </c>
      <c r="M670" t="s">
        <v>41</v>
      </c>
      <c r="N670">
        <v>17</v>
      </c>
      <c r="O670">
        <v>3</v>
      </c>
      <c r="P670">
        <v>0</v>
      </c>
      <c r="Q670">
        <v>6</v>
      </c>
      <c r="R670">
        <v>2</v>
      </c>
      <c r="S670">
        <v>5</v>
      </c>
      <c r="T670">
        <v>3</v>
      </c>
      <c r="U670">
        <v>4</v>
      </c>
      <c r="V670" t="s">
        <v>58</v>
      </c>
      <c r="W670" s="1" t="s">
        <v>360</v>
      </c>
      <c r="Y670" t="s">
        <v>39</v>
      </c>
      <c r="Z670" t="s">
        <v>40</v>
      </c>
      <c r="AA670">
        <v>4</v>
      </c>
      <c r="AB670">
        <v>3</v>
      </c>
      <c r="AC670" t="s">
        <v>41</v>
      </c>
      <c r="AD670" t="s">
        <v>65</v>
      </c>
      <c r="AE670" t="s">
        <v>49</v>
      </c>
      <c r="AF670" s="3">
        <v>930</v>
      </c>
      <c r="AG670" s="3">
        <v>77</v>
      </c>
      <c r="AH670">
        <v>80</v>
      </c>
      <c r="AI670">
        <v>2</v>
      </c>
      <c r="AJ670">
        <v>0</v>
      </c>
      <c r="AL670">
        <v>0</v>
      </c>
      <c r="AM670">
        <v>1</v>
      </c>
      <c r="AN670" t="s">
        <v>768</v>
      </c>
      <c r="AO670" t="s">
        <v>41</v>
      </c>
    </row>
    <row r="671" spans="1:41" x14ac:dyDescent="0.25">
      <c r="A671">
        <v>42</v>
      </c>
      <c r="B671" t="s">
        <v>32</v>
      </c>
      <c r="C671" t="s">
        <v>33</v>
      </c>
      <c r="D671">
        <v>3</v>
      </c>
      <c r="E671" t="s">
        <v>61</v>
      </c>
      <c r="F671">
        <v>4</v>
      </c>
      <c r="G671">
        <v>2</v>
      </c>
      <c r="H671" t="s">
        <v>35</v>
      </c>
      <c r="I671">
        <v>4</v>
      </c>
      <c r="J671" t="s">
        <v>51</v>
      </c>
      <c r="K671">
        <v>5231</v>
      </c>
      <c r="L671">
        <v>2</v>
      </c>
      <c r="M671" t="s">
        <v>31</v>
      </c>
      <c r="N671">
        <v>13</v>
      </c>
      <c r="O671">
        <v>3</v>
      </c>
      <c r="P671">
        <v>1</v>
      </c>
      <c r="Q671">
        <v>17</v>
      </c>
      <c r="R671">
        <v>1</v>
      </c>
      <c r="S671">
        <v>5</v>
      </c>
      <c r="T671">
        <v>1</v>
      </c>
      <c r="U671">
        <v>3</v>
      </c>
      <c r="V671" t="s">
        <v>58</v>
      </c>
      <c r="W671" s="1" t="s">
        <v>361</v>
      </c>
      <c r="Y671" t="s">
        <v>69</v>
      </c>
      <c r="Z671" t="s">
        <v>40</v>
      </c>
      <c r="AA671">
        <v>4</v>
      </c>
      <c r="AB671">
        <v>2</v>
      </c>
      <c r="AC671" t="s">
        <v>41</v>
      </c>
      <c r="AD671" t="s">
        <v>67</v>
      </c>
      <c r="AE671" t="s">
        <v>60</v>
      </c>
      <c r="AF671" s="3">
        <v>932</v>
      </c>
      <c r="AG671" s="3">
        <v>70</v>
      </c>
      <c r="AH671">
        <v>80</v>
      </c>
      <c r="AI671">
        <v>2</v>
      </c>
      <c r="AJ671">
        <v>1</v>
      </c>
      <c r="AK671">
        <v>1</v>
      </c>
      <c r="AL671">
        <v>1</v>
      </c>
      <c r="AM671">
        <v>0</v>
      </c>
      <c r="AN671" t="s">
        <v>767</v>
      </c>
      <c r="AO671" t="s">
        <v>31</v>
      </c>
    </row>
    <row r="672" spans="1:41" x14ac:dyDescent="0.25">
      <c r="A672">
        <v>37</v>
      </c>
      <c r="B672" t="s">
        <v>66</v>
      </c>
      <c r="C672" t="s">
        <v>55</v>
      </c>
      <c r="D672">
        <v>21</v>
      </c>
      <c r="E672" t="s">
        <v>61</v>
      </c>
      <c r="F672">
        <v>3</v>
      </c>
      <c r="G672">
        <v>1</v>
      </c>
      <c r="H672" t="s">
        <v>56</v>
      </c>
      <c r="I672">
        <v>4</v>
      </c>
      <c r="J672" t="s">
        <v>51</v>
      </c>
      <c r="K672">
        <v>2973</v>
      </c>
      <c r="L672">
        <v>5</v>
      </c>
      <c r="M672" t="s">
        <v>41</v>
      </c>
      <c r="N672">
        <v>15</v>
      </c>
      <c r="O672">
        <v>3</v>
      </c>
      <c r="P672">
        <v>1</v>
      </c>
      <c r="Q672">
        <v>10</v>
      </c>
      <c r="R672">
        <v>3</v>
      </c>
      <c r="S672">
        <v>5</v>
      </c>
      <c r="T672">
        <v>0</v>
      </c>
      <c r="U672">
        <v>0</v>
      </c>
      <c r="V672" t="s">
        <v>52</v>
      </c>
      <c r="W672" s="2">
        <v>42677</v>
      </c>
      <c r="Y672" t="s">
        <v>39</v>
      </c>
      <c r="Z672" t="s">
        <v>47</v>
      </c>
      <c r="AA672">
        <v>1</v>
      </c>
      <c r="AB672">
        <v>1</v>
      </c>
      <c r="AC672" t="s">
        <v>31</v>
      </c>
      <c r="AD672" t="s">
        <v>67</v>
      </c>
      <c r="AE672" t="s">
        <v>43</v>
      </c>
      <c r="AF672" s="3">
        <v>933</v>
      </c>
      <c r="AG672" s="3">
        <v>76</v>
      </c>
      <c r="AH672">
        <v>80</v>
      </c>
      <c r="AI672">
        <v>1</v>
      </c>
      <c r="AJ672">
        <v>0</v>
      </c>
      <c r="AL672">
        <v>0</v>
      </c>
      <c r="AM672">
        <v>1</v>
      </c>
      <c r="AN672" t="s">
        <v>768</v>
      </c>
      <c r="AO672" t="s">
        <v>41</v>
      </c>
    </row>
    <row r="673" spans="1:41" x14ac:dyDescent="0.25">
      <c r="A673">
        <v>43</v>
      </c>
      <c r="B673" t="s">
        <v>66</v>
      </c>
      <c r="C673" t="s">
        <v>33</v>
      </c>
      <c r="D673">
        <v>1</v>
      </c>
      <c r="E673" t="s">
        <v>61</v>
      </c>
      <c r="F673">
        <v>3</v>
      </c>
      <c r="G673">
        <v>2</v>
      </c>
      <c r="H673" t="s">
        <v>89</v>
      </c>
      <c r="I673">
        <v>4</v>
      </c>
      <c r="J673" t="s">
        <v>51</v>
      </c>
      <c r="K673">
        <v>5562</v>
      </c>
      <c r="L673">
        <v>4</v>
      </c>
      <c r="M673" t="s">
        <v>41</v>
      </c>
      <c r="N673">
        <v>13</v>
      </c>
      <c r="O673">
        <v>3</v>
      </c>
      <c r="P673">
        <v>1</v>
      </c>
      <c r="Q673">
        <v>12</v>
      </c>
      <c r="R673">
        <v>2</v>
      </c>
      <c r="S673">
        <v>5</v>
      </c>
      <c r="T673">
        <v>2</v>
      </c>
      <c r="U673">
        <v>2</v>
      </c>
      <c r="V673" t="s">
        <v>72</v>
      </c>
      <c r="W673" s="1" t="s">
        <v>362</v>
      </c>
      <c r="Y673" t="s">
        <v>54</v>
      </c>
      <c r="Z673" t="s">
        <v>47</v>
      </c>
      <c r="AA673">
        <v>3</v>
      </c>
      <c r="AB673">
        <v>0</v>
      </c>
      <c r="AC673" t="s">
        <v>41</v>
      </c>
      <c r="AD673" t="s">
        <v>42</v>
      </c>
      <c r="AE673" t="s">
        <v>43</v>
      </c>
      <c r="AF673" s="3">
        <v>934</v>
      </c>
      <c r="AG673" s="3">
        <v>83</v>
      </c>
      <c r="AH673">
        <v>80</v>
      </c>
      <c r="AI673">
        <v>0</v>
      </c>
      <c r="AJ673">
        <v>0</v>
      </c>
      <c r="AL673">
        <v>0</v>
      </c>
      <c r="AM673">
        <v>1</v>
      </c>
      <c r="AN673" t="s">
        <v>768</v>
      </c>
      <c r="AO673" t="s">
        <v>41</v>
      </c>
    </row>
    <row r="674" spans="1:41" x14ac:dyDescent="0.25">
      <c r="A674">
        <v>39</v>
      </c>
      <c r="B674" t="s">
        <v>32</v>
      </c>
      <c r="C674" t="s">
        <v>120</v>
      </c>
      <c r="D674">
        <v>2</v>
      </c>
      <c r="E674" t="s">
        <v>61</v>
      </c>
      <c r="F674">
        <v>2</v>
      </c>
      <c r="G674">
        <v>2</v>
      </c>
      <c r="H674" t="s">
        <v>120</v>
      </c>
      <c r="I674">
        <v>4</v>
      </c>
      <c r="J674" t="s">
        <v>51</v>
      </c>
      <c r="K674">
        <v>5204</v>
      </c>
      <c r="L674">
        <v>8</v>
      </c>
      <c r="M674" t="s">
        <v>41</v>
      </c>
      <c r="N674">
        <v>11</v>
      </c>
      <c r="O674">
        <v>3</v>
      </c>
      <c r="P674">
        <v>2</v>
      </c>
      <c r="Q674">
        <v>13</v>
      </c>
      <c r="R674">
        <v>2</v>
      </c>
      <c r="S674">
        <v>5</v>
      </c>
      <c r="T674">
        <v>0</v>
      </c>
      <c r="U674">
        <v>4</v>
      </c>
      <c r="V674" t="s">
        <v>52</v>
      </c>
      <c r="W674" s="1" t="s">
        <v>363</v>
      </c>
      <c r="Y674" t="s">
        <v>69</v>
      </c>
      <c r="Z674" t="s">
        <v>40</v>
      </c>
      <c r="AA674">
        <v>4</v>
      </c>
      <c r="AB674">
        <v>0</v>
      </c>
      <c r="AC674" t="s">
        <v>41</v>
      </c>
      <c r="AD674" t="s">
        <v>65</v>
      </c>
      <c r="AE674" t="s">
        <v>43</v>
      </c>
      <c r="AF674" s="3">
        <v>936</v>
      </c>
      <c r="AG674" s="3">
        <v>68</v>
      </c>
      <c r="AH674">
        <v>80</v>
      </c>
      <c r="AI674">
        <v>4</v>
      </c>
      <c r="AJ674">
        <v>0</v>
      </c>
      <c r="AL674">
        <v>0</v>
      </c>
      <c r="AM674">
        <v>1</v>
      </c>
      <c r="AN674" t="s">
        <v>768</v>
      </c>
      <c r="AO674" t="s">
        <v>41</v>
      </c>
    </row>
    <row r="675" spans="1:41" x14ac:dyDescent="0.25">
      <c r="A675">
        <v>42</v>
      </c>
      <c r="B675" t="s">
        <v>32</v>
      </c>
      <c r="C675" t="s">
        <v>55</v>
      </c>
      <c r="D675">
        <v>14</v>
      </c>
      <c r="E675" t="s">
        <v>61</v>
      </c>
      <c r="F675">
        <v>2</v>
      </c>
      <c r="G675">
        <v>2</v>
      </c>
      <c r="H675" t="s">
        <v>70</v>
      </c>
      <c r="I675">
        <v>3</v>
      </c>
      <c r="J675" t="s">
        <v>36</v>
      </c>
      <c r="K675">
        <v>6244</v>
      </c>
      <c r="L675">
        <v>7</v>
      </c>
      <c r="M675" t="s">
        <v>41</v>
      </c>
      <c r="N675">
        <v>17</v>
      </c>
      <c r="O675">
        <v>3</v>
      </c>
      <c r="P675">
        <v>0</v>
      </c>
      <c r="Q675">
        <v>10</v>
      </c>
      <c r="R675">
        <v>6</v>
      </c>
      <c r="S675">
        <v>5</v>
      </c>
      <c r="T675">
        <v>0</v>
      </c>
      <c r="U675">
        <v>3</v>
      </c>
      <c r="V675" t="s">
        <v>72</v>
      </c>
      <c r="W675" s="1" t="s">
        <v>364</v>
      </c>
      <c r="Y675" t="s">
        <v>39</v>
      </c>
      <c r="Z675" t="s">
        <v>40</v>
      </c>
      <c r="AA675">
        <v>5</v>
      </c>
      <c r="AB675">
        <v>3</v>
      </c>
      <c r="AC675" t="s">
        <v>41</v>
      </c>
      <c r="AD675" t="s">
        <v>67</v>
      </c>
      <c r="AE675" t="s">
        <v>60</v>
      </c>
      <c r="AF675" s="3">
        <v>939</v>
      </c>
      <c r="AG675" s="3">
        <v>100</v>
      </c>
      <c r="AH675">
        <v>80</v>
      </c>
      <c r="AI675">
        <v>2</v>
      </c>
      <c r="AJ675">
        <v>0</v>
      </c>
      <c r="AL675">
        <v>0</v>
      </c>
      <c r="AM675">
        <v>1</v>
      </c>
      <c r="AN675" t="s">
        <v>768</v>
      </c>
      <c r="AO675" t="s">
        <v>41</v>
      </c>
    </row>
    <row r="676" spans="1:41" x14ac:dyDescent="0.25">
      <c r="A676">
        <v>33</v>
      </c>
      <c r="B676" t="s">
        <v>32</v>
      </c>
      <c r="C676" t="s">
        <v>33</v>
      </c>
      <c r="D676">
        <v>1</v>
      </c>
      <c r="E676" t="s">
        <v>61</v>
      </c>
      <c r="F676">
        <v>2</v>
      </c>
      <c r="G676">
        <v>2</v>
      </c>
      <c r="H676" t="s">
        <v>89</v>
      </c>
      <c r="I676">
        <v>4</v>
      </c>
      <c r="J676" t="s">
        <v>36</v>
      </c>
      <c r="K676">
        <v>6949</v>
      </c>
      <c r="L676">
        <v>0</v>
      </c>
      <c r="M676" t="s">
        <v>41</v>
      </c>
      <c r="N676">
        <v>14</v>
      </c>
      <c r="O676">
        <v>3</v>
      </c>
      <c r="P676">
        <v>0</v>
      </c>
      <c r="Q676">
        <v>6</v>
      </c>
      <c r="R676">
        <v>3</v>
      </c>
      <c r="S676">
        <v>5</v>
      </c>
      <c r="T676">
        <v>1</v>
      </c>
      <c r="U676">
        <v>4</v>
      </c>
      <c r="V676" t="s">
        <v>37</v>
      </c>
      <c r="W676" s="2">
        <v>42463</v>
      </c>
      <c r="Y676" t="s">
        <v>39</v>
      </c>
      <c r="Z676" t="s">
        <v>40</v>
      </c>
      <c r="AA676">
        <v>3</v>
      </c>
      <c r="AB676">
        <v>0</v>
      </c>
      <c r="AC676" t="s">
        <v>31</v>
      </c>
      <c r="AD676" t="s">
        <v>42</v>
      </c>
      <c r="AE676" t="s">
        <v>49</v>
      </c>
      <c r="AF676" s="3">
        <v>940</v>
      </c>
      <c r="AG676" s="3">
        <v>37</v>
      </c>
      <c r="AH676">
        <v>80</v>
      </c>
      <c r="AI676">
        <v>0</v>
      </c>
      <c r="AJ676">
        <v>0</v>
      </c>
      <c r="AL676">
        <v>0</v>
      </c>
      <c r="AM676">
        <v>1</v>
      </c>
      <c r="AN676" t="s">
        <v>768</v>
      </c>
      <c r="AO676" t="s">
        <v>41</v>
      </c>
    </row>
    <row r="677" spans="1:41" x14ac:dyDescent="0.25">
      <c r="A677">
        <v>35</v>
      </c>
      <c r="B677" t="s">
        <v>32</v>
      </c>
      <c r="C677" t="s">
        <v>55</v>
      </c>
      <c r="D677">
        <v>18</v>
      </c>
      <c r="E677" t="s">
        <v>61</v>
      </c>
      <c r="F677">
        <v>3</v>
      </c>
      <c r="G677">
        <v>2</v>
      </c>
      <c r="H677" t="s">
        <v>70</v>
      </c>
      <c r="I677">
        <v>3</v>
      </c>
      <c r="J677" t="s">
        <v>51</v>
      </c>
      <c r="K677">
        <v>4601</v>
      </c>
      <c r="L677">
        <v>1</v>
      </c>
      <c r="M677" t="s">
        <v>41</v>
      </c>
      <c r="N677">
        <v>16</v>
      </c>
      <c r="O677">
        <v>3</v>
      </c>
      <c r="P677">
        <v>0</v>
      </c>
      <c r="Q677">
        <v>5</v>
      </c>
      <c r="R677">
        <v>3</v>
      </c>
      <c r="S677">
        <v>5</v>
      </c>
      <c r="T677">
        <v>1</v>
      </c>
      <c r="U677">
        <v>0</v>
      </c>
      <c r="V677" t="s">
        <v>52</v>
      </c>
      <c r="W677" s="1" t="s">
        <v>344</v>
      </c>
      <c r="Y677" t="s">
        <v>46</v>
      </c>
      <c r="Z677" t="s">
        <v>47</v>
      </c>
      <c r="AA677">
        <v>3</v>
      </c>
      <c r="AB677">
        <v>3</v>
      </c>
      <c r="AC677" t="s">
        <v>41</v>
      </c>
      <c r="AD677" t="s">
        <v>65</v>
      </c>
      <c r="AE677" t="s">
        <v>60</v>
      </c>
      <c r="AF677" s="3">
        <v>941</v>
      </c>
      <c r="AG677" s="3">
        <v>41</v>
      </c>
      <c r="AH677">
        <v>80</v>
      </c>
      <c r="AI677">
        <v>7</v>
      </c>
      <c r="AJ677">
        <v>0</v>
      </c>
      <c r="AL677">
        <v>0</v>
      </c>
      <c r="AM677">
        <v>1</v>
      </c>
      <c r="AN677" t="s">
        <v>768</v>
      </c>
      <c r="AO677" t="s">
        <v>41</v>
      </c>
    </row>
    <row r="678" spans="1:41" x14ac:dyDescent="0.25">
      <c r="A678">
        <v>38</v>
      </c>
      <c r="B678" t="s">
        <v>81</v>
      </c>
      <c r="C678" t="s">
        <v>55</v>
      </c>
      <c r="D678">
        <v>10</v>
      </c>
      <c r="E678" t="s">
        <v>61</v>
      </c>
      <c r="F678">
        <v>3</v>
      </c>
      <c r="G678">
        <v>2</v>
      </c>
      <c r="H678" t="s">
        <v>70</v>
      </c>
      <c r="I678">
        <v>4</v>
      </c>
      <c r="J678" t="s">
        <v>36</v>
      </c>
      <c r="K678">
        <v>5666</v>
      </c>
      <c r="L678">
        <v>1</v>
      </c>
      <c r="M678" t="s">
        <v>31</v>
      </c>
      <c r="N678">
        <v>13</v>
      </c>
      <c r="O678">
        <v>3</v>
      </c>
      <c r="P678">
        <v>0</v>
      </c>
      <c r="Q678">
        <v>6</v>
      </c>
      <c r="R678">
        <v>1</v>
      </c>
      <c r="S678">
        <v>5</v>
      </c>
      <c r="T678">
        <v>1</v>
      </c>
      <c r="U678">
        <v>3</v>
      </c>
      <c r="V678" t="s">
        <v>52</v>
      </c>
      <c r="W678" s="1" t="s">
        <v>318</v>
      </c>
      <c r="Y678" t="s">
        <v>39</v>
      </c>
      <c r="Z678" t="s">
        <v>40</v>
      </c>
      <c r="AA678">
        <v>2</v>
      </c>
      <c r="AB678">
        <v>0</v>
      </c>
      <c r="AC678" t="s">
        <v>41</v>
      </c>
      <c r="AD678" t="s">
        <v>67</v>
      </c>
      <c r="AE678" t="s">
        <v>60</v>
      </c>
      <c r="AF678" s="3">
        <v>942</v>
      </c>
      <c r="AG678" s="3">
        <v>51</v>
      </c>
      <c r="AH678">
        <v>80</v>
      </c>
      <c r="AI678">
        <v>6</v>
      </c>
      <c r="AJ678">
        <v>0</v>
      </c>
      <c r="AL678">
        <v>0</v>
      </c>
      <c r="AM678">
        <v>1</v>
      </c>
      <c r="AN678" t="s">
        <v>768</v>
      </c>
      <c r="AO678" t="s">
        <v>41</v>
      </c>
    </row>
    <row r="679" spans="1:41" x14ac:dyDescent="0.25">
      <c r="A679">
        <v>45</v>
      </c>
      <c r="B679" t="s">
        <v>32</v>
      </c>
      <c r="C679" t="s">
        <v>33</v>
      </c>
      <c r="D679">
        <v>1</v>
      </c>
      <c r="E679" t="s">
        <v>61</v>
      </c>
      <c r="F679">
        <v>3</v>
      </c>
      <c r="G679">
        <v>1</v>
      </c>
      <c r="H679" t="s">
        <v>35</v>
      </c>
      <c r="I679">
        <v>4</v>
      </c>
      <c r="J679" t="s">
        <v>57</v>
      </c>
      <c r="K679">
        <v>2270</v>
      </c>
      <c r="L679">
        <v>3</v>
      </c>
      <c r="M679" t="s">
        <v>41</v>
      </c>
      <c r="N679">
        <v>14</v>
      </c>
      <c r="O679">
        <v>3</v>
      </c>
      <c r="P679">
        <v>2</v>
      </c>
      <c r="Q679">
        <v>8</v>
      </c>
      <c r="R679">
        <v>2</v>
      </c>
      <c r="S679">
        <v>5</v>
      </c>
      <c r="T679">
        <v>0</v>
      </c>
      <c r="U679">
        <v>2</v>
      </c>
      <c r="V679" t="s">
        <v>72</v>
      </c>
      <c r="W679" s="1" t="s">
        <v>365</v>
      </c>
      <c r="Y679" t="s">
        <v>39</v>
      </c>
      <c r="Z679" t="s">
        <v>40</v>
      </c>
      <c r="AA679">
        <v>1</v>
      </c>
      <c r="AB679">
        <v>3</v>
      </c>
      <c r="AC679" t="s">
        <v>41</v>
      </c>
      <c r="AD679" t="s">
        <v>67</v>
      </c>
      <c r="AE679" t="s">
        <v>49</v>
      </c>
      <c r="AF679" s="3">
        <v>944</v>
      </c>
      <c r="AG679" s="3">
        <v>51</v>
      </c>
      <c r="AH679">
        <v>80</v>
      </c>
      <c r="AI679">
        <v>9</v>
      </c>
      <c r="AJ679">
        <v>0</v>
      </c>
      <c r="AL679">
        <v>0</v>
      </c>
      <c r="AM679">
        <v>1</v>
      </c>
      <c r="AN679" t="s">
        <v>768</v>
      </c>
      <c r="AO679" t="s">
        <v>41</v>
      </c>
    </row>
    <row r="680" spans="1:41" x14ac:dyDescent="0.25">
      <c r="A680">
        <v>50</v>
      </c>
      <c r="B680" t="s">
        <v>32</v>
      </c>
      <c r="C680" t="s">
        <v>33</v>
      </c>
      <c r="D680">
        <v>1</v>
      </c>
      <c r="E680" t="s">
        <v>34</v>
      </c>
      <c r="F680">
        <v>3</v>
      </c>
      <c r="G680">
        <v>4</v>
      </c>
      <c r="H680" t="s">
        <v>50</v>
      </c>
      <c r="I680">
        <v>4</v>
      </c>
      <c r="J680" t="s">
        <v>57</v>
      </c>
      <c r="K680">
        <v>17399</v>
      </c>
      <c r="L680">
        <v>9</v>
      </c>
      <c r="M680" t="s">
        <v>41</v>
      </c>
      <c r="N680">
        <v>22</v>
      </c>
      <c r="O680">
        <v>4</v>
      </c>
      <c r="P680">
        <v>1</v>
      </c>
      <c r="Q680">
        <v>32</v>
      </c>
      <c r="R680">
        <v>1</v>
      </c>
      <c r="S680">
        <v>5</v>
      </c>
      <c r="T680">
        <v>1</v>
      </c>
      <c r="U680">
        <v>3</v>
      </c>
      <c r="V680" t="s">
        <v>58</v>
      </c>
      <c r="W680" s="1" t="s">
        <v>366</v>
      </c>
      <c r="Y680" t="s">
        <v>63</v>
      </c>
      <c r="Z680" t="s">
        <v>47</v>
      </c>
      <c r="AA680">
        <v>2</v>
      </c>
      <c r="AB680">
        <v>1</v>
      </c>
      <c r="AC680" t="s">
        <v>41</v>
      </c>
      <c r="AD680" t="s">
        <v>42</v>
      </c>
      <c r="AE680" t="s">
        <v>49</v>
      </c>
      <c r="AF680" s="3">
        <v>945</v>
      </c>
      <c r="AG680" s="3">
        <v>51</v>
      </c>
      <c r="AH680">
        <v>80</v>
      </c>
      <c r="AI680">
        <v>0</v>
      </c>
      <c r="AJ680">
        <v>0</v>
      </c>
      <c r="AL680">
        <v>0</v>
      </c>
      <c r="AM680">
        <v>1</v>
      </c>
      <c r="AN680" t="s">
        <v>768</v>
      </c>
      <c r="AO680" t="s">
        <v>41</v>
      </c>
    </row>
    <row r="681" spans="1:41" x14ac:dyDescent="0.25">
      <c r="A681">
        <v>30</v>
      </c>
      <c r="B681" t="s">
        <v>32</v>
      </c>
      <c r="C681" t="s">
        <v>33</v>
      </c>
      <c r="D681">
        <v>22</v>
      </c>
      <c r="E681" t="s">
        <v>61</v>
      </c>
      <c r="F681">
        <v>3</v>
      </c>
      <c r="G681">
        <v>1</v>
      </c>
      <c r="H681" t="s">
        <v>44</v>
      </c>
      <c r="I681">
        <v>3</v>
      </c>
      <c r="J681" t="s">
        <v>51</v>
      </c>
      <c r="K681">
        <v>2132</v>
      </c>
      <c r="L681">
        <v>4</v>
      </c>
      <c r="M681" t="s">
        <v>31</v>
      </c>
      <c r="N681">
        <v>11</v>
      </c>
      <c r="O681">
        <v>3</v>
      </c>
      <c r="P681">
        <v>0</v>
      </c>
      <c r="Q681">
        <v>7</v>
      </c>
      <c r="R681">
        <v>2</v>
      </c>
      <c r="S681">
        <v>5</v>
      </c>
      <c r="T681">
        <v>0</v>
      </c>
      <c r="U681">
        <v>1</v>
      </c>
      <c r="V681" t="s">
        <v>37</v>
      </c>
      <c r="W681" s="2">
        <v>42586</v>
      </c>
      <c r="Y681" t="s">
        <v>46</v>
      </c>
      <c r="Z681" t="s">
        <v>40</v>
      </c>
      <c r="AA681">
        <v>3</v>
      </c>
      <c r="AB681">
        <v>0</v>
      </c>
      <c r="AC681" t="s">
        <v>41</v>
      </c>
      <c r="AD681" t="s">
        <v>67</v>
      </c>
      <c r="AE681" t="s">
        <v>43</v>
      </c>
      <c r="AF681" s="3">
        <v>947</v>
      </c>
      <c r="AG681" s="3">
        <v>45</v>
      </c>
      <c r="AH681">
        <v>80</v>
      </c>
      <c r="AI681">
        <v>8</v>
      </c>
      <c r="AJ681">
        <v>0</v>
      </c>
      <c r="AL681">
        <v>0</v>
      </c>
      <c r="AM681">
        <v>1</v>
      </c>
      <c r="AN681" t="s">
        <v>768</v>
      </c>
      <c r="AO681" t="s">
        <v>41</v>
      </c>
    </row>
    <row r="682" spans="1:41" x14ac:dyDescent="0.25">
      <c r="A682">
        <v>59</v>
      </c>
      <c r="B682" t="s">
        <v>32</v>
      </c>
      <c r="C682" t="s">
        <v>33</v>
      </c>
      <c r="D682">
        <v>2</v>
      </c>
      <c r="E682" t="s">
        <v>61</v>
      </c>
      <c r="F682">
        <v>2</v>
      </c>
      <c r="G682">
        <v>4</v>
      </c>
      <c r="H682" t="s">
        <v>78</v>
      </c>
      <c r="I682">
        <v>4</v>
      </c>
      <c r="J682" t="s">
        <v>36</v>
      </c>
      <c r="K682">
        <v>13726</v>
      </c>
      <c r="L682">
        <v>3</v>
      </c>
      <c r="M682" t="s">
        <v>31</v>
      </c>
      <c r="N682">
        <v>13</v>
      </c>
      <c r="O682">
        <v>3</v>
      </c>
      <c r="P682">
        <v>0</v>
      </c>
      <c r="Q682">
        <v>30</v>
      </c>
      <c r="R682">
        <v>4</v>
      </c>
      <c r="S682">
        <v>5</v>
      </c>
      <c r="T682">
        <v>4</v>
      </c>
      <c r="U682">
        <v>3</v>
      </c>
      <c r="V682" t="s">
        <v>72</v>
      </c>
      <c r="W682" s="1" t="s">
        <v>367</v>
      </c>
      <c r="Y682" t="s">
        <v>39</v>
      </c>
      <c r="Z682" t="s">
        <v>47</v>
      </c>
      <c r="AA682">
        <v>5</v>
      </c>
      <c r="AB682">
        <v>1</v>
      </c>
      <c r="AC682" t="s">
        <v>31</v>
      </c>
      <c r="AD682" t="s">
        <v>42</v>
      </c>
      <c r="AE682" t="s">
        <v>49</v>
      </c>
      <c r="AF682" s="3">
        <v>949</v>
      </c>
      <c r="AG682" s="3">
        <v>65</v>
      </c>
      <c r="AH682">
        <v>80</v>
      </c>
      <c r="AI682">
        <v>2</v>
      </c>
      <c r="AJ682">
        <v>0</v>
      </c>
      <c r="AL682">
        <v>0</v>
      </c>
      <c r="AM682">
        <v>1</v>
      </c>
      <c r="AN682" t="s">
        <v>768</v>
      </c>
      <c r="AO682" t="s">
        <v>41</v>
      </c>
    </row>
    <row r="683" spans="1:41" x14ac:dyDescent="0.25">
      <c r="A683">
        <v>26</v>
      </c>
      <c r="B683" t="s">
        <v>66</v>
      </c>
      <c r="C683" t="s">
        <v>33</v>
      </c>
      <c r="D683">
        <v>1</v>
      </c>
      <c r="E683" t="s">
        <v>61</v>
      </c>
      <c r="F683">
        <v>2</v>
      </c>
      <c r="G683">
        <v>1</v>
      </c>
      <c r="H683" t="s">
        <v>44</v>
      </c>
      <c r="I683">
        <v>3</v>
      </c>
      <c r="J683" t="s">
        <v>57</v>
      </c>
      <c r="K683">
        <v>2007</v>
      </c>
      <c r="L683">
        <v>1</v>
      </c>
      <c r="M683" t="s">
        <v>41</v>
      </c>
      <c r="N683">
        <v>13</v>
      </c>
      <c r="O683">
        <v>3</v>
      </c>
      <c r="P683">
        <v>2</v>
      </c>
      <c r="Q683">
        <v>5</v>
      </c>
      <c r="R683">
        <v>5</v>
      </c>
      <c r="S683">
        <v>5</v>
      </c>
      <c r="T683">
        <v>1</v>
      </c>
      <c r="U683">
        <v>3</v>
      </c>
      <c r="V683" t="s">
        <v>72</v>
      </c>
      <c r="W683" s="1" t="s">
        <v>360</v>
      </c>
      <c r="Y683" t="s">
        <v>63</v>
      </c>
      <c r="Z683" t="s">
        <v>40</v>
      </c>
      <c r="AA683">
        <v>1</v>
      </c>
      <c r="AB683">
        <v>0</v>
      </c>
      <c r="AC683" t="s">
        <v>31</v>
      </c>
      <c r="AD683" t="s">
        <v>67</v>
      </c>
      <c r="AE683" t="s">
        <v>43</v>
      </c>
      <c r="AF683" s="3">
        <v>950</v>
      </c>
      <c r="AG683" s="3">
        <v>80</v>
      </c>
      <c r="AH683">
        <v>80</v>
      </c>
      <c r="AI683">
        <v>12</v>
      </c>
      <c r="AJ683">
        <v>0</v>
      </c>
      <c r="AL683">
        <v>0</v>
      </c>
      <c r="AM683">
        <v>1</v>
      </c>
      <c r="AN683" t="s">
        <v>768</v>
      </c>
      <c r="AO683" t="s">
        <v>41</v>
      </c>
    </row>
    <row r="684" spans="1:41" x14ac:dyDescent="0.25">
      <c r="A684">
        <v>56</v>
      </c>
      <c r="B684" t="s">
        <v>66</v>
      </c>
      <c r="C684" t="s">
        <v>33</v>
      </c>
      <c r="D684">
        <v>9</v>
      </c>
      <c r="E684" t="s">
        <v>61</v>
      </c>
      <c r="F684">
        <v>3</v>
      </c>
      <c r="G684">
        <v>1</v>
      </c>
      <c r="H684" t="s">
        <v>44</v>
      </c>
      <c r="I684">
        <v>3</v>
      </c>
      <c r="J684" t="s">
        <v>51</v>
      </c>
      <c r="K684">
        <v>2942</v>
      </c>
      <c r="L684">
        <v>2</v>
      </c>
      <c r="M684" t="s">
        <v>41</v>
      </c>
      <c r="N684">
        <v>19</v>
      </c>
      <c r="O684">
        <v>3</v>
      </c>
      <c r="P684">
        <v>1</v>
      </c>
      <c r="Q684">
        <v>18</v>
      </c>
      <c r="R684">
        <v>4</v>
      </c>
      <c r="S684">
        <v>5</v>
      </c>
      <c r="T684">
        <v>0</v>
      </c>
      <c r="U684">
        <v>3</v>
      </c>
      <c r="V684" t="s">
        <v>52</v>
      </c>
      <c r="W684" s="1" t="s">
        <v>368</v>
      </c>
      <c r="Y684" t="s">
        <v>63</v>
      </c>
      <c r="Z684" t="s">
        <v>47</v>
      </c>
      <c r="AA684">
        <v>3</v>
      </c>
      <c r="AB684">
        <v>1</v>
      </c>
      <c r="AC684" t="s">
        <v>31</v>
      </c>
      <c r="AD684" t="s">
        <v>65</v>
      </c>
      <c r="AE684" t="s">
        <v>43</v>
      </c>
      <c r="AF684" s="3">
        <v>951</v>
      </c>
      <c r="AG684" s="3">
        <v>70</v>
      </c>
      <c r="AH684">
        <v>80</v>
      </c>
      <c r="AI684">
        <v>0</v>
      </c>
      <c r="AJ684">
        <v>0</v>
      </c>
      <c r="AL684">
        <v>0</v>
      </c>
      <c r="AM684">
        <v>1</v>
      </c>
      <c r="AN684" t="s">
        <v>768</v>
      </c>
      <c r="AO684" t="s">
        <v>41</v>
      </c>
    </row>
    <row r="685" spans="1:41" x14ac:dyDescent="0.25">
      <c r="A685">
        <v>26</v>
      </c>
      <c r="B685" t="s">
        <v>32</v>
      </c>
      <c r="C685" t="s">
        <v>33</v>
      </c>
      <c r="D685">
        <v>1</v>
      </c>
      <c r="E685" t="s">
        <v>34</v>
      </c>
      <c r="F685">
        <v>2</v>
      </c>
      <c r="G685">
        <v>1</v>
      </c>
      <c r="H685" t="s">
        <v>35</v>
      </c>
      <c r="I685">
        <v>1</v>
      </c>
      <c r="J685" t="s">
        <v>51</v>
      </c>
      <c r="K685">
        <v>3955</v>
      </c>
      <c r="L685">
        <v>1</v>
      </c>
      <c r="M685" t="s">
        <v>41</v>
      </c>
      <c r="N685">
        <v>16</v>
      </c>
      <c r="O685">
        <v>3</v>
      </c>
      <c r="P685">
        <v>2</v>
      </c>
      <c r="Q685">
        <v>6</v>
      </c>
      <c r="R685">
        <v>2</v>
      </c>
      <c r="S685">
        <v>5</v>
      </c>
      <c r="T685">
        <v>1</v>
      </c>
      <c r="U685">
        <v>3</v>
      </c>
      <c r="V685" t="s">
        <v>72</v>
      </c>
      <c r="W685" s="2">
        <v>42465</v>
      </c>
      <c r="Y685" t="s">
        <v>69</v>
      </c>
      <c r="Z685" t="s">
        <v>40</v>
      </c>
      <c r="AA685">
        <v>5</v>
      </c>
      <c r="AB685">
        <v>3</v>
      </c>
      <c r="AC685" t="s">
        <v>31</v>
      </c>
      <c r="AD685" t="s">
        <v>65</v>
      </c>
      <c r="AE685" t="s">
        <v>60</v>
      </c>
      <c r="AF685" s="3">
        <v>952</v>
      </c>
      <c r="AG685" s="3">
        <v>36</v>
      </c>
      <c r="AH685">
        <v>80</v>
      </c>
      <c r="AI685">
        <v>0</v>
      </c>
      <c r="AJ685">
        <v>1</v>
      </c>
      <c r="AK685">
        <v>1</v>
      </c>
      <c r="AL685">
        <v>1</v>
      </c>
      <c r="AM685">
        <v>0</v>
      </c>
      <c r="AN685" t="s">
        <v>767</v>
      </c>
      <c r="AO685" t="s">
        <v>31</v>
      </c>
    </row>
    <row r="686" spans="1:41" x14ac:dyDescent="0.25">
      <c r="A686">
        <v>48</v>
      </c>
      <c r="B686" t="s">
        <v>81</v>
      </c>
      <c r="C686" t="s">
        <v>33</v>
      </c>
      <c r="D686">
        <v>1</v>
      </c>
      <c r="E686" t="s">
        <v>34</v>
      </c>
      <c r="F686">
        <v>4</v>
      </c>
      <c r="G686">
        <v>4</v>
      </c>
      <c r="H686" t="s">
        <v>75</v>
      </c>
      <c r="I686">
        <v>4</v>
      </c>
      <c r="J686" t="s">
        <v>36</v>
      </c>
      <c r="K686">
        <v>16885</v>
      </c>
      <c r="L686">
        <v>2</v>
      </c>
      <c r="M686" t="s">
        <v>41</v>
      </c>
      <c r="N686">
        <v>22</v>
      </c>
      <c r="O686">
        <v>4</v>
      </c>
      <c r="P686">
        <v>0</v>
      </c>
      <c r="Q686">
        <v>27</v>
      </c>
      <c r="R686">
        <v>3</v>
      </c>
      <c r="S686">
        <v>5</v>
      </c>
      <c r="T686">
        <v>2</v>
      </c>
      <c r="U686">
        <v>1</v>
      </c>
      <c r="V686" t="s">
        <v>58</v>
      </c>
      <c r="W686" s="2">
        <v>42586</v>
      </c>
      <c r="Y686" t="s">
        <v>39</v>
      </c>
      <c r="Z686" t="s">
        <v>47</v>
      </c>
      <c r="AA686">
        <v>1</v>
      </c>
      <c r="AB686">
        <v>2</v>
      </c>
      <c r="AC686" t="s">
        <v>41</v>
      </c>
      <c r="AD686" t="s">
        <v>67</v>
      </c>
      <c r="AE686" t="s">
        <v>49</v>
      </c>
      <c r="AF686" s="3">
        <v>954</v>
      </c>
      <c r="AG686" s="3">
        <v>67</v>
      </c>
      <c r="AH686">
        <v>80</v>
      </c>
      <c r="AI686">
        <v>0</v>
      </c>
      <c r="AJ686">
        <v>0</v>
      </c>
      <c r="AL686">
        <v>0</v>
      </c>
      <c r="AM686">
        <v>1</v>
      </c>
      <c r="AN686" t="s">
        <v>768</v>
      </c>
      <c r="AO686" t="s">
        <v>41</v>
      </c>
    </row>
    <row r="687" spans="1:41" x14ac:dyDescent="0.25">
      <c r="A687">
        <v>39</v>
      </c>
      <c r="B687" t="s">
        <v>81</v>
      </c>
      <c r="C687" t="s">
        <v>33</v>
      </c>
      <c r="D687">
        <v>9</v>
      </c>
      <c r="E687" t="s">
        <v>34</v>
      </c>
      <c r="F687">
        <v>3</v>
      </c>
      <c r="G687">
        <v>2</v>
      </c>
      <c r="H687" t="s">
        <v>35</v>
      </c>
      <c r="I687">
        <v>2</v>
      </c>
      <c r="J687" t="s">
        <v>36</v>
      </c>
      <c r="K687">
        <v>6782</v>
      </c>
      <c r="L687">
        <v>9</v>
      </c>
      <c r="M687" t="s">
        <v>41</v>
      </c>
      <c r="N687">
        <v>15</v>
      </c>
      <c r="O687">
        <v>3</v>
      </c>
      <c r="P687">
        <v>0</v>
      </c>
      <c r="Q687">
        <v>9</v>
      </c>
      <c r="R687">
        <v>2</v>
      </c>
      <c r="S687">
        <v>5</v>
      </c>
      <c r="T687">
        <v>0</v>
      </c>
      <c r="U687">
        <v>3</v>
      </c>
      <c r="V687" t="s">
        <v>58</v>
      </c>
      <c r="W687" s="2">
        <v>42647</v>
      </c>
      <c r="Y687" t="s">
        <v>54</v>
      </c>
      <c r="Z687" t="s">
        <v>40</v>
      </c>
      <c r="AA687">
        <v>1</v>
      </c>
      <c r="AB687">
        <v>3</v>
      </c>
      <c r="AC687" t="s">
        <v>41</v>
      </c>
      <c r="AD687" t="s">
        <v>65</v>
      </c>
      <c r="AE687" t="s">
        <v>60</v>
      </c>
      <c r="AF687" s="3">
        <v>956</v>
      </c>
      <c r="AG687" s="3">
        <v>52</v>
      </c>
      <c r="AH687">
        <v>80</v>
      </c>
      <c r="AI687">
        <v>7</v>
      </c>
      <c r="AJ687">
        <v>0</v>
      </c>
      <c r="AL687">
        <v>0</v>
      </c>
      <c r="AM687">
        <v>1</v>
      </c>
      <c r="AN687" t="s">
        <v>768</v>
      </c>
      <c r="AO687" t="s">
        <v>41</v>
      </c>
    </row>
    <row r="688" spans="1:41" x14ac:dyDescent="0.25">
      <c r="A688">
        <v>28</v>
      </c>
      <c r="B688" t="s">
        <v>32</v>
      </c>
      <c r="C688" t="s">
        <v>33</v>
      </c>
      <c r="D688">
        <v>2</v>
      </c>
      <c r="E688" t="s">
        <v>34</v>
      </c>
      <c r="F688">
        <v>2</v>
      </c>
      <c r="G688">
        <v>1</v>
      </c>
      <c r="H688" t="s">
        <v>44</v>
      </c>
      <c r="I688">
        <v>2</v>
      </c>
      <c r="J688" t="s">
        <v>51</v>
      </c>
      <c r="K688">
        <v>3201</v>
      </c>
      <c r="L688">
        <v>0</v>
      </c>
      <c r="M688" t="s">
        <v>41</v>
      </c>
      <c r="N688">
        <v>17</v>
      </c>
      <c r="O688">
        <v>3</v>
      </c>
      <c r="P688">
        <v>0</v>
      </c>
      <c r="Q688">
        <v>6</v>
      </c>
      <c r="R688">
        <v>2</v>
      </c>
      <c r="S688">
        <v>5</v>
      </c>
      <c r="T688">
        <v>0</v>
      </c>
      <c r="U688">
        <v>4</v>
      </c>
      <c r="V688" t="s">
        <v>52</v>
      </c>
      <c r="W688" s="2">
        <v>42406</v>
      </c>
      <c r="Y688" t="s">
        <v>46</v>
      </c>
      <c r="Z688" t="s">
        <v>40</v>
      </c>
      <c r="AA688">
        <v>3</v>
      </c>
      <c r="AB688">
        <v>0</v>
      </c>
      <c r="AC688" t="s">
        <v>31</v>
      </c>
      <c r="AD688" t="s">
        <v>42</v>
      </c>
      <c r="AE688" t="s">
        <v>43</v>
      </c>
      <c r="AF688" s="3">
        <v>957</v>
      </c>
      <c r="AG688" s="3">
        <v>59</v>
      </c>
      <c r="AH688">
        <v>80</v>
      </c>
      <c r="AI688">
        <v>13</v>
      </c>
      <c r="AJ688">
        <v>0</v>
      </c>
      <c r="AL688">
        <v>0</v>
      </c>
      <c r="AM688">
        <v>1</v>
      </c>
      <c r="AN688" t="s">
        <v>768</v>
      </c>
      <c r="AO688" t="s">
        <v>41</v>
      </c>
    </row>
    <row r="689" spans="1:41" x14ac:dyDescent="0.25">
      <c r="A689">
        <v>35</v>
      </c>
      <c r="B689" t="s">
        <v>66</v>
      </c>
      <c r="C689" t="s">
        <v>55</v>
      </c>
      <c r="D689">
        <v>11</v>
      </c>
      <c r="E689" t="s">
        <v>34</v>
      </c>
      <c r="F689">
        <v>3</v>
      </c>
      <c r="G689">
        <v>2</v>
      </c>
      <c r="H689" t="s">
        <v>70</v>
      </c>
      <c r="I689">
        <v>4</v>
      </c>
      <c r="J689" t="s">
        <v>57</v>
      </c>
      <c r="K689">
        <v>4968</v>
      </c>
      <c r="L689">
        <v>1</v>
      </c>
      <c r="M689" t="s">
        <v>41</v>
      </c>
      <c r="N689">
        <v>11</v>
      </c>
      <c r="O689">
        <v>3</v>
      </c>
      <c r="P689">
        <v>1</v>
      </c>
      <c r="Q689">
        <v>5</v>
      </c>
      <c r="R689">
        <v>3</v>
      </c>
      <c r="S689">
        <v>5</v>
      </c>
      <c r="T689">
        <v>0</v>
      </c>
      <c r="U689">
        <v>2</v>
      </c>
      <c r="V689" t="s">
        <v>58</v>
      </c>
      <c r="W689" s="2">
        <v>42494</v>
      </c>
      <c r="Y689" t="s">
        <v>63</v>
      </c>
      <c r="Z689" t="s">
        <v>40</v>
      </c>
      <c r="AA689">
        <v>4</v>
      </c>
      <c r="AB689">
        <v>3</v>
      </c>
      <c r="AC689" t="s">
        <v>31</v>
      </c>
      <c r="AD689" t="s">
        <v>65</v>
      </c>
      <c r="AE689" t="s">
        <v>60</v>
      </c>
      <c r="AF689" s="3">
        <v>958</v>
      </c>
      <c r="AG689" s="3">
        <v>79</v>
      </c>
      <c r="AH689">
        <v>80</v>
      </c>
      <c r="AI689">
        <v>8</v>
      </c>
      <c r="AJ689">
        <v>0</v>
      </c>
      <c r="AL689">
        <v>0</v>
      </c>
      <c r="AM689">
        <v>1</v>
      </c>
      <c r="AN689" t="s">
        <v>768</v>
      </c>
      <c r="AO689" t="s">
        <v>41</v>
      </c>
    </row>
    <row r="690" spans="1:41" x14ac:dyDescent="0.25">
      <c r="A690">
        <v>33</v>
      </c>
      <c r="B690" t="s">
        <v>32</v>
      </c>
      <c r="C690" t="s">
        <v>55</v>
      </c>
      <c r="D690">
        <v>9</v>
      </c>
      <c r="E690" t="s">
        <v>61</v>
      </c>
      <c r="F690">
        <v>3</v>
      </c>
      <c r="G690">
        <v>2</v>
      </c>
      <c r="H690" t="s">
        <v>70</v>
      </c>
      <c r="I690">
        <v>1</v>
      </c>
      <c r="J690" t="s">
        <v>36</v>
      </c>
      <c r="K690">
        <v>8224</v>
      </c>
      <c r="L690">
        <v>0</v>
      </c>
      <c r="M690" t="s">
        <v>31</v>
      </c>
      <c r="N690">
        <v>17</v>
      </c>
      <c r="O690">
        <v>3</v>
      </c>
      <c r="P690">
        <v>0</v>
      </c>
      <c r="Q690">
        <v>6</v>
      </c>
      <c r="R690">
        <v>3</v>
      </c>
      <c r="S690">
        <v>5</v>
      </c>
      <c r="T690">
        <v>0</v>
      </c>
      <c r="U690">
        <v>3</v>
      </c>
      <c r="V690" t="s">
        <v>58</v>
      </c>
      <c r="W690" s="2">
        <v>42374</v>
      </c>
      <c r="Y690" t="s">
        <v>63</v>
      </c>
      <c r="Z690" t="s">
        <v>47</v>
      </c>
      <c r="AA690">
        <v>2</v>
      </c>
      <c r="AB690">
        <v>2</v>
      </c>
      <c r="AC690" t="s">
        <v>31</v>
      </c>
      <c r="AD690" t="s">
        <v>42</v>
      </c>
      <c r="AE690" t="s">
        <v>60</v>
      </c>
      <c r="AF690" s="3">
        <v>959</v>
      </c>
      <c r="AG690" s="3">
        <v>37</v>
      </c>
      <c r="AH690">
        <v>80</v>
      </c>
      <c r="AI690">
        <v>0</v>
      </c>
      <c r="AJ690">
        <v>1</v>
      </c>
      <c r="AK690">
        <v>1</v>
      </c>
      <c r="AL690">
        <v>1</v>
      </c>
      <c r="AM690">
        <v>0</v>
      </c>
      <c r="AN690" t="s">
        <v>767</v>
      </c>
      <c r="AO690" t="s">
        <v>31</v>
      </c>
    </row>
    <row r="691" spans="1:41" x14ac:dyDescent="0.25">
      <c r="A691">
        <v>35</v>
      </c>
      <c r="B691" t="s">
        <v>32</v>
      </c>
      <c r="C691" t="s">
        <v>120</v>
      </c>
      <c r="D691">
        <v>8</v>
      </c>
      <c r="E691" t="s">
        <v>34</v>
      </c>
      <c r="F691">
        <v>3</v>
      </c>
      <c r="G691">
        <v>1</v>
      </c>
      <c r="H691" t="s">
        <v>120</v>
      </c>
      <c r="I691">
        <v>3</v>
      </c>
      <c r="J691" t="s">
        <v>36</v>
      </c>
      <c r="K691">
        <v>4323</v>
      </c>
      <c r="L691">
        <v>1</v>
      </c>
      <c r="M691" t="s">
        <v>41</v>
      </c>
      <c r="N691">
        <v>17</v>
      </c>
      <c r="O691">
        <v>3</v>
      </c>
      <c r="P691">
        <v>0</v>
      </c>
      <c r="Q691">
        <v>6</v>
      </c>
      <c r="R691">
        <v>2</v>
      </c>
      <c r="S691">
        <v>5</v>
      </c>
      <c r="T691">
        <v>1</v>
      </c>
      <c r="U691">
        <v>4</v>
      </c>
      <c r="V691" t="s">
        <v>52</v>
      </c>
      <c r="W691" s="2">
        <v>42464</v>
      </c>
      <c r="Y691" t="s">
        <v>46</v>
      </c>
      <c r="Z691" t="s">
        <v>40</v>
      </c>
      <c r="AA691">
        <v>2</v>
      </c>
      <c r="AB691">
        <v>1</v>
      </c>
      <c r="AC691" t="s">
        <v>31</v>
      </c>
      <c r="AD691" t="s">
        <v>67</v>
      </c>
      <c r="AE691" t="s">
        <v>60</v>
      </c>
      <c r="AF691" s="3">
        <v>960</v>
      </c>
      <c r="AG691" s="3">
        <v>84</v>
      </c>
      <c r="AH691">
        <v>80</v>
      </c>
      <c r="AI691">
        <v>0</v>
      </c>
      <c r="AJ691">
        <v>1</v>
      </c>
      <c r="AK691">
        <v>1</v>
      </c>
      <c r="AL691">
        <v>1</v>
      </c>
      <c r="AM691">
        <v>0</v>
      </c>
      <c r="AN691" t="s">
        <v>767</v>
      </c>
      <c r="AO691" t="s">
        <v>31</v>
      </c>
    </row>
    <row r="692" spans="1:41" x14ac:dyDescent="0.25">
      <c r="A692">
        <v>56</v>
      </c>
      <c r="B692" t="s">
        <v>32</v>
      </c>
      <c r="C692" t="s">
        <v>33</v>
      </c>
      <c r="D692">
        <v>4</v>
      </c>
      <c r="E692" t="s">
        <v>61</v>
      </c>
      <c r="F692">
        <v>3</v>
      </c>
      <c r="G692">
        <v>5</v>
      </c>
      <c r="H692" t="s">
        <v>75</v>
      </c>
      <c r="I692">
        <v>1</v>
      </c>
      <c r="J692" t="s">
        <v>57</v>
      </c>
      <c r="K692">
        <v>19943</v>
      </c>
      <c r="L692">
        <v>4</v>
      </c>
      <c r="M692" t="s">
        <v>41</v>
      </c>
      <c r="N692">
        <v>13</v>
      </c>
      <c r="O692">
        <v>3</v>
      </c>
      <c r="P692">
        <v>1</v>
      </c>
      <c r="Q692">
        <v>28</v>
      </c>
      <c r="R692">
        <v>2</v>
      </c>
      <c r="S692">
        <v>5</v>
      </c>
      <c r="T692">
        <v>4</v>
      </c>
      <c r="U692">
        <v>2</v>
      </c>
      <c r="V692" t="s">
        <v>52</v>
      </c>
      <c r="W692" s="1" t="s">
        <v>369</v>
      </c>
      <c r="Y692" t="s">
        <v>46</v>
      </c>
      <c r="Z692" t="s">
        <v>40</v>
      </c>
      <c r="AA692">
        <v>4</v>
      </c>
      <c r="AB692">
        <v>1</v>
      </c>
      <c r="AC692" t="s">
        <v>41</v>
      </c>
      <c r="AD692" t="s">
        <v>65</v>
      </c>
      <c r="AE692" t="s">
        <v>60</v>
      </c>
      <c r="AF692" s="3">
        <v>961</v>
      </c>
      <c r="AG692" s="3">
        <v>41</v>
      </c>
      <c r="AH692">
        <v>80</v>
      </c>
      <c r="AI692">
        <v>7</v>
      </c>
      <c r="AJ692">
        <v>0</v>
      </c>
      <c r="AL692">
        <v>0</v>
      </c>
      <c r="AM692">
        <v>1</v>
      </c>
      <c r="AN692" t="s">
        <v>768</v>
      </c>
      <c r="AO692" t="s">
        <v>41</v>
      </c>
    </row>
    <row r="693" spans="1:41" x14ac:dyDescent="0.25">
      <c r="A693">
        <v>29</v>
      </c>
      <c r="B693" t="s">
        <v>32</v>
      </c>
      <c r="C693" t="s">
        <v>33</v>
      </c>
      <c r="D693">
        <v>15</v>
      </c>
      <c r="E693" t="s">
        <v>61</v>
      </c>
      <c r="F693">
        <v>1</v>
      </c>
      <c r="G693">
        <v>1</v>
      </c>
      <c r="H693" t="s">
        <v>44</v>
      </c>
      <c r="I693">
        <v>4</v>
      </c>
      <c r="J693" t="s">
        <v>51</v>
      </c>
      <c r="K693">
        <v>2168</v>
      </c>
      <c r="L693">
        <v>0</v>
      </c>
      <c r="M693" t="s">
        <v>31</v>
      </c>
      <c r="N693">
        <v>18</v>
      </c>
      <c r="O693">
        <v>3</v>
      </c>
      <c r="P693">
        <v>1</v>
      </c>
      <c r="Q693">
        <v>6</v>
      </c>
      <c r="R693">
        <v>2</v>
      </c>
      <c r="S693">
        <v>5</v>
      </c>
      <c r="T693">
        <v>1</v>
      </c>
      <c r="U693">
        <v>3</v>
      </c>
      <c r="V693" t="s">
        <v>72</v>
      </c>
      <c r="W693" s="2">
        <v>42525</v>
      </c>
      <c r="Y693" t="s">
        <v>63</v>
      </c>
      <c r="Z693" t="s">
        <v>47</v>
      </c>
      <c r="AA693">
        <v>3</v>
      </c>
      <c r="AB693">
        <v>0</v>
      </c>
      <c r="AC693" t="s">
        <v>41</v>
      </c>
      <c r="AD693" t="s">
        <v>48</v>
      </c>
      <c r="AE693" t="s">
        <v>43</v>
      </c>
      <c r="AF693" s="3">
        <v>964</v>
      </c>
      <c r="AG693" s="3">
        <v>35</v>
      </c>
      <c r="AH693">
        <v>80</v>
      </c>
      <c r="AI693">
        <v>1</v>
      </c>
      <c r="AJ693">
        <v>0</v>
      </c>
      <c r="AL693">
        <v>0</v>
      </c>
      <c r="AM693">
        <v>1</v>
      </c>
      <c r="AN693" t="s">
        <v>768</v>
      </c>
      <c r="AO693" t="s">
        <v>41</v>
      </c>
    </row>
    <row r="694" spans="1:41" x14ac:dyDescent="0.25">
      <c r="A694">
        <v>33</v>
      </c>
      <c r="B694" t="s">
        <v>32</v>
      </c>
      <c r="C694" t="s">
        <v>120</v>
      </c>
      <c r="D694">
        <v>2</v>
      </c>
      <c r="E694" t="s">
        <v>34</v>
      </c>
      <c r="F694">
        <v>3</v>
      </c>
      <c r="G694">
        <v>1</v>
      </c>
      <c r="H694" t="s">
        <v>120</v>
      </c>
      <c r="I694">
        <v>3</v>
      </c>
      <c r="J694" t="s">
        <v>51</v>
      </c>
      <c r="K694">
        <v>3600</v>
      </c>
      <c r="L694">
        <v>1</v>
      </c>
      <c r="M694" t="s">
        <v>41</v>
      </c>
      <c r="N694">
        <v>13</v>
      </c>
      <c r="O694">
        <v>3</v>
      </c>
      <c r="P694">
        <v>1</v>
      </c>
      <c r="Q694">
        <v>5</v>
      </c>
      <c r="R694">
        <v>2</v>
      </c>
      <c r="S694">
        <v>5</v>
      </c>
      <c r="T694">
        <v>1</v>
      </c>
      <c r="U694">
        <v>4</v>
      </c>
      <c r="V694" t="s">
        <v>58</v>
      </c>
      <c r="W694" s="2">
        <v>42618</v>
      </c>
      <c r="Y694" t="s">
        <v>63</v>
      </c>
      <c r="Z694" t="s">
        <v>47</v>
      </c>
      <c r="AA694">
        <v>3</v>
      </c>
      <c r="AB694">
        <v>2</v>
      </c>
      <c r="AC694" t="s">
        <v>41</v>
      </c>
      <c r="AD694" t="s">
        <v>65</v>
      </c>
      <c r="AE694" t="s">
        <v>43</v>
      </c>
      <c r="AF694" s="3">
        <v>966</v>
      </c>
      <c r="AG694" s="3">
        <v>93</v>
      </c>
      <c r="AH694">
        <v>80</v>
      </c>
      <c r="AI694">
        <v>7</v>
      </c>
      <c r="AJ694">
        <v>0</v>
      </c>
      <c r="AL694">
        <v>0</v>
      </c>
      <c r="AM694">
        <v>1</v>
      </c>
      <c r="AN694" t="s">
        <v>768</v>
      </c>
      <c r="AO694" t="s">
        <v>41</v>
      </c>
    </row>
    <row r="695" spans="1:41" x14ac:dyDescent="0.25">
      <c r="A695">
        <v>40</v>
      </c>
      <c r="B695" t="s">
        <v>32</v>
      </c>
      <c r="C695" t="s">
        <v>55</v>
      </c>
      <c r="D695">
        <v>10</v>
      </c>
      <c r="E695" t="s">
        <v>61</v>
      </c>
      <c r="F695">
        <v>2</v>
      </c>
      <c r="G695">
        <v>2</v>
      </c>
      <c r="H695" t="s">
        <v>70</v>
      </c>
      <c r="I695">
        <v>2</v>
      </c>
      <c r="J695" t="s">
        <v>57</v>
      </c>
      <c r="K695">
        <v>6852</v>
      </c>
      <c r="L695">
        <v>7</v>
      </c>
      <c r="M695" t="s">
        <v>41</v>
      </c>
      <c r="N695">
        <v>12</v>
      </c>
      <c r="O695">
        <v>3</v>
      </c>
      <c r="P695">
        <v>1</v>
      </c>
      <c r="Q695">
        <v>7</v>
      </c>
      <c r="R695">
        <v>2</v>
      </c>
      <c r="S695">
        <v>5</v>
      </c>
      <c r="T695">
        <v>1</v>
      </c>
      <c r="U695">
        <v>3</v>
      </c>
      <c r="V695" t="s">
        <v>52</v>
      </c>
      <c r="W695" s="1" t="s">
        <v>321</v>
      </c>
      <c r="Y695" t="s">
        <v>54</v>
      </c>
      <c r="Z695" t="s">
        <v>40</v>
      </c>
      <c r="AA695">
        <v>2</v>
      </c>
      <c r="AB695">
        <v>3</v>
      </c>
      <c r="AC695" t="s">
        <v>31</v>
      </c>
      <c r="AD695" t="s">
        <v>65</v>
      </c>
      <c r="AE695" t="s">
        <v>49</v>
      </c>
      <c r="AF695" s="3">
        <v>967</v>
      </c>
      <c r="AG695" s="3">
        <v>51</v>
      </c>
      <c r="AH695">
        <v>80</v>
      </c>
      <c r="AI695">
        <v>7</v>
      </c>
      <c r="AJ695">
        <v>1</v>
      </c>
      <c r="AK695">
        <v>1</v>
      </c>
      <c r="AL695">
        <v>1</v>
      </c>
      <c r="AM695">
        <v>0</v>
      </c>
      <c r="AN695" t="s">
        <v>767</v>
      </c>
      <c r="AO695" t="s">
        <v>31</v>
      </c>
    </row>
    <row r="696" spans="1:41" x14ac:dyDescent="0.25">
      <c r="A696">
        <v>54</v>
      </c>
      <c r="B696" t="s">
        <v>66</v>
      </c>
      <c r="C696" t="s">
        <v>33</v>
      </c>
      <c r="D696">
        <v>1</v>
      </c>
      <c r="E696" t="s">
        <v>61</v>
      </c>
      <c r="F696">
        <v>3</v>
      </c>
      <c r="G696">
        <v>3</v>
      </c>
      <c r="H696" t="s">
        <v>78</v>
      </c>
      <c r="I696">
        <v>3</v>
      </c>
      <c r="J696" t="s">
        <v>57</v>
      </c>
      <c r="K696">
        <v>10502</v>
      </c>
      <c r="L696">
        <v>7</v>
      </c>
      <c r="M696" t="s">
        <v>41</v>
      </c>
      <c r="N696">
        <v>17</v>
      </c>
      <c r="O696">
        <v>3</v>
      </c>
      <c r="P696">
        <v>1</v>
      </c>
      <c r="Q696">
        <v>33</v>
      </c>
      <c r="R696">
        <v>2</v>
      </c>
      <c r="S696">
        <v>5</v>
      </c>
      <c r="T696">
        <v>1</v>
      </c>
      <c r="U696">
        <v>4</v>
      </c>
      <c r="V696" t="s">
        <v>52</v>
      </c>
      <c r="W696" s="1" t="s">
        <v>351</v>
      </c>
      <c r="Y696" t="s">
        <v>69</v>
      </c>
      <c r="Z696" t="s">
        <v>47</v>
      </c>
      <c r="AA696">
        <v>3</v>
      </c>
      <c r="AB696">
        <v>1</v>
      </c>
      <c r="AC696" t="s">
        <v>41</v>
      </c>
      <c r="AD696" t="s">
        <v>65</v>
      </c>
      <c r="AE696" t="s">
        <v>43</v>
      </c>
      <c r="AF696" s="3">
        <v>969</v>
      </c>
      <c r="AG696" s="3">
        <v>42</v>
      </c>
      <c r="AH696">
        <v>80</v>
      </c>
      <c r="AI696">
        <v>0</v>
      </c>
      <c r="AJ696">
        <v>0</v>
      </c>
      <c r="AL696">
        <v>0</v>
      </c>
      <c r="AM696">
        <v>1</v>
      </c>
      <c r="AN696" t="s">
        <v>768</v>
      </c>
      <c r="AO696" t="s">
        <v>41</v>
      </c>
    </row>
    <row r="697" spans="1:41" x14ac:dyDescent="0.25">
      <c r="A697">
        <v>27</v>
      </c>
      <c r="B697" t="s">
        <v>32</v>
      </c>
      <c r="C697" t="s">
        <v>33</v>
      </c>
      <c r="D697">
        <v>4</v>
      </c>
      <c r="E697" t="s">
        <v>34</v>
      </c>
      <c r="F697">
        <v>3</v>
      </c>
      <c r="G697">
        <v>1</v>
      </c>
      <c r="H697" t="s">
        <v>44</v>
      </c>
      <c r="I697">
        <v>3</v>
      </c>
      <c r="J697" t="s">
        <v>57</v>
      </c>
      <c r="K697">
        <v>2517</v>
      </c>
      <c r="L697">
        <v>1</v>
      </c>
      <c r="M697" t="s">
        <v>41</v>
      </c>
      <c r="N697">
        <v>11</v>
      </c>
      <c r="O697">
        <v>3</v>
      </c>
      <c r="P697">
        <v>3</v>
      </c>
      <c r="Q697">
        <v>5</v>
      </c>
      <c r="R697">
        <v>2</v>
      </c>
      <c r="S697">
        <v>5</v>
      </c>
      <c r="T697">
        <v>0</v>
      </c>
      <c r="U697">
        <v>3</v>
      </c>
      <c r="V697" t="s">
        <v>52</v>
      </c>
      <c r="W697" s="1" t="s">
        <v>325</v>
      </c>
      <c r="Y697" t="s">
        <v>39</v>
      </c>
      <c r="Z697" t="s">
        <v>40</v>
      </c>
      <c r="AA697">
        <v>0</v>
      </c>
      <c r="AB697">
        <v>3</v>
      </c>
      <c r="AC697" t="s">
        <v>41</v>
      </c>
      <c r="AD697" t="s">
        <v>65</v>
      </c>
      <c r="AE697" t="s">
        <v>60</v>
      </c>
      <c r="AF697" s="3">
        <v>970</v>
      </c>
      <c r="AG697" s="3">
        <v>46</v>
      </c>
      <c r="AH697">
        <v>80</v>
      </c>
      <c r="AI697">
        <v>1</v>
      </c>
      <c r="AJ697">
        <v>1</v>
      </c>
      <c r="AK697">
        <v>1</v>
      </c>
      <c r="AL697">
        <v>1</v>
      </c>
      <c r="AM697">
        <v>0</v>
      </c>
      <c r="AN697" t="s">
        <v>767</v>
      </c>
      <c r="AO697" t="s">
        <v>31</v>
      </c>
    </row>
    <row r="698" spans="1:41" x14ac:dyDescent="0.25">
      <c r="A698">
        <v>39</v>
      </c>
      <c r="B698" t="s">
        <v>32</v>
      </c>
      <c r="C698" t="s">
        <v>33</v>
      </c>
      <c r="D698">
        <v>23</v>
      </c>
      <c r="E698" t="s">
        <v>34</v>
      </c>
      <c r="F698">
        <v>3</v>
      </c>
      <c r="G698">
        <v>1</v>
      </c>
      <c r="H698" t="s">
        <v>44</v>
      </c>
      <c r="I698">
        <v>1</v>
      </c>
      <c r="J698" t="s">
        <v>36</v>
      </c>
      <c r="K698">
        <v>3904</v>
      </c>
      <c r="L698">
        <v>0</v>
      </c>
      <c r="M698" t="s">
        <v>41</v>
      </c>
      <c r="N698">
        <v>13</v>
      </c>
      <c r="O698">
        <v>3</v>
      </c>
      <c r="P698">
        <v>0</v>
      </c>
      <c r="Q698">
        <v>6</v>
      </c>
      <c r="R698">
        <v>2</v>
      </c>
      <c r="S698">
        <v>5</v>
      </c>
      <c r="T698">
        <v>0</v>
      </c>
      <c r="U698">
        <v>3</v>
      </c>
      <c r="V698" t="s">
        <v>58</v>
      </c>
      <c r="W698" s="1" t="s">
        <v>370</v>
      </c>
      <c r="Y698" t="s">
        <v>46</v>
      </c>
      <c r="Z698" t="s">
        <v>40</v>
      </c>
      <c r="AA698">
        <v>5</v>
      </c>
      <c r="AB698">
        <v>1</v>
      </c>
      <c r="AC698" t="s">
        <v>41</v>
      </c>
      <c r="AD698" t="s">
        <v>65</v>
      </c>
      <c r="AE698" t="s">
        <v>43</v>
      </c>
      <c r="AF698" s="3">
        <v>972</v>
      </c>
      <c r="AG698" s="3">
        <v>57</v>
      </c>
      <c r="AH698">
        <v>80</v>
      </c>
      <c r="AI698">
        <v>7</v>
      </c>
      <c r="AJ698">
        <v>0</v>
      </c>
      <c r="AL698">
        <v>0</v>
      </c>
      <c r="AM698">
        <v>1</v>
      </c>
      <c r="AN698" t="s">
        <v>768</v>
      </c>
      <c r="AO698" t="s">
        <v>41</v>
      </c>
    </row>
    <row r="699" spans="1:41" x14ac:dyDescent="0.25">
      <c r="A699">
        <v>40</v>
      </c>
      <c r="B699" t="s">
        <v>32</v>
      </c>
      <c r="C699" t="s">
        <v>55</v>
      </c>
      <c r="D699">
        <v>25</v>
      </c>
      <c r="E699" t="s">
        <v>34</v>
      </c>
      <c r="F699">
        <v>2</v>
      </c>
      <c r="G699">
        <v>3</v>
      </c>
      <c r="H699" t="s">
        <v>70</v>
      </c>
      <c r="I699">
        <v>2</v>
      </c>
      <c r="J699" t="s">
        <v>36</v>
      </c>
      <c r="K699">
        <v>9094</v>
      </c>
      <c r="L699">
        <v>2</v>
      </c>
      <c r="M699" t="s">
        <v>31</v>
      </c>
      <c r="N699">
        <v>12</v>
      </c>
      <c r="O699">
        <v>3</v>
      </c>
      <c r="P699">
        <v>0</v>
      </c>
      <c r="Q699">
        <v>9</v>
      </c>
      <c r="R699">
        <v>2</v>
      </c>
      <c r="S699">
        <v>5</v>
      </c>
      <c r="T699">
        <v>1</v>
      </c>
      <c r="U699">
        <v>0</v>
      </c>
      <c r="V699" t="s">
        <v>72</v>
      </c>
      <c r="W699" s="2">
        <v>42370</v>
      </c>
      <c r="Y699" t="s">
        <v>46</v>
      </c>
      <c r="Z699" t="s">
        <v>47</v>
      </c>
      <c r="AA699">
        <v>1</v>
      </c>
      <c r="AB699">
        <v>0</v>
      </c>
      <c r="AC699" t="s">
        <v>41</v>
      </c>
      <c r="AD699" t="s">
        <v>42</v>
      </c>
      <c r="AE699" t="s">
        <v>49</v>
      </c>
      <c r="AF699" s="3">
        <v>974</v>
      </c>
      <c r="AG699" s="3">
        <v>84</v>
      </c>
      <c r="AH699">
        <v>80</v>
      </c>
      <c r="AI699">
        <v>1</v>
      </c>
      <c r="AJ699">
        <v>0</v>
      </c>
      <c r="AL699">
        <v>0</v>
      </c>
      <c r="AM699">
        <v>1</v>
      </c>
      <c r="AN699" t="s">
        <v>768</v>
      </c>
      <c r="AO699" t="s">
        <v>41</v>
      </c>
    </row>
    <row r="700" spans="1:41" x14ac:dyDescent="0.25">
      <c r="A700">
        <v>51</v>
      </c>
      <c r="B700" t="s">
        <v>32</v>
      </c>
      <c r="C700" t="s">
        <v>33</v>
      </c>
      <c r="D700">
        <v>11</v>
      </c>
      <c r="E700" t="s">
        <v>61</v>
      </c>
      <c r="F700">
        <v>2</v>
      </c>
      <c r="G700">
        <v>4</v>
      </c>
      <c r="H700" t="s">
        <v>78</v>
      </c>
      <c r="I700">
        <v>2</v>
      </c>
      <c r="J700" t="s">
        <v>36</v>
      </c>
      <c r="K700">
        <v>13142</v>
      </c>
      <c r="L700">
        <v>3</v>
      </c>
      <c r="M700" t="s">
        <v>41</v>
      </c>
      <c r="N700">
        <v>16</v>
      </c>
      <c r="O700">
        <v>3</v>
      </c>
      <c r="P700">
        <v>0</v>
      </c>
      <c r="Q700">
        <v>29</v>
      </c>
      <c r="R700">
        <v>1</v>
      </c>
      <c r="S700">
        <v>5</v>
      </c>
      <c r="T700">
        <v>0</v>
      </c>
      <c r="U700">
        <v>3</v>
      </c>
      <c r="V700" t="s">
        <v>72</v>
      </c>
      <c r="W700" s="2">
        <v>42495</v>
      </c>
      <c r="Y700" t="s">
        <v>54</v>
      </c>
      <c r="Z700" t="s">
        <v>47</v>
      </c>
      <c r="AA700">
        <v>1</v>
      </c>
      <c r="AB700">
        <v>1</v>
      </c>
      <c r="AC700" t="s">
        <v>41</v>
      </c>
      <c r="AD700" t="s">
        <v>48</v>
      </c>
      <c r="AE700" t="s">
        <v>60</v>
      </c>
      <c r="AF700" s="3">
        <v>975</v>
      </c>
      <c r="AG700" s="3">
        <v>86</v>
      </c>
      <c r="AH700">
        <v>80</v>
      </c>
      <c r="AI700">
        <v>2</v>
      </c>
      <c r="AJ700">
        <v>0</v>
      </c>
      <c r="AL700">
        <v>0</v>
      </c>
      <c r="AM700">
        <v>1</v>
      </c>
      <c r="AN700" t="s">
        <v>768</v>
      </c>
      <c r="AO700" t="s">
        <v>41</v>
      </c>
    </row>
    <row r="701" spans="1:41" x14ac:dyDescent="0.25">
      <c r="A701">
        <v>34</v>
      </c>
      <c r="B701" t="s">
        <v>81</v>
      </c>
      <c r="C701" t="s">
        <v>33</v>
      </c>
      <c r="D701">
        <v>26</v>
      </c>
      <c r="E701" t="s">
        <v>61</v>
      </c>
      <c r="F701">
        <v>2</v>
      </c>
      <c r="G701">
        <v>1</v>
      </c>
      <c r="H701" t="s">
        <v>44</v>
      </c>
      <c r="I701">
        <v>3</v>
      </c>
      <c r="J701" t="s">
        <v>57</v>
      </c>
      <c r="K701">
        <v>2029</v>
      </c>
      <c r="L701">
        <v>1</v>
      </c>
      <c r="M701" t="s">
        <v>41</v>
      </c>
      <c r="N701">
        <v>20</v>
      </c>
      <c r="O701">
        <v>4</v>
      </c>
      <c r="P701">
        <v>3</v>
      </c>
      <c r="Q701">
        <v>5</v>
      </c>
      <c r="R701">
        <v>2</v>
      </c>
      <c r="S701">
        <v>5</v>
      </c>
      <c r="T701">
        <v>0</v>
      </c>
      <c r="U701">
        <v>0</v>
      </c>
      <c r="V701" t="s">
        <v>58</v>
      </c>
      <c r="W701" s="1" t="s">
        <v>361</v>
      </c>
      <c r="Y701" t="s">
        <v>54</v>
      </c>
      <c r="Z701" t="s">
        <v>40</v>
      </c>
      <c r="AA701">
        <v>2</v>
      </c>
      <c r="AB701">
        <v>0</v>
      </c>
      <c r="AC701" t="s">
        <v>41</v>
      </c>
      <c r="AD701" t="s">
        <v>48</v>
      </c>
      <c r="AE701" t="s">
        <v>49</v>
      </c>
      <c r="AF701" s="3">
        <v>976</v>
      </c>
      <c r="AG701" s="3">
        <v>70</v>
      </c>
      <c r="AH701">
        <v>80</v>
      </c>
      <c r="AI701">
        <v>8</v>
      </c>
      <c r="AJ701">
        <v>0</v>
      </c>
      <c r="AL701">
        <v>0</v>
      </c>
      <c r="AM701">
        <v>1</v>
      </c>
      <c r="AN701" t="s">
        <v>768</v>
      </c>
      <c r="AO701" t="s">
        <v>41</v>
      </c>
    </row>
    <row r="702" spans="1:41" x14ac:dyDescent="0.25">
      <c r="A702">
        <v>28</v>
      </c>
      <c r="B702" t="s">
        <v>32</v>
      </c>
      <c r="C702" t="s">
        <v>55</v>
      </c>
      <c r="D702">
        <v>26</v>
      </c>
      <c r="E702" t="s">
        <v>34</v>
      </c>
      <c r="F702">
        <v>2</v>
      </c>
      <c r="G702">
        <v>2</v>
      </c>
      <c r="H702" t="s">
        <v>70</v>
      </c>
      <c r="I702">
        <v>1</v>
      </c>
      <c r="J702" t="s">
        <v>51</v>
      </c>
      <c r="K702">
        <v>4724</v>
      </c>
      <c r="L702">
        <v>1</v>
      </c>
      <c r="M702" t="s">
        <v>41</v>
      </c>
      <c r="N702">
        <v>11</v>
      </c>
      <c r="O702">
        <v>3</v>
      </c>
      <c r="P702">
        <v>1</v>
      </c>
      <c r="Q702">
        <v>5</v>
      </c>
      <c r="R702">
        <v>0</v>
      </c>
      <c r="S702">
        <v>5</v>
      </c>
      <c r="T702">
        <v>0</v>
      </c>
      <c r="U702">
        <v>4</v>
      </c>
      <c r="V702" t="s">
        <v>58</v>
      </c>
      <c r="W702" s="1" t="s">
        <v>349</v>
      </c>
      <c r="Y702" t="s">
        <v>46</v>
      </c>
      <c r="Z702" t="s">
        <v>40</v>
      </c>
      <c r="AA702">
        <v>0</v>
      </c>
      <c r="AB702">
        <v>3</v>
      </c>
      <c r="AC702" t="s">
        <v>31</v>
      </c>
      <c r="AD702" t="s">
        <v>48</v>
      </c>
      <c r="AE702" t="s">
        <v>49</v>
      </c>
      <c r="AF702" s="3">
        <v>977</v>
      </c>
      <c r="AG702" s="3">
        <v>51</v>
      </c>
      <c r="AH702">
        <v>80</v>
      </c>
      <c r="AI702">
        <v>0</v>
      </c>
      <c r="AJ702">
        <v>1</v>
      </c>
      <c r="AK702">
        <v>1</v>
      </c>
      <c r="AL702">
        <v>1</v>
      </c>
      <c r="AM702">
        <v>0</v>
      </c>
      <c r="AN702" t="s">
        <v>767</v>
      </c>
      <c r="AO702" t="s">
        <v>31</v>
      </c>
    </row>
    <row r="703" spans="1:41" x14ac:dyDescent="0.25">
      <c r="A703">
        <v>39</v>
      </c>
      <c r="B703" t="s">
        <v>32</v>
      </c>
      <c r="C703" t="s">
        <v>55</v>
      </c>
      <c r="D703">
        <v>21</v>
      </c>
      <c r="E703" t="s">
        <v>34</v>
      </c>
      <c r="F703">
        <v>2</v>
      </c>
      <c r="G703">
        <v>2</v>
      </c>
      <c r="H703" t="s">
        <v>70</v>
      </c>
      <c r="I703">
        <v>4</v>
      </c>
      <c r="J703" t="s">
        <v>51</v>
      </c>
      <c r="K703">
        <v>6120</v>
      </c>
      <c r="L703">
        <v>3</v>
      </c>
      <c r="M703" t="s">
        <v>31</v>
      </c>
      <c r="N703">
        <v>12</v>
      </c>
      <c r="O703">
        <v>3</v>
      </c>
      <c r="P703">
        <v>2</v>
      </c>
      <c r="Q703">
        <v>8</v>
      </c>
      <c r="R703">
        <v>2</v>
      </c>
      <c r="S703">
        <v>5</v>
      </c>
      <c r="T703">
        <v>1</v>
      </c>
      <c r="U703">
        <v>4</v>
      </c>
      <c r="V703" t="s">
        <v>58</v>
      </c>
      <c r="W703" s="2">
        <v>42463</v>
      </c>
      <c r="Y703" t="s">
        <v>46</v>
      </c>
      <c r="Z703" t="s">
        <v>47</v>
      </c>
      <c r="AA703">
        <v>4</v>
      </c>
      <c r="AB703">
        <v>2</v>
      </c>
      <c r="AC703" t="s">
        <v>31</v>
      </c>
      <c r="AD703" t="s">
        <v>42</v>
      </c>
      <c r="AE703" t="s">
        <v>60</v>
      </c>
      <c r="AF703" s="3">
        <v>981</v>
      </c>
      <c r="AG703" s="3">
        <v>45</v>
      </c>
      <c r="AH703">
        <v>80</v>
      </c>
      <c r="AI703">
        <v>13</v>
      </c>
      <c r="AJ703">
        <v>0</v>
      </c>
      <c r="AL703">
        <v>0</v>
      </c>
      <c r="AM703">
        <v>1</v>
      </c>
      <c r="AN703" t="s">
        <v>768</v>
      </c>
      <c r="AO703" t="s">
        <v>41</v>
      </c>
    </row>
    <row r="704" spans="1:41" x14ac:dyDescent="0.25">
      <c r="A704">
        <v>33</v>
      </c>
      <c r="B704" t="s">
        <v>66</v>
      </c>
      <c r="C704" t="s">
        <v>55</v>
      </c>
      <c r="D704">
        <v>5</v>
      </c>
      <c r="E704" t="s">
        <v>34</v>
      </c>
      <c r="F704">
        <v>3</v>
      </c>
      <c r="G704">
        <v>2</v>
      </c>
      <c r="H704" t="s">
        <v>70</v>
      </c>
      <c r="I704">
        <v>4</v>
      </c>
      <c r="J704" t="s">
        <v>51</v>
      </c>
      <c r="K704">
        <v>9998</v>
      </c>
      <c r="L704">
        <v>6</v>
      </c>
      <c r="M704" t="s">
        <v>41</v>
      </c>
      <c r="N704">
        <v>13</v>
      </c>
      <c r="O704">
        <v>3</v>
      </c>
      <c r="P704">
        <v>0</v>
      </c>
      <c r="Q704">
        <v>8</v>
      </c>
      <c r="R704">
        <v>2</v>
      </c>
      <c r="S704">
        <v>5</v>
      </c>
      <c r="T704">
        <v>1</v>
      </c>
      <c r="U704">
        <v>2</v>
      </c>
      <c r="V704" t="s">
        <v>37</v>
      </c>
      <c r="W704" s="1" t="s">
        <v>371</v>
      </c>
      <c r="Y704" t="s">
        <v>63</v>
      </c>
      <c r="Z704" t="s">
        <v>40</v>
      </c>
      <c r="AA704">
        <v>3</v>
      </c>
      <c r="AB704">
        <v>1</v>
      </c>
      <c r="AC704" t="s">
        <v>31</v>
      </c>
      <c r="AD704" t="s">
        <v>65</v>
      </c>
      <c r="AE704" t="s">
        <v>49</v>
      </c>
      <c r="AF704" s="3">
        <v>982</v>
      </c>
      <c r="AG704" s="3">
        <v>62</v>
      </c>
      <c r="AH704">
        <v>80</v>
      </c>
      <c r="AI704">
        <v>4</v>
      </c>
      <c r="AJ704">
        <v>0</v>
      </c>
      <c r="AL704">
        <v>0</v>
      </c>
      <c r="AM704">
        <v>1</v>
      </c>
      <c r="AN704" t="s">
        <v>768</v>
      </c>
      <c r="AO704" t="s">
        <v>41</v>
      </c>
    </row>
    <row r="705" spans="1:41" x14ac:dyDescent="0.25">
      <c r="A705">
        <v>52</v>
      </c>
      <c r="B705" t="s">
        <v>66</v>
      </c>
      <c r="C705" t="s">
        <v>33</v>
      </c>
      <c r="D705">
        <v>28</v>
      </c>
      <c r="E705" t="s">
        <v>61</v>
      </c>
      <c r="F705">
        <v>4</v>
      </c>
      <c r="G705">
        <v>4</v>
      </c>
      <c r="H705" t="s">
        <v>78</v>
      </c>
      <c r="I705">
        <v>3</v>
      </c>
      <c r="J705" t="s">
        <v>51</v>
      </c>
      <c r="K705">
        <v>13247</v>
      </c>
      <c r="L705">
        <v>2</v>
      </c>
      <c r="M705" t="s">
        <v>31</v>
      </c>
      <c r="N705">
        <v>11</v>
      </c>
      <c r="O705">
        <v>3</v>
      </c>
      <c r="P705">
        <v>1</v>
      </c>
      <c r="Q705">
        <v>24</v>
      </c>
      <c r="R705">
        <v>3</v>
      </c>
      <c r="S705">
        <v>5</v>
      </c>
      <c r="T705">
        <v>0</v>
      </c>
      <c r="U705">
        <v>2</v>
      </c>
      <c r="V705" t="s">
        <v>37</v>
      </c>
      <c r="W705" s="1" t="s">
        <v>327</v>
      </c>
      <c r="Y705" t="s">
        <v>63</v>
      </c>
      <c r="Z705" t="s">
        <v>40</v>
      </c>
      <c r="AA705">
        <v>3</v>
      </c>
      <c r="AB705">
        <v>3</v>
      </c>
      <c r="AC705" t="s">
        <v>31</v>
      </c>
      <c r="AD705" t="s">
        <v>42</v>
      </c>
      <c r="AE705" t="s">
        <v>60</v>
      </c>
      <c r="AF705" s="3">
        <v>983</v>
      </c>
      <c r="AG705" s="3">
        <v>85</v>
      </c>
      <c r="AH705">
        <v>80</v>
      </c>
      <c r="AI705">
        <v>3</v>
      </c>
      <c r="AJ705">
        <v>0</v>
      </c>
      <c r="AL705">
        <v>0</v>
      </c>
      <c r="AM705">
        <v>1</v>
      </c>
      <c r="AN705" t="s">
        <v>768</v>
      </c>
      <c r="AO705" t="s">
        <v>41</v>
      </c>
    </row>
    <row r="706" spans="1:41" x14ac:dyDescent="0.25">
      <c r="A706">
        <v>52</v>
      </c>
      <c r="B706" t="s">
        <v>32</v>
      </c>
      <c r="C706" t="s">
        <v>33</v>
      </c>
      <c r="D706">
        <v>8</v>
      </c>
      <c r="E706" t="s">
        <v>61</v>
      </c>
      <c r="F706">
        <v>3</v>
      </c>
      <c r="G706">
        <v>1</v>
      </c>
      <c r="H706" t="s">
        <v>35</v>
      </c>
      <c r="I706">
        <v>1</v>
      </c>
      <c r="J706" t="s">
        <v>51</v>
      </c>
      <c r="K706">
        <v>2950</v>
      </c>
      <c r="L706">
        <v>9</v>
      </c>
      <c r="M706" t="s">
        <v>41</v>
      </c>
      <c r="N706">
        <v>13</v>
      </c>
      <c r="O706">
        <v>3</v>
      </c>
      <c r="P706">
        <v>0</v>
      </c>
      <c r="Q706">
        <v>12</v>
      </c>
      <c r="R706">
        <v>2</v>
      </c>
      <c r="S706">
        <v>5</v>
      </c>
      <c r="T706">
        <v>0</v>
      </c>
      <c r="U706">
        <v>4</v>
      </c>
      <c r="V706" t="s">
        <v>52</v>
      </c>
      <c r="W706" s="2">
        <v>42375</v>
      </c>
      <c r="Y706" t="s">
        <v>69</v>
      </c>
      <c r="Z706" t="s">
        <v>40</v>
      </c>
      <c r="AA706">
        <v>2</v>
      </c>
      <c r="AB706">
        <v>3</v>
      </c>
      <c r="AC706" t="s">
        <v>31</v>
      </c>
      <c r="AD706" t="s">
        <v>48</v>
      </c>
      <c r="AE706" t="s">
        <v>60</v>
      </c>
      <c r="AF706" s="3">
        <v>984</v>
      </c>
      <c r="AG706" s="3">
        <v>92</v>
      </c>
      <c r="AH706">
        <v>80</v>
      </c>
      <c r="AI706">
        <v>9</v>
      </c>
      <c r="AJ706">
        <v>0</v>
      </c>
      <c r="AL706">
        <v>0</v>
      </c>
      <c r="AM706">
        <v>1</v>
      </c>
      <c r="AN706" t="s">
        <v>768</v>
      </c>
      <c r="AO706" t="s">
        <v>41</v>
      </c>
    </row>
    <row r="707" spans="1:41" x14ac:dyDescent="0.25">
      <c r="A707">
        <v>36</v>
      </c>
      <c r="B707" t="s">
        <v>32</v>
      </c>
      <c r="C707" t="s">
        <v>55</v>
      </c>
      <c r="D707">
        <v>3</v>
      </c>
      <c r="E707" t="s">
        <v>61</v>
      </c>
      <c r="F707">
        <v>3</v>
      </c>
      <c r="G707">
        <v>2</v>
      </c>
      <c r="H707" t="s">
        <v>70</v>
      </c>
      <c r="I707">
        <v>2</v>
      </c>
      <c r="J707" t="s">
        <v>36</v>
      </c>
      <c r="K707">
        <v>9278</v>
      </c>
      <c r="L707">
        <v>3</v>
      </c>
      <c r="M707" t="s">
        <v>31</v>
      </c>
      <c r="N707">
        <v>16</v>
      </c>
      <c r="O707">
        <v>3</v>
      </c>
      <c r="P707">
        <v>0</v>
      </c>
      <c r="Q707">
        <v>15</v>
      </c>
      <c r="R707">
        <v>3</v>
      </c>
      <c r="S707">
        <v>5</v>
      </c>
      <c r="T707">
        <v>0</v>
      </c>
      <c r="U707">
        <v>1</v>
      </c>
      <c r="V707" t="s">
        <v>37</v>
      </c>
      <c r="W707" s="2">
        <v>42370</v>
      </c>
      <c r="Y707" t="s">
        <v>46</v>
      </c>
      <c r="Z707" t="s">
        <v>47</v>
      </c>
      <c r="AA707">
        <v>0</v>
      </c>
      <c r="AB707">
        <v>2</v>
      </c>
      <c r="AC707" t="s">
        <v>41</v>
      </c>
      <c r="AD707" t="s">
        <v>42</v>
      </c>
      <c r="AE707" t="s">
        <v>60</v>
      </c>
      <c r="AF707" s="3">
        <v>985</v>
      </c>
      <c r="AG707" s="3">
        <v>41</v>
      </c>
      <c r="AH707">
        <v>80</v>
      </c>
      <c r="AI707">
        <v>7</v>
      </c>
      <c r="AJ707">
        <v>0</v>
      </c>
      <c r="AL707">
        <v>0</v>
      </c>
      <c r="AM707">
        <v>1</v>
      </c>
      <c r="AN707" t="s">
        <v>768</v>
      </c>
      <c r="AO707" t="s">
        <v>41</v>
      </c>
    </row>
    <row r="708" spans="1:41" x14ac:dyDescent="0.25">
      <c r="A708">
        <v>27</v>
      </c>
      <c r="B708" t="s">
        <v>32</v>
      </c>
      <c r="C708" t="s">
        <v>33</v>
      </c>
      <c r="D708">
        <v>11</v>
      </c>
      <c r="E708" t="s">
        <v>34</v>
      </c>
      <c r="F708">
        <v>3</v>
      </c>
      <c r="G708">
        <v>1</v>
      </c>
      <c r="H708" t="s">
        <v>35</v>
      </c>
      <c r="I708">
        <v>1</v>
      </c>
      <c r="J708" t="s">
        <v>51</v>
      </c>
      <c r="K708">
        <v>2099</v>
      </c>
      <c r="L708">
        <v>0</v>
      </c>
      <c r="M708" t="s">
        <v>41</v>
      </c>
      <c r="N708">
        <v>14</v>
      </c>
      <c r="O708">
        <v>3</v>
      </c>
      <c r="P708">
        <v>0</v>
      </c>
      <c r="Q708">
        <v>6</v>
      </c>
      <c r="R708">
        <v>3</v>
      </c>
      <c r="S708">
        <v>5</v>
      </c>
      <c r="T708">
        <v>1</v>
      </c>
      <c r="U708">
        <v>4</v>
      </c>
      <c r="V708" t="s">
        <v>37</v>
      </c>
      <c r="W708" s="1" t="s">
        <v>372</v>
      </c>
      <c r="Y708" t="s">
        <v>54</v>
      </c>
      <c r="Z708" t="s">
        <v>40</v>
      </c>
      <c r="AA708">
        <v>2</v>
      </c>
      <c r="AB708">
        <v>0</v>
      </c>
      <c r="AC708" t="s">
        <v>41</v>
      </c>
      <c r="AD708" t="s">
        <v>67</v>
      </c>
      <c r="AE708" t="s">
        <v>43</v>
      </c>
      <c r="AF708" s="3">
        <v>986</v>
      </c>
      <c r="AG708" s="3">
        <v>100</v>
      </c>
      <c r="AH708">
        <v>80</v>
      </c>
      <c r="AI708">
        <v>0</v>
      </c>
      <c r="AJ708">
        <v>1</v>
      </c>
      <c r="AK708">
        <v>1</v>
      </c>
      <c r="AL708">
        <v>1</v>
      </c>
      <c r="AM708">
        <v>0</v>
      </c>
      <c r="AN708" t="s">
        <v>767</v>
      </c>
      <c r="AO708" t="s">
        <v>31</v>
      </c>
    </row>
    <row r="709" spans="1:41" x14ac:dyDescent="0.25">
      <c r="A709">
        <v>24</v>
      </c>
      <c r="B709" t="s">
        <v>32</v>
      </c>
      <c r="C709" t="s">
        <v>55</v>
      </c>
      <c r="D709">
        <v>4</v>
      </c>
      <c r="E709" t="s">
        <v>61</v>
      </c>
      <c r="F709">
        <v>3</v>
      </c>
      <c r="G709">
        <v>2</v>
      </c>
      <c r="H709" t="s">
        <v>70</v>
      </c>
      <c r="I709">
        <v>3</v>
      </c>
      <c r="J709" t="s">
        <v>51</v>
      </c>
      <c r="K709">
        <v>4162</v>
      </c>
      <c r="L709">
        <v>1</v>
      </c>
      <c r="M709" t="s">
        <v>31</v>
      </c>
      <c r="N709">
        <v>12</v>
      </c>
      <c r="O709">
        <v>3</v>
      </c>
      <c r="P709">
        <v>2</v>
      </c>
      <c r="Q709">
        <v>5</v>
      </c>
      <c r="R709">
        <v>3</v>
      </c>
      <c r="S709">
        <v>5</v>
      </c>
      <c r="T709">
        <v>0</v>
      </c>
      <c r="U709">
        <v>3</v>
      </c>
      <c r="V709" t="s">
        <v>58</v>
      </c>
      <c r="W709" s="2">
        <v>42647</v>
      </c>
      <c r="Y709" t="s">
        <v>46</v>
      </c>
      <c r="Z709" t="s">
        <v>40</v>
      </c>
      <c r="AA709">
        <v>4</v>
      </c>
      <c r="AB709">
        <v>1</v>
      </c>
      <c r="AC709" t="s">
        <v>31</v>
      </c>
      <c r="AD709" t="s">
        <v>65</v>
      </c>
      <c r="AE709" t="s">
        <v>49</v>
      </c>
      <c r="AF709" s="3">
        <v>987</v>
      </c>
      <c r="AG709" s="3">
        <v>64</v>
      </c>
      <c r="AH709">
        <v>80</v>
      </c>
      <c r="AI709">
        <v>10</v>
      </c>
      <c r="AJ709">
        <v>0</v>
      </c>
      <c r="AL709">
        <v>0</v>
      </c>
      <c r="AM709">
        <v>1</v>
      </c>
      <c r="AN709" t="s">
        <v>768</v>
      </c>
      <c r="AO709" t="s">
        <v>41</v>
      </c>
    </row>
    <row r="710" spans="1:41" x14ac:dyDescent="0.25">
      <c r="A710">
        <v>34</v>
      </c>
      <c r="B710" t="s">
        <v>32</v>
      </c>
      <c r="C710" t="s">
        <v>33</v>
      </c>
      <c r="D710">
        <v>1</v>
      </c>
      <c r="E710" t="s">
        <v>61</v>
      </c>
      <c r="F710">
        <v>2</v>
      </c>
      <c r="G710">
        <v>1</v>
      </c>
      <c r="H710" t="s">
        <v>35</v>
      </c>
      <c r="I710">
        <v>2</v>
      </c>
      <c r="J710" t="s">
        <v>51</v>
      </c>
      <c r="K710">
        <v>3294</v>
      </c>
      <c r="L710">
        <v>5</v>
      </c>
      <c r="M710" t="s">
        <v>41</v>
      </c>
      <c r="N710">
        <v>17</v>
      </c>
      <c r="O710">
        <v>3</v>
      </c>
      <c r="P710">
        <v>1</v>
      </c>
      <c r="Q710">
        <v>7</v>
      </c>
      <c r="R710">
        <v>2</v>
      </c>
      <c r="S710">
        <v>5</v>
      </c>
      <c r="T710">
        <v>0</v>
      </c>
      <c r="U710">
        <v>2</v>
      </c>
      <c r="V710" t="s">
        <v>52</v>
      </c>
      <c r="W710" s="2">
        <v>42522</v>
      </c>
      <c r="Y710" t="s">
        <v>46</v>
      </c>
      <c r="Z710" t="s">
        <v>40</v>
      </c>
      <c r="AA710">
        <v>5</v>
      </c>
      <c r="AB710">
        <v>0</v>
      </c>
      <c r="AC710" t="s">
        <v>31</v>
      </c>
      <c r="AD710" t="s">
        <v>65</v>
      </c>
      <c r="AE710" t="s">
        <v>49</v>
      </c>
      <c r="AF710" s="3">
        <v>990</v>
      </c>
      <c r="AG710" s="3">
        <v>84</v>
      </c>
      <c r="AH710">
        <v>80</v>
      </c>
      <c r="AI710">
        <v>7</v>
      </c>
      <c r="AJ710">
        <v>0</v>
      </c>
      <c r="AL710">
        <v>0</v>
      </c>
      <c r="AM710">
        <v>1</v>
      </c>
      <c r="AN710" t="s">
        <v>768</v>
      </c>
      <c r="AO710" t="s">
        <v>41</v>
      </c>
    </row>
    <row r="711" spans="1:41" x14ac:dyDescent="0.25">
      <c r="A711">
        <v>28</v>
      </c>
      <c r="B711" t="s">
        <v>32</v>
      </c>
      <c r="C711" t="s">
        <v>55</v>
      </c>
      <c r="D711">
        <v>5</v>
      </c>
      <c r="E711" t="s">
        <v>34</v>
      </c>
      <c r="F711">
        <v>3</v>
      </c>
      <c r="G711">
        <v>2</v>
      </c>
      <c r="H711" t="s">
        <v>70</v>
      </c>
      <c r="I711">
        <v>1</v>
      </c>
      <c r="J711" t="s">
        <v>36</v>
      </c>
      <c r="K711">
        <v>8463</v>
      </c>
      <c r="L711">
        <v>0</v>
      </c>
      <c r="M711" t="s">
        <v>41</v>
      </c>
      <c r="N711">
        <v>18</v>
      </c>
      <c r="O711">
        <v>3</v>
      </c>
      <c r="P711">
        <v>0</v>
      </c>
      <c r="Q711">
        <v>6</v>
      </c>
      <c r="R711">
        <v>4</v>
      </c>
      <c r="S711">
        <v>5</v>
      </c>
      <c r="T711">
        <v>1</v>
      </c>
      <c r="U711">
        <v>3</v>
      </c>
      <c r="V711" t="s">
        <v>37</v>
      </c>
      <c r="W711" s="2">
        <v>42493</v>
      </c>
      <c r="Y711" t="s">
        <v>63</v>
      </c>
      <c r="Z711" t="s">
        <v>47</v>
      </c>
      <c r="AA711">
        <v>3</v>
      </c>
      <c r="AB711">
        <v>1</v>
      </c>
      <c r="AC711" t="s">
        <v>41</v>
      </c>
      <c r="AD711" t="s">
        <v>42</v>
      </c>
      <c r="AE711" t="s">
        <v>60</v>
      </c>
      <c r="AF711" s="3">
        <v>991</v>
      </c>
      <c r="AG711" s="3">
        <v>46</v>
      </c>
      <c r="AH711">
        <v>80</v>
      </c>
      <c r="AI711">
        <v>2</v>
      </c>
      <c r="AJ711">
        <v>1</v>
      </c>
      <c r="AK711">
        <v>1</v>
      </c>
      <c r="AL711">
        <v>1</v>
      </c>
      <c r="AM711">
        <v>0</v>
      </c>
      <c r="AN711" t="s">
        <v>767</v>
      </c>
      <c r="AO711" t="s">
        <v>31</v>
      </c>
    </row>
    <row r="712" spans="1:41" x14ac:dyDescent="0.25">
      <c r="A712">
        <v>44</v>
      </c>
      <c r="B712" t="s">
        <v>81</v>
      </c>
      <c r="C712" t="s">
        <v>33</v>
      </c>
      <c r="D712">
        <v>5</v>
      </c>
      <c r="E712" t="s">
        <v>34</v>
      </c>
      <c r="F712">
        <v>2</v>
      </c>
      <c r="G712">
        <v>1</v>
      </c>
      <c r="H712" t="s">
        <v>35</v>
      </c>
      <c r="I712">
        <v>3</v>
      </c>
      <c r="J712" t="s">
        <v>36</v>
      </c>
      <c r="K712">
        <v>3162</v>
      </c>
      <c r="L712">
        <v>3</v>
      </c>
      <c r="M712" t="s">
        <v>41</v>
      </c>
      <c r="N712">
        <v>14</v>
      </c>
      <c r="O712">
        <v>3</v>
      </c>
      <c r="P712">
        <v>0</v>
      </c>
      <c r="Q712">
        <v>7</v>
      </c>
      <c r="R712">
        <v>5</v>
      </c>
      <c r="S712">
        <v>5</v>
      </c>
      <c r="T712">
        <v>0</v>
      </c>
      <c r="U712">
        <v>3</v>
      </c>
      <c r="V712" t="s">
        <v>72</v>
      </c>
      <c r="W712" s="2">
        <v>42675</v>
      </c>
      <c r="Y712" t="s">
        <v>39</v>
      </c>
      <c r="Z712" t="s">
        <v>47</v>
      </c>
      <c r="AA712">
        <v>3</v>
      </c>
      <c r="AB712">
        <v>3</v>
      </c>
      <c r="AC712" t="s">
        <v>31</v>
      </c>
      <c r="AD712" t="s">
        <v>67</v>
      </c>
      <c r="AE712" t="s">
        <v>49</v>
      </c>
      <c r="AF712" s="3">
        <v>992</v>
      </c>
      <c r="AG712" s="3">
        <v>38</v>
      </c>
      <c r="AH712">
        <v>80</v>
      </c>
      <c r="AI712">
        <v>8</v>
      </c>
      <c r="AJ712">
        <v>0</v>
      </c>
      <c r="AL712">
        <v>0</v>
      </c>
      <c r="AM712">
        <v>1</v>
      </c>
      <c r="AN712" t="s">
        <v>768</v>
      </c>
      <c r="AO712" t="s">
        <v>41</v>
      </c>
    </row>
    <row r="713" spans="1:41" x14ac:dyDescent="0.25">
      <c r="A713">
        <v>44</v>
      </c>
      <c r="B713" t="s">
        <v>32</v>
      </c>
      <c r="C713" t="s">
        <v>33</v>
      </c>
      <c r="D713">
        <v>20</v>
      </c>
      <c r="E713" t="s">
        <v>34</v>
      </c>
      <c r="F713">
        <v>3</v>
      </c>
      <c r="G713">
        <v>1</v>
      </c>
      <c r="H713" t="s">
        <v>44</v>
      </c>
      <c r="I713">
        <v>2</v>
      </c>
      <c r="J713" t="s">
        <v>36</v>
      </c>
      <c r="K713">
        <v>3420</v>
      </c>
      <c r="L713">
        <v>1</v>
      </c>
      <c r="M713" t="s">
        <v>41</v>
      </c>
      <c r="N713">
        <v>13</v>
      </c>
      <c r="O713">
        <v>3</v>
      </c>
      <c r="P713">
        <v>0</v>
      </c>
      <c r="Q713">
        <v>6</v>
      </c>
      <c r="R713">
        <v>3</v>
      </c>
      <c r="S713">
        <v>5</v>
      </c>
      <c r="T713">
        <v>1</v>
      </c>
      <c r="U713">
        <v>3</v>
      </c>
      <c r="V713" t="s">
        <v>37</v>
      </c>
      <c r="W713" s="1" t="s">
        <v>327</v>
      </c>
      <c r="Y713" t="s">
        <v>46</v>
      </c>
      <c r="Z713" t="s">
        <v>40</v>
      </c>
      <c r="AA713">
        <v>1</v>
      </c>
      <c r="AB713">
        <v>0</v>
      </c>
      <c r="AC713" t="s">
        <v>31</v>
      </c>
      <c r="AD713" t="s">
        <v>48</v>
      </c>
      <c r="AE713" t="s">
        <v>60</v>
      </c>
      <c r="AF713" s="3">
        <v>994</v>
      </c>
      <c r="AG713" s="3">
        <v>92</v>
      </c>
      <c r="AH713">
        <v>80</v>
      </c>
      <c r="AI713">
        <v>0</v>
      </c>
      <c r="AJ713">
        <v>1</v>
      </c>
      <c r="AK713">
        <v>1</v>
      </c>
      <c r="AL713">
        <v>1</v>
      </c>
      <c r="AM713">
        <v>0</v>
      </c>
      <c r="AN713" t="s">
        <v>767</v>
      </c>
      <c r="AO713" t="s">
        <v>31</v>
      </c>
    </row>
    <row r="714" spans="1:41" x14ac:dyDescent="0.25">
      <c r="A714">
        <v>29</v>
      </c>
      <c r="B714" t="s">
        <v>66</v>
      </c>
      <c r="C714" t="s">
        <v>55</v>
      </c>
      <c r="D714">
        <v>13</v>
      </c>
      <c r="E714" t="s">
        <v>61</v>
      </c>
      <c r="F714">
        <v>3</v>
      </c>
      <c r="G714">
        <v>2</v>
      </c>
      <c r="H714" t="s">
        <v>70</v>
      </c>
      <c r="I714">
        <v>2</v>
      </c>
      <c r="J714" t="s">
        <v>36</v>
      </c>
      <c r="K714">
        <v>5765</v>
      </c>
      <c r="L714">
        <v>5</v>
      </c>
      <c r="M714" t="s">
        <v>41</v>
      </c>
      <c r="N714">
        <v>11</v>
      </c>
      <c r="O714">
        <v>3</v>
      </c>
      <c r="P714">
        <v>0</v>
      </c>
      <c r="Q714">
        <v>7</v>
      </c>
      <c r="R714">
        <v>4</v>
      </c>
      <c r="S714">
        <v>5</v>
      </c>
      <c r="T714">
        <v>0</v>
      </c>
      <c r="U714">
        <v>0</v>
      </c>
      <c r="V714" t="s">
        <v>58</v>
      </c>
      <c r="W714" s="1" t="s">
        <v>336</v>
      </c>
      <c r="Y714" t="s">
        <v>46</v>
      </c>
      <c r="Z714" t="s">
        <v>47</v>
      </c>
      <c r="AA714">
        <v>4</v>
      </c>
      <c r="AB714">
        <v>2</v>
      </c>
      <c r="AC714" t="s">
        <v>41</v>
      </c>
      <c r="AD714" t="s">
        <v>67</v>
      </c>
      <c r="AE714" t="s">
        <v>43</v>
      </c>
      <c r="AF714" s="3">
        <v>995</v>
      </c>
      <c r="AG714" s="3">
        <v>53</v>
      </c>
      <c r="AH714">
        <v>80</v>
      </c>
      <c r="AI714">
        <v>2</v>
      </c>
      <c r="AJ714">
        <v>0</v>
      </c>
      <c r="AL714">
        <v>0</v>
      </c>
      <c r="AM714">
        <v>1</v>
      </c>
      <c r="AN714" t="s">
        <v>768</v>
      </c>
      <c r="AO714" t="s">
        <v>41</v>
      </c>
    </row>
    <row r="715" spans="1:41" x14ac:dyDescent="0.25">
      <c r="A715">
        <v>30</v>
      </c>
      <c r="B715" t="s">
        <v>32</v>
      </c>
      <c r="C715" t="s">
        <v>120</v>
      </c>
      <c r="D715">
        <v>1</v>
      </c>
      <c r="E715" t="s">
        <v>34</v>
      </c>
      <c r="F715">
        <v>3</v>
      </c>
      <c r="G715">
        <v>1</v>
      </c>
      <c r="H715" t="s">
        <v>120</v>
      </c>
      <c r="I715">
        <v>3</v>
      </c>
      <c r="J715" t="s">
        <v>57</v>
      </c>
      <c r="K715">
        <v>2064</v>
      </c>
      <c r="L715">
        <v>0</v>
      </c>
      <c r="M715" t="s">
        <v>41</v>
      </c>
      <c r="N715">
        <v>21</v>
      </c>
      <c r="O715">
        <v>4</v>
      </c>
      <c r="P715">
        <v>1</v>
      </c>
      <c r="Q715">
        <v>6</v>
      </c>
      <c r="R715">
        <v>3</v>
      </c>
      <c r="S715">
        <v>5</v>
      </c>
      <c r="T715">
        <v>1</v>
      </c>
      <c r="U715">
        <v>3</v>
      </c>
      <c r="V715" t="s">
        <v>72</v>
      </c>
      <c r="W715" s="1" t="s">
        <v>355</v>
      </c>
      <c r="Y715" t="s">
        <v>46</v>
      </c>
      <c r="Z715" t="s">
        <v>40</v>
      </c>
      <c r="AA715">
        <v>2</v>
      </c>
      <c r="AB715">
        <v>0</v>
      </c>
      <c r="AC715" t="s">
        <v>31</v>
      </c>
      <c r="AD715" t="s">
        <v>48</v>
      </c>
      <c r="AE715" t="s">
        <v>49</v>
      </c>
      <c r="AF715" s="3">
        <v>996</v>
      </c>
      <c r="AG715" s="3">
        <v>91</v>
      </c>
      <c r="AH715">
        <v>80</v>
      </c>
      <c r="AI715">
        <v>3</v>
      </c>
      <c r="AJ715">
        <v>0</v>
      </c>
      <c r="AL715">
        <v>0</v>
      </c>
      <c r="AM715">
        <v>1</v>
      </c>
      <c r="AN715" t="s">
        <v>768</v>
      </c>
      <c r="AO715" t="s">
        <v>41</v>
      </c>
    </row>
    <row r="716" spans="1:41" x14ac:dyDescent="0.25">
      <c r="A716">
        <v>33</v>
      </c>
      <c r="B716" t="s">
        <v>32</v>
      </c>
      <c r="C716" t="s">
        <v>33</v>
      </c>
      <c r="D716">
        <v>4</v>
      </c>
      <c r="E716" t="s">
        <v>61</v>
      </c>
      <c r="F716">
        <v>2</v>
      </c>
      <c r="G716">
        <v>1</v>
      </c>
      <c r="H716" t="s">
        <v>35</v>
      </c>
      <c r="I716">
        <v>2</v>
      </c>
      <c r="J716" t="s">
        <v>51</v>
      </c>
      <c r="K716">
        <v>3838</v>
      </c>
      <c r="L716">
        <v>8</v>
      </c>
      <c r="M716" t="s">
        <v>41</v>
      </c>
      <c r="N716">
        <v>11</v>
      </c>
      <c r="O716">
        <v>3</v>
      </c>
      <c r="P716">
        <v>0</v>
      </c>
      <c r="Q716">
        <v>8</v>
      </c>
      <c r="R716">
        <v>5</v>
      </c>
      <c r="S716">
        <v>5</v>
      </c>
      <c r="T716">
        <v>0</v>
      </c>
      <c r="U716">
        <v>2</v>
      </c>
      <c r="V716" t="s">
        <v>37</v>
      </c>
      <c r="W716" s="1" t="s">
        <v>373</v>
      </c>
      <c r="Y716" t="s">
        <v>69</v>
      </c>
      <c r="Z716" t="s">
        <v>47</v>
      </c>
      <c r="AA716">
        <v>0</v>
      </c>
      <c r="AB716">
        <v>1</v>
      </c>
      <c r="AC716" t="s">
        <v>31</v>
      </c>
      <c r="AD716" t="s">
        <v>65</v>
      </c>
      <c r="AE716" t="s">
        <v>49</v>
      </c>
      <c r="AF716" s="3">
        <v>997</v>
      </c>
      <c r="AG716" s="3">
        <v>66</v>
      </c>
      <c r="AH716">
        <v>80</v>
      </c>
      <c r="AI716">
        <v>4</v>
      </c>
      <c r="AJ716">
        <v>0</v>
      </c>
      <c r="AL716">
        <v>0</v>
      </c>
      <c r="AM716">
        <v>1</v>
      </c>
      <c r="AN716" t="s">
        <v>768</v>
      </c>
      <c r="AO716" t="s">
        <v>41</v>
      </c>
    </row>
    <row r="717" spans="1:41" x14ac:dyDescent="0.25">
      <c r="A717">
        <v>47</v>
      </c>
      <c r="B717" t="s">
        <v>32</v>
      </c>
      <c r="C717" t="s">
        <v>55</v>
      </c>
      <c r="D717">
        <v>14</v>
      </c>
      <c r="E717" t="s">
        <v>61</v>
      </c>
      <c r="F717">
        <v>3</v>
      </c>
      <c r="G717">
        <v>2</v>
      </c>
      <c r="H717" t="s">
        <v>70</v>
      </c>
      <c r="I717">
        <v>3</v>
      </c>
      <c r="J717" t="s">
        <v>51</v>
      </c>
      <c r="K717">
        <v>4591</v>
      </c>
      <c r="L717">
        <v>3</v>
      </c>
      <c r="M717" t="s">
        <v>31</v>
      </c>
      <c r="N717">
        <v>17</v>
      </c>
      <c r="O717">
        <v>3</v>
      </c>
      <c r="P717">
        <v>1</v>
      </c>
      <c r="Q717">
        <v>11</v>
      </c>
      <c r="R717">
        <v>4</v>
      </c>
      <c r="S717">
        <v>5</v>
      </c>
      <c r="T717">
        <v>1</v>
      </c>
      <c r="U717">
        <v>2</v>
      </c>
      <c r="V717" t="s">
        <v>58</v>
      </c>
      <c r="W717" s="1" t="s">
        <v>345</v>
      </c>
      <c r="Y717" t="s">
        <v>46</v>
      </c>
      <c r="Z717" t="s">
        <v>47</v>
      </c>
      <c r="AA717">
        <v>4</v>
      </c>
      <c r="AB717">
        <v>1</v>
      </c>
      <c r="AC717" t="s">
        <v>31</v>
      </c>
      <c r="AD717" t="s">
        <v>42</v>
      </c>
      <c r="AE717" t="s">
        <v>49</v>
      </c>
      <c r="AF717" s="3">
        <v>998</v>
      </c>
      <c r="AG717" s="3">
        <v>84</v>
      </c>
      <c r="AH717">
        <v>80</v>
      </c>
      <c r="AI717">
        <v>5</v>
      </c>
      <c r="AJ717">
        <v>0</v>
      </c>
      <c r="AL717">
        <v>0</v>
      </c>
      <c r="AM717">
        <v>1</v>
      </c>
      <c r="AN717" t="s">
        <v>768</v>
      </c>
      <c r="AO717" t="s">
        <v>41</v>
      </c>
    </row>
    <row r="718" spans="1:41" x14ac:dyDescent="0.25">
      <c r="A718">
        <v>32</v>
      </c>
      <c r="B718" t="s">
        <v>32</v>
      </c>
      <c r="C718" t="s">
        <v>33</v>
      </c>
      <c r="D718">
        <v>10</v>
      </c>
      <c r="E718" t="s">
        <v>34</v>
      </c>
      <c r="F718">
        <v>3</v>
      </c>
      <c r="G718">
        <v>3</v>
      </c>
      <c r="H718" t="s">
        <v>75</v>
      </c>
      <c r="I718">
        <v>4</v>
      </c>
      <c r="J718" t="s">
        <v>36</v>
      </c>
      <c r="K718">
        <v>11244</v>
      </c>
      <c r="L718">
        <v>2</v>
      </c>
      <c r="M718" t="s">
        <v>41</v>
      </c>
      <c r="N718">
        <v>25</v>
      </c>
      <c r="O718">
        <v>4</v>
      </c>
      <c r="P718">
        <v>0</v>
      </c>
      <c r="Q718">
        <v>10</v>
      </c>
      <c r="R718">
        <v>5</v>
      </c>
      <c r="S718">
        <v>5</v>
      </c>
      <c r="T718">
        <v>0</v>
      </c>
      <c r="U718">
        <v>0</v>
      </c>
      <c r="V718" t="s">
        <v>58</v>
      </c>
      <c r="W718" s="1" t="s">
        <v>374</v>
      </c>
      <c r="Y718" t="s">
        <v>63</v>
      </c>
      <c r="Z718" t="s">
        <v>40</v>
      </c>
      <c r="AA718">
        <v>0</v>
      </c>
      <c r="AB718">
        <v>2</v>
      </c>
      <c r="AC718" t="s">
        <v>41</v>
      </c>
      <c r="AD718" t="s">
        <v>42</v>
      </c>
      <c r="AE718" t="s">
        <v>60</v>
      </c>
      <c r="AF718" s="3">
        <v>999</v>
      </c>
      <c r="AG718" s="3">
        <v>64</v>
      </c>
      <c r="AH718">
        <v>80</v>
      </c>
      <c r="AI718">
        <v>16</v>
      </c>
      <c r="AJ718">
        <v>0</v>
      </c>
      <c r="AL718">
        <v>0</v>
      </c>
      <c r="AM718">
        <v>1</v>
      </c>
      <c r="AN718" t="s">
        <v>768</v>
      </c>
      <c r="AO718" t="s">
        <v>41</v>
      </c>
    </row>
    <row r="719" spans="1:41" x14ac:dyDescent="0.25">
      <c r="A719">
        <v>40</v>
      </c>
      <c r="B719" t="s">
        <v>32</v>
      </c>
      <c r="C719" t="s">
        <v>33</v>
      </c>
      <c r="D719">
        <v>9</v>
      </c>
      <c r="E719" t="s">
        <v>34</v>
      </c>
      <c r="F719">
        <v>3</v>
      </c>
      <c r="G719">
        <v>1</v>
      </c>
      <c r="H719" t="s">
        <v>35</v>
      </c>
      <c r="I719">
        <v>1</v>
      </c>
      <c r="J719" t="s">
        <v>36</v>
      </c>
      <c r="K719">
        <v>2018</v>
      </c>
      <c r="L719">
        <v>3</v>
      </c>
      <c r="M719" t="s">
        <v>41</v>
      </c>
      <c r="N719">
        <v>14</v>
      </c>
      <c r="O719">
        <v>3</v>
      </c>
      <c r="P719">
        <v>0</v>
      </c>
      <c r="Q719">
        <v>15</v>
      </c>
      <c r="R719">
        <v>3</v>
      </c>
      <c r="S719">
        <v>5</v>
      </c>
      <c r="T719">
        <v>1</v>
      </c>
      <c r="U719">
        <v>0</v>
      </c>
      <c r="V719" t="s">
        <v>52</v>
      </c>
      <c r="W719" s="2">
        <v>42585</v>
      </c>
      <c r="Y719" t="s">
        <v>69</v>
      </c>
      <c r="Z719" t="s">
        <v>47</v>
      </c>
      <c r="AA719">
        <v>2</v>
      </c>
      <c r="AB719">
        <v>0</v>
      </c>
      <c r="AC719" t="s">
        <v>31</v>
      </c>
      <c r="AD719" t="s">
        <v>42</v>
      </c>
      <c r="AE719" t="s">
        <v>43</v>
      </c>
      <c r="AF719" s="3">
        <v>1001</v>
      </c>
      <c r="AG719" s="3">
        <v>37</v>
      </c>
      <c r="AH719">
        <v>80</v>
      </c>
      <c r="AI719">
        <v>2</v>
      </c>
      <c r="AJ719">
        <v>0</v>
      </c>
      <c r="AL719">
        <v>0</v>
      </c>
      <c r="AM719">
        <v>1</v>
      </c>
      <c r="AN719" t="s">
        <v>768</v>
      </c>
      <c r="AO719" t="s">
        <v>41</v>
      </c>
    </row>
    <row r="720" spans="1:41" x14ac:dyDescent="0.25">
      <c r="A720">
        <v>33</v>
      </c>
      <c r="B720" t="s">
        <v>32</v>
      </c>
      <c r="C720" t="s">
        <v>33</v>
      </c>
      <c r="D720">
        <v>25</v>
      </c>
      <c r="E720" t="s">
        <v>34</v>
      </c>
      <c r="F720">
        <v>2</v>
      </c>
      <c r="G720">
        <v>2</v>
      </c>
      <c r="H720" t="s">
        <v>78</v>
      </c>
      <c r="I720">
        <v>2</v>
      </c>
      <c r="J720" t="s">
        <v>36</v>
      </c>
      <c r="K720">
        <v>4320</v>
      </c>
      <c r="L720">
        <v>1</v>
      </c>
      <c r="M720" t="s">
        <v>41</v>
      </c>
      <c r="N720">
        <v>13</v>
      </c>
      <c r="O720">
        <v>3</v>
      </c>
      <c r="P720">
        <v>0</v>
      </c>
      <c r="Q720">
        <v>5</v>
      </c>
      <c r="R720">
        <v>2</v>
      </c>
      <c r="S720">
        <v>5</v>
      </c>
      <c r="T720">
        <v>0</v>
      </c>
      <c r="U720">
        <v>2</v>
      </c>
      <c r="V720" t="s">
        <v>72</v>
      </c>
      <c r="W720" s="1" t="s">
        <v>375</v>
      </c>
      <c r="Y720" t="s">
        <v>39</v>
      </c>
      <c r="Z720" t="s">
        <v>47</v>
      </c>
      <c r="AA720">
        <v>0</v>
      </c>
      <c r="AB720">
        <v>3</v>
      </c>
      <c r="AC720" t="s">
        <v>31</v>
      </c>
      <c r="AD720" t="s">
        <v>42</v>
      </c>
      <c r="AE720" t="s">
        <v>60</v>
      </c>
      <c r="AF720" s="3">
        <v>1002</v>
      </c>
      <c r="AG720" s="3">
        <v>42</v>
      </c>
      <c r="AH720">
        <v>80</v>
      </c>
      <c r="AI720">
        <v>8</v>
      </c>
      <c r="AJ720">
        <v>0</v>
      </c>
      <c r="AL720">
        <v>0</v>
      </c>
      <c r="AM720">
        <v>1</v>
      </c>
      <c r="AN720" t="s">
        <v>768</v>
      </c>
      <c r="AO720" t="s">
        <v>41</v>
      </c>
    </row>
    <row r="721" spans="1:41" x14ac:dyDescent="0.25">
      <c r="A721">
        <v>45</v>
      </c>
      <c r="B721" t="s">
        <v>32</v>
      </c>
      <c r="C721" t="s">
        <v>33</v>
      </c>
      <c r="D721">
        <v>28</v>
      </c>
      <c r="E721" t="s">
        <v>34</v>
      </c>
      <c r="F721">
        <v>3</v>
      </c>
      <c r="G721">
        <v>1</v>
      </c>
      <c r="H721" t="s">
        <v>44</v>
      </c>
      <c r="I721">
        <v>4</v>
      </c>
      <c r="J721" t="s">
        <v>51</v>
      </c>
      <c r="K721">
        <v>2132</v>
      </c>
      <c r="L721">
        <v>4</v>
      </c>
      <c r="M721" t="s">
        <v>41</v>
      </c>
      <c r="N721">
        <v>20</v>
      </c>
      <c r="O721">
        <v>4</v>
      </c>
      <c r="P721">
        <v>1</v>
      </c>
      <c r="Q721">
        <v>8</v>
      </c>
      <c r="R721">
        <v>3</v>
      </c>
      <c r="S721">
        <v>5</v>
      </c>
      <c r="T721">
        <v>0</v>
      </c>
      <c r="U721">
        <v>3</v>
      </c>
      <c r="V721" t="s">
        <v>37</v>
      </c>
      <c r="W721" s="2">
        <v>42371</v>
      </c>
      <c r="Y721" t="s">
        <v>63</v>
      </c>
      <c r="Z721" t="s">
        <v>40</v>
      </c>
      <c r="AA721">
        <v>3</v>
      </c>
      <c r="AB721">
        <v>3</v>
      </c>
      <c r="AC721" t="s">
        <v>31</v>
      </c>
      <c r="AD721" t="s">
        <v>67</v>
      </c>
      <c r="AE721" t="s">
        <v>49</v>
      </c>
      <c r="AF721" s="3">
        <v>1003</v>
      </c>
      <c r="AG721" s="3">
        <v>83</v>
      </c>
      <c r="AH721">
        <v>80</v>
      </c>
      <c r="AI721">
        <v>0</v>
      </c>
      <c r="AJ721">
        <v>0</v>
      </c>
      <c r="AL721">
        <v>0</v>
      </c>
      <c r="AM721">
        <v>1</v>
      </c>
      <c r="AN721" t="s">
        <v>768</v>
      </c>
      <c r="AO721" t="s">
        <v>41</v>
      </c>
    </row>
    <row r="722" spans="1:41" x14ac:dyDescent="0.25">
      <c r="A722">
        <v>35</v>
      </c>
      <c r="B722" t="s">
        <v>32</v>
      </c>
      <c r="C722" t="s">
        <v>55</v>
      </c>
      <c r="D722">
        <v>28</v>
      </c>
      <c r="E722" t="s">
        <v>61</v>
      </c>
      <c r="F722">
        <v>2</v>
      </c>
      <c r="G722">
        <v>1</v>
      </c>
      <c r="H722" t="s">
        <v>56</v>
      </c>
      <c r="I722">
        <v>3</v>
      </c>
      <c r="J722" t="s">
        <v>51</v>
      </c>
      <c r="K722">
        <v>2430</v>
      </c>
      <c r="L722">
        <v>0</v>
      </c>
      <c r="M722" t="s">
        <v>41</v>
      </c>
      <c r="N722">
        <v>23</v>
      </c>
      <c r="O722">
        <v>4</v>
      </c>
      <c r="P722">
        <v>2</v>
      </c>
      <c r="Q722">
        <v>6</v>
      </c>
      <c r="R722">
        <v>5</v>
      </c>
      <c r="S722">
        <v>5</v>
      </c>
      <c r="T722">
        <v>4</v>
      </c>
      <c r="U722">
        <v>2</v>
      </c>
      <c r="V722" t="s">
        <v>72</v>
      </c>
      <c r="W722" s="1" t="s">
        <v>354</v>
      </c>
      <c r="Y722" t="s">
        <v>69</v>
      </c>
      <c r="Z722" t="s">
        <v>40</v>
      </c>
      <c r="AA722">
        <v>4</v>
      </c>
      <c r="AB722">
        <v>3</v>
      </c>
      <c r="AC722" t="s">
        <v>41</v>
      </c>
      <c r="AD722" t="s">
        <v>65</v>
      </c>
      <c r="AE722" t="s">
        <v>43</v>
      </c>
      <c r="AF722" s="3">
        <v>1004</v>
      </c>
      <c r="AG722" s="3">
        <v>48</v>
      </c>
      <c r="AH722">
        <v>80</v>
      </c>
      <c r="AI722">
        <v>2</v>
      </c>
      <c r="AJ722">
        <v>1</v>
      </c>
      <c r="AK722">
        <v>1</v>
      </c>
      <c r="AL722">
        <v>1</v>
      </c>
      <c r="AM722">
        <v>0</v>
      </c>
      <c r="AN722" t="s">
        <v>767</v>
      </c>
      <c r="AO722" t="s">
        <v>31</v>
      </c>
    </row>
    <row r="723" spans="1:41" x14ac:dyDescent="0.25">
      <c r="A723">
        <v>38</v>
      </c>
      <c r="B723" t="s">
        <v>32</v>
      </c>
      <c r="C723" t="s">
        <v>33</v>
      </c>
      <c r="D723">
        <v>2</v>
      </c>
      <c r="E723" t="s">
        <v>34</v>
      </c>
      <c r="F723">
        <v>3</v>
      </c>
      <c r="G723">
        <v>2</v>
      </c>
      <c r="H723" t="s">
        <v>78</v>
      </c>
      <c r="I723">
        <v>2</v>
      </c>
      <c r="J723" t="s">
        <v>51</v>
      </c>
      <c r="K723">
        <v>4855</v>
      </c>
      <c r="L723">
        <v>4</v>
      </c>
      <c r="M723" t="s">
        <v>41</v>
      </c>
      <c r="N723">
        <v>11</v>
      </c>
      <c r="O723">
        <v>3</v>
      </c>
      <c r="P723">
        <v>2</v>
      </c>
      <c r="Q723">
        <v>7</v>
      </c>
      <c r="R723">
        <v>2</v>
      </c>
      <c r="S723">
        <v>5</v>
      </c>
      <c r="T723">
        <v>1</v>
      </c>
      <c r="U723">
        <v>4</v>
      </c>
      <c r="V723" t="s">
        <v>37</v>
      </c>
      <c r="W723" s="1" t="s">
        <v>371</v>
      </c>
      <c r="Y723" t="s">
        <v>63</v>
      </c>
      <c r="Z723" t="s">
        <v>40</v>
      </c>
      <c r="AA723">
        <v>4</v>
      </c>
      <c r="AB723">
        <v>1</v>
      </c>
      <c r="AC723" t="s">
        <v>31</v>
      </c>
      <c r="AD723" t="s">
        <v>67</v>
      </c>
      <c r="AE723" t="s">
        <v>60</v>
      </c>
      <c r="AF723" s="3">
        <v>1005</v>
      </c>
      <c r="AG723" s="3">
        <v>95</v>
      </c>
      <c r="AH723">
        <v>80</v>
      </c>
      <c r="AI723">
        <v>11</v>
      </c>
      <c r="AJ723">
        <v>0</v>
      </c>
      <c r="AL723">
        <v>0</v>
      </c>
      <c r="AM723">
        <v>1</v>
      </c>
      <c r="AN723" t="s">
        <v>768</v>
      </c>
      <c r="AO723" t="s">
        <v>41</v>
      </c>
    </row>
    <row r="724" spans="1:41" x14ac:dyDescent="0.25">
      <c r="A724">
        <v>35</v>
      </c>
      <c r="B724" t="s">
        <v>32</v>
      </c>
      <c r="C724" t="s">
        <v>33</v>
      </c>
      <c r="D724">
        <v>10</v>
      </c>
      <c r="E724" t="s">
        <v>61</v>
      </c>
      <c r="F724">
        <v>3</v>
      </c>
      <c r="G724">
        <v>2</v>
      </c>
      <c r="H724" t="s">
        <v>89</v>
      </c>
      <c r="I724">
        <v>3</v>
      </c>
      <c r="J724" t="s">
        <v>36</v>
      </c>
      <c r="K724">
        <v>6142</v>
      </c>
      <c r="L724">
        <v>3</v>
      </c>
      <c r="M724" t="s">
        <v>31</v>
      </c>
      <c r="N724">
        <v>16</v>
      </c>
      <c r="O724">
        <v>3</v>
      </c>
      <c r="P724">
        <v>0</v>
      </c>
      <c r="Q724">
        <v>10</v>
      </c>
      <c r="R724">
        <v>4</v>
      </c>
      <c r="S724">
        <v>5</v>
      </c>
      <c r="T724">
        <v>0</v>
      </c>
      <c r="U724">
        <v>4</v>
      </c>
      <c r="V724" t="s">
        <v>72</v>
      </c>
      <c r="W724" s="2">
        <v>42705</v>
      </c>
      <c r="Y724" t="s">
        <v>63</v>
      </c>
      <c r="Z724" t="s">
        <v>40</v>
      </c>
      <c r="AA724">
        <v>0</v>
      </c>
      <c r="AB724">
        <v>3</v>
      </c>
      <c r="AC724" t="s">
        <v>31</v>
      </c>
      <c r="AD724" t="s">
        <v>48</v>
      </c>
      <c r="AE724" t="s">
        <v>49</v>
      </c>
      <c r="AF724" s="3">
        <v>1006</v>
      </c>
      <c r="AG724" s="3">
        <v>66</v>
      </c>
      <c r="AH724">
        <v>80</v>
      </c>
      <c r="AI724">
        <v>1</v>
      </c>
      <c r="AJ724">
        <v>0</v>
      </c>
      <c r="AL724">
        <v>0</v>
      </c>
      <c r="AM724">
        <v>1</v>
      </c>
      <c r="AN724" t="s">
        <v>768</v>
      </c>
      <c r="AO724" t="s">
        <v>41</v>
      </c>
    </row>
    <row r="725" spans="1:41" x14ac:dyDescent="0.25">
      <c r="A725">
        <v>40</v>
      </c>
      <c r="B725" t="s">
        <v>32</v>
      </c>
      <c r="C725" t="s">
        <v>55</v>
      </c>
      <c r="D725">
        <v>14</v>
      </c>
      <c r="E725" t="s">
        <v>61</v>
      </c>
      <c r="F725">
        <v>3</v>
      </c>
      <c r="G725">
        <v>2</v>
      </c>
      <c r="H725" t="s">
        <v>70</v>
      </c>
      <c r="I725">
        <v>1</v>
      </c>
      <c r="J725" t="s">
        <v>51</v>
      </c>
      <c r="K725">
        <v>4639</v>
      </c>
      <c r="L725">
        <v>1</v>
      </c>
      <c r="M725" t="s">
        <v>41</v>
      </c>
      <c r="N725">
        <v>15</v>
      </c>
      <c r="O725">
        <v>3</v>
      </c>
      <c r="P725">
        <v>1</v>
      </c>
      <c r="Q725">
        <v>5</v>
      </c>
      <c r="R725">
        <v>2</v>
      </c>
      <c r="S725">
        <v>5</v>
      </c>
      <c r="T725">
        <v>1</v>
      </c>
      <c r="U725">
        <v>2</v>
      </c>
      <c r="V725" t="s">
        <v>37</v>
      </c>
      <c r="W725" s="1" t="s">
        <v>354</v>
      </c>
      <c r="Y725" t="s">
        <v>69</v>
      </c>
      <c r="Z725" t="s">
        <v>40</v>
      </c>
      <c r="AA725">
        <v>0</v>
      </c>
      <c r="AB725">
        <v>2</v>
      </c>
      <c r="AC725" t="s">
        <v>41</v>
      </c>
      <c r="AD725" t="s">
        <v>48</v>
      </c>
      <c r="AE725" t="s">
        <v>60</v>
      </c>
      <c r="AF725" s="3">
        <v>1007</v>
      </c>
      <c r="AG725" s="3">
        <v>75</v>
      </c>
      <c r="AH725">
        <v>80</v>
      </c>
      <c r="AI725">
        <v>7</v>
      </c>
      <c r="AJ725">
        <v>0</v>
      </c>
      <c r="AL725">
        <v>0</v>
      </c>
      <c r="AM725">
        <v>1</v>
      </c>
      <c r="AN725" t="s">
        <v>768</v>
      </c>
      <c r="AO725" t="s">
        <v>41</v>
      </c>
    </row>
    <row r="726" spans="1:41" x14ac:dyDescent="0.25">
      <c r="A726">
        <v>31</v>
      </c>
      <c r="B726" t="s">
        <v>66</v>
      </c>
      <c r="C726" t="s">
        <v>55</v>
      </c>
      <c r="D726">
        <v>2</v>
      </c>
      <c r="E726" t="s">
        <v>34</v>
      </c>
      <c r="F726">
        <v>3</v>
      </c>
      <c r="G726">
        <v>2</v>
      </c>
      <c r="H726" t="s">
        <v>70</v>
      </c>
      <c r="I726">
        <v>1</v>
      </c>
      <c r="J726" t="s">
        <v>36</v>
      </c>
      <c r="K726">
        <v>5332</v>
      </c>
      <c r="L726">
        <v>7</v>
      </c>
      <c r="M726" t="s">
        <v>41</v>
      </c>
      <c r="N726">
        <v>13</v>
      </c>
      <c r="O726">
        <v>3</v>
      </c>
      <c r="P726">
        <v>0</v>
      </c>
      <c r="Q726">
        <v>10</v>
      </c>
      <c r="R726">
        <v>3</v>
      </c>
      <c r="S726">
        <v>5</v>
      </c>
      <c r="T726">
        <v>0</v>
      </c>
      <c r="U726">
        <v>3</v>
      </c>
      <c r="V726" t="s">
        <v>72</v>
      </c>
      <c r="W726" s="2">
        <v>42496</v>
      </c>
      <c r="Y726" t="s">
        <v>46</v>
      </c>
      <c r="Z726" t="s">
        <v>40</v>
      </c>
      <c r="AA726">
        <v>0</v>
      </c>
      <c r="AB726">
        <v>0</v>
      </c>
      <c r="AC726" t="s">
        <v>41</v>
      </c>
      <c r="AD726" t="s">
        <v>67</v>
      </c>
      <c r="AE726" t="s">
        <v>60</v>
      </c>
      <c r="AF726" s="3">
        <v>1009</v>
      </c>
      <c r="AG726" s="3">
        <v>41</v>
      </c>
      <c r="AH726">
        <v>80</v>
      </c>
      <c r="AI726">
        <v>2</v>
      </c>
      <c r="AJ726">
        <v>0</v>
      </c>
      <c r="AL726">
        <v>0</v>
      </c>
      <c r="AM726">
        <v>1</v>
      </c>
      <c r="AN726" t="s">
        <v>768</v>
      </c>
      <c r="AO726" t="s">
        <v>41</v>
      </c>
    </row>
    <row r="727" spans="1:41" x14ac:dyDescent="0.25">
      <c r="A727">
        <v>28</v>
      </c>
      <c r="B727" t="s">
        <v>32</v>
      </c>
      <c r="C727" t="s">
        <v>33</v>
      </c>
      <c r="D727">
        <v>27</v>
      </c>
      <c r="E727" t="s">
        <v>61</v>
      </c>
      <c r="F727">
        <v>1</v>
      </c>
      <c r="G727">
        <v>2</v>
      </c>
      <c r="H727" t="s">
        <v>78</v>
      </c>
      <c r="I727">
        <v>1</v>
      </c>
      <c r="J727" t="s">
        <v>57</v>
      </c>
      <c r="K727">
        <v>4877</v>
      </c>
      <c r="L727">
        <v>0</v>
      </c>
      <c r="M727" t="s">
        <v>41</v>
      </c>
      <c r="N727">
        <v>21</v>
      </c>
      <c r="O727">
        <v>4</v>
      </c>
      <c r="P727">
        <v>1</v>
      </c>
      <c r="Q727">
        <v>6</v>
      </c>
      <c r="R727">
        <v>5</v>
      </c>
      <c r="S727">
        <v>5</v>
      </c>
      <c r="T727">
        <v>0</v>
      </c>
      <c r="U727">
        <v>0</v>
      </c>
      <c r="V727" t="s">
        <v>72</v>
      </c>
      <c r="W727" s="2">
        <v>42432</v>
      </c>
      <c r="Y727" t="s">
        <v>54</v>
      </c>
      <c r="Z727" t="s">
        <v>40</v>
      </c>
      <c r="AA727">
        <v>0</v>
      </c>
      <c r="AB727">
        <v>1</v>
      </c>
      <c r="AC727" t="s">
        <v>41</v>
      </c>
      <c r="AD727" t="s">
        <v>48</v>
      </c>
      <c r="AE727" t="s">
        <v>43</v>
      </c>
      <c r="AF727" s="3">
        <v>1010</v>
      </c>
      <c r="AG727" s="3">
        <v>39</v>
      </c>
      <c r="AH727">
        <v>80</v>
      </c>
      <c r="AI727">
        <v>2</v>
      </c>
      <c r="AJ727">
        <v>1</v>
      </c>
      <c r="AK727">
        <v>1</v>
      </c>
      <c r="AL727">
        <v>1</v>
      </c>
      <c r="AM727">
        <v>0</v>
      </c>
      <c r="AN727" t="s">
        <v>767</v>
      </c>
      <c r="AO727" t="s">
        <v>31</v>
      </c>
    </row>
    <row r="728" spans="1:41" x14ac:dyDescent="0.25">
      <c r="A728">
        <v>47</v>
      </c>
      <c r="B728" t="s">
        <v>32</v>
      </c>
      <c r="C728" t="s">
        <v>120</v>
      </c>
      <c r="D728">
        <v>26</v>
      </c>
      <c r="E728" t="s">
        <v>61</v>
      </c>
      <c r="F728">
        <v>3</v>
      </c>
      <c r="G728">
        <v>5</v>
      </c>
      <c r="H728" t="s">
        <v>75</v>
      </c>
      <c r="I728">
        <v>3</v>
      </c>
      <c r="J728" t="s">
        <v>51</v>
      </c>
      <c r="K728">
        <v>19658</v>
      </c>
      <c r="L728">
        <v>3</v>
      </c>
      <c r="M728" t="s">
        <v>41</v>
      </c>
      <c r="N728">
        <v>11</v>
      </c>
      <c r="O728">
        <v>3</v>
      </c>
      <c r="P728">
        <v>1</v>
      </c>
      <c r="Q728">
        <v>27</v>
      </c>
      <c r="R728">
        <v>2</v>
      </c>
      <c r="S728">
        <v>5</v>
      </c>
      <c r="T728">
        <v>1</v>
      </c>
      <c r="U728">
        <v>0</v>
      </c>
      <c r="V728" t="s">
        <v>37</v>
      </c>
      <c r="W728" s="1" t="s">
        <v>376</v>
      </c>
      <c r="Y728" t="s">
        <v>69</v>
      </c>
      <c r="Z728" t="s">
        <v>47</v>
      </c>
      <c r="AA728">
        <v>5</v>
      </c>
      <c r="AB728">
        <v>1</v>
      </c>
      <c r="AC728" t="s">
        <v>41</v>
      </c>
      <c r="AD728" t="s">
        <v>48</v>
      </c>
      <c r="AE728" t="s">
        <v>49</v>
      </c>
      <c r="AF728" s="3">
        <v>1011</v>
      </c>
      <c r="AG728" s="3">
        <v>96</v>
      </c>
      <c r="AH728">
        <v>80</v>
      </c>
      <c r="AI728">
        <v>3</v>
      </c>
      <c r="AJ728">
        <v>0</v>
      </c>
      <c r="AL728">
        <v>0</v>
      </c>
      <c r="AM728">
        <v>1</v>
      </c>
      <c r="AN728" t="s">
        <v>768</v>
      </c>
      <c r="AO728" t="s">
        <v>41</v>
      </c>
    </row>
    <row r="729" spans="1:41" x14ac:dyDescent="0.25">
      <c r="A729">
        <v>38</v>
      </c>
      <c r="B729" t="s">
        <v>32</v>
      </c>
      <c r="C729" t="s">
        <v>33</v>
      </c>
      <c r="D729">
        <v>2</v>
      </c>
      <c r="E729" t="s">
        <v>61</v>
      </c>
      <c r="F729">
        <v>2</v>
      </c>
      <c r="G729">
        <v>3</v>
      </c>
      <c r="H729" t="s">
        <v>78</v>
      </c>
      <c r="I729">
        <v>3</v>
      </c>
      <c r="J729" t="s">
        <v>51</v>
      </c>
      <c r="K729">
        <v>7756</v>
      </c>
      <c r="L729">
        <v>3</v>
      </c>
      <c r="M729" t="s">
        <v>31</v>
      </c>
      <c r="N729">
        <v>19</v>
      </c>
      <c r="O729">
        <v>3</v>
      </c>
      <c r="P729">
        <v>1</v>
      </c>
      <c r="Q729">
        <v>10</v>
      </c>
      <c r="R729">
        <v>6</v>
      </c>
      <c r="S729">
        <v>5</v>
      </c>
      <c r="T729">
        <v>0</v>
      </c>
      <c r="U729">
        <v>2</v>
      </c>
      <c r="V729" t="s">
        <v>37</v>
      </c>
      <c r="W729" s="1" t="s">
        <v>377</v>
      </c>
      <c r="Y729" t="s">
        <v>69</v>
      </c>
      <c r="Z729" t="s">
        <v>40</v>
      </c>
      <c r="AA729">
        <v>4</v>
      </c>
      <c r="AB729">
        <v>3</v>
      </c>
      <c r="AC729" t="s">
        <v>31</v>
      </c>
      <c r="AD729" t="s">
        <v>48</v>
      </c>
      <c r="AE729" t="s">
        <v>49</v>
      </c>
      <c r="AF729" s="3">
        <v>1012</v>
      </c>
      <c r="AG729" s="3">
        <v>73</v>
      </c>
      <c r="AH729">
        <v>80</v>
      </c>
      <c r="AI729">
        <v>0</v>
      </c>
      <c r="AJ729">
        <v>0</v>
      </c>
      <c r="AL729">
        <v>0</v>
      </c>
      <c r="AM729">
        <v>1</v>
      </c>
      <c r="AN729" t="s">
        <v>768</v>
      </c>
      <c r="AO729" t="s">
        <v>41</v>
      </c>
    </row>
    <row r="730" spans="1:41" x14ac:dyDescent="0.25">
      <c r="A730">
        <v>29</v>
      </c>
      <c r="B730" t="s">
        <v>32</v>
      </c>
      <c r="C730" t="s">
        <v>55</v>
      </c>
      <c r="D730">
        <v>10</v>
      </c>
      <c r="E730" t="s">
        <v>34</v>
      </c>
      <c r="F730">
        <v>2</v>
      </c>
      <c r="G730">
        <v>2</v>
      </c>
      <c r="H730" t="s">
        <v>70</v>
      </c>
      <c r="I730">
        <v>3</v>
      </c>
      <c r="J730" t="s">
        <v>36</v>
      </c>
      <c r="K730">
        <v>5869</v>
      </c>
      <c r="L730">
        <v>9</v>
      </c>
      <c r="M730" t="s">
        <v>41</v>
      </c>
      <c r="N730">
        <v>11</v>
      </c>
      <c r="O730">
        <v>3</v>
      </c>
      <c r="P730">
        <v>0</v>
      </c>
      <c r="Q730">
        <v>8</v>
      </c>
      <c r="R730">
        <v>2</v>
      </c>
      <c r="S730">
        <v>5</v>
      </c>
      <c r="T730">
        <v>1</v>
      </c>
      <c r="U730">
        <v>4</v>
      </c>
      <c r="V730" t="s">
        <v>72</v>
      </c>
      <c r="W730" s="2">
        <v>42644</v>
      </c>
      <c r="Y730" t="s">
        <v>69</v>
      </c>
      <c r="Z730" t="s">
        <v>47</v>
      </c>
      <c r="AA730">
        <v>1</v>
      </c>
      <c r="AB730">
        <v>1</v>
      </c>
      <c r="AC730" t="s">
        <v>41</v>
      </c>
      <c r="AD730" t="s">
        <v>65</v>
      </c>
      <c r="AE730" t="s">
        <v>60</v>
      </c>
      <c r="AF730" s="3">
        <v>1013</v>
      </c>
      <c r="AG730" s="3">
        <v>56</v>
      </c>
      <c r="AH730">
        <v>80</v>
      </c>
      <c r="AI730">
        <v>7</v>
      </c>
      <c r="AJ730">
        <v>0</v>
      </c>
      <c r="AL730">
        <v>0</v>
      </c>
      <c r="AM730">
        <v>1</v>
      </c>
      <c r="AN730" t="s">
        <v>768</v>
      </c>
      <c r="AO730" t="s">
        <v>41</v>
      </c>
    </row>
    <row r="731" spans="1:41" x14ac:dyDescent="0.25">
      <c r="A731">
        <v>39</v>
      </c>
      <c r="B731" t="s">
        <v>32</v>
      </c>
      <c r="C731" t="s">
        <v>33</v>
      </c>
      <c r="D731">
        <v>12</v>
      </c>
      <c r="E731" t="s">
        <v>34</v>
      </c>
      <c r="F731">
        <v>3</v>
      </c>
      <c r="G731">
        <v>2</v>
      </c>
      <c r="H731" t="s">
        <v>78</v>
      </c>
      <c r="I731">
        <v>2</v>
      </c>
      <c r="J731" t="s">
        <v>51</v>
      </c>
      <c r="K731">
        <v>5295</v>
      </c>
      <c r="L731">
        <v>4</v>
      </c>
      <c r="M731" t="s">
        <v>41</v>
      </c>
      <c r="N731">
        <v>21</v>
      </c>
      <c r="O731">
        <v>4</v>
      </c>
      <c r="P731">
        <v>0</v>
      </c>
      <c r="Q731">
        <v>7</v>
      </c>
      <c r="R731">
        <v>3</v>
      </c>
      <c r="S731">
        <v>5</v>
      </c>
      <c r="T731">
        <v>1</v>
      </c>
      <c r="U731">
        <v>0</v>
      </c>
      <c r="V731" t="s">
        <v>37</v>
      </c>
      <c r="W731" s="2">
        <v>42644</v>
      </c>
      <c r="Y731" t="s">
        <v>63</v>
      </c>
      <c r="Z731" t="s">
        <v>40</v>
      </c>
      <c r="AA731">
        <v>0</v>
      </c>
      <c r="AB731">
        <v>2</v>
      </c>
      <c r="AC731" t="s">
        <v>41</v>
      </c>
      <c r="AD731" t="s">
        <v>48</v>
      </c>
      <c r="AE731" t="s">
        <v>43</v>
      </c>
      <c r="AF731" s="3">
        <v>1014</v>
      </c>
      <c r="AG731" s="3">
        <v>57</v>
      </c>
      <c r="AH731">
        <v>80</v>
      </c>
      <c r="AI731">
        <v>10</v>
      </c>
      <c r="AJ731">
        <v>0</v>
      </c>
      <c r="AL731">
        <v>0</v>
      </c>
      <c r="AM731">
        <v>1</v>
      </c>
      <c r="AN731" t="s">
        <v>768</v>
      </c>
      <c r="AO731" t="s">
        <v>41</v>
      </c>
    </row>
    <row r="732" spans="1:41" x14ac:dyDescent="0.25">
      <c r="A732">
        <v>36</v>
      </c>
      <c r="B732" t="s">
        <v>32</v>
      </c>
      <c r="C732" t="s">
        <v>33</v>
      </c>
      <c r="D732">
        <v>3</v>
      </c>
      <c r="E732" t="s">
        <v>34</v>
      </c>
      <c r="F732">
        <v>4</v>
      </c>
      <c r="G732">
        <v>2</v>
      </c>
      <c r="H732" t="s">
        <v>89</v>
      </c>
      <c r="I732">
        <v>1</v>
      </c>
      <c r="J732" t="s">
        <v>57</v>
      </c>
      <c r="K732">
        <v>6842</v>
      </c>
      <c r="L732">
        <v>6</v>
      </c>
      <c r="M732" t="s">
        <v>41</v>
      </c>
      <c r="N732">
        <v>20</v>
      </c>
      <c r="O732">
        <v>4</v>
      </c>
      <c r="P732">
        <v>1</v>
      </c>
      <c r="Q732">
        <v>13</v>
      </c>
      <c r="R732">
        <v>3</v>
      </c>
      <c r="S732">
        <v>5</v>
      </c>
      <c r="T732">
        <v>0</v>
      </c>
      <c r="U732">
        <v>4</v>
      </c>
      <c r="V732" t="s">
        <v>37</v>
      </c>
      <c r="W732" s="1" t="s">
        <v>378</v>
      </c>
      <c r="Y732" t="s">
        <v>54</v>
      </c>
      <c r="Z732" t="s">
        <v>47</v>
      </c>
      <c r="AA732">
        <v>2</v>
      </c>
      <c r="AB732">
        <v>2</v>
      </c>
      <c r="AC732" t="s">
        <v>41</v>
      </c>
      <c r="AD732" t="s">
        <v>48</v>
      </c>
      <c r="AE732" t="s">
        <v>60</v>
      </c>
      <c r="AF732" s="3">
        <v>1015</v>
      </c>
      <c r="AG732" s="3">
        <v>73</v>
      </c>
      <c r="AH732">
        <v>80</v>
      </c>
      <c r="AI732">
        <v>7</v>
      </c>
      <c r="AJ732">
        <v>0</v>
      </c>
      <c r="AL732">
        <v>0</v>
      </c>
      <c r="AM732">
        <v>1</v>
      </c>
      <c r="AN732" t="s">
        <v>768</v>
      </c>
      <c r="AO732" t="s">
        <v>41</v>
      </c>
    </row>
    <row r="733" spans="1:41" x14ac:dyDescent="0.25">
      <c r="A733">
        <v>23</v>
      </c>
      <c r="B733" t="s">
        <v>32</v>
      </c>
      <c r="C733" t="s">
        <v>33</v>
      </c>
      <c r="D733">
        <v>8</v>
      </c>
      <c r="E733" t="s">
        <v>34</v>
      </c>
      <c r="F733">
        <v>2</v>
      </c>
      <c r="G733">
        <v>1</v>
      </c>
      <c r="H733" t="s">
        <v>35</v>
      </c>
      <c r="I733">
        <v>3</v>
      </c>
      <c r="J733" t="s">
        <v>36</v>
      </c>
      <c r="K733">
        <v>3989</v>
      </c>
      <c r="L733">
        <v>1</v>
      </c>
      <c r="M733" t="s">
        <v>31</v>
      </c>
      <c r="N733">
        <v>11</v>
      </c>
      <c r="O733">
        <v>3</v>
      </c>
      <c r="P733">
        <v>0</v>
      </c>
      <c r="Q733">
        <v>5</v>
      </c>
      <c r="R733">
        <v>2</v>
      </c>
      <c r="S733">
        <v>5</v>
      </c>
      <c r="T733">
        <v>1</v>
      </c>
      <c r="U733">
        <v>2</v>
      </c>
      <c r="V733" t="s">
        <v>37</v>
      </c>
      <c r="W733" s="2">
        <v>42435</v>
      </c>
      <c r="Y733" t="s">
        <v>39</v>
      </c>
      <c r="Z733" t="s">
        <v>40</v>
      </c>
      <c r="AA733">
        <v>1</v>
      </c>
      <c r="AB733">
        <v>2</v>
      </c>
      <c r="AC733" t="s">
        <v>41</v>
      </c>
      <c r="AD733" t="s">
        <v>65</v>
      </c>
      <c r="AE733" t="s">
        <v>49</v>
      </c>
      <c r="AF733" s="3">
        <v>1016</v>
      </c>
      <c r="AG733" s="3">
        <v>98</v>
      </c>
      <c r="AH733">
        <v>80</v>
      </c>
      <c r="AI733">
        <v>0</v>
      </c>
      <c r="AJ733">
        <v>1</v>
      </c>
      <c r="AK733">
        <v>1</v>
      </c>
      <c r="AL733">
        <v>1</v>
      </c>
      <c r="AM733">
        <v>0</v>
      </c>
      <c r="AN733" t="s">
        <v>767</v>
      </c>
      <c r="AO733" t="s">
        <v>31</v>
      </c>
    </row>
    <row r="734" spans="1:41" x14ac:dyDescent="0.25">
      <c r="A734">
        <v>35</v>
      </c>
      <c r="B734" t="s">
        <v>66</v>
      </c>
      <c r="C734" t="s">
        <v>33</v>
      </c>
      <c r="D734">
        <v>2</v>
      </c>
      <c r="E734" t="s">
        <v>34</v>
      </c>
      <c r="F734">
        <v>2</v>
      </c>
      <c r="G734">
        <v>1</v>
      </c>
      <c r="H734" t="s">
        <v>44</v>
      </c>
      <c r="I734">
        <v>4</v>
      </c>
      <c r="J734" t="s">
        <v>36</v>
      </c>
      <c r="K734">
        <v>4930</v>
      </c>
      <c r="L734">
        <v>0</v>
      </c>
      <c r="M734" t="s">
        <v>31</v>
      </c>
      <c r="N734">
        <v>14</v>
      </c>
      <c r="O734">
        <v>3</v>
      </c>
      <c r="P734">
        <v>0</v>
      </c>
      <c r="Q734">
        <v>6</v>
      </c>
      <c r="R734">
        <v>2</v>
      </c>
      <c r="S734">
        <v>5</v>
      </c>
      <c r="T734">
        <v>1</v>
      </c>
      <c r="U734">
        <v>4</v>
      </c>
      <c r="V734" t="s">
        <v>37</v>
      </c>
      <c r="W734" s="1" t="s">
        <v>379</v>
      </c>
      <c r="Y734" t="s">
        <v>69</v>
      </c>
      <c r="Z734" t="s">
        <v>40</v>
      </c>
      <c r="AA734">
        <v>4</v>
      </c>
      <c r="AB734">
        <v>1</v>
      </c>
      <c r="AC734" t="s">
        <v>41</v>
      </c>
      <c r="AD734" t="s">
        <v>48</v>
      </c>
      <c r="AE734" t="s">
        <v>60</v>
      </c>
      <c r="AF734" s="3">
        <v>1017</v>
      </c>
      <c r="AG734" s="3">
        <v>60</v>
      </c>
      <c r="AH734">
        <v>80</v>
      </c>
      <c r="AI734">
        <v>2</v>
      </c>
      <c r="AJ734">
        <v>1</v>
      </c>
      <c r="AK734">
        <v>1</v>
      </c>
      <c r="AL734">
        <v>1</v>
      </c>
      <c r="AM734">
        <v>0</v>
      </c>
      <c r="AN734" t="s">
        <v>767</v>
      </c>
      <c r="AO734" t="s">
        <v>31</v>
      </c>
    </row>
    <row r="735" spans="1:41" x14ac:dyDescent="0.25">
      <c r="A735">
        <v>24</v>
      </c>
      <c r="B735" t="s">
        <v>32</v>
      </c>
      <c r="C735" t="s">
        <v>33</v>
      </c>
      <c r="D735">
        <v>9</v>
      </c>
      <c r="E735" t="s">
        <v>34</v>
      </c>
      <c r="F735">
        <v>4</v>
      </c>
      <c r="G735">
        <v>1</v>
      </c>
      <c r="H735" t="s">
        <v>44</v>
      </c>
      <c r="I735">
        <v>3</v>
      </c>
      <c r="J735" t="s">
        <v>51</v>
      </c>
      <c r="K735">
        <v>4401</v>
      </c>
      <c r="L735">
        <v>1</v>
      </c>
      <c r="M735" t="s">
        <v>41</v>
      </c>
      <c r="N735">
        <v>16</v>
      </c>
      <c r="O735">
        <v>3</v>
      </c>
      <c r="P735">
        <v>1</v>
      </c>
      <c r="Q735">
        <v>5</v>
      </c>
      <c r="R735">
        <v>1</v>
      </c>
      <c r="S735">
        <v>5</v>
      </c>
      <c r="T735">
        <v>0</v>
      </c>
      <c r="U735">
        <v>4</v>
      </c>
      <c r="V735" t="s">
        <v>58</v>
      </c>
      <c r="W735" s="1" t="s">
        <v>337</v>
      </c>
      <c r="Y735" t="s">
        <v>46</v>
      </c>
      <c r="Z735" t="s">
        <v>40</v>
      </c>
      <c r="AA735">
        <v>0</v>
      </c>
      <c r="AB735">
        <v>3</v>
      </c>
      <c r="AC735" t="s">
        <v>41</v>
      </c>
      <c r="AD735" t="s">
        <v>65</v>
      </c>
      <c r="AE735" t="s">
        <v>49</v>
      </c>
      <c r="AF735" s="3">
        <v>1018</v>
      </c>
      <c r="AG735" s="3">
        <v>32</v>
      </c>
      <c r="AH735">
        <v>80</v>
      </c>
      <c r="AI735">
        <v>7</v>
      </c>
      <c r="AJ735">
        <v>0</v>
      </c>
      <c r="AL735">
        <v>0</v>
      </c>
      <c r="AM735">
        <v>1</v>
      </c>
      <c r="AN735" t="s">
        <v>768</v>
      </c>
      <c r="AO735" t="s">
        <v>41</v>
      </c>
    </row>
    <row r="736" spans="1:41" x14ac:dyDescent="0.25">
      <c r="A736">
        <v>29</v>
      </c>
      <c r="B736" t="s">
        <v>32</v>
      </c>
      <c r="C736" t="s">
        <v>33</v>
      </c>
      <c r="D736">
        <v>9</v>
      </c>
      <c r="E736" t="s">
        <v>61</v>
      </c>
      <c r="F736">
        <v>3</v>
      </c>
      <c r="G736">
        <v>1</v>
      </c>
      <c r="H736" t="s">
        <v>35</v>
      </c>
      <c r="I736">
        <v>3</v>
      </c>
      <c r="J736" t="s">
        <v>51</v>
      </c>
      <c r="K736">
        <v>2974</v>
      </c>
      <c r="L736">
        <v>9</v>
      </c>
      <c r="M736" t="s">
        <v>41</v>
      </c>
      <c r="N736">
        <v>17</v>
      </c>
      <c r="O736">
        <v>3</v>
      </c>
      <c r="P736">
        <v>1</v>
      </c>
      <c r="Q736">
        <v>9</v>
      </c>
      <c r="R736">
        <v>2</v>
      </c>
      <c r="S736">
        <v>5</v>
      </c>
      <c r="T736">
        <v>1</v>
      </c>
      <c r="U736">
        <v>2</v>
      </c>
      <c r="V736" t="s">
        <v>58</v>
      </c>
      <c r="W736" s="1" t="s">
        <v>353</v>
      </c>
      <c r="Y736" t="s">
        <v>54</v>
      </c>
      <c r="Z736" t="s">
        <v>40</v>
      </c>
      <c r="AA736">
        <v>5</v>
      </c>
      <c r="AB736">
        <v>0</v>
      </c>
      <c r="AC736" t="s">
        <v>31</v>
      </c>
      <c r="AD736" t="s">
        <v>65</v>
      </c>
      <c r="AE736" t="s">
        <v>60</v>
      </c>
      <c r="AF736" s="3">
        <v>1019</v>
      </c>
      <c r="AG736" s="3">
        <v>94</v>
      </c>
      <c r="AH736">
        <v>80</v>
      </c>
      <c r="AI736">
        <v>3</v>
      </c>
      <c r="AJ736">
        <v>0</v>
      </c>
      <c r="AL736">
        <v>0</v>
      </c>
      <c r="AM736">
        <v>1</v>
      </c>
      <c r="AN736" t="s">
        <v>768</v>
      </c>
      <c r="AO736" t="s">
        <v>41</v>
      </c>
    </row>
    <row r="737" spans="1:41" x14ac:dyDescent="0.25">
      <c r="A737">
        <v>32</v>
      </c>
      <c r="B737" t="s">
        <v>66</v>
      </c>
      <c r="C737" t="s">
        <v>33</v>
      </c>
      <c r="D737">
        <v>10</v>
      </c>
      <c r="E737" t="s">
        <v>34</v>
      </c>
      <c r="F737">
        <v>3</v>
      </c>
      <c r="G737">
        <v>1</v>
      </c>
      <c r="H737" t="s">
        <v>44</v>
      </c>
      <c r="I737">
        <v>3</v>
      </c>
      <c r="J737" t="s">
        <v>51</v>
      </c>
      <c r="K737">
        <v>3433</v>
      </c>
      <c r="L737">
        <v>6</v>
      </c>
      <c r="M737" t="s">
        <v>41</v>
      </c>
      <c r="N737">
        <v>13</v>
      </c>
      <c r="O737">
        <v>3</v>
      </c>
      <c r="P737">
        <v>1</v>
      </c>
      <c r="Q737">
        <v>10</v>
      </c>
      <c r="R737">
        <v>3</v>
      </c>
      <c r="S737">
        <v>5</v>
      </c>
      <c r="T737">
        <v>1</v>
      </c>
      <c r="U737">
        <v>3</v>
      </c>
      <c r="V737" t="s">
        <v>58</v>
      </c>
      <c r="W737" s="2">
        <v>42494</v>
      </c>
      <c r="Y737" t="s">
        <v>63</v>
      </c>
      <c r="Z737" t="s">
        <v>47</v>
      </c>
      <c r="AA737">
        <v>1</v>
      </c>
      <c r="AB737">
        <v>3</v>
      </c>
      <c r="AC737" t="s">
        <v>41</v>
      </c>
      <c r="AD737" t="s">
        <v>65</v>
      </c>
      <c r="AE737" t="s">
        <v>43</v>
      </c>
      <c r="AF737" s="3">
        <v>1022</v>
      </c>
      <c r="AG737" s="3">
        <v>97</v>
      </c>
      <c r="AH737">
        <v>80</v>
      </c>
      <c r="AI737">
        <v>2</v>
      </c>
      <c r="AJ737">
        <v>0</v>
      </c>
      <c r="AL737">
        <v>0</v>
      </c>
      <c r="AM737">
        <v>1</v>
      </c>
      <c r="AN737" t="s">
        <v>768</v>
      </c>
      <c r="AO737" t="s">
        <v>41</v>
      </c>
    </row>
    <row r="738" spans="1:41" x14ac:dyDescent="0.25">
      <c r="A738">
        <v>31</v>
      </c>
      <c r="B738" t="s">
        <v>32</v>
      </c>
      <c r="C738" t="s">
        <v>33</v>
      </c>
      <c r="D738">
        <v>2</v>
      </c>
      <c r="E738" t="s">
        <v>34</v>
      </c>
      <c r="F738">
        <v>3</v>
      </c>
      <c r="G738">
        <v>1</v>
      </c>
      <c r="H738" t="s">
        <v>35</v>
      </c>
      <c r="I738">
        <v>3</v>
      </c>
      <c r="J738" t="s">
        <v>51</v>
      </c>
      <c r="K738">
        <v>3477</v>
      </c>
      <c r="L738">
        <v>1</v>
      </c>
      <c r="M738" t="s">
        <v>41</v>
      </c>
      <c r="N738">
        <v>14</v>
      </c>
      <c r="O738">
        <v>3</v>
      </c>
      <c r="P738">
        <v>1</v>
      </c>
      <c r="Q738">
        <v>6</v>
      </c>
      <c r="R738">
        <v>2</v>
      </c>
      <c r="S738">
        <v>5</v>
      </c>
      <c r="T738">
        <v>0</v>
      </c>
      <c r="U738">
        <v>3</v>
      </c>
      <c r="V738" t="s">
        <v>52</v>
      </c>
      <c r="W738" s="1" t="s">
        <v>332</v>
      </c>
      <c r="Y738" t="s">
        <v>54</v>
      </c>
      <c r="Z738" t="s">
        <v>40</v>
      </c>
      <c r="AA738">
        <v>3</v>
      </c>
      <c r="AB738">
        <v>3</v>
      </c>
      <c r="AC738" t="s">
        <v>31</v>
      </c>
      <c r="AD738" t="s">
        <v>42</v>
      </c>
      <c r="AE738" t="s">
        <v>60</v>
      </c>
      <c r="AF738" s="3">
        <v>1024</v>
      </c>
      <c r="AG738" s="3">
        <v>78</v>
      </c>
      <c r="AH738">
        <v>80</v>
      </c>
      <c r="AI738">
        <v>11</v>
      </c>
      <c r="AJ738">
        <v>0</v>
      </c>
      <c r="AL738">
        <v>0</v>
      </c>
      <c r="AM738">
        <v>1</v>
      </c>
      <c r="AN738" t="s">
        <v>768</v>
      </c>
      <c r="AO738" t="s">
        <v>41</v>
      </c>
    </row>
    <row r="739" spans="1:41" x14ac:dyDescent="0.25">
      <c r="A739">
        <v>31</v>
      </c>
      <c r="B739" t="s">
        <v>66</v>
      </c>
      <c r="C739" t="s">
        <v>33</v>
      </c>
      <c r="D739">
        <v>24</v>
      </c>
      <c r="E739" t="s">
        <v>61</v>
      </c>
      <c r="F739">
        <v>3</v>
      </c>
      <c r="G739">
        <v>2</v>
      </c>
      <c r="H739" t="s">
        <v>78</v>
      </c>
      <c r="I739">
        <v>4</v>
      </c>
      <c r="J739" t="s">
        <v>36</v>
      </c>
      <c r="K739">
        <v>5238</v>
      </c>
      <c r="L739">
        <v>2</v>
      </c>
      <c r="M739" t="s">
        <v>41</v>
      </c>
      <c r="N739">
        <v>20</v>
      </c>
      <c r="O739">
        <v>4</v>
      </c>
      <c r="P739">
        <v>0</v>
      </c>
      <c r="Q739">
        <v>9</v>
      </c>
      <c r="R739">
        <v>3</v>
      </c>
      <c r="S739">
        <v>5</v>
      </c>
      <c r="T739">
        <v>1</v>
      </c>
      <c r="U739">
        <v>4</v>
      </c>
      <c r="V739" t="s">
        <v>58</v>
      </c>
      <c r="W739" s="1" t="s">
        <v>375</v>
      </c>
      <c r="Y739" t="s">
        <v>69</v>
      </c>
      <c r="Z739" t="s">
        <v>47</v>
      </c>
      <c r="AA739">
        <v>2</v>
      </c>
      <c r="AB739">
        <v>0</v>
      </c>
      <c r="AC739" t="s">
        <v>41</v>
      </c>
      <c r="AD739" t="s">
        <v>42</v>
      </c>
      <c r="AE739" t="s">
        <v>43</v>
      </c>
      <c r="AF739" s="3">
        <v>1025</v>
      </c>
      <c r="AG739" s="3">
        <v>42</v>
      </c>
      <c r="AH739">
        <v>80</v>
      </c>
      <c r="AI739">
        <v>2</v>
      </c>
      <c r="AJ739">
        <v>0</v>
      </c>
      <c r="AL739">
        <v>0</v>
      </c>
      <c r="AM739">
        <v>1</v>
      </c>
      <c r="AN739" t="s">
        <v>768</v>
      </c>
      <c r="AO739" t="s">
        <v>41</v>
      </c>
    </row>
    <row r="740" spans="1:41" x14ac:dyDescent="0.25">
      <c r="A740">
        <v>45</v>
      </c>
      <c r="B740" t="s">
        <v>32</v>
      </c>
      <c r="C740" t="s">
        <v>120</v>
      </c>
      <c r="D740">
        <v>4</v>
      </c>
      <c r="E740" t="s">
        <v>61</v>
      </c>
      <c r="F740">
        <v>1</v>
      </c>
      <c r="G740">
        <v>3</v>
      </c>
      <c r="H740" t="s">
        <v>120</v>
      </c>
      <c r="I740">
        <v>3</v>
      </c>
      <c r="J740" t="s">
        <v>51</v>
      </c>
      <c r="K740">
        <v>9756</v>
      </c>
      <c r="L740">
        <v>4</v>
      </c>
      <c r="M740" t="s">
        <v>41</v>
      </c>
      <c r="N740">
        <v>21</v>
      </c>
      <c r="O740">
        <v>4</v>
      </c>
      <c r="P740">
        <v>2</v>
      </c>
      <c r="Q740">
        <v>9</v>
      </c>
      <c r="R740">
        <v>2</v>
      </c>
      <c r="S740">
        <v>5</v>
      </c>
      <c r="T740">
        <v>0</v>
      </c>
      <c r="U740">
        <v>3</v>
      </c>
      <c r="V740" t="s">
        <v>37</v>
      </c>
      <c r="W740" s="2">
        <v>42709</v>
      </c>
      <c r="Y740" t="s">
        <v>63</v>
      </c>
      <c r="Z740" t="s">
        <v>47</v>
      </c>
      <c r="AA740">
        <v>1</v>
      </c>
      <c r="AB740">
        <v>0</v>
      </c>
      <c r="AC740" t="s">
        <v>41</v>
      </c>
      <c r="AD740" t="s">
        <v>67</v>
      </c>
      <c r="AE740" t="s">
        <v>60</v>
      </c>
      <c r="AF740" s="3">
        <v>1026</v>
      </c>
      <c r="AG740" s="3">
        <v>65</v>
      </c>
      <c r="AH740">
        <v>80</v>
      </c>
      <c r="AI740">
        <v>6</v>
      </c>
      <c r="AJ740">
        <v>0</v>
      </c>
      <c r="AL740">
        <v>0</v>
      </c>
      <c r="AM740">
        <v>1</v>
      </c>
      <c r="AN740" t="s">
        <v>768</v>
      </c>
      <c r="AO740" t="s">
        <v>41</v>
      </c>
    </row>
    <row r="741" spans="1:41" x14ac:dyDescent="0.25">
      <c r="A741">
        <v>31</v>
      </c>
      <c r="B741" t="s">
        <v>32</v>
      </c>
      <c r="C741" t="s">
        <v>55</v>
      </c>
      <c r="D741">
        <v>5</v>
      </c>
      <c r="E741" t="s">
        <v>34</v>
      </c>
      <c r="F741">
        <v>3</v>
      </c>
      <c r="G741">
        <v>2</v>
      </c>
      <c r="H741" t="s">
        <v>70</v>
      </c>
      <c r="I741">
        <v>3</v>
      </c>
      <c r="J741" t="s">
        <v>51</v>
      </c>
      <c r="K741">
        <v>8346</v>
      </c>
      <c r="L741">
        <v>1</v>
      </c>
      <c r="M741" t="s">
        <v>41</v>
      </c>
      <c r="N741">
        <v>19</v>
      </c>
      <c r="O741">
        <v>3</v>
      </c>
      <c r="P741">
        <v>1</v>
      </c>
      <c r="Q741">
        <v>6</v>
      </c>
      <c r="R741">
        <v>3</v>
      </c>
      <c r="S741">
        <v>5</v>
      </c>
      <c r="T741">
        <v>0</v>
      </c>
      <c r="U741">
        <v>2</v>
      </c>
      <c r="V741" t="s">
        <v>37</v>
      </c>
      <c r="W741" s="1" t="s">
        <v>380</v>
      </c>
      <c r="Y741" t="s">
        <v>69</v>
      </c>
      <c r="Z741" t="s">
        <v>40</v>
      </c>
      <c r="AA741">
        <v>4</v>
      </c>
      <c r="AB741">
        <v>1</v>
      </c>
      <c r="AC741" t="s">
        <v>31</v>
      </c>
      <c r="AD741" t="s">
        <v>65</v>
      </c>
      <c r="AE741" t="s">
        <v>49</v>
      </c>
      <c r="AF741" s="3">
        <v>1027</v>
      </c>
      <c r="AG741" s="3">
        <v>47</v>
      </c>
      <c r="AH741">
        <v>80</v>
      </c>
      <c r="AI741">
        <v>2</v>
      </c>
      <c r="AJ741">
        <v>0</v>
      </c>
      <c r="AL741">
        <v>0</v>
      </c>
      <c r="AM741">
        <v>1</v>
      </c>
      <c r="AN741" t="s">
        <v>768</v>
      </c>
      <c r="AO741" t="s">
        <v>41</v>
      </c>
    </row>
    <row r="742" spans="1:41" x14ac:dyDescent="0.25">
      <c r="A742">
        <v>34</v>
      </c>
      <c r="B742" t="s">
        <v>32</v>
      </c>
      <c r="C742" t="s">
        <v>33</v>
      </c>
      <c r="D742">
        <v>2</v>
      </c>
      <c r="E742" t="s">
        <v>34</v>
      </c>
      <c r="F742">
        <v>4</v>
      </c>
      <c r="G742">
        <v>1</v>
      </c>
      <c r="H742" t="s">
        <v>44</v>
      </c>
      <c r="I742">
        <v>4</v>
      </c>
      <c r="J742" t="s">
        <v>51</v>
      </c>
      <c r="K742">
        <v>2932</v>
      </c>
      <c r="L742">
        <v>0</v>
      </c>
      <c r="M742" t="s">
        <v>31</v>
      </c>
      <c r="N742">
        <v>14</v>
      </c>
      <c r="O742">
        <v>3</v>
      </c>
      <c r="P742">
        <v>3</v>
      </c>
      <c r="Q742">
        <v>6</v>
      </c>
      <c r="R742">
        <v>3</v>
      </c>
      <c r="S742">
        <v>5</v>
      </c>
      <c r="T742">
        <v>1</v>
      </c>
      <c r="U742">
        <v>2</v>
      </c>
      <c r="V742" t="s">
        <v>52</v>
      </c>
      <c r="W742" s="2">
        <v>42372</v>
      </c>
      <c r="Y742" t="s">
        <v>69</v>
      </c>
      <c r="Z742" t="s">
        <v>40</v>
      </c>
      <c r="AA742">
        <v>0</v>
      </c>
      <c r="AB742">
        <v>0</v>
      </c>
      <c r="AC742" t="s">
        <v>41</v>
      </c>
      <c r="AD742" t="s">
        <v>48</v>
      </c>
      <c r="AE742" t="s">
        <v>60</v>
      </c>
      <c r="AF742" s="3">
        <v>1028</v>
      </c>
      <c r="AG742" s="3">
        <v>45</v>
      </c>
      <c r="AH742">
        <v>80</v>
      </c>
      <c r="AI742">
        <v>2</v>
      </c>
      <c r="AJ742">
        <v>0</v>
      </c>
      <c r="AL742">
        <v>0</v>
      </c>
      <c r="AM742">
        <v>1</v>
      </c>
      <c r="AN742" t="s">
        <v>768</v>
      </c>
      <c r="AO742" t="s">
        <v>41</v>
      </c>
    </row>
    <row r="743" spans="1:41" x14ac:dyDescent="0.25">
      <c r="A743">
        <v>49</v>
      </c>
      <c r="B743" t="s">
        <v>32</v>
      </c>
      <c r="C743" t="s">
        <v>55</v>
      </c>
      <c r="D743">
        <v>11</v>
      </c>
      <c r="E743" t="s">
        <v>61</v>
      </c>
      <c r="F743">
        <v>3</v>
      </c>
      <c r="G743">
        <v>2</v>
      </c>
      <c r="H743" t="s">
        <v>70</v>
      </c>
      <c r="I743">
        <v>4</v>
      </c>
      <c r="J743" t="s">
        <v>36</v>
      </c>
      <c r="K743">
        <v>4507</v>
      </c>
      <c r="L743">
        <v>3</v>
      </c>
      <c r="M743" t="s">
        <v>41</v>
      </c>
      <c r="N743">
        <v>12</v>
      </c>
      <c r="O743">
        <v>3</v>
      </c>
      <c r="P743">
        <v>0</v>
      </c>
      <c r="Q743">
        <v>8</v>
      </c>
      <c r="R743">
        <v>1</v>
      </c>
      <c r="S743">
        <v>5</v>
      </c>
      <c r="T743">
        <v>0</v>
      </c>
      <c r="U743">
        <v>4</v>
      </c>
      <c r="V743" t="s">
        <v>52</v>
      </c>
      <c r="W743" s="2">
        <v>42616</v>
      </c>
      <c r="Y743" t="s">
        <v>63</v>
      </c>
      <c r="Z743" t="s">
        <v>47</v>
      </c>
      <c r="AA743">
        <v>2</v>
      </c>
      <c r="AB743">
        <v>3</v>
      </c>
      <c r="AC743" t="s">
        <v>31</v>
      </c>
      <c r="AD743" t="s">
        <v>65</v>
      </c>
      <c r="AE743" t="s">
        <v>60</v>
      </c>
      <c r="AF743" s="3">
        <v>1029</v>
      </c>
      <c r="AG743" s="3">
        <v>90</v>
      </c>
      <c r="AH743">
        <v>80</v>
      </c>
      <c r="AI743">
        <v>0</v>
      </c>
      <c r="AJ743">
        <v>0</v>
      </c>
      <c r="AL743">
        <v>0</v>
      </c>
      <c r="AM743">
        <v>1</v>
      </c>
      <c r="AN743" t="s">
        <v>768</v>
      </c>
      <c r="AO743" t="s">
        <v>41</v>
      </c>
    </row>
    <row r="744" spans="1:41" x14ac:dyDescent="0.25">
      <c r="A744">
        <v>42</v>
      </c>
      <c r="B744" t="s">
        <v>32</v>
      </c>
      <c r="C744" t="s">
        <v>33</v>
      </c>
      <c r="D744">
        <v>12</v>
      </c>
      <c r="E744" t="s">
        <v>34</v>
      </c>
      <c r="F744">
        <v>3</v>
      </c>
      <c r="G744">
        <v>1</v>
      </c>
      <c r="H744" t="s">
        <v>35</v>
      </c>
      <c r="I744">
        <v>2</v>
      </c>
      <c r="J744" t="s">
        <v>57</v>
      </c>
      <c r="K744">
        <v>2766</v>
      </c>
      <c r="L744">
        <v>8</v>
      </c>
      <c r="M744" t="s">
        <v>41</v>
      </c>
      <c r="N744">
        <v>22</v>
      </c>
      <c r="O744">
        <v>4</v>
      </c>
      <c r="P744">
        <v>3</v>
      </c>
      <c r="Q744">
        <v>7</v>
      </c>
      <c r="R744">
        <v>6</v>
      </c>
      <c r="S744">
        <v>5</v>
      </c>
      <c r="T744">
        <v>0</v>
      </c>
      <c r="U744">
        <v>4</v>
      </c>
      <c r="V744" t="s">
        <v>58</v>
      </c>
      <c r="W744" s="1" t="s">
        <v>333</v>
      </c>
      <c r="Y744" t="s">
        <v>46</v>
      </c>
      <c r="Z744" t="s">
        <v>40</v>
      </c>
      <c r="AA744">
        <v>5</v>
      </c>
      <c r="AB744">
        <v>1</v>
      </c>
      <c r="AC744" t="s">
        <v>31</v>
      </c>
      <c r="AD744" t="s">
        <v>42</v>
      </c>
      <c r="AE744" t="s">
        <v>60</v>
      </c>
      <c r="AF744" s="3">
        <v>1030</v>
      </c>
      <c r="AG744" s="3">
        <v>64</v>
      </c>
      <c r="AH744">
        <v>80</v>
      </c>
      <c r="AI744">
        <v>0</v>
      </c>
      <c r="AJ744">
        <v>0</v>
      </c>
      <c r="AL744">
        <v>0</v>
      </c>
      <c r="AM744">
        <v>1</v>
      </c>
      <c r="AN744" t="s">
        <v>768</v>
      </c>
      <c r="AO744" t="s">
        <v>41</v>
      </c>
    </row>
    <row r="745" spans="1:41" x14ac:dyDescent="0.25">
      <c r="A745">
        <v>41</v>
      </c>
      <c r="B745" t="s">
        <v>32</v>
      </c>
      <c r="C745" t="s">
        <v>33</v>
      </c>
      <c r="D745">
        <v>9</v>
      </c>
      <c r="E745" t="s">
        <v>34</v>
      </c>
      <c r="F745">
        <v>3</v>
      </c>
      <c r="G745">
        <v>1</v>
      </c>
      <c r="H745" t="s">
        <v>35</v>
      </c>
      <c r="I745">
        <v>1</v>
      </c>
      <c r="J745" t="s">
        <v>57</v>
      </c>
      <c r="K745">
        <v>2289</v>
      </c>
      <c r="L745">
        <v>1</v>
      </c>
      <c r="M745" t="s">
        <v>41</v>
      </c>
      <c r="N745">
        <v>20</v>
      </c>
      <c r="O745">
        <v>4</v>
      </c>
      <c r="P745">
        <v>2</v>
      </c>
      <c r="Q745">
        <v>5</v>
      </c>
      <c r="R745">
        <v>2</v>
      </c>
      <c r="S745">
        <v>5</v>
      </c>
      <c r="T745">
        <v>0</v>
      </c>
      <c r="U745">
        <v>4</v>
      </c>
      <c r="V745" t="s">
        <v>52</v>
      </c>
      <c r="W745" s="1" t="s">
        <v>381</v>
      </c>
      <c r="Y745" t="s">
        <v>69</v>
      </c>
      <c r="Z745" t="s">
        <v>40</v>
      </c>
      <c r="AA745">
        <v>4</v>
      </c>
      <c r="AB745">
        <v>0</v>
      </c>
      <c r="AC745" t="s">
        <v>41</v>
      </c>
      <c r="AD745" t="s">
        <v>67</v>
      </c>
      <c r="AE745" t="s">
        <v>60</v>
      </c>
      <c r="AF745" s="3">
        <v>1032</v>
      </c>
      <c r="AG745" s="3">
        <v>69</v>
      </c>
      <c r="AH745">
        <v>80</v>
      </c>
      <c r="AI745">
        <v>3</v>
      </c>
      <c r="AJ745">
        <v>0</v>
      </c>
      <c r="AL745">
        <v>0</v>
      </c>
      <c r="AM745">
        <v>1</v>
      </c>
      <c r="AN745" t="s">
        <v>768</v>
      </c>
      <c r="AO745" t="s">
        <v>41</v>
      </c>
    </row>
    <row r="746" spans="1:41" x14ac:dyDescent="0.25">
      <c r="A746">
        <v>38</v>
      </c>
      <c r="B746" t="s">
        <v>32</v>
      </c>
      <c r="C746" t="s">
        <v>33</v>
      </c>
      <c r="D746">
        <v>6</v>
      </c>
      <c r="E746" t="s">
        <v>61</v>
      </c>
      <c r="F746">
        <v>2</v>
      </c>
      <c r="G746">
        <v>1</v>
      </c>
      <c r="H746" t="s">
        <v>35</v>
      </c>
      <c r="I746">
        <v>3</v>
      </c>
      <c r="J746" t="s">
        <v>51</v>
      </c>
      <c r="K746">
        <v>3702</v>
      </c>
      <c r="L746">
        <v>1</v>
      </c>
      <c r="M746" t="s">
        <v>41</v>
      </c>
      <c r="N746">
        <v>11</v>
      </c>
      <c r="O746">
        <v>3</v>
      </c>
      <c r="P746">
        <v>1</v>
      </c>
      <c r="Q746">
        <v>5</v>
      </c>
      <c r="R746">
        <v>3</v>
      </c>
      <c r="S746">
        <v>5</v>
      </c>
      <c r="T746">
        <v>0</v>
      </c>
      <c r="U746">
        <v>4</v>
      </c>
      <c r="V746" t="s">
        <v>72</v>
      </c>
      <c r="W746" s="2">
        <v>42556</v>
      </c>
      <c r="Y746" t="s">
        <v>63</v>
      </c>
      <c r="Z746" t="s">
        <v>47</v>
      </c>
      <c r="AA746">
        <v>3</v>
      </c>
      <c r="AB746">
        <v>2</v>
      </c>
      <c r="AC746" t="s">
        <v>41</v>
      </c>
      <c r="AD746" t="s">
        <v>65</v>
      </c>
      <c r="AE746" t="s">
        <v>49</v>
      </c>
      <c r="AF746" s="3">
        <v>1033</v>
      </c>
      <c r="AG746" s="3">
        <v>61</v>
      </c>
      <c r="AH746">
        <v>80</v>
      </c>
      <c r="AI746">
        <v>0</v>
      </c>
      <c r="AJ746">
        <v>1</v>
      </c>
      <c r="AK746">
        <v>1</v>
      </c>
      <c r="AL746">
        <v>1</v>
      </c>
      <c r="AM746">
        <v>0</v>
      </c>
      <c r="AN746" t="s">
        <v>767</v>
      </c>
      <c r="AO746" t="s">
        <v>31</v>
      </c>
    </row>
    <row r="747" spans="1:41" x14ac:dyDescent="0.25">
      <c r="A747">
        <v>37</v>
      </c>
      <c r="B747" t="s">
        <v>32</v>
      </c>
      <c r="C747" t="s">
        <v>55</v>
      </c>
      <c r="D747">
        <v>9</v>
      </c>
      <c r="E747" t="s">
        <v>34</v>
      </c>
      <c r="F747">
        <v>2</v>
      </c>
      <c r="G747">
        <v>2</v>
      </c>
      <c r="H747" t="s">
        <v>70</v>
      </c>
      <c r="I747">
        <v>2</v>
      </c>
      <c r="J747" t="s">
        <v>51</v>
      </c>
      <c r="K747">
        <v>4189</v>
      </c>
      <c r="L747">
        <v>1</v>
      </c>
      <c r="M747" t="s">
        <v>41</v>
      </c>
      <c r="N747">
        <v>14</v>
      </c>
      <c r="O747">
        <v>3</v>
      </c>
      <c r="P747">
        <v>2</v>
      </c>
      <c r="Q747">
        <v>5</v>
      </c>
      <c r="R747">
        <v>2</v>
      </c>
      <c r="S747">
        <v>5</v>
      </c>
      <c r="T747">
        <v>0</v>
      </c>
      <c r="U747">
        <v>3</v>
      </c>
      <c r="V747" t="s">
        <v>52</v>
      </c>
      <c r="W747" s="1" t="s">
        <v>318</v>
      </c>
      <c r="Y747" t="s">
        <v>63</v>
      </c>
      <c r="Z747" t="s">
        <v>47</v>
      </c>
      <c r="AA747">
        <v>2</v>
      </c>
      <c r="AB747">
        <v>1</v>
      </c>
      <c r="AC747" t="s">
        <v>31</v>
      </c>
      <c r="AD747" t="s">
        <v>48</v>
      </c>
      <c r="AE747" t="s">
        <v>49</v>
      </c>
      <c r="AF747" s="3">
        <v>1034</v>
      </c>
      <c r="AG747" s="3">
        <v>62</v>
      </c>
      <c r="AH747">
        <v>80</v>
      </c>
      <c r="AI747">
        <v>7</v>
      </c>
      <c r="AJ747">
        <v>0</v>
      </c>
      <c r="AL747">
        <v>0</v>
      </c>
      <c r="AM747">
        <v>1</v>
      </c>
      <c r="AN747" t="s">
        <v>768</v>
      </c>
      <c r="AO747" t="s">
        <v>41</v>
      </c>
    </row>
    <row r="748" spans="1:41" x14ac:dyDescent="0.25">
      <c r="A748">
        <v>44</v>
      </c>
      <c r="B748" t="s">
        <v>66</v>
      </c>
      <c r="C748" t="s">
        <v>33</v>
      </c>
      <c r="D748">
        <v>1</v>
      </c>
      <c r="E748" t="s">
        <v>34</v>
      </c>
      <c r="F748">
        <v>3</v>
      </c>
      <c r="G748">
        <v>1</v>
      </c>
      <c r="H748" t="s">
        <v>44</v>
      </c>
      <c r="I748">
        <v>2</v>
      </c>
      <c r="J748" t="s">
        <v>57</v>
      </c>
      <c r="K748">
        <v>2342</v>
      </c>
      <c r="L748">
        <v>1</v>
      </c>
      <c r="M748" t="s">
        <v>31</v>
      </c>
      <c r="N748">
        <v>12</v>
      </c>
      <c r="O748">
        <v>3</v>
      </c>
      <c r="P748">
        <v>3</v>
      </c>
      <c r="Q748">
        <v>6</v>
      </c>
      <c r="R748">
        <v>2</v>
      </c>
      <c r="S748">
        <v>5</v>
      </c>
      <c r="T748">
        <v>2</v>
      </c>
      <c r="U748">
        <v>3</v>
      </c>
      <c r="V748" t="s">
        <v>58</v>
      </c>
      <c r="W748" s="2">
        <v>42435</v>
      </c>
      <c r="Y748" t="s">
        <v>69</v>
      </c>
      <c r="Z748" t="s">
        <v>40</v>
      </c>
      <c r="AA748">
        <v>3</v>
      </c>
      <c r="AB748">
        <v>1</v>
      </c>
      <c r="AC748" t="s">
        <v>41</v>
      </c>
      <c r="AD748" t="s">
        <v>65</v>
      </c>
      <c r="AE748" t="s">
        <v>43</v>
      </c>
      <c r="AF748" s="3">
        <v>1035</v>
      </c>
      <c r="AG748" s="3">
        <v>55</v>
      </c>
      <c r="AH748">
        <v>80</v>
      </c>
      <c r="AI748">
        <v>16</v>
      </c>
      <c r="AJ748">
        <v>0</v>
      </c>
      <c r="AL748">
        <v>0</v>
      </c>
      <c r="AM748">
        <v>1</v>
      </c>
      <c r="AN748" t="s">
        <v>768</v>
      </c>
      <c r="AO748" t="s">
        <v>41</v>
      </c>
    </row>
    <row r="749" spans="1:41" x14ac:dyDescent="0.25">
      <c r="A749">
        <v>28</v>
      </c>
      <c r="B749" t="s">
        <v>32</v>
      </c>
      <c r="C749" t="s">
        <v>33</v>
      </c>
      <c r="D749">
        <v>1</v>
      </c>
      <c r="E749" t="s">
        <v>34</v>
      </c>
      <c r="F749">
        <v>3</v>
      </c>
      <c r="G749">
        <v>1</v>
      </c>
      <c r="H749" t="s">
        <v>44</v>
      </c>
      <c r="I749">
        <v>4</v>
      </c>
      <c r="J749" t="s">
        <v>51</v>
      </c>
      <c r="K749">
        <v>2044</v>
      </c>
      <c r="L749">
        <v>1</v>
      </c>
      <c r="M749" t="s">
        <v>41</v>
      </c>
      <c r="N749">
        <v>11</v>
      </c>
      <c r="O749">
        <v>3</v>
      </c>
      <c r="P749">
        <v>1</v>
      </c>
      <c r="Q749">
        <v>5</v>
      </c>
      <c r="R749">
        <v>6</v>
      </c>
      <c r="S749">
        <v>5</v>
      </c>
      <c r="T749">
        <v>0</v>
      </c>
      <c r="U749">
        <v>3</v>
      </c>
      <c r="V749" t="s">
        <v>52</v>
      </c>
      <c r="W749" s="1" t="s">
        <v>343</v>
      </c>
      <c r="Y749" t="s">
        <v>54</v>
      </c>
      <c r="Z749" t="s">
        <v>47</v>
      </c>
      <c r="AA749">
        <v>3</v>
      </c>
      <c r="AB749">
        <v>1</v>
      </c>
      <c r="AC749" t="s">
        <v>41</v>
      </c>
      <c r="AD749" t="s">
        <v>67</v>
      </c>
      <c r="AE749" t="s">
        <v>43</v>
      </c>
      <c r="AF749" s="3">
        <v>1036</v>
      </c>
      <c r="AG749" s="3">
        <v>42</v>
      </c>
      <c r="AH749">
        <v>80</v>
      </c>
      <c r="AI749">
        <v>0</v>
      </c>
      <c r="AJ749">
        <v>0</v>
      </c>
      <c r="AL749">
        <v>0</v>
      </c>
      <c r="AM749">
        <v>1</v>
      </c>
      <c r="AN749" t="s">
        <v>768</v>
      </c>
      <c r="AO749" t="s">
        <v>41</v>
      </c>
    </row>
    <row r="750" spans="1:41" x14ac:dyDescent="0.25">
      <c r="A750">
        <v>26</v>
      </c>
      <c r="B750" t="s">
        <v>32</v>
      </c>
      <c r="C750" t="s">
        <v>120</v>
      </c>
      <c r="D750">
        <v>20</v>
      </c>
      <c r="E750" t="s">
        <v>61</v>
      </c>
      <c r="F750">
        <v>3</v>
      </c>
      <c r="G750">
        <v>1</v>
      </c>
      <c r="H750" t="s">
        <v>120</v>
      </c>
      <c r="I750">
        <v>2</v>
      </c>
      <c r="J750" t="s">
        <v>51</v>
      </c>
      <c r="K750">
        <v>2148</v>
      </c>
      <c r="L750">
        <v>0</v>
      </c>
      <c r="M750" t="s">
        <v>31</v>
      </c>
      <c r="N750">
        <v>11</v>
      </c>
      <c r="O750">
        <v>3</v>
      </c>
      <c r="P750">
        <v>0</v>
      </c>
      <c r="Q750">
        <v>6</v>
      </c>
      <c r="R750">
        <v>3</v>
      </c>
      <c r="S750">
        <v>5</v>
      </c>
      <c r="T750">
        <v>1</v>
      </c>
      <c r="U750">
        <v>4</v>
      </c>
      <c r="V750" t="s">
        <v>72</v>
      </c>
      <c r="W750" s="2">
        <v>42614</v>
      </c>
      <c r="Y750" t="s">
        <v>39</v>
      </c>
      <c r="Z750" t="s">
        <v>47</v>
      </c>
      <c r="AA750">
        <v>1</v>
      </c>
      <c r="AB750">
        <v>1</v>
      </c>
      <c r="AC750" t="s">
        <v>41</v>
      </c>
      <c r="AD750" t="s">
        <v>65</v>
      </c>
      <c r="AE750" t="s">
        <v>60</v>
      </c>
      <c r="AF750" s="3">
        <v>1037</v>
      </c>
      <c r="AG750" s="3">
        <v>79</v>
      </c>
      <c r="AH750">
        <v>80</v>
      </c>
      <c r="AI750">
        <v>2</v>
      </c>
      <c r="AJ750">
        <v>1</v>
      </c>
      <c r="AK750">
        <v>1</v>
      </c>
      <c r="AL750">
        <v>1</v>
      </c>
      <c r="AM750">
        <v>0</v>
      </c>
      <c r="AN750" t="s">
        <v>767</v>
      </c>
      <c r="AO750" t="s">
        <v>31</v>
      </c>
    </row>
    <row r="751" spans="1:41" x14ac:dyDescent="0.25">
      <c r="A751">
        <v>40</v>
      </c>
      <c r="B751" t="s">
        <v>32</v>
      </c>
      <c r="C751" t="s">
        <v>33</v>
      </c>
      <c r="D751">
        <v>1</v>
      </c>
      <c r="E751" t="s">
        <v>61</v>
      </c>
      <c r="F751">
        <v>3</v>
      </c>
      <c r="G751">
        <v>2</v>
      </c>
      <c r="H751" t="s">
        <v>89</v>
      </c>
      <c r="I751">
        <v>4</v>
      </c>
      <c r="J751" t="s">
        <v>57</v>
      </c>
      <c r="K751">
        <v>6513</v>
      </c>
      <c r="L751">
        <v>4</v>
      </c>
      <c r="M751" t="s">
        <v>41</v>
      </c>
      <c r="N751">
        <v>17</v>
      </c>
      <c r="O751">
        <v>3</v>
      </c>
      <c r="P751">
        <v>1</v>
      </c>
      <c r="Q751">
        <v>12</v>
      </c>
      <c r="R751">
        <v>3</v>
      </c>
      <c r="S751">
        <v>5</v>
      </c>
      <c r="T751">
        <v>0</v>
      </c>
      <c r="U751">
        <v>3</v>
      </c>
      <c r="V751" t="s">
        <v>72</v>
      </c>
      <c r="W751" s="2">
        <v>42616</v>
      </c>
      <c r="Y751" t="s">
        <v>54</v>
      </c>
      <c r="Z751" t="s">
        <v>47</v>
      </c>
      <c r="AA751">
        <v>4</v>
      </c>
      <c r="AB751">
        <v>2</v>
      </c>
      <c r="AC751" t="s">
        <v>31</v>
      </c>
      <c r="AD751" t="s">
        <v>48</v>
      </c>
      <c r="AE751" t="s">
        <v>43</v>
      </c>
      <c r="AF751" s="3">
        <v>1038</v>
      </c>
      <c r="AG751" s="3">
        <v>57</v>
      </c>
      <c r="AH751">
        <v>80</v>
      </c>
      <c r="AI751">
        <v>14</v>
      </c>
      <c r="AJ751">
        <v>1</v>
      </c>
      <c r="AK751">
        <v>1</v>
      </c>
      <c r="AL751">
        <v>1</v>
      </c>
      <c r="AM751">
        <v>0</v>
      </c>
      <c r="AN751" t="s">
        <v>767</v>
      </c>
      <c r="AO751" t="s">
        <v>31</v>
      </c>
    </row>
    <row r="752" spans="1:41" x14ac:dyDescent="0.25">
      <c r="A752">
        <v>35</v>
      </c>
      <c r="B752" t="s">
        <v>32</v>
      </c>
      <c r="C752" t="s">
        <v>33</v>
      </c>
      <c r="D752">
        <v>23</v>
      </c>
      <c r="E752" t="s">
        <v>34</v>
      </c>
      <c r="F752">
        <v>1</v>
      </c>
      <c r="G752">
        <v>1</v>
      </c>
      <c r="H752" t="s">
        <v>35</v>
      </c>
      <c r="I752">
        <v>3</v>
      </c>
      <c r="J752" t="s">
        <v>51</v>
      </c>
      <c r="K752">
        <v>2705</v>
      </c>
      <c r="L752">
        <v>0</v>
      </c>
      <c r="M752" t="s">
        <v>41</v>
      </c>
      <c r="N752">
        <v>16</v>
      </c>
      <c r="O752">
        <v>3</v>
      </c>
      <c r="P752">
        <v>1</v>
      </c>
      <c r="Q752">
        <v>6</v>
      </c>
      <c r="R752">
        <v>2</v>
      </c>
      <c r="S752">
        <v>5</v>
      </c>
      <c r="T752">
        <v>0</v>
      </c>
      <c r="U752">
        <v>3</v>
      </c>
      <c r="V752" t="s">
        <v>37</v>
      </c>
      <c r="W752" s="2">
        <v>42430</v>
      </c>
      <c r="Y752" t="s">
        <v>69</v>
      </c>
      <c r="Z752" t="s">
        <v>40</v>
      </c>
      <c r="AA752">
        <v>3</v>
      </c>
      <c r="AB752">
        <v>2</v>
      </c>
      <c r="AC752" t="s">
        <v>31</v>
      </c>
      <c r="AD752" t="s">
        <v>67</v>
      </c>
      <c r="AE752" t="s">
        <v>60</v>
      </c>
      <c r="AF752" s="3">
        <v>1039</v>
      </c>
      <c r="AG752" s="3">
        <v>53</v>
      </c>
      <c r="AH752">
        <v>80</v>
      </c>
      <c r="AI752">
        <v>11</v>
      </c>
      <c r="AJ752">
        <v>0</v>
      </c>
      <c r="AL752">
        <v>0</v>
      </c>
      <c r="AM752">
        <v>1</v>
      </c>
      <c r="AN752" t="s">
        <v>768</v>
      </c>
      <c r="AO752" t="s">
        <v>41</v>
      </c>
    </row>
    <row r="753" spans="1:41" x14ac:dyDescent="0.25">
      <c r="A753">
        <v>26</v>
      </c>
      <c r="B753" t="s">
        <v>32</v>
      </c>
      <c r="C753" t="s">
        <v>55</v>
      </c>
      <c r="D753">
        <v>10</v>
      </c>
      <c r="E753" t="s">
        <v>34</v>
      </c>
      <c r="F753">
        <v>3</v>
      </c>
      <c r="G753">
        <v>2</v>
      </c>
      <c r="H753" t="s">
        <v>70</v>
      </c>
      <c r="I753">
        <v>4</v>
      </c>
      <c r="J753" t="s">
        <v>36</v>
      </c>
      <c r="K753">
        <v>4684</v>
      </c>
      <c r="L753">
        <v>1</v>
      </c>
      <c r="M753" t="s">
        <v>41</v>
      </c>
      <c r="N753">
        <v>13</v>
      </c>
      <c r="O753">
        <v>3</v>
      </c>
      <c r="P753">
        <v>0</v>
      </c>
      <c r="Q753">
        <v>5</v>
      </c>
      <c r="R753">
        <v>4</v>
      </c>
      <c r="S753">
        <v>5</v>
      </c>
      <c r="T753">
        <v>1</v>
      </c>
      <c r="U753">
        <v>2</v>
      </c>
      <c r="V753" t="s">
        <v>37</v>
      </c>
      <c r="W753" s="1" t="s">
        <v>335</v>
      </c>
      <c r="Y753" t="s">
        <v>63</v>
      </c>
      <c r="Z753" t="s">
        <v>47</v>
      </c>
      <c r="AA753">
        <v>2</v>
      </c>
      <c r="AB753">
        <v>3</v>
      </c>
      <c r="AC753" t="s">
        <v>41</v>
      </c>
      <c r="AD753" t="s">
        <v>42</v>
      </c>
      <c r="AE753" t="s">
        <v>60</v>
      </c>
      <c r="AF753" s="3">
        <v>1040</v>
      </c>
      <c r="AG753" s="3">
        <v>95</v>
      </c>
      <c r="AH753">
        <v>80</v>
      </c>
      <c r="AI753">
        <v>7</v>
      </c>
      <c r="AJ753">
        <v>0</v>
      </c>
      <c r="AL753">
        <v>0</v>
      </c>
      <c r="AM753">
        <v>1</v>
      </c>
      <c r="AN753" t="s">
        <v>768</v>
      </c>
      <c r="AO753" t="s">
        <v>41</v>
      </c>
    </row>
    <row r="754" spans="1:41" x14ac:dyDescent="0.25">
      <c r="A754">
        <v>27</v>
      </c>
      <c r="B754" t="s">
        <v>66</v>
      </c>
      <c r="C754" t="s">
        <v>33</v>
      </c>
      <c r="D754">
        <v>5</v>
      </c>
      <c r="E754" t="s">
        <v>61</v>
      </c>
      <c r="F754">
        <v>3</v>
      </c>
      <c r="G754">
        <v>1</v>
      </c>
      <c r="H754" t="s">
        <v>35</v>
      </c>
      <c r="I754">
        <v>4</v>
      </c>
      <c r="J754" t="s">
        <v>36</v>
      </c>
      <c r="K754">
        <v>2379</v>
      </c>
      <c r="L754">
        <v>0</v>
      </c>
      <c r="M754" t="s">
        <v>31</v>
      </c>
      <c r="N754">
        <v>14</v>
      </c>
      <c r="O754">
        <v>3</v>
      </c>
      <c r="P754">
        <v>0</v>
      </c>
      <c r="Q754">
        <v>6</v>
      </c>
      <c r="R754">
        <v>3</v>
      </c>
      <c r="S754">
        <v>5</v>
      </c>
      <c r="T754">
        <v>0</v>
      </c>
      <c r="U754">
        <v>2</v>
      </c>
      <c r="V754" t="s">
        <v>52</v>
      </c>
      <c r="W754" s="1" t="s">
        <v>382</v>
      </c>
      <c r="Y754" t="s">
        <v>39</v>
      </c>
      <c r="Z754" t="s">
        <v>47</v>
      </c>
      <c r="AA754">
        <v>1</v>
      </c>
      <c r="AB754">
        <v>2</v>
      </c>
      <c r="AC754" t="s">
        <v>31</v>
      </c>
      <c r="AD754" t="s">
        <v>67</v>
      </c>
      <c r="AE754" t="s">
        <v>43</v>
      </c>
      <c r="AF754" s="3">
        <v>1042</v>
      </c>
      <c r="AG754" s="3">
        <v>43</v>
      </c>
      <c r="AH754">
        <v>80</v>
      </c>
      <c r="AI754">
        <v>13</v>
      </c>
      <c r="AJ754">
        <v>1</v>
      </c>
      <c r="AK754">
        <v>1</v>
      </c>
      <c r="AL754">
        <v>1</v>
      </c>
      <c r="AM754">
        <v>0</v>
      </c>
      <c r="AN754" t="s">
        <v>767</v>
      </c>
      <c r="AO754" t="s">
        <v>31</v>
      </c>
    </row>
    <row r="755" spans="1:41" x14ac:dyDescent="0.25">
      <c r="A755">
        <v>55</v>
      </c>
      <c r="B755" t="s">
        <v>32</v>
      </c>
      <c r="C755" t="s">
        <v>33</v>
      </c>
      <c r="D755">
        <v>2</v>
      </c>
      <c r="E755" t="s">
        <v>34</v>
      </c>
      <c r="F755">
        <v>2</v>
      </c>
      <c r="G755">
        <v>1</v>
      </c>
      <c r="H755" t="s">
        <v>44</v>
      </c>
      <c r="I755">
        <v>4</v>
      </c>
      <c r="J755" t="s">
        <v>51</v>
      </c>
      <c r="K755">
        <v>2662</v>
      </c>
      <c r="L755">
        <v>8</v>
      </c>
      <c r="M755" t="s">
        <v>41</v>
      </c>
      <c r="N755">
        <v>20</v>
      </c>
      <c r="O755">
        <v>4</v>
      </c>
      <c r="P755">
        <v>1</v>
      </c>
      <c r="Q755">
        <v>19</v>
      </c>
      <c r="R755">
        <v>2</v>
      </c>
      <c r="S755">
        <v>5</v>
      </c>
      <c r="T755">
        <v>0</v>
      </c>
      <c r="U755">
        <v>4</v>
      </c>
      <c r="V755" t="s">
        <v>58</v>
      </c>
      <c r="W755" s="1" t="s">
        <v>373</v>
      </c>
      <c r="Y755" t="s">
        <v>39</v>
      </c>
      <c r="Z755" t="s">
        <v>40</v>
      </c>
      <c r="AA755">
        <v>5</v>
      </c>
      <c r="AB755">
        <v>3</v>
      </c>
      <c r="AC755" t="s">
        <v>41</v>
      </c>
      <c r="AD755" t="s">
        <v>48</v>
      </c>
      <c r="AE755" t="s">
        <v>60</v>
      </c>
      <c r="AF755" s="3">
        <v>1043</v>
      </c>
      <c r="AG755" s="3">
        <v>82</v>
      </c>
      <c r="AH755">
        <v>80</v>
      </c>
      <c r="AI755">
        <v>6</v>
      </c>
      <c r="AJ755">
        <v>0</v>
      </c>
      <c r="AL755">
        <v>0</v>
      </c>
      <c r="AM755">
        <v>1</v>
      </c>
      <c r="AN755" t="s">
        <v>768</v>
      </c>
      <c r="AO755" t="s">
        <v>41</v>
      </c>
    </row>
    <row r="756" spans="1:41" x14ac:dyDescent="0.25">
      <c r="A756">
        <v>34</v>
      </c>
      <c r="B756" t="s">
        <v>32</v>
      </c>
      <c r="C756" t="s">
        <v>55</v>
      </c>
      <c r="D756">
        <v>4</v>
      </c>
      <c r="E756" t="s">
        <v>34</v>
      </c>
      <c r="F756">
        <v>3</v>
      </c>
      <c r="G756">
        <v>3</v>
      </c>
      <c r="H756" t="s">
        <v>70</v>
      </c>
      <c r="I756">
        <v>4</v>
      </c>
      <c r="J756" t="s">
        <v>51</v>
      </c>
      <c r="K756">
        <v>9713</v>
      </c>
      <c r="L756">
        <v>2</v>
      </c>
      <c r="M756" t="s">
        <v>31</v>
      </c>
      <c r="N756">
        <v>13</v>
      </c>
      <c r="O756">
        <v>3</v>
      </c>
      <c r="P756">
        <v>3</v>
      </c>
      <c r="Q756">
        <v>9</v>
      </c>
      <c r="R756">
        <v>3</v>
      </c>
      <c r="S756">
        <v>5</v>
      </c>
      <c r="T756">
        <v>1</v>
      </c>
      <c r="U756">
        <v>0</v>
      </c>
      <c r="V756" t="s">
        <v>72</v>
      </c>
      <c r="W756" s="2">
        <v>42556</v>
      </c>
      <c r="Y756" t="s">
        <v>39</v>
      </c>
      <c r="Z756" t="s">
        <v>47</v>
      </c>
      <c r="AA756">
        <v>2</v>
      </c>
      <c r="AB756">
        <v>2</v>
      </c>
      <c r="AC756" t="s">
        <v>41</v>
      </c>
      <c r="AD756" t="s">
        <v>48</v>
      </c>
      <c r="AE756" t="s">
        <v>49</v>
      </c>
      <c r="AF756" s="3">
        <v>1044</v>
      </c>
      <c r="AG756" s="3">
        <v>88</v>
      </c>
      <c r="AH756">
        <v>80</v>
      </c>
      <c r="AI756">
        <v>2</v>
      </c>
      <c r="AJ756">
        <v>0</v>
      </c>
      <c r="AL756">
        <v>0</v>
      </c>
      <c r="AM756">
        <v>1</v>
      </c>
      <c r="AN756" t="s">
        <v>768</v>
      </c>
      <c r="AO756" t="s">
        <v>41</v>
      </c>
    </row>
    <row r="757" spans="1:41" x14ac:dyDescent="0.25">
      <c r="A757">
        <v>37</v>
      </c>
      <c r="B757" t="s">
        <v>32</v>
      </c>
      <c r="C757" t="s">
        <v>33</v>
      </c>
      <c r="D757">
        <v>7</v>
      </c>
      <c r="E757" t="s">
        <v>34</v>
      </c>
      <c r="F757">
        <v>3</v>
      </c>
      <c r="G757">
        <v>2</v>
      </c>
      <c r="H757" t="s">
        <v>44</v>
      </c>
      <c r="I757">
        <v>1</v>
      </c>
      <c r="J757" t="s">
        <v>51</v>
      </c>
      <c r="K757">
        <v>4284</v>
      </c>
      <c r="L757">
        <v>5</v>
      </c>
      <c r="M757" t="s">
        <v>31</v>
      </c>
      <c r="N757">
        <v>22</v>
      </c>
      <c r="O757">
        <v>4</v>
      </c>
      <c r="P757">
        <v>1</v>
      </c>
      <c r="Q757">
        <v>16</v>
      </c>
      <c r="R757">
        <v>2</v>
      </c>
      <c r="S757">
        <v>5</v>
      </c>
      <c r="T757">
        <v>0</v>
      </c>
      <c r="U757">
        <v>4</v>
      </c>
      <c r="V757" t="s">
        <v>72</v>
      </c>
      <c r="W757" s="1" t="s">
        <v>383</v>
      </c>
      <c r="Y757" t="s">
        <v>63</v>
      </c>
      <c r="Z757" t="s">
        <v>47</v>
      </c>
      <c r="AA757">
        <v>2</v>
      </c>
      <c r="AB757">
        <v>1</v>
      </c>
      <c r="AC757" t="s">
        <v>31</v>
      </c>
      <c r="AD757" t="s">
        <v>42</v>
      </c>
      <c r="AE757" t="s">
        <v>49</v>
      </c>
      <c r="AF757" s="3">
        <v>1045</v>
      </c>
      <c r="AG757" s="3">
        <v>90</v>
      </c>
      <c r="AH757">
        <v>80</v>
      </c>
      <c r="AI757">
        <v>3</v>
      </c>
      <c r="AJ757">
        <v>0</v>
      </c>
      <c r="AL757">
        <v>0</v>
      </c>
      <c r="AM757">
        <v>1</v>
      </c>
      <c r="AN757" t="s">
        <v>768</v>
      </c>
      <c r="AO757" t="s">
        <v>41</v>
      </c>
    </row>
    <row r="758" spans="1:41" x14ac:dyDescent="0.25">
      <c r="A758">
        <v>34</v>
      </c>
      <c r="B758" t="s">
        <v>81</v>
      </c>
      <c r="C758" t="s">
        <v>33</v>
      </c>
      <c r="D758">
        <v>16</v>
      </c>
      <c r="E758" t="s">
        <v>34</v>
      </c>
      <c r="F758">
        <v>1</v>
      </c>
      <c r="G758">
        <v>1</v>
      </c>
      <c r="H758" t="s">
        <v>44</v>
      </c>
      <c r="I758">
        <v>1</v>
      </c>
      <c r="J758" t="s">
        <v>51</v>
      </c>
      <c r="K758">
        <v>2307</v>
      </c>
      <c r="L758">
        <v>1</v>
      </c>
      <c r="M758" t="s">
        <v>31</v>
      </c>
      <c r="N758">
        <v>23</v>
      </c>
      <c r="O758">
        <v>4</v>
      </c>
      <c r="P758">
        <v>1</v>
      </c>
      <c r="Q758">
        <v>5</v>
      </c>
      <c r="R758">
        <v>2</v>
      </c>
      <c r="S758">
        <v>5</v>
      </c>
      <c r="T758">
        <v>3</v>
      </c>
      <c r="U758">
        <v>0</v>
      </c>
      <c r="V758" t="s">
        <v>37</v>
      </c>
      <c r="W758" s="1" t="s">
        <v>318</v>
      </c>
      <c r="Y758" t="s">
        <v>46</v>
      </c>
      <c r="Z758" t="s">
        <v>47</v>
      </c>
      <c r="AA758">
        <v>0</v>
      </c>
      <c r="AB758">
        <v>1</v>
      </c>
      <c r="AC758" t="s">
        <v>31</v>
      </c>
      <c r="AD758" t="s">
        <v>65</v>
      </c>
      <c r="AE758" t="s">
        <v>60</v>
      </c>
      <c r="AF758" s="3">
        <v>1046</v>
      </c>
      <c r="AG758" s="3">
        <v>69</v>
      </c>
      <c r="AH758">
        <v>80</v>
      </c>
      <c r="AI758">
        <v>7</v>
      </c>
      <c r="AJ758">
        <v>0</v>
      </c>
      <c r="AL758">
        <v>0</v>
      </c>
      <c r="AM758">
        <v>1</v>
      </c>
      <c r="AN758" t="s">
        <v>768</v>
      </c>
      <c r="AO758" t="s">
        <v>41</v>
      </c>
    </row>
    <row r="759" spans="1:41" x14ac:dyDescent="0.25">
      <c r="A759">
        <v>41</v>
      </c>
      <c r="B759" t="s">
        <v>32</v>
      </c>
      <c r="C759" t="s">
        <v>55</v>
      </c>
      <c r="D759">
        <v>8</v>
      </c>
      <c r="E759" t="s">
        <v>61</v>
      </c>
      <c r="F759">
        <v>3</v>
      </c>
      <c r="G759">
        <v>2</v>
      </c>
      <c r="H759" t="s">
        <v>70</v>
      </c>
      <c r="I759">
        <v>2</v>
      </c>
      <c r="J759" t="s">
        <v>51</v>
      </c>
      <c r="K759">
        <v>4393</v>
      </c>
      <c r="L759">
        <v>5</v>
      </c>
      <c r="M759" t="s">
        <v>41</v>
      </c>
      <c r="N759">
        <v>21</v>
      </c>
      <c r="O759">
        <v>4</v>
      </c>
      <c r="P759">
        <v>1</v>
      </c>
      <c r="Q759">
        <v>14</v>
      </c>
      <c r="R759">
        <v>3</v>
      </c>
      <c r="S759">
        <v>5</v>
      </c>
      <c r="T759">
        <v>1</v>
      </c>
      <c r="U759">
        <v>4</v>
      </c>
      <c r="V759" t="s">
        <v>72</v>
      </c>
      <c r="W759" s="1" t="s">
        <v>358</v>
      </c>
      <c r="Y759" t="s">
        <v>39</v>
      </c>
      <c r="Z759" t="s">
        <v>47</v>
      </c>
      <c r="AA759">
        <v>5</v>
      </c>
      <c r="AB759">
        <v>2</v>
      </c>
      <c r="AC759" t="s">
        <v>41</v>
      </c>
      <c r="AD759" t="s">
        <v>42</v>
      </c>
      <c r="AE759" t="s">
        <v>49</v>
      </c>
      <c r="AF759" s="3">
        <v>1047</v>
      </c>
      <c r="AG759" s="3">
        <v>75</v>
      </c>
      <c r="AH759">
        <v>80</v>
      </c>
      <c r="AI759">
        <v>1</v>
      </c>
      <c r="AJ759">
        <v>0</v>
      </c>
      <c r="AL759">
        <v>0</v>
      </c>
      <c r="AM759">
        <v>1</v>
      </c>
      <c r="AN759" t="s">
        <v>768</v>
      </c>
      <c r="AO759" t="s">
        <v>41</v>
      </c>
    </row>
    <row r="760" spans="1:41" x14ac:dyDescent="0.25">
      <c r="A760">
        <v>31</v>
      </c>
      <c r="B760" t="s">
        <v>32</v>
      </c>
      <c r="C760" t="s">
        <v>55</v>
      </c>
      <c r="D760">
        <v>10</v>
      </c>
      <c r="E760" t="s">
        <v>61</v>
      </c>
      <c r="F760">
        <v>3</v>
      </c>
      <c r="G760">
        <v>2</v>
      </c>
      <c r="H760" t="s">
        <v>70</v>
      </c>
      <c r="I760">
        <v>4</v>
      </c>
      <c r="J760" t="s">
        <v>57</v>
      </c>
      <c r="K760">
        <v>6583</v>
      </c>
      <c r="L760">
        <v>2</v>
      </c>
      <c r="M760" t="s">
        <v>31</v>
      </c>
      <c r="N760">
        <v>11</v>
      </c>
      <c r="O760">
        <v>3</v>
      </c>
      <c r="P760">
        <v>1</v>
      </c>
      <c r="Q760">
        <v>8</v>
      </c>
      <c r="R760">
        <v>2</v>
      </c>
      <c r="S760">
        <v>5</v>
      </c>
      <c r="T760">
        <v>1</v>
      </c>
      <c r="U760">
        <v>4</v>
      </c>
      <c r="V760" t="s">
        <v>58</v>
      </c>
      <c r="W760" s="1" t="s">
        <v>384</v>
      </c>
      <c r="Y760" t="s">
        <v>69</v>
      </c>
      <c r="Z760" t="s">
        <v>40</v>
      </c>
      <c r="AA760">
        <v>4</v>
      </c>
      <c r="AB760">
        <v>0</v>
      </c>
      <c r="AC760" t="s">
        <v>31</v>
      </c>
      <c r="AD760" t="s">
        <v>65</v>
      </c>
      <c r="AE760" t="s">
        <v>60</v>
      </c>
      <c r="AF760" s="3">
        <v>1048</v>
      </c>
      <c r="AG760" s="3">
        <v>66</v>
      </c>
      <c r="AH760">
        <v>80</v>
      </c>
      <c r="AI760">
        <v>4</v>
      </c>
      <c r="AJ760">
        <v>0</v>
      </c>
      <c r="AL760">
        <v>0</v>
      </c>
      <c r="AM760">
        <v>1</v>
      </c>
      <c r="AN760" t="s">
        <v>768</v>
      </c>
      <c r="AO760" t="s">
        <v>41</v>
      </c>
    </row>
    <row r="761" spans="1:41" x14ac:dyDescent="0.25">
      <c r="A761">
        <v>27</v>
      </c>
      <c r="B761" t="s">
        <v>32</v>
      </c>
      <c r="C761" t="s">
        <v>33</v>
      </c>
      <c r="D761">
        <v>2</v>
      </c>
      <c r="E761" t="s">
        <v>34</v>
      </c>
      <c r="F761">
        <v>3</v>
      </c>
      <c r="G761">
        <v>1</v>
      </c>
      <c r="H761" t="s">
        <v>44</v>
      </c>
      <c r="I761">
        <v>2</v>
      </c>
      <c r="J761" t="s">
        <v>51</v>
      </c>
      <c r="K761">
        <v>2226</v>
      </c>
      <c r="L761">
        <v>1</v>
      </c>
      <c r="M761" t="s">
        <v>41</v>
      </c>
      <c r="N761">
        <v>11</v>
      </c>
      <c r="O761">
        <v>3</v>
      </c>
      <c r="P761">
        <v>1</v>
      </c>
      <c r="Q761">
        <v>6</v>
      </c>
      <c r="R761">
        <v>3</v>
      </c>
      <c r="S761">
        <v>5</v>
      </c>
      <c r="T761">
        <v>1</v>
      </c>
      <c r="U761">
        <v>2</v>
      </c>
      <c r="V761" t="s">
        <v>52</v>
      </c>
      <c r="W761" s="1" t="s">
        <v>385</v>
      </c>
      <c r="Y761" t="s">
        <v>54</v>
      </c>
      <c r="Z761" t="s">
        <v>47</v>
      </c>
      <c r="AA761">
        <v>4</v>
      </c>
      <c r="AB761">
        <v>1</v>
      </c>
      <c r="AC761" t="s">
        <v>31</v>
      </c>
      <c r="AD761" t="s">
        <v>48</v>
      </c>
      <c r="AE761" t="s">
        <v>60</v>
      </c>
      <c r="AF761" s="3">
        <v>1049</v>
      </c>
      <c r="AG761" s="3">
        <v>36</v>
      </c>
      <c r="AH761">
        <v>80</v>
      </c>
      <c r="AI761">
        <v>3</v>
      </c>
      <c r="AJ761">
        <v>0</v>
      </c>
      <c r="AL761">
        <v>0</v>
      </c>
      <c r="AM761">
        <v>1</v>
      </c>
      <c r="AN761" t="s">
        <v>768</v>
      </c>
      <c r="AO761" t="s">
        <v>41</v>
      </c>
    </row>
    <row r="762" spans="1:41" x14ac:dyDescent="0.25">
      <c r="A762">
        <v>38</v>
      </c>
      <c r="B762" t="s">
        <v>32</v>
      </c>
      <c r="C762" t="s">
        <v>33</v>
      </c>
      <c r="D762">
        <v>9</v>
      </c>
      <c r="E762" t="s">
        <v>34</v>
      </c>
      <c r="F762">
        <v>3</v>
      </c>
      <c r="G762">
        <v>1</v>
      </c>
      <c r="H762" t="s">
        <v>44</v>
      </c>
      <c r="I762">
        <v>4</v>
      </c>
      <c r="J762" t="s">
        <v>57</v>
      </c>
      <c r="K762">
        <v>4771</v>
      </c>
      <c r="L762">
        <v>2</v>
      </c>
      <c r="M762" t="s">
        <v>41</v>
      </c>
      <c r="N762">
        <v>19</v>
      </c>
      <c r="O762">
        <v>3</v>
      </c>
      <c r="P762">
        <v>2</v>
      </c>
      <c r="Q762">
        <v>10</v>
      </c>
      <c r="R762">
        <v>0</v>
      </c>
      <c r="S762">
        <v>5</v>
      </c>
      <c r="T762">
        <v>0</v>
      </c>
      <c r="U762">
        <v>3</v>
      </c>
      <c r="V762" t="s">
        <v>58</v>
      </c>
      <c r="W762" s="1" t="s">
        <v>376</v>
      </c>
      <c r="Y762" t="s">
        <v>46</v>
      </c>
      <c r="Z762" t="s">
        <v>40</v>
      </c>
      <c r="AA762">
        <v>0</v>
      </c>
      <c r="AB762">
        <v>3</v>
      </c>
      <c r="AC762" t="s">
        <v>41</v>
      </c>
      <c r="AD762" t="s">
        <v>48</v>
      </c>
      <c r="AE762" t="s">
        <v>60</v>
      </c>
      <c r="AF762" s="3">
        <v>1050</v>
      </c>
      <c r="AG762" s="3">
        <v>38</v>
      </c>
      <c r="AH762">
        <v>80</v>
      </c>
      <c r="AI762">
        <v>7</v>
      </c>
      <c r="AJ762">
        <v>0</v>
      </c>
      <c r="AL762">
        <v>0</v>
      </c>
      <c r="AM762">
        <v>1</v>
      </c>
      <c r="AN762" t="s">
        <v>768</v>
      </c>
      <c r="AO762" t="s">
        <v>41</v>
      </c>
    </row>
    <row r="763" spans="1:41" x14ac:dyDescent="0.25">
      <c r="A763">
        <v>49</v>
      </c>
      <c r="B763" t="s">
        <v>66</v>
      </c>
      <c r="C763" t="s">
        <v>33</v>
      </c>
      <c r="D763">
        <v>2</v>
      </c>
      <c r="E763" t="s">
        <v>34</v>
      </c>
      <c r="F763">
        <v>3</v>
      </c>
      <c r="G763">
        <v>5</v>
      </c>
      <c r="H763" t="s">
        <v>50</v>
      </c>
      <c r="I763">
        <v>4</v>
      </c>
      <c r="J763" t="s">
        <v>51</v>
      </c>
      <c r="K763">
        <v>19161</v>
      </c>
      <c r="L763">
        <v>3</v>
      </c>
      <c r="M763" t="s">
        <v>41</v>
      </c>
      <c r="N763">
        <v>15</v>
      </c>
      <c r="O763">
        <v>3</v>
      </c>
      <c r="P763">
        <v>0</v>
      </c>
      <c r="Q763">
        <v>28</v>
      </c>
      <c r="R763">
        <v>3</v>
      </c>
      <c r="S763">
        <v>5</v>
      </c>
      <c r="T763">
        <v>4</v>
      </c>
      <c r="U763">
        <v>3</v>
      </c>
      <c r="V763" t="s">
        <v>72</v>
      </c>
      <c r="W763" s="2">
        <v>42404</v>
      </c>
      <c r="Y763" t="s">
        <v>39</v>
      </c>
      <c r="Z763" t="s">
        <v>40</v>
      </c>
      <c r="AA763">
        <v>1</v>
      </c>
      <c r="AB763">
        <v>2</v>
      </c>
      <c r="AC763" t="s">
        <v>31</v>
      </c>
      <c r="AD763" t="s">
        <v>67</v>
      </c>
      <c r="AE763" t="s">
        <v>60</v>
      </c>
      <c r="AF763" s="3">
        <v>1052</v>
      </c>
      <c r="AG763" s="3">
        <v>81</v>
      </c>
      <c r="AH763">
        <v>80</v>
      </c>
      <c r="AI763">
        <v>0</v>
      </c>
      <c r="AJ763">
        <v>1</v>
      </c>
      <c r="AK763">
        <v>1</v>
      </c>
      <c r="AL763">
        <v>1</v>
      </c>
      <c r="AM763">
        <v>0</v>
      </c>
      <c r="AN763" t="s">
        <v>767</v>
      </c>
      <c r="AO763" t="s">
        <v>31</v>
      </c>
    </row>
    <row r="764" spans="1:41" x14ac:dyDescent="0.25">
      <c r="A764">
        <v>35</v>
      </c>
      <c r="B764" t="s">
        <v>32</v>
      </c>
      <c r="C764" t="s">
        <v>55</v>
      </c>
      <c r="D764">
        <v>18</v>
      </c>
      <c r="E764" t="s">
        <v>34</v>
      </c>
      <c r="F764">
        <v>3</v>
      </c>
      <c r="G764">
        <v>2</v>
      </c>
      <c r="H764" t="s">
        <v>70</v>
      </c>
      <c r="I764">
        <v>1</v>
      </c>
      <c r="J764" t="s">
        <v>51</v>
      </c>
      <c r="K764">
        <v>5561</v>
      </c>
      <c r="L764">
        <v>0</v>
      </c>
      <c r="M764" t="s">
        <v>41</v>
      </c>
      <c r="N764">
        <v>16</v>
      </c>
      <c r="O764">
        <v>3</v>
      </c>
      <c r="P764">
        <v>1</v>
      </c>
      <c r="Q764">
        <v>6</v>
      </c>
      <c r="R764">
        <v>2</v>
      </c>
      <c r="S764">
        <v>5</v>
      </c>
      <c r="T764">
        <v>0</v>
      </c>
      <c r="U764">
        <v>4</v>
      </c>
      <c r="V764" t="s">
        <v>37</v>
      </c>
      <c r="W764" s="1" t="s">
        <v>360</v>
      </c>
      <c r="Y764" t="s">
        <v>69</v>
      </c>
      <c r="Z764" t="s">
        <v>40</v>
      </c>
      <c r="AA764">
        <v>4</v>
      </c>
      <c r="AB764">
        <v>2</v>
      </c>
      <c r="AC764" t="s">
        <v>41</v>
      </c>
      <c r="AD764" t="s">
        <v>67</v>
      </c>
      <c r="AE764" t="s">
        <v>49</v>
      </c>
      <c r="AF764" s="3">
        <v>1053</v>
      </c>
      <c r="AG764" s="3">
        <v>57</v>
      </c>
      <c r="AH764">
        <v>80</v>
      </c>
      <c r="AI764">
        <v>2</v>
      </c>
      <c r="AJ764">
        <v>1</v>
      </c>
      <c r="AK764">
        <v>1</v>
      </c>
      <c r="AL764">
        <v>1</v>
      </c>
      <c r="AM764">
        <v>0</v>
      </c>
      <c r="AN764" t="s">
        <v>767</v>
      </c>
      <c r="AO764" t="s">
        <v>31</v>
      </c>
    </row>
    <row r="765" spans="1:41" x14ac:dyDescent="0.25">
      <c r="A765">
        <v>28</v>
      </c>
      <c r="B765" t="s">
        <v>81</v>
      </c>
      <c r="C765" t="s">
        <v>33</v>
      </c>
      <c r="D765">
        <v>16</v>
      </c>
      <c r="E765" t="s">
        <v>34</v>
      </c>
      <c r="F765">
        <v>3</v>
      </c>
      <c r="G765">
        <v>1</v>
      </c>
      <c r="H765" t="s">
        <v>44</v>
      </c>
      <c r="I765">
        <v>3</v>
      </c>
      <c r="J765" t="s">
        <v>36</v>
      </c>
      <c r="K765">
        <v>2144</v>
      </c>
      <c r="L765">
        <v>1</v>
      </c>
      <c r="M765" t="s">
        <v>41</v>
      </c>
      <c r="N765">
        <v>14</v>
      </c>
      <c r="O765">
        <v>3</v>
      </c>
      <c r="P765">
        <v>0</v>
      </c>
      <c r="Q765">
        <v>5</v>
      </c>
      <c r="R765">
        <v>3</v>
      </c>
      <c r="S765">
        <v>5</v>
      </c>
      <c r="T765">
        <v>1</v>
      </c>
      <c r="U765">
        <v>4</v>
      </c>
      <c r="V765" t="s">
        <v>52</v>
      </c>
      <c r="W765" s="1" t="s">
        <v>369</v>
      </c>
      <c r="Y765" t="s">
        <v>39</v>
      </c>
      <c r="Z765" t="s">
        <v>47</v>
      </c>
      <c r="AA765">
        <v>1</v>
      </c>
      <c r="AB765">
        <v>3</v>
      </c>
      <c r="AC765" t="s">
        <v>31</v>
      </c>
      <c r="AD765" t="s">
        <v>42</v>
      </c>
      <c r="AE765" t="s">
        <v>43</v>
      </c>
      <c r="AF765" s="3">
        <v>1055</v>
      </c>
      <c r="AG765" s="3">
        <v>87</v>
      </c>
      <c r="AH765">
        <v>80</v>
      </c>
      <c r="AI765">
        <v>1</v>
      </c>
      <c r="AJ765">
        <v>0</v>
      </c>
      <c r="AL765">
        <v>0</v>
      </c>
      <c r="AM765">
        <v>1</v>
      </c>
      <c r="AN765" t="s">
        <v>768</v>
      </c>
      <c r="AO765" t="s">
        <v>41</v>
      </c>
    </row>
    <row r="766" spans="1:41" x14ac:dyDescent="0.25">
      <c r="A766">
        <v>36</v>
      </c>
      <c r="B766" t="s">
        <v>81</v>
      </c>
      <c r="C766" t="s">
        <v>33</v>
      </c>
      <c r="D766">
        <v>9</v>
      </c>
      <c r="E766" t="s">
        <v>34</v>
      </c>
      <c r="F766">
        <v>4</v>
      </c>
      <c r="G766">
        <v>1</v>
      </c>
      <c r="H766" t="s">
        <v>35</v>
      </c>
      <c r="I766">
        <v>2</v>
      </c>
      <c r="J766" t="s">
        <v>51</v>
      </c>
      <c r="K766">
        <v>2810</v>
      </c>
      <c r="L766">
        <v>1</v>
      </c>
      <c r="M766" t="s">
        <v>41</v>
      </c>
      <c r="N766">
        <v>22</v>
      </c>
      <c r="O766">
        <v>4</v>
      </c>
      <c r="P766">
        <v>0</v>
      </c>
      <c r="Q766">
        <v>5</v>
      </c>
      <c r="R766">
        <v>3</v>
      </c>
      <c r="S766">
        <v>5</v>
      </c>
      <c r="T766">
        <v>0</v>
      </c>
      <c r="U766">
        <v>2</v>
      </c>
      <c r="V766" t="s">
        <v>52</v>
      </c>
      <c r="W766" s="2">
        <v>42464</v>
      </c>
      <c r="Y766" t="s">
        <v>54</v>
      </c>
      <c r="Z766" t="s">
        <v>40</v>
      </c>
      <c r="AA766">
        <v>0</v>
      </c>
      <c r="AB766">
        <v>0</v>
      </c>
      <c r="AC766" t="s">
        <v>41</v>
      </c>
      <c r="AD766" t="s">
        <v>65</v>
      </c>
      <c r="AE766" t="s">
        <v>60</v>
      </c>
      <c r="AF766" s="3">
        <v>1056</v>
      </c>
      <c r="AG766" s="3">
        <v>74</v>
      </c>
      <c r="AH766">
        <v>80</v>
      </c>
      <c r="AI766">
        <v>0</v>
      </c>
      <c r="AJ766">
        <v>0</v>
      </c>
      <c r="AL766">
        <v>0</v>
      </c>
      <c r="AM766">
        <v>1</v>
      </c>
      <c r="AN766" t="s">
        <v>768</v>
      </c>
      <c r="AO766" t="s">
        <v>41</v>
      </c>
    </row>
    <row r="767" spans="1:41" x14ac:dyDescent="0.25">
      <c r="A767">
        <v>29</v>
      </c>
      <c r="B767" t="s">
        <v>32</v>
      </c>
      <c r="C767" t="s">
        <v>33</v>
      </c>
      <c r="D767">
        <v>1</v>
      </c>
      <c r="E767" t="s">
        <v>34</v>
      </c>
      <c r="F767">
        <v>3</v>
      </c>
      <c r="G767">
        <v>2</v>
      </c>
      <c r="H767" t="s">
        <v>89</v>
      </c>
      <c r="I767">
        <v>1</v>
      </c>
      <c r="J767" t="s">
        <v>51</v>
      </c>
      <c r="K767">
        <v>5373</v>
      </c>
      <c r="L767">
        <v>0</v>
      </c>
      <c r="M767" t="s">
        <v>41</v>
      </c>
      <c r="N767">
        <v>12</v>
      </c>
      <c r="O767">
        <v>3</v>
      </c>
      <c r="P767">
        <v>1</v>
      </c>
      <c r="Q767">
        <v>6</v>
      </c>
      <c r="R767">
        <v>5</v>
      </c>
      <c r="S767">
        <v>5</v>
      </c>
      <c r="T767">
        <v>0</v>
      </c>
      <c r="U767">
        <v>2</v>
      </c>
      <c r="V767" t="s">
        <v>58</v>
      </c>
      <c r="W767" s="1" t="s">
        <v>318</v>
      </c>
      <c r="Y767" t="s">
        <v>69</v>
      </c>
      <c r="Z767" t="s">
        <v>47</v>
      </c>
      <c r="AA767">
        <v>3</v>
      </c>
      <c r="AB767">
        <v>3</v>
      </c>
      <c r="AC767" t="s">
        <v>31</v>
      </c>
      <c r="AD767" t="s">
        <v>42</v>
      </c>
      <c r="AE767" t="s">
        <v>43</v>
      </c>
      <c r="AF767" s="3">
        <v>1060</v>
      </c>
      <c r="AG767" s="3">
        <v>44</v>
      </c>
      <c r="AH767">
        <v>80</v>
      </c>
      <c r="AI767">
        <v>2</v>
      </c>
      <c r="AJ767">
        <v>0</v>
      </c>
      <c r="AL767">
        <v>0</v>
      </c>
      <c r="AM767">
        <v>1</v>
      </c>
      <c r="AN767" t="s">
        <v>768</v>
      </c>
      <c r="AO767" t="s">
        <v>41</v>
      </c>
    </row>
    <row r="768" spans="1:41" x14ac:dyDescent="0.25">
      <c r="A768">
        <v>32</v>
      </c>
      <c r="B768" t="s">
        <v>81</v>
      </c>
      <c r="C768" t="s">
        <v>33</v>
      </c>
      <c r="D768">
        <v>15</v>
      </c>
      <c r="E768" t="s">
        <v>61</v>
      </c>
      <c r="F768">
        <v>3</v>
      </c>
      <c r="G768">
        <v>2</v>
      </c>
      <c r="H768" t="s">
        <v>89</v>
      </c>
      <c r="I768">
        <v>4</v>
      </c>
      <c r="J768" t="s">
        <v>57</v>
      </c>
      <c r="K768">
        <v>6667</v>
      </c>
      <c r="L768">
        <v>5</v>
      </c>
      <c r="M768" t="s">
        <v>41</v>
      </c>
      <c r="N768">
        <v>18</v>
      </c>
      <c r="O768">
        <v>3</v>
      </c>
      <c r="P768">
        <v>1</v>
      </c>
      <c r="Q768">
        <v>9</v>
      </c>
      <c r="R768">
        <v>6</v>
      </c>
      <c r="S768">
        <v>5</v>
      </c>
      <c r="T768">
        <v>1</v>
      </c>
      <c r="U768">
        <v>2</v>
      </c>
      <c r="V768" t="s">
        <v>72</v>
      </c>
      <c r="W768" s="2">
        <v>42493</v>
      </c>
      <c r="Y768" t="s">
        <v>69</v>
      </c>
      <c r="Z768" t="s">
        <v>40</v>
      </c>
      <c r="AA768">
        <v>1</v>
      </c>
      <c r="AB768">
        <v>0</v>
      </c>
      <c r="AC768" t="s">
        <v>31</v>
      </c>
      <c r="AD768" t="s">
        <v>65</v>
      </c>
      <c r="AE768" t="s">
        <v>43</v>
      </c>
      <c r="AF768" s="3">
        <v>1061</v>
      </c>
      <c r="AG768" s="3">
        <v>62</v>
      </c>
      <c r="AH768">
        <v>80</v>
      </c>
      <c r="AI768">
        <v>1</v>
      </c>
      <c r="AJ768">
        <v>0</v>
      </c>
      <c r="AL768">
        <v>0</v>
      </c>
      <c r="AM768">
        <v>1</v>
      </c>
      <c r="AN768" t="s">
        <v>768</v>
      </c>
      <c r="AO768" t="s">
        <v>41</v>
      </c>
    </row>
    <row r="769" spans="1:41" x14ac:dyDescent="0.25">
      <c r="A769">
        <v>54</v>
      </c>
      <c r="B769" t="s">
        <v>32</v>
      </c>
      <c r="C769" t="s">
        <v>33</v>
      </c>
      <c r="D769">
        <v>10</v>
      </c>
      <c r="E769" t="s">
        <v>61</v>
      </c>
      <c r="F769">
        <v>3</v>
      </c>
      <c r="G769">
        <v>2</v>
      </c>
      <c r="H769" t="s">
        <v>78</v>
      </c>
      <c r="I769">
        <v>1</v>
      </c>
      <c r="J769" t="s">
        <v>36</v>
      </c>
      <c r="K769">
        <v>4440</v>
      </c>
      <c r="L769">
        <v>6</v>
      </c>
      <c r="M769" t="s">
        <v>31</v>
      </c>
      <c r="N769">
        <v>19</v>
      </c>
      <c r="O769">
        <v>3</v>
      </c>
      <c r="P769">
        <v>0</v>
      </c>
      <c r="Q769">
        <v>9</v>
      </c>
      <c r="R769">
        <v>3</v>
      </c>
      <c r="S769">
        <v>5</v>
      </c>
      <c r="T769">
        <v>1</v>
      </c>
      <c r="U769">
        <v>4</v>
      </c>
      <c r="V769" t="s">
        <v>52</v>
      </c>
      <c r="W769" s="1" t="s">
        <v>377</v>
      </c>
      <c r="Y769" t="s">
        <v>63</v>
      </c>
      <c r="Z769" t="s">
        <v>47</v>
      </c>
      <c r="AA769">
        <v>1</v>
      </c>
      <c r="AB769">
        <v>0</v>
      </c>
      <c r="AC769" t="s">
        <v>41</v>
      </c>
      <c r="AD769" t="s">
        <v>42</v>
      </c>
      <c r="AE769" t="s">
        <v>60</v>
      </c>
      <c r="AF769" s="3">
        <v>1062</v>
      </c>
      <c r="AG769" s="3">
        <v>35</v>
      </c>
      <c r="AH769">
        <v>80</v>
      </c>
      <c r="AI769">
        <v>3</v>
      </c>
      <c r="AJ769">
        <v>0</v>
      </c>
      <c r="AL769">
        <v>0</v>
      </c>
      <c r="AM769">
        <v>1</v>
      </c>
      <c r="AN769" t="s">
        <v>768</v>
      </c>
      <c r="AO769" t="s">
        <v>41</v>
      </c>
    </row>
    <row r="770" spans="1:41" x14ac:dyDescent="0.25">
      <c r="A770">
        <v>23</v>
      </c>
      <c r="B770" t="s">
        <v>32</v>
      </c>
      <c r="C770" t="s">
        <v>33</v>
      </c>
      <c r="D770">
        <v>12</v>
      </c>
      <c r="E770" t="s">
        <v>34</v>
      </c>
      <c r="F770">
        <v>3</v>
      </c>
      <c r="G770">
        <v>1</v>
      </c>
      <c r="H770" t="s">
        <v>35</v>
      </c>
      <c r="I770">
        <v>4</v>
      </c>
      <c r="J770" t="s">
        <v>36</v>
      </c>
      <c r="K770">
        <v>2647</v>
      </c>
      <c r="L770">
        <v>1</v>
      </c>
      <c r="M770" t="s">
        <v>41</v>
      </c>
      <c r="N770">
        <v>13</v>
      </c>
      <c r="O770">
        <v>3</v>
      </c>
      <c r="P770">
        <v>0</v>
      </c>
      <c r="Q770">
        <v>5</v>
      </c>
      <c r="R770">
        <v>6</v>
      </c>
      <c r="S770">
        <v>5</v>
      </c>
      <c r="T770">
        <v>1</v>
      </c>
      <c r="U770">
        <v>4</v>
      </c>
      <c r="V770" t="s">
        <v>72</v>
      </c>
      <c r="W770" s="1" t="s">
        <v>386</v>
      </c>
      <c r="Y770" t="s">
        <v>63</v>
      </c>
      <c r="Z770" t="s">
        <v>40</v>
      </c>
      <c r="AA770">
        <v>5</v>
      </c>
      <c r="AB770">
        <v>2</v>
      </c>
      <c r="AC770" t="s">
        <v>31</v>
      </c>
      <c r="AD770" t="s">
        <v>42</v>
      </c>
      <c r="AE770" t="s">
        <v>49</v>
      </c>
      <c r="AF770" s="3">
        <v>1066</v>
      </c>
      <c r="AG770" s="3">
        <v>74</v>
      </c>
      <c r="AH770">
        <v>80</v>
      </c>
      <c r="AI770">
        <v>7</v>
      </c>
      <c r="AJ770">
        <v>0</v>
      </c>
      <c r="AL770">
        <v>0</v>
      </c>
      <c r="AM770">
        <v>1</v>
      </c>
      <c r="AN770" t="s">
        <v>768</v>
      </c>
      <c r="AO770" t="s">
        <v>41</v>
      </c>
    </row>
    <row r="771" spans="1:41" x14ac:dyDescent="0.25">
      <c r="A771">
        <v>41</v>
      </c>
      <c r="B771" t="s">
        <v>32</v>
      </c>
      <c r="C771" t="s">
        <v>33</v>
      </c>
      <c r="D771">
        <v>1</v>
      </c>
      <c r="E771" t="s">
        <v>34</v>
      </c>
      <c r="F771">
        <v>3</v>
      </c>
      <c r="G771">
        <v>1</v>
      </c>
      <c r="H771" t="s">
        <v>44</v>
      </c>
      <c r="I771">
        <v>4</v>
      </c>
      <c r="J771" t="s">
        <v>51</v>
      </c>
      <c r="K771">
        <v>2782</v>
      </c>
      <c r="L771">
        <v>3</v>
      </c>
      <c r="M771" t="s">
        <v>41</v>
      </c>
      <c r="N771">
        <v>22</v>
      </c>
      <c r="O771">
        <v>4</v>
      </c>
      <c r="P771">
        <v>1</v>
      </c>
      <c r="Q771">
        <v>12</v>
      </c>
      <c r="R771">
        <v>3</v>
      </c>
      <c r="S771">
        <v>5</v>
      </c>
      <c r="T771">
        <v>1</v>
      </c>
      <c r="U771">
        <v>0</v>
      </c>
      <c r="V771" t="s">
        <v>72</v>
      </c>
      <c r="W771" s="1" t="s">
        <v>354</v>
      </c>
      <c r="Y771" t="s">
        <v>69</v>
      </c>
      <c r="Z771" t="s">
        <v>47</v>
      </c>
      <c r="AA771">
        <v>1</v>
      </c>
      <c r="AB771">
        <v>3</v>
      </c>
      <c r="AC771" t="s">
        <v>31</v>
      </c>
      <c r="AD771" t="s">
        <v>42</v>
      </c>
      <c r="AE771" t="s">
        <v>60</v>
      </c>
      <c r="AF771" s="3">
        <v>1068</v>
      </c>
      <c r="AG771" s="3">
        <v>66</v>
      </c>
      <c r="AH771">
        <v>80</v>
      </c>
      <c r="AI771">
        <v>3</v>
      </c>
      <c r="AJ771">
        <v>0</v>
      </c>
      <c r="AL771">
        <v>0</v>
      </c>
      <c r="AM771">
        <v>1</v>
      </c>
      <c r="AN771" t="s">
        <v>768</v>
      </c>
      <c r="AO771" t="s">
        <v>41</v>
      </c>
    </row>
    <row r="772" spans="1:41" x14ac:dyDescent="0.25">
      <c r="A772">
        <v>25</v>
      </c>
      <c r="B772" t="s">
        <v>32</v>
      </c>
      <c r="C772" t="s">
        <v>55</v>
      </c>
      <c r="D772">
        <v>8</v>
      </c>
      <c r="E772" t="s">
        <v>61</v>
      </c>
      <c r="F772">
        <v>3</v>
      </c>
      <c r="G772">
        <v>2</v>
      </c>
      <c r="H772" t="s">
        <v>70</v>
      </c>
      <c r="I772">
        <v>3</v>
      </c>
      <c r="J772" t="s">
        <v>57</v>
      </c>
      <c r="K772">
        <v>4907</v>
      </c>
      <c r="L772">
        <v>0</v>
      </c>
      <c r="M772" t="s">
        <v>31</v>
      </c>
      <c r="N772">
        <v>22</v>
      </c>
      <c r="O772">
        <v>4</v>
      </c>
      <c r="P772">
        <v>1</v>
      </c>
      <c r="Q772">
        <v>6</v>
      </c>
      <c r="R772">
        <v>3</v>
      </c>
      <c r="S772">
        <v>5</v>
      </c>
      <c r="T772">
        <v>0</v>
      </c>
      <c r="U772">
        <v>4</v>
      </c>
      <c r="V772" t="s">
        <v>52</v>
      </c>
      <c r="W772" s="2">
        <v>42552</v>
      </c>
      <c r="Y772" t="s">
        <v>46</v>
      </c>
      <c r="Z772" t="s">
        <v>47</v>
      </c>
      <c r="AA772">
        <v>5</v>
      </c>
      <c r="AB772">
        <v>0</v>
      </c>
      <c r="AC772" t="s">
        <v>31</v>
      </c>
      <c r="AD772" t="s">
        <v>67</v>
      </c>
      <c r="AE772" t="s">
        <v>49</v>
      </c>
      <c r="AF772" s="3">
        <v>1069</v>
      </c>
      <c r="AG772" s="3">
        <v>40</v>
      </c>
      <c r="AH772">
        <v>80</v>
      </c>
      <c r="AI772">
        <v>2</v>
      </c>
      <c r="AJ772">
        <v>0</v>
      </c>
      <c r="AL772">
        <v>0</v>
      </c>
      <c r="AM772">
        <v>1</v>
      </c>
      <c r="AN772" t="s">
        <v>768</v>
      </c>
      <c r="AO772" t="s">
        <v>41</v>
      </c>
    </row>
    <row r="773" spans="1:41" x14ac:dyDescent="0.25">
      <c r="A773">
        <v>41</v>
      </c>
      <c r="B773" t="s">
        <v>32</v>
      </c>
      <c r="C773" t="s">
        <v>55</v>
      </c>
      <c r="D773">
        <v>3</v>
      </c>
      <c r="E773" t="s">
        <v>34</v>
      </c>
      <c r="F773">
        <v>2</v>
      </c>
      <c r="G773">
        <v>2</v>
      </c>
      <c r="H773" t="s">
        <v>70</v>
      </c>
      <c r="I773">
        <v>2</v>
      </c>
      <c r="J773" t="s">
        <v>57</v>
      </c>
      <c r="K773">
        <v>8938</v>
      </c>
      <c r="L773">
        <v>2</v>
      </c>
      <c r="M773" t="s">
        <v>41</v>
      </c>
      <c r="N773">
        <v>11</v>
      </c>
      <c r="O773">
        <v>3</v>
      </c>
      <c r="P773">
        <v>1</v>
      </c>
      <c r="Q773">
        <v>14</v>
      </c>
      <c r="R773">
        <v>5</v>
      </c>
      <c r="S773">
        <v>5</v>
      </c>
      <c r="T773">
        <v>0</v>
      </c>
      <c r="U773">
        <v>4</v>
      </c>
      <c r="V773" t="s">
        <v>58</v>
      </c>
      <c r="W773" s="1" t="s">
        <v>384</v>
      </c>
      <c r="Y773" t="s">
        <v>54</v>
      </c>
      <c r="Z773" t="s">
        <v>47</v>
      </c>
      <c r="AA773">
        <v>4</v>
      </c>
      <c r="AB773">
        <v>3</v>
      </c>
      <c r="AC773" t="s">
        <v>41</v>
      </c>
      <c r="AD773" t="s">
        <v>42</v>
      </c>
      <c r="AE773" t="s">
        <v>49</v>
      </c>
      <c r="AF773" s="3">
        <v>1070</v>
      </c>
      <c r="AG773" s="3">
        <v>41</v>
      </c>
      <c r="AH773">
        <v>80</v>
      </c>
      <c r="AI773">
        <v>4</v>
      </c>
      <c r="AJ773">
        <v>0</v>
      </c>
      <c r="AL773">
        <v>0</v>
      </c>
      <c r="AM773">
        <v>1</v>
      </c>
      <c r="AN773" t="s">
        <v>768</v>
      </c>
      <c r="AO773" t="s">
        <v>41</v>
      </c>
    </row>
    <row r="774" spans="1:41" x14ac:dyDescent="0.25">
      <c r="A774">
        <v>45</v>
      </c>
      <c r="B774" t="s">
        <v>32</v>
      </c>
      <c r="C774" t="s">
        <v>55</v>
      </c>
      <c r="D774">
        <v>20</v>
      </c>
      <c r="E774" t="s">
        <v>61</v>
      </c>
      <c r="F774">
        <v>3</v>
      </c>
      <c r="G774">
        <v>2</v>
      </c>
      <c r="H774" t="s">
        <v>70</v>
      </c>
      <c r="I774">
        <v>3</v>
      </c>
      <c r="J774" t="s">
        <v>36</v>
      </c>
      <c r="K774">
        <v>4850</v>
      </c>
      <c r="L774">
        <v>8</v>
      </c>
      <c r="M774" t="s">
        <v>41</v>
      </c>
      <c r="N774">
        <v>15</v>
      </c>
      <c r="O774">
        <v>3</v>
      </c>
      <c r="P774">
        <v>0</v>
      </c>
      <c r="Q774">
        <v>8</v>
      </c>
      <c r="R774">
        <v>3</v>
      </c>
      <c r="S774">
        <v>5</v>
      </c>
      <c r="T774">
        <v>0</v>
      </c>
      <c r="U774">
        <v>1</v>
      </c>
      <c r="V774" t="s">
        <v>58</v>
      </c>
      <c r="W774" s="1" t="s">
        <v>370</v>
      </c>
      <c r="Y774" t="s">
        <v>46</v>
      </c>
      <c r="Z774" t="s">
        <v>40</v>
      </c>
      <c r="AA774">
        <v>4</v>
      </c>
      <c r="AB774">
        <v>1</v>
      </c>
      <c r="AC774" t="s">
        <v>41</v>
      </c>
      <c r="AD774" t="s">
        <v>65</v>
      </c>
      <c r="AE774" t="s">
        <v>43</v>
      </c>
      <c r="AF774" s="3">
        <v>1071</v>
      </c>
      <c r="AG774" s="3">
        <v>63</v>
      </c>
      <c r="AH774">
        <v>80</v>
      </c>
      <c r="AI774">
        <v>4</v>
      </c>
      <c r="AJ774">
        <v>0</v>
      </c>
      <c r="AL774">
        <v>0</v>
      </c>
      <c r="AM774">
        <v>1</v>
      </c>
      <c r="AN774" t="s">
        <v>768</v>
      </c>
      <c r="AO774" t="s">
        <v>41</v>
      </c>
    </row>
    <row r="775" spans="1:41" x14ac:dyDescent="0.25">
      <c r="A775">
        <v>40</v>
      </c>
      <c r="B775" t="s">
        <v>32</v>
      </c>
      <c r="C775" t="s">
        <v>33</v>
      </c>
      <c r="D775">
        <v>2</v>
      </c>
      <c r="E775" t="s">
        <v>61</v>
      </c>
      <c r="F775">
        <v>3</v>
      </c>
      <c r="G775">
        <v>1</v>
      </c>
      <c r="H775" t="s">
        <v>44</v>
      </c>
      <c r="I775">
        <v>3</v>
      </c>
      <c r="J775" t="s">
        <v>51</v>
      </c>
      <c r="K775">
        <v>2001</v>
      </c>
      <c r="L775">
        <v>2</v>
      </c>
      <c r="M775" t="s">
        <v>41</v>
      </c>
      <c r="N775">
        <v>14</v>
      </c>
      <c r="O775">
        <v>3</v>
      </c>
      <c r="P775">
        <v>3</v>
      </c>
      <c r="Q775">
        <v>20</v>
      </c>
      <c r="R775">
        <v>2</v>
      </c>
      <c r="S775">
        <v>5</v>
      </c>
      <c r="T775">
        <v>0</v>
      </c>
      <c r="U775">
        <v>2</v>
      </c>
      <c r="V775" t="s">
        <v>72</v>
      </c>
      <c r="W775" s="2">
        <v>42647</v>
      </c>
      <c r="Y775" t="s">
        <v>39</v>
      </c>
      <c r="Z775" t="s">
        <v>40</v>
      </c>
      <c r="AA775">
        <v>0</v>
      </c>
      <c r="AB775">
        <v>0</v>
      </c>
      <c r="AC775" t="s">
        <v>41</v>
      </c>
      <c r="AD775" t="s">
        <v>42</v>
      </c>
      <c r="AE775" t="s">
        <v>60</v>
      </c>
      <c r="AF775" s="3">
        <v>1073</v>
      </c>
      <c r="AG775" s="3">
        <v>51</v>
      </c>
      <c r="AH775">
        <v>80</v>
      </c>
      <c r="AI775">
        <v>8</v>
      </c>
      <c r="AJ775">
        <v>0</v>
      </c>
      <c r="AL775">
        <v>0</v>
      </c>
      <c r="AM775">
        <v>1</v>
      </c>
      <c r="AN775" t="s">
        <v>768</v>
      </c>
      <c r="AO775" t="s">
        <v>41</v>
      </c>
    </row>
    <row r="776" spans="1:41" x14ac:dyDescent="0.25">
      <c r="A776">
        <v>29</v>
      </c>
      <c r="B776" t="s">
        <v>32</v>
      </c>
      <c r="C776" t="s">
        <v>33</v>
      </c>
      <c r="D776">
        <v>28</v>
      </c>
      <c r="E776" t="s">
        <v>61</v>
      </c>
      <c r="F776">
        <v>2</v>
      </c>
      <c r="G776">
        <v>1</v>
      </c>
      <c r="H776" t="s">
        <v>44</v>
      </c>
      <c r="I776">
        <v>1</v>
      </c>
      <c r="J776" t="s">
        <v>36</v>
      </c>
      <c r="K776">
        <v>3785</v>
      </c>
      <c r="L776">
        <v>1</v>
      </c>
      <c r="M776" t="s">
        <v>41</v>
      </c>
      <c r="N776">
        <v>14</v>
      </c>
      <c r="O776">
        <v>3</v>
      </c>
      <c r="P776">
        <v>0</v>
      </c>
      <c r="Q776">
        <v>5</v>
      </c>
      <c r="R776">
        <v>3</v>
      </c>
      <c r="S776">
        <v>5</v>
      </c>
      <c r="T776">
        <v>0</v>
      </c>
      <c r="U776">
        <v>4</v>
      </c>
      <c r="V776" t="s">
        <v>52</v>
      </c>
      <c r="W776" s="1" t="s">
        <v>350</v>
      </c>
      <c r="Y776" t="s">
        <v>39</v>
      </c>
      <c r="Z776" t="s">
        <v>47</v>
      </c>
      <c r="AA776">
        <v>4</v>
      </c>
      <c r="AB776">
        <v>3</v>
      </c>
      <c r="AC776" t="s">
        <v>41</v>
      </c>
      <c r="AD776" t="s">
        <v>67</v>
      </c>
      <c r="AE776" t="s">
        <v>49</v>
      </c>
      <c r="AF776" s="3">
        <v>1074</v>
      </c>
      <c r="AG776" s="3">
        <v>40</v>
      </c>
      <c r="AH776">
        <v>80</v>
      </c>
      <c r="AI776">
        <v>7</v>
      </c>
      <c r="AJ776">
        <v>0</v>
      </c>
      <c r="AL776">
        <v>0</v>
      </c>
      <c r="AM776">
        <v>1</v>
      </c>
      <c r="AN776" t="s">
        <v>768</v>
      </c>
      <c r="AO776" t="s">
        <v>41</v>
      </c>
    </row>
    <row r="777" spans="1:41" x14ac:dyDescent="0.25">
      <c r="A777">
        <v>36</v>
      </c>
      <c r="B777" t="s">
        <v>66</v>
      </c>
      <c r="C777" t="s">
        <v>33</v>
      </c>
      <c r="D777">
        <v>23</v>
      </c>
      <c r="E777" t="s">
        <v>34</v>
      </c>
      <c r="F777">
        <v>4</v>
      </c>
      <c r="G777">
        <v>2</v>
      </c>
      <c r="H777" t="s">
        <v>35</v>
      </c>
      <c r="I777">
        <v>4</v>
      </c>
      <c r="J777" t="s">
        <v>51</v>
      </c>
      <c r="K777">
        <v>2571</v>
      </c>
      <c r="L777">
        <v>4</v>
      </c>
      <c r="M777" t="s">
        <v>41</v>
      </c>
      <c r="N777">
        <v>17</v>
      </c>
      <c r="O777">
        <v>3</v>
      </c>
      <c r="P777">
        <v>1</v>
      </c>
      <c r="Q777">
        <v>17</v>
      </c>
      <c r="R777">
        <v>3</v>
      </c>
      <c r="S777">
        <v>5</v>
      </c>
      <c r="T777">
        <v>0</v>
      </c>
      <c r="U777">
        <v>3</v>
      </c>
      <c r="V777" t="s">
        <v>72</v>
      </c>
      <c r="W777" s="2">
        <v>42555</v>
      </c>
      <c r="Y777" t="s">
        <v>69</v>
      </c>
      <c r="Z777" t="s">
        <v>47</v>
      </c>
      <c r="AA777">
        <v>0</v>
      </c>
      <c r="AB777">
        <v>1</v>
      </c>
      <c r="AC777" t="s">
        <v>41</v>
      </c>
      <c r="AD777" t="s">
        <v>42</v>
      </c>
      <c r="AE777" t="s">
        <v>43</v>
      </c>
      <c r="AF777" s="3">
        <v>1076</v>
      </c>
      <c r="AG777" s="3">
        <v>79</v>
      </c>
      <c r="AH777">
        <v>80</v>
      </c>
      <c r="AI777">
        <v>0</v>
      </c>
      <c r="AJ777">
        <v>0</v>
      </c>
      <c r="AL777">
        <v>0</v>
      </c>
      <c r="AM777">
        <v>1</v>
      </c>
      <c r="AN777" t="s">
        <v>768</v>
      </c>
      <c r="AO777" t="s">
        <v>41</v>
      </c>
    </row>
    <row r="778" spans="1:41" x14ac:dyDescent="0.25">
      <c r="A778">
        <v>41</v>
      </c>
      <c r="B778" t="s">
        <v>32</v>
      </c>
      <c r="C778" t="s">
        <v>55</v>
      </c>
      <c r="D778">
        <v>1</v>
      </c>
      <c r="E778" t="s">
        <v>61</v>
      </c>
      <c r="F778">
        <v>3</v>
      </c>
      <c r="G778">
        <v>2</v>
      </c>
      <c r="H778" t="s">
        <v>70</v>
      </c>
      <c r="I778">
        <v>4</v>
      </c>
      <c r="J778" t="s">
        <v>36</v>
      </c>
      <c r="K778">
        <v>5993</v>
      </c>
      <c r="L778">
        <v>8</v>
      </c>
      <c r="M778" t="s">
        <v>31</v>
      </c>
      <c r="N778">
        <v>11</v>
      </c>
      <c r="O778">
        <v>3</v>
      </c>
      <c r="P778">
        <v>0</v>
      </c>
      <c r="Q778">
        <v>8</v>
      </c>
      <c r="R778">
        <v>0</v>
      </c>
      <c r="S778">
        <v>6</v>
      </c>
      <c r="T778">
        <v>0</v>
      </c>
      <c r="U778">
        <v>5</v>
      </c>
      <c r="V778" t="s">
        <v>52</v>
      </c>
      <c r="W778" s="1" t="s">
        <v>387</v>
      </c>
      <c r="Y778" t="s">
        <v>39</v>
      </c>
      <c r="Z778" t="s">
        <v>47</v>
      </c>
      <c r="AA778">
        <v>0</v>
      </c>
      <c r="AB778">
        <v>0</v>
      </c>
      <c r="AC778" t="s">
        <v>41</v>
      </c>
      <c r="AD778" t="s">
        <v>65</v>
      </c>
      <c r="AE778" t="s">
        <v>43</v>
      </c>
      <c r="AF778" s="3">
        <v>1077</v>
      </c>
      <c r="AG778" s="3">
        <v>54</v>
      </c>
      <c r="AH778">
        <v>80</v>
      </c>
      <c r="AI778">
        <v>2</v>
      </c>
      <c r="AJ778">
        <v>1</v>
      </c>
      <c r="AK778">
        <v>1</v>
      </c>
      <c r="AL778">
        <v>1</v>
      </c>
      <c r="AM778">
        <v>0</v>
      </c>
      <c r="AN778" t="s">
        <v>767</v>
      </c>
      <c r="AO778" t="s">
        <v>31</v>
      </c>
    </row>
    <row r="779" spans="1:41" x14ac:dyDescent="0.25">
      <c r="A779">
        <v>32</v>
      </c>
      <c r="B779" t="s">
        <v>32</v>
      </c>
      <c r="C779" t="s">
        <v>33</v>
      </c>
      <c r="D779">
        <v>5</v>
      </c>
      <c r="E779" t="s">
        <v>34</v>
      </c>
      <c r="F779">
        <v>4</v>
      </c>
      <c r="G779">
        <v>1</v>
      </c>
      <c r="H779" t="s">
        <v>44</v>
      </c>
      <c r="I779">
        <v>2</v>
      </c>
      <c r="J779" t="s">
        <v>57</v>
      </c>
      <c r="K779">
        <v>3298</v>
      </c>
      <c r="L779">
        <v>0</v>
      </c>
      <c r="M779" t="s">
        <v>31</v>
      </c>
      <c r="N779">
        <v>12</v>
      </c>
      <c r="O779">
        <v>3</v>
      </c>
      <c r="P779">
        <v>2</v>
      </c>
      <c r="Q779">
        <v>7</v>
      </c>
      <c r="R779">
        <v>5</v>
      </c>
      <c r="S779">
        <v>6</v>
      </c>
      <c r="T779">
        <v>0</v>
      </c>
      <c r="U779">
        <v>5</v>
      </c>
      <c r="V779" t="s">
        <v>52</v>
      </c>
      <c r="W779" s="1" t="s">
        <v>388</v>
      </c>
      <c r="Y779" t="s">
        <v>63</v>
      </c>
      <c r="Z779" t="s">
        <v>47</v>
      </c>
      <c r="AA779">
        <v>5</v>
      </c>
      <c r="AB779">
        <v>1</v>
      </c>
      <c r="AC779" t="s">
        <v>31</v>
      </c>
      <c r="AD779" t="s">
        <v>48</v>
      </c>
      <c r="AE779" t="s">
        <v>49</v>
      </c>
      <c r="AF779" s="3">
        <v>1079</v>
      </c>
      <c r="AG779" s="3">
        <v>36</v>
      </c>
      <c r="AH779">
        <v>80</v>
      </c>
      <c r="AI779">
        <v>0</v>
      </c>
      <c r="AJ779">
        <v>1</v>
      </c>
      <c r="AK779">
        <v>1</v>
      </c>
      <c r="AL779">
        <v>1</v>
      </c>
      <c r="AM779">
        <v>0</v>
      </c>
      <c r="AN779" t="s">
        <v>767</v>
      </c>
      <c r="AO779" t="s">
        <v>31</v>
      </c>
    </row>
    <row r="780" spans="1:41" x14ac:dyDescent="0.25">
      <c r="A780">
        <v>36</v>
      </c>
      <c r="B780" t="s">
        <v>66</v>
      </c>
      <c r="C780" t="s">
        <v>33</v>
      </c>
      <c r="D780">
        <v>11</v>
      </c>
      <c r="E780" t="s">
        <v>34</v>
      </c>
      <c r="F780">
        <v>2</v>
      </c>
      <c r="G780">
        <v>2</v>
      </c>
      <c r="H780" t="s">
        <v>78</v>
      </c>
      <c r="I780">
        <v>2</v>
      </c>
      <c r="J780" t="s">
        <v>36</v>
      </c>
      <c r="K780">
        <v>6499</v>
      </c>
      <c r="L780">
        <v>1</v>
      </c>
      <c r="M780" t="s">
        <v>41</v>
      </c>
      <c r="N780">
        <v>13</v>
      </c>
      <c r="O780">
        <v>3</v>
      </c>
      <c r="P780">
        <v>0</v>
      </c>
      <c r="Q780">
        <v>6</v>
      </c>
      <c r="R780">
        <v>3</v>
      </c>
      <c r="S780">
        <v>6</v>
      </c>
      <c r="T780">
        <v>0</v>
      </c>
      <c r="U780">
        <v>3</v>
      </c>
      <c r="V780" t="s">
        <v>58</v>
      </c>
      <c r="W780" s="1" t="s">
        <v>389</v>
      </c>
      <c r="Y780" t="s">
        <v>69</v>
      </c>
      <c r="Z780" t="s">
        <v>40</v>
      </c>
      <c r="AA780">
        <v>2</v>
      </c>
      <c r="AB780">
        <v>1</v>
      </c>
      <c r="AC780" t="s">
        <v>41</v>
      </c>
      <c r="AD780" t="s">
        <v>48</v>
      </c>
      <c r="AE780" t="s">
        <v>43</v>
      </c>
      <c r="AF780" s="3">
        <v>1080</v>
      </c>
      <c r="AG780" s="3">
        <v>74</v>
      </c>
      <c r="AH780">
        <v>80</v>
      </c>
      <c r="AI780">
        <v>13</v>
      </c>
      <c r="AJ780">
        <v>0</v>
      </c>
      <c r="AL780">
        <v>0</v>
      </c>
      <c r="AM780">
        <v>1</v>
      </c>
      <c r="AN780" t="s">
        <v>768</v>
      </c>
      <c r="AO780" t="s">
        <v>41</v>
      </c>
    </row>
    <row r="781" spans="1:41" x14ac:dyDescent="0.25">
      <c r="A781">
        <v>35</v>
      </c>
      <c r="B781" t="s">
        <v>32</v>
      </c>
      <c r="C781" t="s">
        <v>33</v>
      </c>
      <c r="D781">
        <v>1</v>
      </c>
      <c r="E781" t="s">
        <v>34</v>
      </c>
      <c r="F781">
        <v>2</v>
      </c>
      <c r="G781">
        <v>1</v>
      </c>
      <c r="H781" t="s">
        <v>44</v>
      </c>
      <c r="I781">
        <v>3</v>
      </c>
      <c r="J781" t="s">
        <v>36</v>
      </c>
      <c r="K781">
        <v>2859</v>
      </c>
      <c r="L781">
        <v>1</v>
      </c>
      <c r="M781" t="s">
        <v>41</v>
      </c>
      <c r="N781">
        <v>18</v>
      </c>
      <c r="O781">
        <v>3</v>
      </c>
      <c r="P781">
        <v>0</v>
      </c>
      <c r="Q781">
        <v>6</v>
      </c>
      <c r="R781">
        <v>3</v>
      </c>
      <c r="S781">
        <v>6</v>
      </c>
      <c r="T781">
        <v>0</v>
      </c>
      <c r="U781">
        <v>4</v>
      </c>
      <c r="V781" t="s">
        <v>58</v>
      </c>
      <c r="W781" s="1" t="s">
        <v>390</v>
      </c>
      <c r="Y781" t="s">
        <v>39</v>
      </c>
      <c r="Z781" t="s">
        <v>47</v>
      </c>
      <c r="AA781">
        <v>2</v>
      </c>
      <c r="AB781">
        <v>3</v>
      </c>
      <c r="AC781" t="s">
        <v>41</v>
      </c>
      <c r="AD781" t="s">
        <v>65</v>
      </c>
      <c r="AE781" t="s">
        <v>43</v>
      </c>
      <c r="AF781" s="3">
        <v>1081</v>
      </c>
      <c r="AG781" s="3">
        <v>34</v>
      </c>
      <c r="AH781">
        <v>80</v>
      </c>
      <c r="AI781">
        <v>0</v>
      </c>
      <c r="AJ781">
        <v>1</v>
      </c>
      <c r="AK781">
        <v>1</v>
      </c>
      <c r="AL781">
        <v>1</v>
      </c>
      <c r="AM781">
        <v>0</v>
      </c>
      <c r="AN781" t="s">
        <v>767</v>
      </c>
      <c r="AO781" t="s">
        <v>31</v>
      </c>
    </row>
    <row r="782" spans="1:41" x14ac:dyDescent="0.25">
      <c r="A782">
        <v>56</v>
      </c>
      <c r="B782" t="s">
        <v>32</v>
      </c>
      <c r="C782" t="s">
        <v>33</v>
      </c>
      <c r="D782">
        <v>7</v>
      </c>
      <c r="E782" t="s">
        <v>34</v>
      </c>
      <c r="F782">
        <v>1</v>
      </c>
      <c r="G782">
        <v>3</v>
      </c>
      <c r="H782" t="s">
        <v>78</v>
      </c>
      <c r="I782">
        <v>4</v>
      </c>
      <c r="J782" t="s">
        <v>36</v>
      </c>
      <c r="K782">
        <v>7260</v>
      </c>
      <c r="L782">
        <v>4</v>
      </c>
      <c r="M782" t="s">
        <v>41</v>
      </c>
      <c r="N782">
        <v>11</v>
      </c>
      <c r="O782">
        <v>3</v>
      </c>
      <c r="P782">
        <v>0</v>
      </c>
      <c r="Q782">
        <v>37</v>
      </c>
      <c r="R782">
        <v>3</v>
      </c>
      <c r="S782">
        <v>6</v>
      </c>
      <c r="T782">
        <v>0</v>
      </c>
      <c r="U782">
        <v>2</v>
      </c>
      <c r="V782" t="s">
        <v>37</v>
      </c>
      <c r="W782" s="1" t="s">
        <v>391</v>
      </c>
      <c r="Y782" t="s">
        <v>46</v>
      </c>
      <c r="Z782" t="s">
        <v>47</v>
      </c>
      <c r="AA782">
        <v>1</v>
      </c>
      <c r="AB782">
        <v>0</v>
      </c>
      <c r="AC782" t="s">
        <v>41</v>
      </c>
      <c r="AD782" t="s">
        <v>67</v>
      </c>
      <c r="AE782" t="s">
        <v>49</v>
      </c>
      <c r="AF782" s="3">
        <v>1082</v>
      </c>
      <c r="AG782" s="3">
        <v>72</v>
      </c>
      <c r="AH782">
        <v>80</v>
      </c>
      <c r="AI782">
        <v>7</v>
      </c>
      <c r="AJ782">
        <v>1</v>
      </c>
      <c r="AK782">
        <v>1</v>
      </c>
      <c r="AL782">
        <v>1</v>
      </c>
      <c r="AM782">
        <v>0</v>
      </c>
      <c r="AN782" t="s">
        <v>767</v>
      </c>
      <c r="AO782" t="s">
        <v>31</v>
      </c>
    </row>
    <row r="783" spans="1:41" x14ac:dyDescent="0.25">
      <c r="A783">
        <v>25</v>
      </c>
      <c r="B783" t="s">
        <v>32</v>
      </c>
      <c r="C783" t="s">
        <v>55</v>
      </c>
      <c r="D783">
        <v>5</v>
      </c>
      <c r="E783" t="s">
        <v>34</v>
      </c>
      <c r="F783">
        <v>2</v>
      </c>
      <c r="G783">
        <v>2</v>
      </c>
      <c r="H783" t="s">
        <v>70</v>
      </c>
      <c r="I783">
        <v>3</v>
      </c>
      <c r="J783" t="s">
        <v>36</v>
      </c>
      <c r="K783">
        <v>5744</v>
      </c>
      <c r="L783">
        <v>1</v>
      </c>
      <c r="M783" t="s">
        <v>31</v>
      </c>
      <c r="N783">
        <v>11</v>
      </c>
      <c r="O783">
        <v>3</v>
      </c>
      <c r="P783">
        <v>0</v>
      </c>
      <c r="Q783">
        <v>6</v>
      </c>
      <c r="R783">
        <v>1</v>
      </c>
      <c r="S783">
        <v>6</v>
      </c>
      <c r="T783">
        <v>0</v>
      </c>
      <c r="U783">
        <v>3</v>
      </c>
      <c r="V783" t="s">
        <v>37</v>
      </c>
      <c r="W783" s="1" t="s">
        <v>392</v>
      </c>
      <c r="Y783" t="s">
        <v>63</v>
      </c>
      <c r="Z783" t="s">
        <v>40</v>
      </c>
      <c r="AA783">
        <v>4</v>
      </c>
      <c r="AB783">
        <v>0</v>
      </c>
      <c r="AC783" t="s">
        <v>41</v>
      </c>
      <c r="AD783" t="s">
        <v>42</v>
      </c>
      <c r="AE783" t="s">
        <v>49</v>
      </c>
      <c r="AF783" s="3">
        <v>1083</v>
      </c>
      <c r="AG783" s="3">
        <v>59</v>
      </c>
      <c r="AH783">
        <v>80</v>
      </c>
      <c r="AI783">
        <v>3</v>
      </c>
      <c r="AJ783">
        <v>0</v>
      </c>
      <c r="AL783">
        <v>0</v>
      </c>
      <c r="AM783">
        <v>1</v>
      </c>
      <c r="AN783" t="s">
        <v>768</v>
      </c>
      <c r="AO783" t="s">
        <v>41</v>
      </c>
    </row>
    <row r="784" spans="1:41" x14ac:dyDescent="0.25">
      <c r="A784">
        <v>45</v>
      </c>
      <c r="B784" t="s">
        <v>32</v>
      </c>
      <c r="C784" t="s">
        <v>33</v>
      </c>
      <c r="D784">
        <v>29</v>
      </c>
      <c r="E784" t="s">
        <v>34</v>
      </c>
      <c r="F784">
        <v>3</v>
      </c>
      <c r="G784">
        <v>1</v>
      </c>
      <c r="H784" t="s">
        <v>44</v>
      </c>
      <c r="I784">
        <v>4</v>
      </c>
      <c r="J784" t="s">
        <v>36</v>
      </c>
      <c r="K784">
        <v>3452</v>
      </c>
      <c r="L784">
        <v>5</v>
      </c>
      <c r="M784" t="s">
        <v>41</v>
      </c>
      <c r="N784">
        <v>13</v>
      </c>
      <c r="O784">
        <v>3</v>
      </c>
      <c r="P784">
        <v>0</v>
      </c>
      <c r="Q784">
        <v>9</v>
      </c>
      <c r="R784">
        <v>2</v>
      </c>
      <c r="S784">
        <v>6</v>
      </c>
      <c r="T784">
        <v>0</v>
      </c>
      <c r="U784">
        <v>3</v>
      </c>
      <c r="V784" t="s">
        <v>58</v>
      </c>
      <c r="W784" s="2">
        <v>42157</v>
      </c>
      <c r="Y784" t="s">
        <v>69</v>
      </c>
      <c r="Z784" t="s">
        <v>40</v>
      </c>
      <c r="AA784">
        <v>2</v>
      </c>
      <c r="AB784">
        <v>0</v>
      </c>
      <c r="AC784" t="s">
        <v>31</v>
      </c>
      <c r="AD784" t="s">
        <v>65</v>
      </c>
      <c r="AE784" t="s">
        <v>43</v>
      </c>
      <c r="AF784" s="3">
        <v>1084</v>
      </c>
      <c r="AG784" s="3">
        <v>85</v>
      </c>
      <c r="AH784">
        <v>80</v>
      </c>
      <c r="AI784">
        <v>2</v>
      </c>
      <c r="AJ784">
        <v>0</v>
      </c>
      <c r="AL784">
        <v>0</v>
      </c>
      <c r="AM784">
        <v>1</v>
      </c>
      <c r="AN784" t="s">
        <v>768</v>
      </c>
      <c r="AO784" t="s">
        <v>41</v>
      </c>
    </row>
    <row r="785" spans="1:41" x14ac:dyDescent="0.25">
      <c r="A785">
        <v>35</v>
      </c>
      <c r="B785" t="s">
        <v>66</v>
      </c>
      <c r="C785" t="s">
        <v>33</v>
      </c>
      <c r="D785">
        <v>2</v>
      </c>
      <c r="E785" t="s">
        <v>61</v>
      </c>
      <c r="F785">
        <v>3</v>
      </c>
      <c r="G785">
        <v>2</v>
      </c>
      <c r="H785" t="s">
        <v>35</v>
      </c>
      <c r="I785">
        <v>2</v>
      </c>
      <c r="J785" t="s">
        <v>36</v>
      </c>
      <c r="K785">
        <v>4425</v>
      </c>
      <c r="L785">
        <v>5</v>
      </c>
      <c r="M785" t="s">
        <v>41</v>
      </c>
      <c r="N785">
        <v>11</v>
      </c>
      <c r="O785">
        <v>3</v>
      </c>
      <c r="P785">
        <v>0</v>
      </c>
      <c r="Q785">
        <v>10</v>
      </c>
      <c r="R785">
        <v>5</v>
      </c>
      <c r="S785">
        <v>6</v>
      </c>
      <c r="T785">
        <v>1</v>
      </c>
      <c r="U785">
        <v>2</v>
      </c>
      <c r="V785" t="s">
        <v>52</v>
      </c>
      <c r="W785" s="1" t="s">
        <v>393</v>
      </c>
      <c r="Y785" t="s">
        <v>54</v>
      </c>
      <c r="Z785" t="s">
        <v>40</v>
      </c>
      <c r="AA785">
        <v>1</v>
      </c>
      <c r="AB785">
        <v>1</v>
      </c>
      <c r="AC785" t="s">
        <v>41</v>
      </c>
      <c r="AD785" t="s">
        <v>67</v>
      </c>
      <c r="AE785" t="s">
        <v>60</v>
      </c>
      <c r="AF785" s="3">
        <v>1085</v>
      </c>
      <c r="AG785" s="3">
        <v>43</v>
      </c>
      <c r="AH785">
        <v>80</v>
      </c>
      <c r="AI785">
        <v>6</v>
      </c>
      <c r="AJ785">
        <v>0</v>
      </c>
      <c r="AL785">
        <v>0</v>
      </c>
      <c r="AM785">
        <v>1</v>
      </c>
      <c r="AN785" t="s">
        <v>768</v>
      </c>
      <c r="AO785" t="s">
        <v>41</v>
      </c>
    </row>
    <row r="786" spans="1:41" x14ac:dyDescent="0.25">
      <c r="A786">
        <v>30</v>
      </c>
      <c r="B786" t="s">
        <v>66</v>
      </c>
      <c r="C786" t="s">
        <v>55</v>
      </c>
      <c r="D786">
        <v>26</v>
      </c>
      <c r="E786" t="s">
        <v>61</v>
      </c>
      <c r="F786">
        <v>2</v>
      </c>
      <c r="G786">
        <v>2</v>
      </c>
      <c r="H786" t="s">
        <v>70</v>
      </c>
      <c r="I786">
        <v>1</v>
      </c>
      <c r="J786" t="s">
        <v>36</v>
      </c>
      <c r="K786">
        <v>6696</v>
      </c>
      <c r="L786">
        <v>5</v>
      </c>
      <c r="M786" t="s">
        <v>41</v>
      </c>
      <c r="N786">
        <v>15</v>
      </c>
      <c r="O786">
        <v>3</v>
      </c>
      <c r="P786">
        <v>0</v>
      </c>
      <c r="Q786">
        <v>9</v>
      </c>
      <c r="R786">
        <v>5</v>
      </c>
      <c r="S786">
        <v>6</v>
      </c>
      <c r="T786">
        <v>0</v>
      </c>
      <c r="U786">
        <v>1</v>
      </c>
      <c r="V786" t="s">
        <v>72</v>
      </c>
      <c r="W786" s="2">
        <v>42252</v>
      </c>
      <c r="Y786" t="s">
        <v>46</v>
      </c>
      <c r="Z786" t="s">
        <v>40</v>
      </c>
      <c r="AA786">
        <v>5</v>
      </c>
      <c r="AB786">
        <v>3</v>
      </c>
      <c r="AC786" t="s">
        <v>31</v>
      </c>
      <c r="AD786" t="s">
        <v>65</v>
      </c>
      <c r="AE786" t="s">
        <v>60</v>
      </c>
      <c r="AF786" s="3">
        <v>1088</v>
      </c>
      <c r="AG786" s="3">
        <v>65</v>
      </c>
      <c r="AH786">
        <v>80</v>
      </c>
      <c r="AI786">
        <v>9</v>
      </c>
      <c r="AJ786">
        <v>0</v>
      </c>
      <c r="AL786">
        <v>0</v>
      </c>
      <c r="AM786">
        <v>1</v>
      </c>
      <c r="AN786" t="s">
        <v>768</v>
      </c>
      <c r="AO786" t="s">
        <v>41</v>
      </c>
    </row>
    <row r="787" spans="1:41" x14ac:dyDescent="0.25">
      <c r="A787">
        <v>29</v>
      </c>
      <c r="B787" t="s">
        <v>32</v>
      </c>
      <c r="C787" t="s">
        <v>33</v>
      </c>
      <c r="D787">
        <v>1</v>
      </c>
      <c r="E787" t="s">
        <v>34</v>
      </c>
      <c r="F787">
        <v>3</v>
      </c>
      <c r="G787">
        <v>1</v>
      </c>
      <c r="H787" t="s">
        <v>44</v>
      </c>
      <c r="I787">
        <v>3</v>
      </c>
      <c r="J787" t="s">
        <v>36</v>
      </c>
      <c r="K787">
        <v>2058</v>
      </c>
      <c r="L787">
        <v>0</v>
      </c>
      <c r="M787" t="s">
        <v>41</v>
      </c>
      <c r="N787">
        <v>14</v>
      </c>
      <c r="O787">
        <v>3</v>
      </c>
      <c r="P787">
        <v>0</v>
      </c>
      <c r="Q787">
        <v>7</v>
      </c>
      <c r="R787">
        <v>1</v>
      </c>
      <c r="S787">
        <v>6</v>
      </c>
      <c r="T787">
        <v>1</v>
      </c>
      <c r="U787">
        <v>5</v>
      </c>
      <c r="V787" t="s">
        <v>58</v>
      </c>
      <c r="W787" s="1" t="s">
        <v>394</v>
      </c>
      <c r="Y787" t="s">
        <v>63</v>
      </c>
      <c r="Z787" t="s">
        <v>47</v>
      </c>
      <c r="AA787">
        <v>0</v>
      </c>
      <c r="AB787">
        <v>0</v>
      </c>
      <c r="AC787" t="s">
        <v>41</v>
      </c>
      <c r="AD787" t="s">
        <v>48</v>
      </c>
      <c r="AE787" t="s">
        <v>43</v>
      </c>
      <c r="AF787" s="3">
        <v>1092</v>
      </c>
      <c r="AG787" s="3">
        <v>61</v>
      </c>
      <c r="AH787">
        <v>80</v>
      </c>
      <c r="AI787">
        <v>10</v>
      </c>
      <c r="AJ787">
        <v>0</v>
      </c>
      <c r="AL787">
        <v>0</v>
      </c>
      <c r="AM787">
        <v>1</v>
      </c>
      <c r="AN787" t="s">
        <v>768</v>
      </c>
      <c r="AO787" t="s">
        <v>41</v>
      </c>
    </row>
    <row r="788" spans="1:41" x14ac:dyDescent="0.25">
      <c r="A788">
        <v>54</v>
      </c>
      <c r="B788" t="s">
        <v>32</v>
      </c>
      <c r="C788" t="s">
        <v>55</v>
      </c>
      <c r="D788">
        <v>3</v>
      </c>
      <c r="E788" t="s">
        <v>61</v>
      </c>
      <c r="F788">
        <v>3</v>
      </c>
      <c r="G788">
        <v>2</v>
      </c>
      <c r="H788" t="s">
        <v>70</v>
      </c>
      <c r="I788">
        <v>1</v>
      </c>
      <c r="J788" t="s">
        <v>51</v>
      </c>
      <c r="K788">
        <v>5940</v>
      </c>
      <c r="L788">
        <v>2</v>
      </c>
      <c r="M788" t="s">
        <v>41</v>
      </c>
      <c r="N788">
        <v>14</v>
      </c>
      <c r="O788">
        <v>3</v>
      </c>
      <c r="P788">
        <v>1</v>
      </c>
      <c r="Q788">
        <v>16</v>
      </c>
      <c r="R788">
        <v>4</v>
      </c>
      <c r="S788">
        <v>6</v>
      </c>
      <c r="T788">
        <v>0</v>
      </c>
      <c r="U788">
        <v>5</v>
      </c>
      <c r="V788" t="s">
        <v>37</v>
      </c>
      <c r="W788" s="1" t="s">
        <v>395</v>
      </c>
      <c r="Y788" t="s">
        <v>54</v>
      </c>
      <c r="Z788" t="s">
        <v>47</v>
      </c>
      <c r="AA788">
        <v>4</v>
      </c>
      <c r="AB788">
        <v>3</v>
      </c>
      <c r="AC788" t="s">
        <v>41</v>
      </c>
      <c r="AD788" t="s">
        <v>42</v>
      </c>
      <c r="AE788" t="s">
        <v>49</v>
      </c>
      <c r="AF788" s="3">
        <v>1094</v>
      </c>
      <c r="AG788" s="3">
        <v>87</v>
      </c>
      <c r="AH788">
        <v>80</v>
      </c>
      <c r="AI788">
        <v>2</v>
      </c>
      <c r="AJ788">
        <v>0</v>
      </c>
      <c r="AL788">
        <v>0</v>
      </c>
      <c r="AM788">
        <v>1</v>
      </c>
      <c r="AN788" t="s">
        <v>768</v>
      </c>
      <c r="AO788" t="s">
        <v>41</v>
      </c>
    </row>
    <row r="789" spans="1:41" x14ac:dyDescent="0.25">
      <c r="A789">
        <v>29</v>
      </c>
      <c r="B789" t="s">
        <v>32</v>
      </c>
      <c r="C789" t="s">
        <v>33</v>
      </c>
      <c r="D789">
        <v>15</v>
      </c>
      <c r="E789" t="s">
        <v>34</v>
      </c>
      <c r="F789">
        <v>3</v>
      </c>
      <c r="G789">
        <v>1</v>
      </c>
      <c r="H789" t="s">
        <v>44</v>
      </c>
      <c r="I789">
        <v>4</v>
      </c>
      <c r="J789" t="s">
        <v>36</v>
      </c>
      <c r="K789">
        <v>2340</v>
      </c>
      <c r="L789">
        <v>1</v>
      </c>
      <c r="M789" t="s">
        <v>41</v>
      </c>
      <c r="N789">
        <v>19</v>
      </c>
      <c r="O789">
        <v>3</v>
      </c>
      <c r="P789">
        <v>0</v>
      </c>
      <c r="Q789">
        <v>6</v>
      </c>
      <c r="R789">
        <v>1</v>
      </c>
      <c r="S789">
        <v>6</v>
      </c>
      <c r="T789">
        <v>1</v>
      </c>
      <c r="U789">
        <v>5</v>
      </c>
      <c r="V789" t="s">
        <v>37</v>
      </c>
      <c r="W789" s="1" t="s">
        <v>396</v>
      </c>
      <c r="Y789" t="s">
        <v>69</v>
      </c>
      <c r="Z789" t="s">
        <v>40</v>
      </c>
      <c r="AA789">
        <v>5</v>
      </c>
      <c r="AB789">
        <v>3</v>
      </c>
      <c r="AC789" t="s">
        <v>41</v>
      </c>
      <c r="AD789" t="s">
        <v>65</v>
      </c>
      <c r="AE789" t="s">
        <v>43</v>
      </c>
      <c r="AF789" s="3">
        <v>1096</v>
      </c>
      <c r="AG789" s="3">
        <v>65</v>
      </c>
      <c r="AH789">
        <v>80</v>
      </c>
      <c r="AI789">
        <v>2</v>
      </c>
      <c r="AJ789">
        <v>0</v>
      </c>
      <c r="AL789">
        <v>0</v>
      </c>
      <c r="AM789">
        <v>1</v>
      </c>
      <c r="AN789" t="s">
        <v>768</v>
      </c>
      <c r="AO789" t="s">
        <v>41</v>
      </c>
    </row>
    <row r="790" spans="1:41" x14ac:dyDescent="0.25">
      <c r="A790">
        <v>32</v>
      </c>
      <c r="B790" t="s">
        <v>32</v>
      </c>
      <c r="C790" t="s">
        <v>33</v>
      </c>
      <c r="D790">
        <v>2</v>
      </c>
      <c r="E790" t="s">
        <v>34</v>
      </c>
      <c r="F790">
        <v>2</v>
      </c>
      <c r="G790">
        <v>2</v>
      </c>
      <c r="H790" t="s">
        <v>35</v>
      </c>
      <c r="I790">
        <v>1</v>
      </c>
      <c r="J790" t="s">
        <v>36</v>
      </c>
      <c r="K790">
        <v>2176</v>
      </c>
      <c r="L790">
        <v>4</v>
      </c>
      <c r="M790" t="s">
        <v>41</v>
      </c>
      <c r="N790">
        <v>13</v>
      </c>
      <c r="O790">
        <v>3</v>
      </c>
      <c r="P790">
        <v>0</v>
      </c>
      <c r="Q790">
        <v>9</v>
      </c>
      <c r="R790">
        <v>5</v>
      </c>
      <c r="S790">
        <v>6</v>
      </c>
      <c r="T790">
        <v>0</v>
      </c>
      <c r="U790">
        <v>4</v>
      </c>
      <c r="V790" t="s">
        <v>58</v>
      </c>
      <c r="W790" s="2">
        <v>42342</v>
      </c>
      <c r="Y790" t="s">
        <v>63</v>
      </c>
      <c r="Z790" t="s">
        <v>40</v>
      </c>
      <c r="AA790">
        <v>4</v>
      </c>
      <c r="AB790">
        <v>3</v>
      </c>
      <c r="AC790" t="s">
        <v>41</v>
      </c>
      <c r="AD790" t="s">
        <v>42</v>
      </c>
      <c r="AE790" t="s">
        <v>49</v>
      </c>
      <c r="AF790" s="3">
        <v>1097</v>
      </c>
      <c r="AG790" s="3">
        <v>59</v>
      </c>
      <c r="AH790">
        <v>80</v>
      </c>
      <c r="AI790">
        <v>7</v>
      </c>
      <c r="AJ790">
        <v>0</v>
      </c>
      <c r="AL790">
        <v>0</v>
      </c>
      <c r="AM790">
        <v>1</v>
      </c>
      <c r="AN790" t="s">
        <v>768</v>
      </c>
      <c r="AO790" t="s">
        <v>41</v>
      </c>
    </row>
    <row r="791" spans="1:41" x14ac:dyDescent="0.25">
      <c r="A791">
        <v>25</v>
      </c>
      <c r="B791" t="s">
        <v>81</v>
      </c>
      <c r="C791" t="s">
        <v>33</v>
      </c>
      <c r="D791">
        <v>5</v>
      </c>
      <c r="E791" t="s">
        <v>34</v>
      </c>
      <c r="F791">
        <v>4</v>
      </c>
      <c r="G791">
        <v>2</v>
      </c>
      <c r="H791" t="s">
        <v>89</v>
      </c>
      <c r="I791">
        <v>1</v>
      </c>
      <c r="J791" t="s">
        <v>57</v>
      </c>
      <c r="K791">
        <v>4000</v>
      </c>
      <c r="L791">
        <v>1</v>
      </c>
      <c r="M791" t="s">
        <v>41</v>
      </c>
      <c r="N791">
        <v>12</v>
      </c>
      <c r="O791">
        <v>3</v>
      </c>
      <c r="P791">
        <v>2</v>
      </c>
      <c r="Q791">
        <v>6</v>
      </c>
      <c r="R791">
        <v>2</v>
      </c>
      <c r="S791">
        <v>6</v>
      </c>
      <c r="T791">
        <v>1</v>
      </c>
      <c r="U791">
        <v>5</v>
      </c>
      <c r="V791" t="s">
        <v>72</v>
      </c>
      <c r="W791" s="2">
        <v>42098</v>
      </c>
      <c r="Y791" t="s">
        <v>69</v>
      </c>
      <c r="Z791" t="s">
        <v>47</v>
      </c>
      <c r="AA791">
        <v>3</v>
      </c>
      <c r="AB791">
        <v>1</v>
      </c>
      <c r="AC791" t="s">
        <v>31</v>
      </c>
      <c r="AD791" t="s">
        <v>42</v>
      </c>
      <c r="AE791" t="s">
        <v>60</v>
      </c>
      <c r="AF791" s="3">
        <v>1098</v>
      </c>
      <c r="AG791" s="3">
        <v>91</v>
      </c>
      <c r="AH791">
        <v>80</v>
      </c>
      <c r="AI791">
        <v>6</v>
      </c>
      <c r="AJ791">
        <v>1</v>
      </c>
      <c r="AK791">
        <v>1</v>
      </c>
      <c r="AL791">
        <v>1</v>
      </c>
      <c r="AM791">
        <v>0</v>
      </c>
      <c r="AN791" t="s">
        <v>767</v>
      </c>
      <c r="AO791" t="s">
        <v>31</v>
      </c>
    </row>
    <row r="792" spans="1:41" x14ac:dyDescent="0.25">
      <c r="A792">
        <v>26</v>
      </c>
      <c r="B792" t="s">
        <v>66</v>
      </c>
      <c r="C792" t="s">
        <v>33</v>
      </c>
      <c r="D792">
        <v>1</v>
      </c>
      <c r="E792" t="s">
        <v>61</v>
      </c>
      <c r="F792">
        <v>3</v>
      </c>
      <c r="G792">
        <v>2</v>
      </c>
      <c r="H792" t="s">
        <v>78</v>
      </c>
      <c r="I792">
        <v>2</v>
      </c>
      <c r="J792" t="s">
        <v>57</v>
      </c>
      <c r="K792">
        <v>6397</v>
      </c>
      <c r="L792">
        <v>1</v>
      </c>
      <c r="M792" t="s">
        <v>41</v>
      </c>
      <c r="N792">
        <v>20</v>
      </c>
      <c r="O792">
        <v>4</v>
      </c>
      <c r="P792">
        <v>1</v>
      </c>
      <c r="Q792">
        <v>6</v>
      </c>
      <c r="R792">
        <v>6</v>
      </c>
      <c r="S792">
        <v>6</v>
      </c>
      <c r="T792">
        <v>1</v>
      </c>
      <c r="U792">
        <v>4</v>
      </c>
      <c r="V792" t="s">
        <v>58</v>
      </c>
      <c r="W792" s="1" t="s">
        <v>397</v>
      </c>
      <c r="Y792" t="s">
        <v>63</v>
      </c>
      <c r="Z792" t="s">
        <v>40</v>
      </c>
      <c r="AA792">
        <v>3</v>
      </c>
      <c r="AB792">
        <v>1</v>
      </c>
      <c r="AC792" t="s">
        <v>41</v>
      </c>
      <c r="AD792" t="s">
        <v>48</v>
      </c>
      <c r="AE792" t="s">
        <v>60</v>
      </c>
      <c r="AF792" s="3">
        <v>1099</v>
      </c>
      <c r="AG792" s="3">
        <v>34</v>
      </c>
      <c r="AH792">
        <v>80</v>
      </c>
      <c r="AI792">
        <v>2</v>
      </c>
      <c r="AJ792">
        <v>0</v>
      </c>
      <c r="AL792">
        <v>0</v>
      </c>
      <c r="AM792">
        <v>1</v>
      </c>
      <c r="AN792" t="s">
        <v>768</v>
      </c>
      <c r="AO792" t="s">
        <v>41</v>
      </c>
    </row>
    <row r="793" spans="1:41" x14ac:dyDescent="0.25">
      <c r="A793">
        <v>37</v>
      </c>
      <c r="B793" t="s">
        <v>32</v>
      </c>
      <c r="C793" t="s">
        <v>33</v>
      </c>
      <c r="D793">
        <v>5</v>
      </c>
      <c r="E793" t="s">
        <v>34</v>
      </c>
      <c r="F793">
        <v>3</v>
      </c>
      <c r="G793">
        <v>2</v>
      </c>
      <c r="H793" t="s">
        <v>78</v>
      </c>
      <c r="I793">
        <v>4</v>
      </c>
      <c r="J793" t="s">
        <v>57</v>
      </c>
      <c r="K793">
        <v>6347</v>
      </c>
      <c r="L793">
        <v>7</v>
      </c>
      <c r="M793" t="s">
        <v>41</v>
      </c>
      <c r="N793">
        <v>16</v>
      </c>
      <c r="O793">
        <v>3</v>
      </c>
      <c r="P793">
        <v>2</v>
      </c>
      <c r="Q793">
        <v>8</v>
      </c>
      <c r="R793">
        <v>2</v>
      </c>
      <c r="S793">
        <v>6</v>
      </c>
      <c r="T793">
        <v>0</v>
      </c>
      <c r="U793">
        <v>4</v>
      </c>
      <c r="V793" t="s">
        <v>37</v>
      </c>
      <c r="W793" s="1" t="s">
        <v>398</v>
      </c>
      <c r="Y793" t="s">
        <v>54</v>
      </c>
      <c r="Z793" t="s">
        <v>40</v>
      </c>
      <c r="AA793">
        <v>4</v>
      </c>
      <c r="AB793">
        <v>3</v>
      </c>
      <c r="AC793" t="s">
        <v>31</v>
      </c>
      <c r="AD793" t="s">
        <v>48</v>
      </c>
      <c r="AE793" t="s">
        <v>60</v>
      </c>
      <c r="AF793" s="3">
        <v>1100</v>
      </c>
      <c r="AG793" s="3">
        <v>86</v>
      </c>
      <c r="AH793">
        <v>80</v>
      </c>
      <c r="AI793">
        <v>7</v>
      </c>
      <c r="AJ793">
        <v>1</v>
      </c>
      <c r="AK793">
        <v>1</v>
      </c>
      <c r="AL793">
        <v>1</v>
      </c>
      <c r="AM793">
        <v>0</v>
      </c>
      <c r="AN793" t="s">
        <v>767</v>
      </c>
      <c r="AO793" t="s">
        <v>31</v>
      </c>
    </row>
    <row r="794" spans="1:41" x14ac:dyDescent="0.25">
      <c r="A794">
        <v>40</v>
      </c>
      <c r="B794" t="s">
        <v>32</v>
      </c>
      <c r="C794" t="s">
        <v>55</v>
      </c>
      <c r="D794">
        <v>22</v>
      </c>
      <c r="E794" t="s">
        <v>34</v>
      </c>
      <c r="F794">
        <v>2</v>
      </c>
      <c r="G794">
        <v>2</v>
      </c>
      <c r="H794" t="s">
        <v>70</v>
      </c>
      <c r="I794">
        <v>3</v>
      </c>
      <c r="J794" t="s">
        <v>51</v>
      </c>
      <c r="K794">
        <v>6380</v>
      </c>
      <c r="L794">
        <v>2</v>
      </c>
      <c r="M794" t="s">
        <v>31</v>
      </c>
      <c r="N794">
        <v>12</v>
      </c>
      <c r="O794">
        <v>3</v>
      </c>
      <c r="P794">
        <v>2</v>
      </c>
      <c r="Q794">
        <v>8</v>
      </c>
      <c r="R794">
        <v>6</v>
      </c>
      <c r="S794">
        <v>6</v>
      </c>
      <c r="T794">
        <v>1</v>
      </c>
      <c r="U794">
        <v>0</v>
      </c>
      <c r="V794" t="s">
        <v>58</v>
      </c>
      <c r="W794" s="2">
        <v>42343</v>
      </c>
      <c r="Y794" t="s">
        <v>39</v>
      </c>
      <c r="Z794" t="s">
        <v>47</v>
      </c>
      <c r="AA794">
        <v>4</v>
      </c>
      <c r="AB794">
        <v>3</v>
      </c>
      <c r="AC794" t="s">
        <v>31</v>
      </c>
      <c r="AD794" t="s">
        <v>42</v>
      </c>
      <c r="AE794" t="s">
        <v>43</v>
      </c>
      <c r="AF794" s="3">
        <v>1101</v>
      </c>
      <c r="AG794" s="3">
        <v>54</v>
      </c>
      <c r="AH794">
        <v>80</v>
      </c>
      <c r="AI794">
        <v>7</v>
      </c>
      <c r="AJ794">
        <v>1</v>
      </c>
      <c r="AK794">
        <v>1</v>
      </c>
      <c r="AL794">
        <v>1</v>
      </c>
      <c r="AM794">
        <v>0</v>
      </c>
      <c r="AN794" t="s">
        <v>767</v>
      </c>
      <c r="AO794" t="s">
        <v>31</v>
      </c>
    </row>
    <row r="795" spans="1:41" x14ac:dyDescent="0.25">
      <c r="A795">
        <v>26</v>
      </c>
      <c r="B795" t="s">
        <v>66</v>
      </c>
      <c r="C795" t="s">
        <v>33</v>
      </c>
      <c r="D795">
        <v>3</v>
      </c>
      <c r="E795" t="s">
        <v>34</v>
      </c>
      <c r="F795">
        <v>3</v>
      </c>
      <c r="G795">
        <v>1</v>
      </c>
      <c r="H795" t="s">
        <v>44</v>
      </c>
      <c r="I795">
        <v>1</v>
      </c>
      <c r="J795" t="s">
        <v>36</v>
      </c>
      <c r="K795">
        <v>3102</v>
      </c>
      <c r="L795">
        <v>0</v>
      </c>
      <c r="M795" t="s">
        <v>41</v>
      </c>
      <c r="N795">
        <v>22</v>
      </c>
      <c r="O795">
        <v>4</v>
      </c>
      <c r="P795">
        <v>0</v>
      </c>
      <c r="Q795">
        <v>7</v>
      </c>
      <c r="R795">
        <v>2</v>
      </c>
      <c r="S795">
        <v>6</v>
      </c>
      <c r="T795">
        <v>0</v>
      </c>
      <c r="U795">
        <v>4</v>
      </c>
      <c r="V795" t="s">
        <v>52</v>
      </c>
      <c r="W795" s="1" t="s">
        <v>399</v>
      </c>
      <c r="Y795" t="s">
        <v>54</v>
      </c>
      <c r="Z795" t="s">
        <v>47</v>
      </c>
      <c r="AA795">
        <v>5</v>
      </c>
      <c r="AB795">
        <v>0</v>
      </c>
      <c r="AC795" t="s">
        <v>41</v>
      </c>
      <c r="AD795" t="s">
        <v>67</v>
      </c>
      <c r="AE795" t="s">
        <v>43</v>
      </c>
      <c r="AF795" s="3">
        <v>1102</v>
      </c>
      <c r="AG795" s="3">
        <v>50</v>
      </c>
      <c r="AH795">
        <v>80</v>
      </c>
      <c r="AI795">
        <v>2</v>
      </c>
      <c r="AJ795">
        <v>0</v>
      </c>
      <c r="AL795">
        <v>0</v>
      </c>
      <c r="AM795">
        <v>1</v>
      </c>
      <c r="AN795" t="s">
        <v>768</v>
      </c>
      <c r="AO795" t="s">
        <v>41</v>
      </c>
    </row>
    <row r="796" spans="1:41" x14ac:dyDescent="0.25">
      <c r="A796">
        <v>42</v>
      </c>
      <c r="B796" t="s">
        <v>66</v>
      </c>
      <c r="C796" t="s">
        <v>33</v>
      </c>
      <c r="D796">
        <v>28</v>
      </c>
      <c r="E796" t="s">
        <v>61</v>
      </c>
      <c r="F796">
        <v>2</v>
      </c>
      <c r="G796">
        <v>2</v>
      </c>
      <c r="H796" t="s">
        <v>89</v>
      </c>
      <c r="I796">
        <v>4</v>
      </c>
      <c r="J796" t="s">
        <v>51</v>
      </c>
      <c r="K796">
        <v>4523</v>
      </c>
      <c r="L796">
        <v>0</v>
      </c>
      <c r="M796" t="s">
        <v>41</v>
      </c>
      <c r="N796">
        <v>11</v>
      </c>
      <c r="O796">
        <v>3</v>
      </c>
      <c r="P796">
        <v>3</v>
      </c>
      <c r="Q796">
        <v>7</v>
      </c>
      <c r="R796">
        <v>4</v>
      </c>
      <c r="S796">
        <v>6</v>
      </c>
      <c r="T796">
        <v>0</v>
      </c>
      <c r="U796">
        <v>4</v>
      </c>
      <c r="V796" t="s">
        <v>37</v>
      </c>
      <c r="W796" s="1" t="s">
        <v>400</v>
      </c>
      <c r="Y796" t="s">
        <v>63</v>
      </c>
      <c r="Z796" t="s">
        <v>40</v>
      </c>
      <c r="AA796">
        <v>4</v>
      </c>
      <c r="AB796">
        <v>3</v>
      </c>
      <c r="AC796" t="s">
        <v>41</v>
      </c>
      <c r="AD796" t="s">
        <v>42</v>
      </c>
      <c r="AE796" t="s">
        <v>60</v>
      </c>
      <c r="AF796" s="3">
        <v>1103</v>
      </c>
      <c r="AG796" s="3">
        <v>45</v>
      </c>
      <c r="AH796">
        <v>80</v>
      </c>
      <c r="AI796">
        <v>2</v>
      </c>
      <c r="AJ796">
        <v>0</v>
      </c>
      <c r="AL796">
        <v>0</v>
      </c>
      <c r="AM796">
        <v>1</v>
      </c>
      <c r="AN796" t="s">
        <v>768</v>
      </c>
      <c r="AO796" t="s">
        <v>41</v>
      </c>
    </row>
    <row r="797" spans="1:41" x14ac:dyDescent="0.25">
      <c r="A797">
        <v>31</v>
      </c>
      <c r="B797" t="s">
        <v>32</v>
      </c>
      <c r="C797" t="s">
        <v>55</v>
      </c>
      <c r="D797">
        <v>2</v>
      </c>
      <c r="E797" t="s">
        <v>34</v>
      </c>
      <c r="F797">
        <v>3</v>
      </c>
      <c r="G797">
        <v>2</v>
      </c>
      <c r="H797" t="s">
        <v>70</v>
      </c>
      <c r="I797">
        <v>4</v>
      </c>
      <c r="J797" t="s">
        <v>36</v>
      </c>
      <c r="K797">
        <v>6582</v>
      </c>
      <c r="L797">
        <v>4</v>
      </c>
      <c r="M797" t="s">
        <v>31</v>
      </c>
      <c r="N797">
        <v>13</v>
      </c>
      <c r="O797">
        <v>3</v>
      </c>
      <c r="P797">
        <v>0</v>
      </c>
      <c r="Q797">
        <v>10</v>
      </c>
      <c r="R797">
        <v>2</v>
      </c>
      <c r="S797">
        <v>6</v>
      </c>
      <c r="T797">
        <v>0</v>
      </c>
      <c r="U797">
        <v>5</v>
      </c>
      <c r="V797" t="s">
        <v>52</v>
      </c>
      <c r="W797" s="1" t="s">
        <v>401</v>
      </c>
      <c r="Y797" t="s">
        <v>39</v>
      </c>
      <c r="Z797" t="s">
        <v>47</v>
      </c>
      <c r="AA797">
        <v>1</v>
      </c>
      <c r="AB797">
        <v>1</v>
      </c>
      <c r="AC797" t="s">
        <v>41</v>
      </c>
      <c r="AD797" t="s">
        <v>67</v>
      </c>
      <c r="AE797" t="s">
        <v>49</v>
      </c>
      <c r="AF797" s="3">
        <v>1105</v>
      </c>
      <c r="AG797" s="3">
        <v>88</v>
      </c>
      <c r="AH797">
        <v>80</v>
      </c>
      <c r="AI797">
        <v>0</v>
      </c>
      <c r="AJ797">
        <v>0</v>
      </c>
      <c r="AL797">
        <v>0</v>
      </c>
      <c r="AM797">
        <v>1</v>
      </c>
      <c r="AN797" t="s">
        <v>768</v>
      </c>
      <c r="AO797" t="s">
        <v>41</v>
      </c>
    </row>
    <row r="798" spans="1:41" x14ac:dyDescent="0.25">
      <c r="A798">
        <v>33</v>
      </c>
      <c r="B798" t="s">
        <v>32</v>
      </c>
      <c r="C798" t="s">
        <v>33</v>
      </c>
      <c r="D798">
        <v>1</v>
      </c>
      <c r="E798" t="s">
        <v>61</v>
      </c>
      <c r="F798">
        <v>4</v>
      </c>
      <c r="G798">
        <v>4</v>
      </c>
      <c r="H798" t="s">
        <v>50</v>
      </c>
      <c r="I798">
        <v>3</v>
      </c>
      <c r="J798" t="s">
        <v>57</v>
      </c>
      <c r="K798">
        <v>16184</v>
      </c>
      <c r="L798">
        <v>4</v>
      </c>
      <c r="M798" t="s">
        <v>41</v>
      </c>
      <c r="N798">
        <v>19</v>
      </c>
      <c r="O798">
        <v>3</v>
      </c>
      <c r="P798">
        <v>1</v>
      </c>
      <c r="Q798">
        <v>10</v>
      </c>
      <c r="R798">
        <v>2</v>
      </c>
      <c r="S798">
        <v>6</v>
      </c>
      <c r="T798">
        <v>0</v>
      </c>
      <c r="U798">
        <v>5</v>
      </c>
      <c r="V798" t="s">
        <v>72</v>
      </c>
      <c r="W798" s="2">
        <v>42041</v>
      </c>
      <c r="Y798" t="s">
        <v>54</v>
      </c>
      <c r="Z798" t="s">
        <v>47</v>
      </c>
      <c r="AA798">
        <v>2</v>
      </c>
      <c r="AB798">
        <v>3</v>
      </c>
      <c r="AC798" t="s">
        <v>31</v>
      </c>
      <c r="AD798" t="s">
        <v>42</v>
      </c>
      <c r="AE798" t="s">
        <v>49</v>
      </c>
      <c r="AF798" s="3">
        <v>1106</v>
      </c>
      <c r="AG798" s="3">
        <v>32</v>
      </c>
      <c r="AH798">
        <v>80</v>
      </c>
      <c r="AI798">
        <v>7</v>
      </c>
      <c r="AJ798">
        <v>1</v>
      </c>
      <c r="AK798">
        <v>1</v>
      </c>
      <c r="AL798">
        <v>1</v>
      </c>
      <c r="AM798">
        <v>0</v>
      </c>
      <c r="AN798" t="s">
        <v>767</v>
      </c>
      <c r="AO798" t="s">
        <v>31</v>
      </c>
    </row>
    <row r="799" spans="1:41" x14ac:dyDescent="0.25">
      <c r="A799">
        <v>37</v>
      </c>
      <c r="B799" t="s">
        <v>32</v>
      </c>
      <c r="C799" t="s">
        <v>33</v>
      </c>
      <c r="D799">
        <v>1</v>
      </c>
      <c r="E799" t="s">
        <v>61</v>
      </c>
      <c r="F799">
        <v>3</v>
      </c>
      <c r="G799">
        <v>3</v>
      </c>
      <c r="H799" t="s">
        <v>78</v>
      </c>
      <c r="I799">
        <v>4</v>
      </c>
      <c r="J799" t="s">
        <v>36</v>
      </c>
      <c r="K799">
        <v>7491</v>
      </c>
      <c r="L799">
        <v>4</v>
      </c>
      <c r="M799" t="s">
        <v>41</v>
      </c>
      <c r="N799">
        <v>17</v>
      </c>
      <c r="O799">
        <v>3</v>
      </c>
      <c r="P799">
        <v>0</v>
      </c>
      <c r="Q799">
        <v>12</v>
      </c>
      <c r="R799">
        <v>3</v>
      </c>
      <c r="S799">
        <v>6</v>
      </c>
      <c r="T799">
        <v>1</v>
      </c>
      <c r="U799">
        <v>2</v>
      </c>
      <c r="V799" t="s">
        <v>58</v>
      </c>
      <c r="W799" s="2">
        <v>42190</v>
      </c>
      <c r="Y799" t="s">
        <v>63</v>
      </c>
      <c r="Z799" t="s">
        <v>40</v>
      </c>
      <c r="AA799">
        <v>1</v>
      </c>
      <c r="AB799">
        <v>0</v>
      </c>
      <c r="AC799" t="s">
        <v>41</v>
      </c>
      <c r="AD799" t="s">
        <v>42</v>
      </c>
      <c r="AE799" t="s">
        <v>49</v>
      </c>
      <c r="AF799" s="3">
        <v>1107</v>
      </c>
      <c r="AG799" s="3">
        <v>37</v>
      </c>
      <c r="AH799">
        <v>80</v>
      </c>
      <c r="AI799">
        <v>1</v>
      </c>
      <c r="AJ799">
        <v>1</v>
      </c>
      <c r="AK799">
        <v>1</v>
      </c>
      <c r="AL799">
        <v>1</v>
      </c>
      <c r="AM799">
        <v>0</v>
      </c>
      <c r="AN799" t="s">
        <v>767</v>
      </c>
      <c r="AO799" t="s">
        <v>31</v>
      </c>
    </row>
    <row r="800" spans="1:41" x14ac:dyDescent="0.25">
      <c r="A800">
        <v>37</v>
      </c>
      <c r="B800" t="s">
        <v>32</v>
      </c>
      <c r="C800" t="s">
        <v>33</v>
      </c>
      <c r="D800">
        <v>1</v>
      </c>
      <c r="E800" t="s">
        <v>61</v>
      </c>
      <c r="F800">
        <v>3</v>
      </c>
      <c r="G800">
        <v>2</v>
      </c>
      <c r="H800" t="s">
        <v>78</v>
      </c>
      <c r="I800">
        <v>2</v>
      </c>
      <c r="J800" t="s">
        <v>51</v>
      </c>
      <c r="K800">
        <v>6447</v>
      </c>
      <c r="L800">
        <v>6</v>
      </c>
      <c r="M800" t="s">
        <v>41</v>
      </c>
      <c r="N800">
        <v>12</v>
      </c>
      <c r="O800">
        <v>3</v>
      </c>
      <c r="P800">
        <v>1</v>
      </c>
      <c r="Q800">
        <v>8</v>
      </c>
      <c r="R800">
        <v>2</v>
      </c>
      <c r="S800">
        <v>6</v>
      </c>
      <c r="T800">
        <v>4</v>
      </c>
      <c r="U800">
        <v>3</v>
      </c>
      <c r="V800" t="s">
        <v>37</v>
      </c>
      <c r="W800" s="1" t="s">
        <v>402</v>
      </c>
      <c r="Y800" t="s">
        <v>54</v>
      </c>
      <c r="Z800" t="s">
        <v>40</v>
      </c>
      <c r="AA800">
        <v>3</v>
      </c>
      <c r="AB800">
        <v>0</v>
      </c>
      <c r="AC800" t="s">
        <v>31</v>
      </c>
      <c r="AD800" t="s">
        <v>42</v>
      </c>
      <c r="AE800" t="s">
        <v>60</v>
      </c>
      <c r="AF800" s="3">
        <v>1108</v>
      </c>
      <c r="AG800" s="3">
        <v>55</v>
      </c>
      <c r="AH800">
        <v>80</v>
      </c>
      <c r="AI800">
        <v>2</v>
      </c>
      <c r="AJ800">
        <v>1</v>
      </c>
      <c r="AK800">
        <v>1</v>
      </c>
      <c r="AL800">
        <v>1</v>
      </c>
      <c r="AM800">
        <v>0</v>
      </c>
      <c r="AN800" t="s">
        <v>767</v>
      </c>
      <c r="AO800" t="s">
        <v>31</v>
      </c>
    </row>
    <row r="801" spans="1:41" x14ac:dyDescent="0.25">
      <c r="A801">
        <v>24</v>
      </c>
      <c r="B801" t="s">
        <v>32</v>
      </c>
      <c r="C801" t="s">
        <v>33</v>
      </c>
      <c r="D801">
        <v>23</v>
      </c>
      <c r="E801" t="s">
        <v>34</v>
      </c>
      <c r="F801">
        <v>4</v>
      </c>
      <c r="G801">
        <v>1</v>
      </c>
      <c r="H801" t="s">
        <v>44</v>
      </c>
      <c r="I801">
        <v>4</v>
      </c>
      <c r="J801" t="s">
        <v>51</v>
      </c>
      <c r="K801">
        <v>2725</v>
      </c>
      <c r="L801">
        <v>1</v>
      </c>
      <c r="M801" t="s">
        <v>31</v>
      </c>
      <c r="N801">
        <v>11</v>
      </c>
      <c r="O801">
        <v>3</v>
      </c>
      <c r="P801">
        <v>2</v>
      </c>
      <c r="Q801">
        <v>6</v>
      </c>
      <c r="R801">
        <v>3</v>
      </c>
      <c r="S801">
        <v>6</v>
      </c>
      <c r="T801">
        <v>1</v>
      </c>
      <c r="U801">
        <v>4</v>
      </c>
      <c r="V801" t="s">
        <v>52</v>
      </c>
      <c r="W801" s="1" t="s">
        <v>403</v>
      </c>
      <c r="Y801" t="s">
        <v>63</v>
      </c>
      <c r="Z801" t="s">
        <v>40</v>
      </c>
      <c r="AA801">
        <v>1</v>
      </c>
      <c r="AB801">
        <v>3</v>
      </c>
      <c r="AC801" t="s">
        <v>41</v>
      </c>
      <c r="AD801" t="s">
        <v>65</v>
      </c>
      <c r="AE801" t="s">
        <v>49</v>
      </c>
      <c r="AF801" s="3">
        <v>1109</v>
      </c>
      <c r="AG801" s="3">
        <v>35</v>
      </c>
      <c r="AH801">
        <v>80</v>
      </c>
      <c r="AI801">
        <v>6</v>
      </c>
      <c r="AJ801">
        <v>0</v>
      </c>
      <c r="AL801">
        <v>0</v>
      </c>
      <c r="AM801">
        <v>1</v>
      </c>
      <c r="AN801" t="s">
        <v>768</v>
      </c>
      <c r="AO801" t="s">
        <v>41</v>
      </c>
    </row>
    <row r="802" spans="1:41" x14ac:dyDescent="0.25">
      <c r="A802">
        <v>24</v>
      </c>
      <c r="B802" t="s">
        <v>66</v>
      </c>
      <c r="C802" t="s">
        <v>33</v>
      </c>
      <c r="D802">
        <v>7</v>
      </c>
      <c r="E802" t="s">
        <v>61</v>
      </c>
      <c r="F802">
        <v>3</v>
      </c>
      <c r="G802">
        <v>1</v>
      </c>
      <c r="H802" t="s">
        <v>35</v>
      </c>
      <c r="I802">
        <v>3</v>
      </c>
      <c r="J802" t="s">
        <v>51</v>
      </c>
      <c r="K802">
        <v>2886</v>
      </c>
      <c r="L802">
        <v>1</v>
      </c>
      <c r="M802" t="s">
        <v>31</v>
      </c>
      <c r="N802">
        <v>16</v>
      </c>
      <c r="O802">
        <v>3</v>
      </c>
      <c r="P802">
        <v>1</v>
      </c>
      <c r="Q802">
        <v>6</v>
      </c>
      <c r="R802">
        <v>4</v>
      </c>
      <c r="S802">
        <v>6</v>
      </c>
      <c r="T802">
        <v>1</v>
      </c>
      <c r="U802">
        <v>2</v>
      </c>
      <c r="V802" t="s">
        <v>58</v>
      </c>
      <c r="W802" s="2">
        <v>42005</v>
      </c>
      <c r="Y802" t="s">
        <v>46</v>
      </c>
      <c r="Z802" t="s">
        <v>47</v>
      </c>
      <c r="AA802">
        <v>0</v>
      </c>
      <c r="AB802">
        <v>0</v>
      </c>
      <c r="AC802" t="s">
        <v>31</v>
      </c>
      <c r="AD802" t="s">
        <v>67</v>
      </c>
      <c r="AE802" t="s">
        <v>43</v>
      </c>
      <c r="AF802" s="3">
        <v>1111</v>
      </c>
      <c r="AG802" s="3">
        <v>45</v>
      </c>
      <c r="AH802">
        <v>80</v>
      </c>
      <c r="AI802">
        <v>0</v>
      </c>
      <c r="AJ802">
        <v>1</v>
      </c>
      <c r="AK802">
        <v>1</v>
      </c>
      <c r="AL802">
        <v>1</v>
      </c>
      <c r="AM802">
        <v>0</v>
      </c>
      <c r="AN802" t="s">
        <v>767</v>
      </c>
      <c r="AO802" t="s">
        <v>31</v>
      </c>
    </row>
    <row r="803" spans="1:41" x14ac:dyDescent="0.25">
      <c r="A803">
        <v>34</v>
      </c>
      <c r="B803" t="s">
        <v>32</v>
      </c>
      <c r="C803" t="s">
        <v>33</v>
      </c>
      <c r="D803">
        <v>1</v>
      </c>
      <c r="E803" t="s">
        <v>34</v>
      </c>
      <c r="F803">
        <v>2</v>
      </c>
      <c r="G803">
        <v>1</v>
      </c>
      <c r="H803" t="s">
        <v>44</v>
      </c>
      <c r="I803">
        <v>4</v>
      </c>
      <c r="J803" t="s">
        <v>51</v>
      </c>
      <c r="K803">
        <v>3622</v>
      </c>
      <c r="L803">
        <v>1</v>
      </c>
      <c r="M803" t="s">
        <v>31</v>
      </c>
      <c r="N803">
        <v>13</v>
      </c>
      <c r="O803">
        <v>3</v>
      </c>
      <c r="P803">
        <v>1</v>
      </c>
      <c r="Q803">
        <v>6</v>
      </c>
      <c r="R803">
        <v>3</v>
      </c>
      <c r="S803">
        <v>6</v>
      </c>
      <c r="T803">
        <v>1</v>
      </c>
      <c r="U803">
        <v>3</v>
      </c>
      <c r="V803" t="s">
        <v>72</v>
      </c>
      <c r="W803" s="1" t="s">
        <v>404</v>
      </c>
      <c r="Y803" t="s">
        <v>69</v>
      </c>
      <c r="Z803" t="s">
        <v>47</v>
      </c>
      <c r="AA803">
        <v>3</v>
      </c>
      <c r="AB803">
        <v>1</v>
      </c>
      <c r="AC803" t="s">
        <v>31</v>
      </c>
      <c r="AD803" t="s">
        <v>42</v>
      </c>
      <c r="AE803" t="s">
        <v>49</v>
      </c>
      <c r="AF803" s="3">
        <v>1113</v>
      </c>
      <c r="AG803" s="3">
        <v>81</v>
      </c>
      <c r="AH803">
        <v>80</v>
      </c>
      <c r="AI803">
        <v>0</v>
      </c>
      <c r="AJ803">
        <v>1</v>
      </c>
      <c r="AK803">
        <v>1</v>
      </c>
      <c r="AL803">
        <v>1</v>
      </c>
      <c r="AM803">
        <v>0</v>
      </c>
      <c r="AN803" t="s">
        <v>767</v>
      </c>
      <c r="AO803" t="s">
        <v>31</v>
      </c>
    </row>
    <row r="804" spans="1:41" x14ac:dyDescent="0.25">
      <c r="A804">
        <v>32</v>
      </c>
      <c r="B804" t="s">
        <v>32</v>
      </c>
      <c r="C804" t="s">
        <v>33</v>
      </c>
      <c r="D804">
        <v>9</v>
      </c>
      <c r="E804" t="s">
        <v>61</v>
      </c>
      <c r="F804">
        <v>3</v>
      </c>
      <c r="G804">
        <v>2</v>
      </c>
      <c r="H804" t="s">
        <v>44</v>
      </c>
      <c r="I804">
        <v>4</v>
      </c>
      <c r="J804" t="s">
        <v>51</v>
      </c>
      <c r="K804">
        <v>6322</v>
      </c>
      <c r="L804">
        <v>1</v>
      </c>
      <c r="M804" t="s">
        <v>31</v>
      </c>
      <c r="N804">
        <v>12</v>
      </c>
      <c r="O804">
        <v>3</v>
      </c>
      <c r="P804">
        <v>1</v>
      </c>
      <c r="Q804">
        <v>6</v>
      </c>
      <c r="R804">
        <v>2</v>
      </c>
      <c r="S804">
        <v>6</v>
      </c>
      <c r="T804">
        <v>0</v>
      </c>
      <c r="U804">
        <v>5</v>
      </c>
      <c r="V804" t="s">
        <v>52</v>
      </c>
      <c r="W804" s="1" t="s">
        <v>405</v>
      </c>
      <c r="Y804" t="s">
        <v>54</v>
      </c>
      <c r="Z804" t="s">
        <v>47</v>
      </c>
      <c r="AA804">
        <v>4</v>
      </c>
      <c r="AB804">
        <v>3</v>
      </c>
      <c r="AC804" t="s">
        <v>31</v>
      </c>
      <c r="AD804" t="s">
        <v>65</v>
      </c>
      <c r="AE804" t="s">
        <v>43</v>
      </c>
      <c r="AF804" s="3">
        <v>1114</v>
      </c>
      <c r="AG804" s="3">
        <v>30</v>
      </c>
      <c r="AH804">
        <v>80</v>
      </c>
      <c r="AI804">
        <v>2</v>
      </c>
      <c r="AJ804">
        <v>0</v>
      </c>
      <c r="AL804">
        <v>0</v>
      </c>
      <c r="AM804">
        <v>1</v>
      </c>
      <c r="AN804" t="s">
        <v>768</v>
      </c>
      <c r="AO804" t="s">
        <v>41</v>
      </c>
    </row>
    <row r="805" spans="1:41" x14ac:dyDescent="0.25">
      <c r="A805">
        <v>29</v>
      </c>
      <c r="B805" t="s">
        <v>32</v>
      </c>
      <c r="C805" t="s">
        <v>55</v>
      </c>
      <c r="D805">
        <v>3</v>
      </c>
      <c r="E805" t="s">
        <v>61</v>
      </c>
      <c r="F805">
        <v>3</v>
      </c>
      <c r="G805">
        <v>2</v>
      </c>
      <c r="H805" t="s">
        <v>70</v>
      </c>
      <c r="I805">
        <v>3</v>
      </c>
      <c r="J805" t="s">
        <v>51</v>
      </c>
      <c r="K805">
        <v>5561</v>
      </c>
      <c r="L805">
        <v>1</v>
      </c>
      <c r="M805" t="s">
        <v>41</v>
      </c>
      <c r="N805">
        <v>14</v>
      </c>
      <c r="O805">
        <v>3</v>
      </c>
      <c r="P805">
        <v>1</v>
      </c>
      <c r="Q805">
        <v>6</v>
      </c>
      <c r="R805">
        <v>5</v>
      </c>
      <c r="S805">
        <v>6</v>
      </c>
      <c r="T805">
        <v>1</v>
      </c>
      <c r="U805">
        <v>2</v>
      </c>
      <c r="V805" t="s">
        <v>37</v>
      </c>
      <c r="W805" s="1" t="s">
        <v>406</v>
      </c>
      <c r="Y805" t="s">
        <v>63</v>
      </c>
      <c r="Z805" t="s">
        <v>40</v>
      </c>
      <c r="AA805">
        <v>0</v>
      </c>
      <c r="AB805">
        <v>1</v>
      </c>
      <c r="AC805" t="s">
        <v>31</v>
      </c>
      <c r="AD805" t="s">
        <v>48</v>
      </c>
      <c r="AE805" t="s">
        <v>60</v>
      </c>
      <c r="AF805" s="3">
        <v>1115</v>
      </c>
      <c r="AG805" s="3">
        <v>40</v>
      </c>
      <c r="AH805">
        <v>80</v>
      </c>
      <c r="AI805">
        <v>0</v>
      </c>
      <c r="AJ805">
        <v>0</v>
      </c>
      <c r="AL805">
        <v>0</v>
      </c>
      <c r="AM805">
        <v>1</v>
      </c>
      <c r="AN805" t="s">
        <v>768</v>
      </c>
      <c r="AO805" t="s">
        <v>41</v>
      </c>
    </row>
    <row r="806" spans="1:41" x14ac:dyDescent="0.25">
      <c r="A806">
        <v>27</v>
      </c>
      <c r="B806" t="s">
        <v>66</v>
      </c>
      <c r="C806" t="s">
        <v>55</v>
      </c>
      <c r="D806">
        <v>3</v>
      </c>
      <c r="E806" t="s">
        <v>61</v>
      </c>
      <c r="F806">
        <v>4</v>
      </c>
      <c r="G806">
        <v>2</v>
      </c>
      <c r="H806" t="s">
        <v>70</v>
      </c>
      <c r="I806">
        <v>4</v>
      </c>
      <c r="J806" t="s">
        <v>57</v>
      </c>
      <c r="K806">
        <v>4647</v>
      </c>
      <c r="L806">
        <v>1</v>
      </c>
      <c r="M806" t="s">
        <v>31</v>
      </c>
      <c r="N806">
        <v>20</v>
      </c>
      <c r="O806">
        <v>4</v>
      </c>
      <c r="P806">
        <v>2</v>
      </c>
      <c r="Q806">
        <v>6</v>
      </c>
      <c r="R806">
        <v>3</v>
      </c>
      <c r="S806">
        <v>6</v>
      </c>
      <c r="T806">
        <v>0</v>
      </c>
      <c r="U806">
        <v>4</v>
      </c>
      <c r="V806" t="s">
        <v>58</v>
      </c>
      <c r="W806" s="2">
        <v>42342</v>
      </c>
      <c r="Y806" t="s">
        <v>39</v>
      </c>
      <c r="Z806" t="s">
        <v>47</v>
      </c>
      <c r="AA806">
        <v>4</v>
      </c>
      <c r="AB806">
        <v>2</v>
      </c>
      <c r="AC806" t="s">
        <v>31</v>
      </c>
      <c r="AD806" t="s">
        <v>42</v>
      </c>
      <c r="AE806" t="s">
        <v>43</v>
      </c>
      <c r="AF806" s="3">
        <v>1116</v>
      </c>
      <c r="AG806" s="3">
        <v>35</v>
      </c>
      <c r="AH806">
        <v>80</v>
      </c>
      <c r="AI806">
        <v>4</v>
      </c>
      <c r="AJ806">
        <v>0</v>
      </c>
      <c r="AL806">
        <v>0</v>
      </c>
      <c r="AM806">
        <v>1</v>
      </c>
      <c r="AN806" t="s">
        <v>768</v>
      </c>
      <c r="AO806" t="s">
        <v>41</v>
      </c>
    </row>
    <row r="807" spans="1:41" x14ac:dyDescent="0.25">
      <c r="A807">
        <v>25</v>
      </c>
      <c r="B807" t="s">
        <v>32</v>
      </c>
      <c r="C807" t="s">
        <v>55</v>
      </c>
      <c r="D807">
        <v>26</v>
      </c>
      <c r="E807" t="s">
        <v>61</v>
      </c>
      <c r="F807">
        <v>3</v>
      </c>
      <c r="G807">
        <v>2</v>
      </c>
      <c r="H807" t="s">
        <v>70</v>
      </c>
      <c r="I807">
        <v>4</v>
      </c>
      <c r="J807" t="s">
        <v>36</v>
      </c>
      <c r="K807">
        <v>6180</v>
      </c>
      <c r="L807">
        <v>1</v>
      </c>
      <c r="M807" t="s">
        <v>41</v>
      </c>
      <c r="N807">
        <v>23</v>
      </c>
      <c r="O807">
        <v>4</v>
      </c>
      <c r="P807">
        <v>0</v>
      </c>
      <c r="Q807">
        <v>6</v>
      </c>
      <c r="R807">
        <v>5</v>
      </c>
      <c r="S807">
        <v>6</v>
      </c>
      <c r="T807">
        <v>1</v>
      </c>
      <c r="U807">
        <v>4</v>
      </c>
      <c r="V807" t="s">
        <v>37</v>
      </c>
      <c r="W807" s="2">
        <v>42095</v>
      </c>
      <c r="Y807" t="s">
        <v>63</v>
      </c>
      <c r="Z807" t="s">
        <v>47</v>
      </c>
      <c r="AA807">
        <v>3</v>
      </c>
      <c r="AB807">
        <v>0</v>
      </c>
      <c r="AC807" t="s">
        <v>41</v>
      </c>
      <c r="AD807" t="s">
        <v>48</v>
      </c>
      <c r="AE807" t="s">
        <v>49</v>
      </c>
      <c r="AF807" s="3">
        <v>1117</v>
      </c>
      <c r="AG807" s="3">
        <v>65</v>
      </c>
      <c r="AH807">
        <v>80</v>
      </c>
      <c r="AI807">
        <v>10</v>
      </c>
      <c r="AJ807">
        <v>0</v>
      </c>
      <c r="AL807">
        <v>0</v>
      </c>
      <c r="AM807">
        <v>1</v>
      </c>
      <c r="AN807" t="s">
        <v>768</v>
      </c>
      <c r="AO807" t="s">
        <v>41</v>
      </c>
    </row>
    <row r="808" spans="1:41" x14ac:dyDescent="0.25">
      <c r="A808">
        <v>34</v>
      </c>
      <c r="B808" t="s">
        <v>32</v>
      </c>
      <c r="C808" t="s">
        <v>55</v>
      </c>
      <c r="D808">
        <v>2</v>
      </c>
      <c r="E808" t="s">
        <v>34</v>
      </c>
      <c r="F808">
        <v>3</v>
      </c>
      <c r="G808">
        <v>2</v>
      </c>
      <c r="H808" t="s">
        <v>70</v>
      </c>
      <c r="I808">
        <v>4</v>
      </c>
      <c r="J808" t="s">
        <v>36</v>
      </c>
      <c r="K808">
        <v>6274</v>
      </c>
      <c r="L808">
        <v>1</v>
      </c>
      <c r="M808" t="s">
        <v>41</v>
      </c>
      <c r="N808">
        <v>22</v>
      </c>
      <c r="O808">
        <v>4</v>
      </c>
      <c r="P808">
        <v>0</v>
      </c>
      <c r="Q808">
        <v>6</v>
      </c>
      <c r="R808">
        <v>5</v>
      </c>
      <c r="S808">
        <v>6</v>
      </c>
      <c r="T808">
        <v>1</v>
      </c>
      <c r="U808">
        <v>4</v>
      </c>
      <c r="V808" t="s">
        <v>52</v>
      </c>
      <c r="W808" s="2">
        <v>42098</v>
      </c>
      <c r="Y808" t="s">
        <v>69</v>
      </c>
      <c r="Z808" t="s">
        <v>40</v>
      </c>
      <c r="AA808">
        <v>1</v>
      </c>
      <c r="AB808">
        <v>1</v>
      </c>
      <c r="AC808" t="s">
        <v>31</v>
      </c>
      <c r="AD808" t="s">
        <v>48</v>
      </c>
      <c r="AE808" t="s">
        <v>43</v>
      </c>
      <c r="AF808" s="3">
        <v>1118</v>
      </c>
      <c r="AG808" s="3">
        <v>87</v>
      </c>
      <c r="AH808">
        <v>80</v>
      </c>
      <c r="AI808">
        <v>6</v>
      </c>
      <c r="AJ808">
        <v>0</v>
      </c>
      <c r="AL808">
        <v>0</v>
      </c>
      <c r="AM808">
        <v>1</v>
      </c>
      <c r="AN808" t="s">
        <v>768</v>
      </c>
      <c r="AO808" t="s">
        <v>41</v>
      </c>
    </row>
    <row r="809" spans="1:41" x14ac:dyDescent="0.25">
      <c r="A809">
        <v>34</v>
      </c>
      <c r="B809" t="s">
        <v>32</v>
      </c>
      <c r="C809" t="s">
        <v>33</v>
      </c>
      <c r="D809">
        <v>2</v>
      </c>
      <c r="E809" t="s">
        <v>61</v>
      </c>
      <c r="F809">
        <v>2</v>
      </c>
      <c r="G809">
        <v>1</v>
      </c>
      <c r="H809" t="s">
        <v>44</v>
      </c>
      <c r="I809">
        <v>1</v>
      </c>
      <c r="J809" t="s">
        <v>36</v>
      </c>
      <c r="K809">
        <v>4381</v>
      </c>
      <c r="L809">
        <v>1</v>
      </c>
      <c r="M809" t="s">
        <v>41</v>
      </c>
      <c r="N809">
        <v>11</v>
      </c>
      <c r="O809">
        <v>3</v>
      </c>
      <c r="P809">
        <v>0</v>
      </c>
      <c r="Q809">
        <v>6</v>
      </c>
      <c r="R809">
        <v>3</v>
      </c>
      <c r="S809">
        <v>6</v>
      </c>
      <c r="T809">
        <v>1</v>
      </c>
      <c r="U809">
        <v>3</v>
      </c>
      <c r="V809" t="s">
        <v>37</v>
      </c>
      <c r="W809" s="2">
        <v>42217</v>
      </c>
      <c r="Y809" t="s">
        <v>54</v>
      </c>
      <c r="Z809" t="s">
        <v>47</v>
      </c>
      <c r="AA809">
        <v>1</v>
      </c>
      <c r="AB809">
        <v>3</v>
      </c>
      <c r="AC809" t="s">
        <v>31</v>
      </c>
      <c r="AD809" t="s">
        <v>48</v>
      </c>
      <c r="AE809" t="s">
        <v>60</v>
      </c>
      <c r="AF809" s="3">
        <v>1119</v>
      </c>
      <c r="AG809" s="3">
        <v>73</v>
      </c>
      <c r="AH809">
        <v>80</v>
      </c>
      <c r="AI809">
        <v>7</v>
      </c>
      <c r="AJ809">
        <v>0</v>
      </c>
      <c r="AL809">
        <v>0</v>
      </c>
      <c r="AM809">
        <v>1</v>
      </c>
      <c r="AN809" t="s">
        <v>768</v>
      </c>
      <c r="AO809" t="s">
        <v>41</v>
      </c>
    </row>
    <row r="810" spans="1:41" x14ac:dyDescent="0.25">
      <c r="A810">
        <v>35</v>
      </c>
      <c r="B810" t="s">
        <v>32</v>
      </c>
      <c r="C810" t="s">
        <v>33</v>
      </c>
      <c r="D810">
        <v>27</v>
      </c>
      <c r="E810" t="s">
        <v>61</v>
      </c>
      <c r="F810">
        <v>2</v>
      </c>
      <c r="G810">
        <v>1</v>
      </c>
      <c r="H810" t="s">
        <v>44</v>
      </c>
      <c r="I810">
        <v>1</v>
      </c>
      <c r="J810" t="s">
        <v>36</v>
      </c>
      <c r="K810">
        <v>2559</v>
      </c>
      <c r="L810">
        <v>1</v>
      </c>
      <c r="M810" t="s">
        <v>41</v>
      </c>
      <c r="N810">
        <v>11</v>
      </c>
      <c r="O810">
        <v>3</v>
      </c>
      <c r="P810">
        <v>0</v>
      </c>
      <c r="Q810">
        <v>6</v>
      </c>
      <c r="R810">
        <v>3</v>
      </c>
      <c r="S810">
        <v>6</v>
      </c>
      <c r="T810">
        <v>1</v>
      </c>
      <c r="U810">
        <v>1</v>
      </c>
      <c r="V810" t="s">
        <v>72</v>
      </c>
      <c r="W810" s="2">
        <v>42069</v>
      </c>
      <c r="Y810" t="s">
        <v>69</v>
      </c>
      <c r="Z810" t="s">
        <v>40</v>
      </c>
      <c r="AA810">
        <v>1</v>
      </c>
      <c r="AB810">
        <v>3</v>
      </c>
      <c r="AC810" t="s">
        <v>31</v>
      </c>
      <c r="AD810" t="s">
        <v>48</v>
      </c>
      <c r="AE810" t="s">
        <v>60</v>
      </c>
      <c r="AF810" s="3">
        <v>1120</v>
      </c>
      <c r="AG810" s="3">
        <v>93</v>
      </c>
      <c r="AH810">
        <v>80</v>
      </c>
      <c r="AI810">
        <v>5</v>
      </c>
      <c r="AJ810">
        <v>0</v>
      </c>
      <c r="AL810">
        <v>0</v>
      </c>
      <c r="AM810">
        <v>1</v>
      </c>
      <c r="AN810" t="s">
        <v>768</v>
      </c>
      <c r="AO810" t="s">
        <v>41</v>
      </c>
    </row>
    <row r="811" spans="1:41" x14ac:dyDescent="0.25">
      <c r="A811">
        <v>31</v>
      </c>
      <c r="B811" t="s">
        <v>32</v>
      </c>
      <c r="C811" t="s">
        <v>33</v>
      </c>
      <c r="D811">
        <v>11</v>
      </c>
      <c r="E811" t="s">
        <v>34</v>
      </c>
      <c r="F811">
        <v>3</v>
      </c>
      <c r="G811">
        <v>1</v>
      </c>
      <c r="H811" t="s">
        <v>44</v>
      </c>
      <c r="I811">
        <v>4</v>
      </c>
      <c r="J811" t="s">
        <v>51</v>
      </c>
      <c r="K811">
        <v>2356</v>
      </c>
      <c r="L811">
        <v>3</v>
      </c>
      <c r="M811" t="s">
        <v>31</v>
      </c>
      <c r="N811">
        <v>19</v>
      </c>
      <c r="O811">
        <v>3</v>
      </c>
      <c r="P811">
        <v>1</v>
      </c>
      <c r="Q811">
        <v>8</v>
      </c>
      <c r="R811">
        <v>2</v>
      </c>
      <c r="S811">
        <v>6</v>
      </c>
      <c r="T811">
        <v>0</v>
      </c>
      <c r="U811">
        <v>2</v>
      </c>
      <c r="V811" t="s">
        <v>58</v>
      </c>
      <c r="W811" s="1" t="s">
        <v>407</v>
      </c>
      <c r="Y811" t="s">
        <v>69</v>
      </c>
      <c r="Z811" t="s">
        <v>40</v>
      </c>
      <c r="AA811">
        <v>3</v>
      </c>
      <c r="AB811">
        <v>1</v>
      </c>
      <c r="AC811" t="s">
        <v>41</v>
      </c>
      <c r="AD811" t="s">
        <v>48</v>
      </c>
      <c r="AE811" t="s">
        <v>43</v>
      </c>
      <c r="AF811" s="3">
        <v>1121</v>
      </c>
      <c r="AG811" s="3">
        <v>93</v>
      </c>
      <c r="AH811">
        <v>80</v>
      </c>
      <c r="AI811">
        <v>7</v>
      </c>
      <c r="AJ811">
        <v>0</v>
      </c>
      <c r="AL811">
        <v>0</v>
      </c>
      <c r="AM811">
        <v>1</v>
      </c>
      <c r="AN811" t="s">
        <v>768</v>
      </c>
      <c r="AO811" t="s">
        <v>41</v>
      </c>
    </row>
    <row r="812" spans="1:41" x14ac:dyDescent="0.25">
      <c r="A812">
        <v>58</v>
      </c>
      <c r="B812" t="s">
        <v>32</v>
      </c>
      <c r="C812" t="s">
        <v>33</v>
      </c>
      <c r="D812">
        <v>5</v>
      </c>
      <c r="E812" t="s">
        <v>61</v>
      </c>
      <c r="F812">
        <v>2</v>
      </c>
      <c r="G812">
        <v>3</v>
      </c>
      <c r="H812" t="s">
        <v>89</v>
      </c>
      <c r="I812">
        <v>2</v>
      </c>
      <c r="J812" t="s">
        <v>57</v>
      </c>
      <c r="K812">
        <v>10552</v>
      </c>
      <c r="L812">
        <v>2</v>
      </c>
      <c r="M812" t="s">
        <v>31</v>
      </c>
      <c r="N812">
        <v>13</v>
      </c>
      <c r="O812">
        <v>3</v>
      </c>
      <c r="P812">
        <v>1</v>
      </c>
      <c r="Q812">
        <v>24</v>
      </c>
      <c r="R812">
        <v>3</v>
      </c>
      <c r="S812">
        <v>6</v>
      </c>
      <c r="T812">
        <v>0</v>
      </c>
      <c r="U812">
        <v>4</v>
      </c>
      <c r="V812" t="s">
        <v>72</v>
      </c>
      <c r="W812" s="1" t="s">
        <v>408</v>
      </c>
      <c r="Y812" t="s">
        <v>39</v>
      </c>
      <c r="Z812" t="s">
        <v>47</v>
      </c>
      <c r="AA812">
        <v>1</v>
      </c>
      <c r="AB812">
        <v>2</v>
      </c>
      <c r="AC812" t="s">
        <v>41</v>
      </c>
      <c r="AD812" t="s">
        <v>65</v>
      </c>
      <c r="AE812" t="s">
        <v>49</v>
      </c>
      <c r="AF812" s="3">
        <v>1124</v>
      </c>
      <c r="AG812" s="3">
        <v>52</v>
      </c>
      <c r="AH812">
        <v>80</v>
      </c>
      <c r="AI812">
        <v>9</v>
      </c>
      <c r="AJ812">
        <v>0</v>
      </c>
      <c r="AL812">
        <v>0</v>
      </c>
      <c r="AM812">
        <v>1</v>
      </c>
      <c r="AN812" t="s">
        <v>768</v>
      </c>
      <c r="AO812" t="s">
        <v>41</v>
      </c>
    </row>
    <row r="813" spans="1:41" x14ac:dyDescent="0.25">
      <c r="A813">
        <v>36</v>
      </c>
      <c r="B813" t="s">
        <v>32</v>
      </c>
      <c r="C813" t="s">
        <v>33</v>
      </c>
      <c r="D813">
        <v>7</v>
      </c>
      <c r="E813" t="s">
        <v>34</v>
      </c>
      <c r="F813">
        <v>3</v>
      </c>
      <c r="G813">
        <v>1</v>
      </c>
      <c r="H813" t="s">
        <v>44</v>
      </c>
      <c r="I813">
        <v>4</v>
      </c>
      <c r="J813" t="s">
        <v>36</v>
      </c>
      <c r="K813">
        <v>4678</v>
      </c>
      <c r="L813">
        <v>2</v>
      </c>
      <c r="M813" t="s">
        <v>41</v>
      </c>
      <c r="N813">
        <v>18</v>
      </c>
      <c r="O813">
        <v>3</v>
      </c>
      <c r="P813">
        <v>0</v>
      </c>
      <c r="Q813">
        <v>8</v>
      </c>
      <c r="R813">
        <v>6</v>
      </c>
      <c r="S813">
        <v>6</v>
      </c>
      <c r="T813">
        <v>0</v>
      </c>
      <c r="U813">
        <v>1</v>
      </c>
      <c r="V813" t="s">
        <v>58</v>
      </c>
      <c r="W813" s="1" t="s">
        <v>409</v>
      </c>
      <c r="Y813" t="s">
        <v>39</v>
      </c>
      <c r="Z813" t="s">
        <v>40</v>
      </c>
      <c r="AA813">
        <v>2</v>
      </c>
      <c r="AB813">
        <v>2</v>
      </c>
      <c r="AC813" t="s">
        <v>41</v>
      </c>
      <c r="AD813" t="s">
        <v>48</v>
      </c>
      <c r="AE813" t="s">
        <v>60</v>
      </c>
      <c r="AF813" s="3">
        <v>1125</v>
      </c>
      <c r="AG813" s="3">
        <v>32</v>
      </c>
      <c r="AH813">
        <v>80</v>
      </c>
      <c r="AI813">
        <v>0</v>
      </c>
      <c r="AJ813">
        <v>0</v>
      </c>
      <c r="AL813">
        <v>0</v>
      </c>
      <c r="AM813">
        <v>1</v>
      </c>
      <c r="AN813" t="s">
        <v>768</v>
      </c>
      <c r="AO813" t="s">
        <v>41</v>
      </c>
    </row>
    <row r="814" spans="1:41" x14ac:dyDescent="0.25">
      <c r="A814">
        <v>33</v>
      </c>
      <c r="B814" t="s">
        <v>66</v>
      </c>
      <c r="C814" t="s">
        <v>33</v>
      </c>
      <c r="D814">
        <v>1</v>
      </c>
      <c r="E814" t="s">
        <v>61</v>
      </c>
      <c r="F814">
        <v>4</v>
      </c>
      <c r="G814">
        <v>2</v>
      </c>
      <c r="H814" t="s">
        <v>89</v>
      </c>
      <c r="I814">
        <v>2</v>
      </c>
      <c r="J814" t="s">
        <v>51</v>
      </c>
      <c r="K814">
        <v>5488</v>
      </c>
      <c r="L814">
        <v>1</v>
      </c>
      <c r="M814" t="s">
        <v>31</v>
      </c>
      <c r="N814">
        <v>13</v>
      </c>
      <c r="O814">
        <v>3</v>
      </c>
      <c r="P814">
        <v>1</v>
      </c>
      <c r="Q814">
        <v>6</v>
      </c>
      <c r="R814">
        <v>2</v>
      </c>
      <c r="S814">
        <v>6</v>
      </c>
      <c r="T814">
        <v>1</v>
      </c>
      <c r="U814">
        <v>2</v>
      </c>
      <c r="V814" t="s">
        <v>72</v>
      </c>
      <c r="W814" s="1" t="s">
        <v>396</v>
      </c>
      <c r="Y814" t="s">
        <v>46</v>
      </c>
      <c r="Z814" t="s">
        <v>47</v>
      </c>
      <c r="AA814">
        <v>5</v>
      </c>
      <c r="AB814">
        <v>0</v>
      </c>
      <c r="AC814" t="s">
        <v>41</v>
      </c>
      <c r="AD814" t="s">
        <v>67</v>
      </c>
      <c r="AE814" t="s">
        <v>49</v>
      </c>
      <c r="AF814" s="3">
        <v>1126</v>
      </c>
      <c r="AG814" s="3">
        <v>83</v>
      </c>
      <c r="AH814">
        <v>80</v>
      </c>
      <c r="AI814">
        <v>7</v>
      </c>
      <c r="AJ814">
        <v>0</v>
      </c>
      <c r="AL814">
        <v>0</v>
      </c>
      <c r="AM814">
        <v>1</v>
      </c>
      <c r="AN814" t="s">
        <v>768</v>
      </c>
      <c r="AO814" t="s">
        <v>41</v>
      </c>
    </row>
    <row r="815" spans="1:41" x14ac:dyDescent="0.25">
      <c r="A815">
        <v>59</v>
      </c>
      <c r="B815" t="s">
        <v>32</v>
      </c>
      <c r="C815" t="s">
        <v>55</v>
      </c>
      <c r="D815">
        <v>1</v>
      </c>
      <c r="E815" t="s">
        <v>34</v>
      </c>
      <c r="F815">
        <v>3</v>
      </c>
      <c r="G815">
        <v>3</v>
      </c>
      <c r="H815" t="s">
        <v>75</v>
      </c>
      <c r="I815">
        <v>4</v>
      </c>
      <c r="J815" t="s">
        <v>51</v>
      </c>
      <c r="K815">
        <v>11904</v>
      </c>
      <c r="L815">
        <v>3</v>
      </c>
      <c r="M815" t="s">
        <v>31</v>
      </c>
      <c r="N815">
        <v>14</v>
      </c>
      <c r="O815">
        <v>3</v>
      </c>
      <c r="P815">
        <v>1</v>
      </c>
      <c r="Q815">
        <v>14</v>
      </c>
      <c r="R815">
        <v>1</v>
      </c>
      <c r="S815">
        <v>6</v>
      </c>
      <c r="T815">
        <v>0</v>
      </c>
      <c r="U815">
        <v>4</v>
      </c>
      <c r="V815" t="s">
        <v>37</v>
      </c>
      <c r="W815" s="1" t="s">
        <v>410</v>
      </c>
      <c r="Y815" t="s">
        <v>69</v>
      </c>
      <c r="Z815" t="s">
        <v>47</v>
      </c>
      <c r="AA815">
        <v>2</v>
      </c>
      <c r="AB815">
        <v>0</v>
      </c>
      <c r="AC815" t="s">
        <v>31</v>
      </c>
      <c r="AD815" t="s">
        <v>42</v>
      </c>
      <c r="AE815" t="s">
        <v>49</v>
      </c>
      <c r="AF815" s="3">
        <v>1127</v>
      </c>
      <c r="AG815" s="3">
        <v>84</v>
      </c>
      <c r="AH815">
        <v>80</v>
      </c>
      <c r="AI815">
        <v>7</v>
      </c>
      <c r="AJ815">
        <v>1</v>
      </c>
      <c r="AK815">
        <v>1</v>
      </c>
      <c r="AL815">
        <v>1</v>
      </c>
      <c r="AM815">
        <v>0</v>
      </c>
      <c r="AN815" t="s">
        <v>767</v>
      </c>
      <c r="AO815" t="s">
        <v>31</v>
      </c>
    </row>
    <row r="816" spans="1:41" x14ac:dyDescent="0.25">
      <c r="A816">
        <v>45</v>
      </c>
      <c r="B816" t="s">
        <v>32</v>
      </c>
      <c r="C816" t="s">
        <v>120</v>
      </c>
      <c r="D816">
        <v>24</v>
      </c>
      <c r="E816" t="s">
        <v>34</v>
      </c>
      <c r="F816">
        <v>3</v>
      </c>
      <c r="G816">
        <v>1</v>
      </c>
      <c r="H816" t="s">
        <v>120</v>
      </c>
      <c r="I816">
        <v>2</v>
      </c>
      <c r="J816" t="s">
        <v>36</v>
      </c>
      <c r="K816">
        <v>2177</v>
      </c>
      <c r="L816">
        <v>1</v>
      </c>
      <c r="M816" t="s">
        <v>41</v>
      </c>
      <c r="N816">
        <v>16</v>
      </c>
      <c r="O816">
        <v>3</v>
      </c>
      <c r="P816">
        <v>0</v>
      </c>
      <c r="Q816">
        <v>6</v>
      </c>
      <c r="R816">
        <v>3</v>
      </c>
      <c r="S816">
        <v>6</v>
      </c>
      <c r="T816">
        <v>0</v>
      </c>
      <c r="U816">
        <v>4</v>
      </c>
      <c r="V816" t="s">
        <v>72</v>
      </c>
      <c r="W816" s="2">
        <v>42313</v>
      </c>
      <c r="Y816" t="s">
        <v>54</v>
      </c>
      <c r="Z816" t="s">
        <v>47</v>
      </c>
      <c r="AA816">
        <v>4</v>
      </c>
      <c r="AB816">
        <v>3</v>
      </c>
      <c r="AC816" t="s">
        <v>31</v>
      </c>
      <c r="AD816" t="s">
        <v>65</v>
      </c>
      <c r="AE816" t="s">
        <v>43</v>
      </c>
      <c r="AF816" s="3">
        <v>1128</v>
      </c>
      <c r="AG816" s="3">
        <v>44</v>
      </c>
      <c r="AH816">
        <v>80</v>
      </c>
      <c r="AI816">
        <v>7</v>
      </c>
      <c r="AJ816">
        <v>0</v>
      </c>
      <c r="AL816">
        <v>0</v>
      </c>
      <c r="AM816">
        <v>1</v>
      </c>
      <c r="AN816" t="s">
        <v>768</v>
      </c>
      <c r="AO816" t="s">
        <v>41</v>
      </c>
    </row>
    <row r="817" spans="1:41" x14ac:dyDescent="0.25">
      <c r="A817">
        <v>30</v>
      </c>
      <c r="B817" t="s">
        <v>32</v>
      </c>
      <c r="C817" t="s">
        <v>33</v>
      </c>
      <c r="D817">
        <v>20</v>
      </c>
      <c r="E817" t="s">
        <v>34</v>
      </c>
      <c r="F817">
        <v>3</v>
      </c>
      <c r="G817">
        <v>2</v>
      </c>
      <c r="H817" t="s">
        <v>78</v>
      </c>
      <c r="I817">
        <v>1</v>
      </c>
      <c r="J817" t="s">
        <v>51</v>
      </c>
      <c r="K817">
        <v>9957</v>
      </c>
      <c r="L817">
        <v>0</v>
      </c>
      <c r="M817" t="s">
        <v>41</v>
      </c>
      <c r="N817">
        <v>15</v>
      </c>
      <c r="O817">
        <v>3</v>
      </c>
      <c r="P817">
        <v>1</v>
      </c>
      <c r="Q817">
        <v>7</v>
      </c>
      <c r="R817">
        <v>1</v>
      </c>
      <c r="S817">
        <v>6</v>
      </c>
      <c r="T817">
        <v>0</v>
      </c>
      <c r="U817">
        <v>2</v>
      </c>
      <c r="V817" t="s">
        <v>52</v>
      </c>
      <c r="W817" s="1" t="s">
        <v>411</v>
      </c>
      <c r="Y817" t="s">
        <v>54</v>
      </c>
      <c r="Z817" t="s">
        <v>40</v>
      </c>
      <c r="AA817">
        <v>3</v>
      </c>
      <c r="AB817">
        <v>3</v>
      </c>
      <c r="AC817" t="s">
        <v>41</v>
      </c>
      <c r="AD817" t="s">
        <v>67</v>
      </c>
      <c r="AE817" t="s">
        <v>60</v>
      </c>
      <c r="AF817" s="3">
        <v>1131</v>
      </c>
      <c r="AG817" s="3">
        <v>70</v>
      </c>
      <c r="AH817">
        <v>80</v>
      </c>
      <c r="AI817">
        <v>2</v>
      </c>
      <c r="AJ817">
        <v>0</v>
      </c>
      <c r="AL817">
        <v>0</v>
      </c>
      <c r="AM817">
        <v>1</v>
      </c>
      <c r="AN817" t="s">
        <v>768</v>
      </c>
      <c r="AO817" t="s">
        <v>41</v>
      </c>
    </row>
    <row r="818" spans="1:41" x14ac:dyDescent="0.25">
      <c r="A818">
        <v>34</v>
      </c>
      <c r="B818" t="s">
        <v>66</v>
      </c>
      <c r="C818" t="s">
        <v>33</v>
      </c>
      <c r="D818">
        <v>3</v>
      </c>
      <c r="E818" t="s">
        <v>34</v>
      </c>
      <c r="F818">
        <v>3</v>
      </c>
      <c r="G818">
        <v>2</v>
      </c>
      <c r="H818" t="s">
        <v>89</v>
      </c>
      <c r="I818">
        <v>4</v>
      </c>
      <c r="J818" t="s">
        <v>36</v>
      </c>
      <c r="K818">
        <v>7756</v>
      </c>
      <c r="L818">
        <v>0</v>
      </c>
      <c r="M818" t="s">
        <v>41</v>
      </c>
      <c r="N818">
        <v>17</v>
      </c>
      <c r="O818">
        <v>3</v>
      </c>
      <c r="P818">
        <v>0</v>
      </c>
      <c r="Q818">
        <v>7</v>
      </c>
      <c r="R818">
        <v>1</v>
      </c>
      <c r="S818">
        <v>6</v>
      </c>
      <c r="T818">
        <v>0</v>
      </c>
      <c r="U818">
        <v>4</v>
      </c>
      <c r="V818" t="s">
        <v>37</v>
      </c>
      <c r="W818" s="2">
        <v>42250</v>
      </c>
      <c r="Y818" t="s">
        <v>54</v>
      </c>
      <c r="Z818" t="s">
        <v>47</v>
      </c>
      <c r="AA818">
        <v>5</v>
      </c>
      <c r="AB818">
        <v>2</v>
      </c>
      <c r="AC818" t="s">
        <v>31</v>
      </c>
      <c r="AD818" t="s">
        <v>67</v>
      </c>
      <c r="AE818" t="s">
        <v>43</v>
      </c>
      <c r="AF818" s="3">
        <v>1132</v>
      </c>
      <c r="AG818" s="3">
        <v>70</v>
      </c>
      <c r="AH818">
        <v>80</v>
      </c>
      <c r="AI818">
        <v>4</v>
      </c>
      <c r="AJ818">
        <v>0</v>
      </c>
      <c r="AL818">
        <v>0</v>
      </c>
      <c r="AM818">
        <v>1</v>
      </c>
      <c r="AN818" t="s">
        <v>768</v>
      </c>
      <c r="AO818" t="s">
        <v>41</v>
      </c>
    </row>
    <row r="819" spans="1:41" x14ac:dyDescent="0.25">
      <c r="A819">
        <v>37</v>
      </c>
      <c r="B819" t="s">
        <v>32</v>
      </c>
      <c r="C819" t="s">
        <v>33</v>
      </c>
      <c r="D819">
        <v>25</v>
      </c>
      <c r="E819" t="s">
        <v>61</v>
      </c>
      <c r="F819">
        <v>2</v>
      </c>
      <c r="G819">
        <v>2</v>
      </c>
      <c r="H819" t="s">
        <v>89</v>
      </c>
      <c r="I819">
        <v>4</v>
      </c>
      <c r="J819" t="s">
        <v>57</v>
      </c>
      <c r="K819">
        <v>5731</v>
      </c>
      <c r="L819">
        <v>7</v>
      </c>
      <c r="M819" t="s">
        <v>41</v>
      </c>
      <c r="N819">
        <v>13</v>
      </c>
      <c r="O819">
        <v>3</v>
      </c>
      <c r="P819">
        <v>2</v>
      </c>
      <c r="Q819">
        <v>9</v>
      </c>
      <c r="R819">
        <v>2</v>
      </c>
      <c r="S819">
        <v>6</v>
      </c>
      <c r="T819">
        <v>1</v>
      </c>
      <c r="U819">
        <v>3</v>
      </c>
      <c r="V819" t="s">
        <v>72</v>
      </c>
      <c r="W819" s="1" t="s">
        <v>412</v>
      </c>
      <c r="Y819" t="s">
        <v>54</v>
      </c>
      <c r="Z819" t="s">
        <v>47</v>
      </c>
      <c r="AA819">
        <v>5</v>
      </c>
      <c r="AB819">
        <v>2</v>
      </c>
      <c r="AC819" t="s">
        <v>41</v>
      </c>
      <c r="AD819" t="s">
        <v>48</v>
      </c>
      <c r="AE819" t="s">
        <v>60</v>
      </c>
      <c r="AF819" s="3">
        <v>1133</v>
      </c>
      <c r="AG819" s="3">
        <v>78</v>
      </c>
      <c r="AH819">
        <v>80</v>
      </c>
      <c r="AI819">
        <v>9</v>
      </c>
      <c r="AJ819">
        <v>0</v>
      </c>
      <c r="AL819">
        <v>0</v>
      </c>
      <c r="AM819">
        <v>1</v>
      </c>
      <c r="AN819" t="s">
        <v>768</v>
      </c>
      <c r="AO819" t="s">
        <v>41</v>
      </c>
    </row>
    <row r="820" spans="1:41" x14ac:dyDescent="0.25">
      <c r="A820">
        <v>34</v>
      </c>
      <c r="B820" t="s">
        <v>32</v>
      </c>
      <c r="C820" t="s">
        <v>55</v>
      </c>
      <c r="D820">
        <v>9</v>
      </c>
      <c r="E820" t="s">
        <v>61</v>
      </c>
      <c r="F820">
        <v>3</v>
      </c>
      <c r="G820">
        <v>2</v>
      </c>
      <c r="H820" t="s">
        <v>70</v>
      </c>
      <c r="I820">
        <v>3</v>
      </c>
      <c r="J820" t="s">
        <v>51</v>
      </c>
      <c r="K820">
        <v>5714</v>
      </c>
      <c r="L820">
        <v>1</v>
      </c>
      <c r="M820" t="s">
        <v>41</v>
      </c>
      <c r="N820">
        <v>20</v>
      </c>
      <c r="O820">
        <v>4</v>
      </c>
      <c r="P820">
        <v>0</v>
      </c>
      <c r="Q820">
        <v>6</v>
      </c>
      <c r="R820">
        <v>3</v>
      </c>
      <c r="S820">
        <v>6</v>
      </c>
      <c r="T820">
        <v>1</v>
      </c>
      <c r="U820">
        <v>3</v>
      </c>
      <c r="V820" t="s">
        <v>58</v>
      </c>
      <c r="W820" s="1" t="s">
        <v>413</v>
      </c>
      <c r="Y820" t="s">
        <v>46</v>
      </c>
      <c r="Z820" t="s">
        <v>40</v>
      </c>
      <c r="AA820">
        <v>5</v>
      </c>
      <c r="AB820">
        <v>3</v>
      </c>
      <c r="AC820" t="s">
        <v>31</v>
      </c>
      <c r="AD820" t="s">
        <v>48</v>
      </c>
      <c r="AE820" t="s">
        <v>43</v>
      </c>
      <c r="AF820" s="3">
        <v>1135</v>
      </c>
      <c r="AG820" s="3">
        <v>67</v>
      </c>
      <c r="AH820">
        <v>80</v>
      </c>
      <c r="AI820">
        <v>2</v>
      </c>
      <c r="AJ820">
        <v>0</v>
      </c>
      <c r="AL820">
        <v>0</v>
      </c>
      <c r="AM820">
        <v>1</v>
      </c>
      <c r="AN820" t="s">
        <v>768</v>
      </c>
      <c r="AO820" t="s">
        <v>41</v>
      </c>
    </row>
    <row r="821" spans="1:41" x14ac:dyDescent="0.25">
      <c r="A821">
        <v>42</v>
      </c>
      <c r="B821" t="s">
        <v>32</v>
      </c>
      <c r="C821" t="s">
        <v>55</v>
      </c>
      <c r="D821">
        <v>4</v>
      </c>
      <c r="E821" t="s">
        <v>34</v>
      </c>
      <c r="F821">
        <v>3</v>
      </c>
      <c r="G821">
        <v>2</v>
      </c>
      <c r="H821" t="s">
        <v>70</v>
      </c>
      <c r="I821">
        <v>1</v>
      </c>
      <c r="J821" t="s">
        <v>36</v>
      </c>
      <c r="K821">
        <v>5155</v>
      </c>
      <c r="L821">
        <v>7</v>
      </c>
      <c r="M821" t="s">
        <v>41</v>
      </c>
      <c r="N821">
        <v>13</v>
      </c>
      <c r="O821">
        <v>3</v>
      </c>
      <c r="P821">
        <v>0</v>
      </c>
      <c r="Q821">
        <v>9</v>
      </c>
      <c r="R821">
        <v>3</v>
      </c>
      <c r="S821">
        <v>6</v>
      </c>
      <c r="T821">
        <v>1</v>
      </c>
      <c r="U821">
        <v>5</v>
      </c>
      <c r="V821" t="s">
        <v>37</v>
      </c>
      <c r="W821" s="2">
        <v>42342</v>
      </c>
      <c r="Y821" t="s">
        <v>46</v>
      </c>
      <c r="Z821" t="s">
        <v>40</v>
      </c>
      <c r="AA821">
        <v>5</v>
      </c>
      <c r="AB821">
        <v>2</v>
      </c>
      <c r="AC821" t="s">
        <v>41</v>
      </c>
      <c r="AD821" t="s">
        <v>65</v>
      </c>
      <c r="AE821" t="s">
        <v>60</v>
      </c>
      <c r="AF821" s="3">
        <v>1136</v>
      </c>
      <c r="AG821" s="3">
        <v>67</v>
      </c>
      <c r="AH821">
        <v>80</v>
      </c>
      <c r="AI821">
        <v>3</v>
      </c>
      <c r="AJ821">
        <v>0</v>
      </c>
      <c r="AL821">
        <v>0</v>
      </c>
      <c r="AM821">
        <v>1</v>
      </c>
      <c r="AN821" t="s">
        <v>768</v>
      </c>
      <c r="AO821" t="s">
        <v>41</v>
      </c>
    </row>
    <row r="822" spans="1:41" x14ac:dyDescent="0.25">
      <c r="A822">
        <v>44</v>
      </c>
      <c r="B822" t="s">
        <v>32</v>
      </c>
      <c r="C822" t="s">
        <v>33</v>
      </c>
      <c r="D822">
        <v>10</v>
      </c>
      <c r="E822" t="s">
        <v>34</v>
      </c>
      <c r="F822">
        <v>3</v>
      </c>
      <c r="G822">
        <v>1</v>
      </c>
      <c r="H822" t="s">
        <v>44</v>
      </c>
      <c r="I822">
        <v>3</v>
      </c>
      <c r="J822" t="s">
        <v>36</v>
      </c>
      <c r="K822">
        <v>2936</v>
      </c>
      <c r="L822">
        <v>1</v>
      </c>
      <c r="M822" t="s">
        <v>31</v>
      </c>
      <c r="N822">
        <v>11</v>
      </c>
      <c r="O822">
        <v>3</v>
      </c>
      <c r="P822">
        <v>0</v>
      </c>
      <c r="Q822">
        <v>6</v>
      </c>
      <c r="R822">
        <v>4</v>
      </c>
      <c r="S822">
        <v>6</v>
      </c>
      <c r="T822">
        <v>0</v>
      </c>
      <c r="U822">
        <v>2</v>
      </c>
      <c r="V822" t="s">
        <v>58</v>
      </c>
      <c r="W822" s="2">
        <v>42341</v>
      </c>
      <c r="Y822" t="s">
        <v>69</v>
      </c>
      <c r="Z822" t="s">
        <v>40</v>
      </c>
      <c r="AA822">
        <v>3</v>
      </c>
      <c r="AB822">
        <v>3</v>
      </c>
      <c r="AC822" t="s">
        <v>31</v>
      </c>
      <c r="AD822" t="s">
        <v>65</v>
      </c>
      <c r="AE822" t="s">
        <v>60</v>
      </c>
      <c r="AF822" s="3">
        <v>1137</v>
      </c>
      <c r="AG822" s="3">
        <v>54</v>
      </c>
      <c r="AH822">
        <v>80</v>
      </c>
      <c r="AI822">
        <v>2</v>
      </c>
      <c r="AJ822">
        <v>0</v>
      </c>
      <c r="AL822">
        <v>0</v>
      </c>
      <c r="AM822">
        <v>1</v>
      </c>
      <c r="AN822" t="s">
        <v>768</v>
      </c>
      <c r="AO822" t="s">
        <v>41</v>
      </c>
    </row>
    <row r="823" spans="1:41" x14ac:dyDescent="0.25">
      <c r="A823">
        <v>28</v>
      </c>
      <c r="B823" t="s">
        <v>32</v>
      </c>
      <c r="C823" t="s">
        <v>33</v>
      </c>
      <c r="D823">
        <v>19</v>
      </c>
      <c r="E823" t="s">
        <v>34</v>
      </c>
      <c r="F823">
        <v>2</v>
      </c>
      <c r="G823">
        <v>1</v>
      </c>
      <c r="H823" t="s">
        <v>35</v>
      </c>
      <c r="I823">
        <v>1</v>
      </c>
      <c r="J823" t="s">
        <v>51</v>
      </c>
      <c r="K823">
        <v>3196</v>
      </c>
      <c r="L823">
        <v>1</v>
      </c>
      <c r="M823" t="s">
        <v>41</v>
      </c>
      <c r="N823">
        <v>12</v>
      </c>
      <c r="O823">
        <v>3</v>
      </c>
      <c r="P823">
        <v>3</v>
      </c>
      <c r="Q823">
        <v>6</v>
      </c>
      <c r="R823">
        <v>2</v>
      </c>
      <c r="S823">
        <v>6</v>
      </c>
      <c r="T823">
        <v>3</v>
      </c>
      <c r="U823">
        <v>3</v>
      </c>
      <c r="V823" t="s">
        <v>52</v>
      </c>
      <c r="W823" s="1" t="s">
        <v>394</v>
      </c>
      <c r="Y823" t="s">
        <v>63</v>
      </c>
      <c r="Z823" t="s">
        <v>47</v>
      </c>
      <c r="AA823">
        <v>0</v>
      </c>
      <c r="AB823">
        <v>3</v>
      </c>
      <c r="AC823" t="s">
        <v>41</v>
      </c>
      <c r="AD823" t="s">
        <v>42</v>
      </c>
      <c r="AE823" t="s">
        <v>49</v>
      </c>
      <c r="AF823" s="3">
        <v>1138</v>
      </c>
      <c r="AG823" s="3">
        <v>56</v>
      </c>
      <c r="AH823">
        <v>80</v>
      </c>
      <c r="AI823">
        <v>8</v>
      </c>
      <c r="AJ823">
        <v>0</v>
      </c>
      <c r="AL823">
        <v>0</v>
      </c>
      <c r="AM823">
        <v>1</v>
      </c>
      <c r="AN823" t="s">
        <v>768</v>
      </c>
      <c r="AO823" t="s">
        <v>41</v>
      </c>
    </row>
    <row r="824" spans="1:41" x14ac:dyDescent="0.25">
      <c r="A824">
        <v>46</v>
      </c>
      <c r="B824" t="s">
        <v>32</v>
      </c>
      <c r="C824" t="s">
        <v>33</v>
      </c>
      <c r="D824">
        <v>2</v>
      </c>
      <c r="E824" t="s">
        <v>34</v>
      </c>
      <c r="F824">
        <v>3</v>
      </c>
      <c r="G824">
        <v>2</v>
      </c>
      <c r="H824" t="s">
        <v>78</v>
      </c>
      <c r="I824">
        <v>4</v>
      </c>
      <c r="J824" t="s">
        <v>57</v>
      </c>
      <c r="K824">
        <v>7379</v>
      </c>
      <c r="L824">
        <v>2</v>
      </c>
      <c r="M824" t="s">
        <v>41</v>
      </c>
      <c r="N824">
        <v>11</v>
      </c>
      <c r="O824">
        <v>3</v>
      </c>
      <c r="P824">
        <v>1</v>
      </c>
      <c r="Q824">
        <v>12</v>
      </c>
      <c r="R824">
        <v>3</v>
      </c>
      <c r="S824">
        <v>6</v>
      </c>
      <c r="T824">
        <v>1</v>
      </c>
      <c r="U824">
        <v>4</v>
      </c>
      <c r="V824" t="s">
        <v>52</v>
      </c>
      <c r="W824" s="1" t="s">
        <v>414</v>
      </c>
      <c r="Y824" t="s">
        <v>63</v>
      </c>
      <c r="Z824" t="s">
        <v>47</v>
      </c>
      <c r="AA824">
        <v>2</v>
      </c>
      <c r="AB824">
        <v>1</v>
      </c>
      <c r="AC824" t="s">
        <v>31</v>
      </c>
      <c r="AD824" t="s">
        <v>42</v>
      </c>
      <c r="AE824" t="s">
        <v>43</v>
      </c>
      <c r="AF824" s="3">
        <v>1140</v>
      </c>
      <c r="AG824" s="3">
        <v>95</v>
      </c>
      <c r="AH824">
        <v>80</v>
      </c>
      <c r="AI824">
        <v>2</v>
      </c>
      <c r="AJ824">
        <v>0</v>
      </c>
      <c r="AL824">
        <v>0</v>
      </c>
      <c r="AM824">
        <v>1</v>
      </c>
      <c r="AN824" t="s">
        <v>768</v>
      </c>
      <c r="AO824" t="s">
        <v>41</v>
      </c>
    </row>
    <row r="825" spans="1:41" x14ac:dyDescent="0.25">
      <c r="A825">
        <v>31</v>
      </c>
      <c r="B825" t="s">
        <v>32</v>
      </c>
      <c r="C825" t="s">
        <v>33</v>
      </c>
      <c r="D825">
        <v>11</v>
      </c>
      <c r="E825" t="s">
        <v>34</v>
      </c>
      <c r="F825">
        <v>3</v>
      </c>
      <c r="G825">
        <v>2</v>
      </c>
      <c r="H825" t="s">
        <v>89</v>
      </c>
      <c r="I825">
        <v>1</v>
      </c>
      <c r="J825" t="s">
        <v>51</v>
      </c>
      <c r="K825">
        <v>6833</v>
      </c>
      <c r="L825">
        <v>1</v>
      </c>
      <c r="M825" t="s">
        <v>31</v>
      </c>
      <c r="N825">
        <v>12</v>
      </c>
      <c r="O825">
        <v>3</v>
      </c>
      <c r="P825">
        <v>0</v>
      </c>
      <c r="Q825">
        <v>6</v>
      </c>
      <c r="R825">
        <v>2</v>
      </c>
      <c r="S825">
        <v>6</v>
      </c>
      <c r="T825">
        <v>0</v>
      </c>
      <c r="U825">
        <v>1</v>
      </c>
      <c r="V825" t="s">
        <v>37</v>
      </c>
      <c r="W825" s="2">
        <v>42158</v>
      </c>
      <c r="Y825" t="s">
        <v>39</v>
      </c>
      <c r="Z825" t="s">
        <v>47</v>
      </c>
      <c r="AA825">
        <v>4</v>
      </c>
      <c r="AB825">
        <v>3</v>
      </c>
      <c r="AC825" t="s">
        <v>41</v>
      </c>
      <c r="AD825" t="s">
        <v>42</v>
      </c>
      <c r="AE825" t="s">
        <v>43</v>
      </c>
      <c r="AF825" s="3">
        <v>1143</v>
      </c>
      <c r="AG825" s="3">
        <v>61</v>
      </c>
      <c r="AH825">
        <v>80</v>
      </c>
      <c r="AI825">
        <v>5</v>
      </c>
      <c r="AJ825">
        <v>0</v>
      </c>
      <c r="AL825">
        <v>0</v>
      </c>
      <c r="AM825">
        <v>1</v>
      </c>
      <c r="AN825" t="s">
        <v>768</v>
      </c>
      <c r="AO825" t="s">
        <v>41</v>
      </c>
    </row>
    <row r="826" spans="1:41" x14ac:dyDescent="0.25">
      <c r="A826">
        <v>59</v>
      </c>
      <c r="B826" t="s">
        <v>32</v>
      </c>
      <c r="C826" t="s">
        <v>55</v>
      </c>
      <c r="D826">
        <v>3</v>
      </c>
      <c r="E826" t="s">
        <v>61</v>
      </c>
      <c r="F826">
        <v>2</v>
      </c>
      <c r="G826">
        <v>2</v>
      </c>
      <c r="H826" t="s">
        <v>70</v>
      </c>
      <c r="I826">
        <v>4</v>
      </c>
      <c r="J826" t="s">
        <v>36</v>
      </c>
      <c r="K826">
        <v>5171</v>
      </c>
      <c r="L826">
        <v>5</v>
      </c>
      <c r="M826" t="s">
        <v>41</v>
      </c>
      <c r="N826">
        <v>17</v>
      </c>
      <c r="O826">
        <v>3</v>
      </c>
      <c r="P826">
        <v>0</v>
      </c>
      <c r="Q826">
        <v>13</v>
      </c>
      <c r="R826">
        <v>2</v>
      </c>
      <c r="S826">
        <v>6</v>
      </c>
      <c r="T826">
        <v>0</v>
      </c>
      <c r="U826">
        <v>5</v>
      </c>
      <c r="V826" t="s">
        <v>52</v>
      </c>
      <c r="W826" s="2">
        <v>42344</v>
      </c>
      <c r="Y826" t="s">
        <v>54</v>
      </c>
      <c r="Z826" t="s">
        <v>47</v>
      </c>
      <c r="AA826">
        <v>5</v>
      </c>
      <c r="AB826">
        <v>0</v>
      </c>
      <c r="AC826" t="s">
        <v>41</v>
      </c>
      <c r="AD826" t="s">
        <v>42</v>
      </c>
      <c r="AE826" t="s">
        <v>43</v>
      </c>
      <c r="AF826" s="3">
        <v>1148</v>
      </c>
      <c r="AG826" s="3">
        <v>56</v>
      </c>
      <c r="AH826">
        <v>80</v>
      </c>
      <c r="AI826">
        <v>0</v>
      </c>
      <c r="AJ826">
        <v>0</v>
      </c>
      <c r="AL826">
        <v>0</v>
      </c>
      <c r="AM826">
        <v>1</v>
      </c>
      <c r="AN826" t="s">
        <v>768</v>
      </c>
      <c r="AO826" t="s">
        <v>41</v>
      </c>
    </row>
    <row r="827" spans="1:41" x14ac:dyDescent="0.25">
      <c r="A827">
        <v>29</v>
      </c>
      <c r="B827" t="s">
        <v>32</v>
      </c>
      <c r="C827" t="s">
        <v>33</v>
      </c>
      <c r="D827">
        <v>7</v>
      </c>
      <c r="E827" t="s">
        <v>34</v>
      </c>
      <c r="F827">
        <v>3</v>
      </c>
      <c r="G827">
        <v>2</v>
      </c>
      <c r="H827" t="s">
        <v>89</v>
      </c>
      <c r="I827">
        <v>4</v>
      </c>
      <c r="J827" t="s">
        <v>57</v>
      </c>
      <c r="K827">
        <v>6623</v>
      </c>
      <c r="L827">
        <v>1</v>
      </c>
      <c r="M827" t="s">
        <v>31</v>
      </c>
      <c r="N827">
        <v>11</v>
      </c>
      <c r="O827">
        <v>3</v>
      </c>
      <c r="P827">
        <v>2</v>
      </c>
      <c r="Q827">
        <v>6</v>
      </c>
      <c r="R827">
        <v>2</v>
      </c>
      <c r="S827">
        <v>6</v>
      </c>
      <c r="T827">
        <v>1</v>
      </c>
      <c r="U827">
        <v>0</v>
      </c>
      <c r="V827" t="s">
        <v>52</v>
      </c>
      <c r="W827" s="2">
        <v>42068</v>
      </c>
      <c r="Y827" t="s">
        <v>54</v>
      </c>
      <c r="Z827" t="s">
        <v>40</v>
      </c>
      <c r="AA827">
        <v>2</v>
      </c>
      <c r="AB827">
        <v>0</v>
      </c>
      <c r="AC827" t="s">
        <v>41</v>
      </c>
      <c r="AD827" t="s">
        <v>67</v>
      </c>
      <c r="AE827" t="s">
        <v>49</v>
      </c>
      <c r="AF827" s="3">
        <v>1150</v>
      </c>
      <c r="AG827" s="3">
        <v>79</v>
      </c>
      <c r="AH827">
        <v>80</v>
      </c>
      <c r="AI827">
        <v>7</v>
      </c>
      <c r="AJ827">
        <v>0</v>
      </c>
      <c r="AL827">
        <v>0</v>
      </c>
      <c r="AM827">
        <v>1</v>
      </c>
      <c r="AN827" t="s">
        <v>768</v>
      </c>
      <c r="AO827" t="s">
        <v>41</v>
      </c>
    </row>
    <row r="828" spans="1:41" x14ac:dyDescent="0.25">
      <c r="A828">
        <v>27</v>
      </c>
      <c r="B828" t="s">
        <v>66</v>
      </c>
      <c r="C828" t="s">
        <v>55</v>
      </c>
      <c r="D828">
        <v>2</v>
      </c>
      <c r="E828" t="s">
        <v>34</v>
      </c>
      <c r="F828">
        <v>1</v>
      </c>
      <c r="G828">
        <v>2</v>
      </c>
      <c r="H828" t="s">
        <v>70</v>
      </c>
      <c r="I828">
        <v>4</v>
      </c>
      <c r="J828" t="s">
        <v>36</v>
      </c>
      <c r="K828">
        <v>5071</v>
      </c>
      <c r="L828">
        <v>3</v>
      </c>
      <c r="M828" t="s">
        <v>41</v>
      </c>
      <c r="N828">
        <v>20</v>
      </c>
      <c r="O828">
        <v>4</v>
      </c>
      <c r="P828">
        <v>0</v>
      </c>
      <c r="Q828">
        <v>8</v>
      </c>
      <c r="R828">
        <v>3</v>
      </c>
      <c r="S828">
        <v>6</v>
      </c>
      <c r="T828">
        <v>0</v>
      </c>
      <c r="U828">
        <v>0</v>
      </c>
      <c r="V828" t="s">
        <v>58</v>
      </c>
      <c r="W828" s="1" t="s">
        <v>415</v>
      </c>
      <c r="Y828" t="s">
        <v>39</v>
      </c>
      <c r="Z828" t="s">
        <v>47</v>
      </c>
      <c r="AA828">
        <v>5</v>
      </c>
      <c r="AB828">
        <v>3</v>
      </c>
      <c r="AC828" t="s">
        <v>41</v>
      </c>
      <c r="AD828" t="s">
        <v>65</v>
      </c>
      <c r="AE828" t="s">
        <v>43</v>
      </c>
      <c r="AF828" s="3">
        <v>1152</v>
      </c>
      <c r="AG828" s="3">
        <v>37</v>
      </c>
      <c r="AH828">
        <v>80</v>
      </c>
      <c r="AI828">
        <v>6</v>
      </c>
      <c r="AJ828">
        <v>0</v>
      </c>
      <c r="AL828">
        <v>0</v>
      </c>
      <c r="AM828">
        <v>1</v>
      </c>
      <c r="AN828" t="s">
        <v>768</v>
      </c>
      <c r="AO828" t="s">
        <v>41</v>
      </c>
    </row>
    <row r="829" spans="1:41" x14ac:dyDescent="0.25">
      <c r="A829">
        <v>41</v>
      </c>
      <c r="B829" t="s">
        <v>66</v>
      </c>
      <c r="C829" t="s">
        <v>33</v>
      </c>
      <c r="D829">
        <v>22</v>
      </c>
      <c r="E829" t="s">
        <v>61</v>
      </c>
      <c r="F829">
        <v>3</v>
      </c>
      <c r="G829">
        <v>2</v>
      </c>
      <c r="H829" t="s">
        <v>44</v>
      </c>
      <c r="I829">
        <v>4</v>
      </c>
      <c r="J829" t="s">
        <v>57</v>
      </c>
      <c r="K829">
        <v>5467</v>
      </c>
      <c r="L829">
        <v>3</v>
      </c>
      <c r="M829" t="s">
        <v>31</v>
      </c>
      <c r="N829">
        <v>14</v>
      </c>
      <c r="O829">
        <v>3</v>
      </c>
      <c r="P829">
        <v>2</v>
      </c>
      <c r="Q829">
        <v>12</v>
      </c>
      <c r="R829">
        <v>4</v>
      </c>
      <c r="S829">
        <v>6</v>
      </c>
      <c r="T829">
        <v>3</v>
      </c>
      <c r="U829">
        <v>3</v>
      </c>
      <c r="V829" t="s">
        <v>72</v>
      </c>
      <c r="W829" s="1" t="s">
        <v>407</v>
      </c>
      <c r="Y829" t="s">
        <v>46</v>
      </c>
      <c r="Z829" t="s">
        <v>47</v>
      </c>
      <c r="AA829">
        <v>4</v>
      </c>
      <c r="AB829">
        <v>3</v>
      </c>
      <c r="AC829" t="s">
        <v>41</v>
      </c>
      <c r="AD829" t="s">
        <v>67</v>
      </c>
      <c r="AE829" t="s">
        <v>43</v>
      </c>
      <c r="AF829" s="3">
        <v>1154</v>
      </c>
      <c r="AG829" s="3">
        <v>39</v>
      </c>
      <c r="AH829">
        <v>80</v>
      </c>
      <c r="AI829">
        <v>1</v>
      </c>
      <c r="AJ829">
        <v>0</v>
      </c>
      <c r="AL829">
        <v>0</v>
      </c>
      <c r="AM829">
        <v>1</v>
      </c>
      <c r="AN829" t="s">
        <v>768</v>
      </c>
      <c r="AO829" t="s">
        <v>41</v>
      </c>
    </row>
    <row r="830" spans="1:41" x14ac:dyDescent="0.25">
      <c r="A830">
        <v>37</v>
      </c>
      <c r="B830" t="s">
        <v>32</v>
      </c>
      <c r="C830" t="s">
        <v>33</v>
      </c>
      <c r="D830">
        <v>4</v>
      </c>
      <c r="E830" t="s">
        <v>34</v>
      </c>
      <c r="F830">
        <v>3</v>
      </c>
      <c r="G830">
        <v>1</v>
      </c>
      <c r="H830" t="s">
        <v>44</v>
      </c>
      <c r="I830">
        <v>3</v>
      </c>
      <c r="J830" t="s">
        <v>51</v>
      </c>
      <c r="K830">
        <v>2996</v>
      </c>
      <c r="L830">
        <v>7</v>
      </c>
      <c r="M830" t="s">
        <v>31</v>
      </c>
      <c r="N830">
        <v>15</v>
      </c>
      <c r="O830">
        <v>3</v>
      </c>
      <c r="P830">
        <v>0</v>
      </c>
      <c r="Q830">
        <v>8</v>
      </c>
      <c r="R830">
        <v>2</v>
      </c>
      <c r="S830">
        <v>6</v>
      </c>
      <c r="T830">
        <v>1</v>
      </c>
      <c r="U830">
        <v>3</v>
      </c>
      <c r="V830" t="s">
        <v>58</v>
      </c>
      <c r="W830" s="1" t="s">
        <v>416</v>
      </c>
      <c r="Y830" t="s">
        <v>63</v>
      </c>
      <c r="Z830" t="s">
        <v>40</v>
      </c>
      <c r="AA830">
        <v>3</v>
      </c>
      <c r="AB830">
        <v>1</v>
      </c>
      <c r="AC830" t="s">
        <v>41</v>
      </c>
      <c r="AD830" t="s">
        <v>48</v>
      </c>
      <c r="AE830" t="s">
        <v>60</v>
      </c>
      <c r="AF830" s="3">
        <v>1156</v>
      </c>
      <c r="AG830" s="3">
        <v>80</v>
      </c>
      <c r="AH830">
        <v>80</v>
      </c>
      <c r="AI830">
        <v>0</v>
      </c>
      <c r="AJ830">
        <v>1</v>
      </c>
      <c r="AK830">
        <v>1</v>
      </c>
      <c r="AL830">
        <v>1</v>
      </c>
      <c r="AM830">
        <v>0</v>
      </c>
      <c r="AN830" t="s">
        <v>767</v>
      </c>
      <c r="AO830" t="s">
        <v>31</v>
      </c>
    </row>
    <row r="831" spans="1:41" x14ac:dyDescent="0.25">
      <c r="A831">
        <v>39</v>
      </c>
      <c r="B831" t="s">
        <v>81</v>
      </c>
      <c r="C831" t="s">
        <v>33</v>
      </c>
      <c r="D831">
        <v>25</v>
      </c>
      <c r="E831" t="s">
        <v>34</v>
      </c>
      <c r="F831">
        <v>3</v>
      </c>
      <c r="G831">
        <v>3</v>
      </c>
      <c r="H831" t="s">
        <v>89</v>
      </c>
      <c r="I831">
        <v>3</v>
      </c>
      <c r="J831" t="s">
        <v>51</v>
      </c>
      <c r="K831">
        <v>10920</v>
      </c>
      <c r="L831">
        <v>3</v>
      </c>
      <c r="M831" t="s">
        <v>41</v>
      </c>
      <c r="N831">
        <v>21</v>
      </c>
      <c r="O831">
        <v>4</v>
      </c>
      <c r="P831">
        <v>1</v>
      </c>
      <c r="Q831">
        <v>13</v>
      </c>
      <c r="R831">
        <v>2</v>
      </c>
      <c r="S831">
        <v>6</v>
      </c>
      <c r="T831">
        <v>0</v>
      </c>
      <c r="U831">
        <v>5</v>
      </c>
      <c r="V831" t="s">
        <v>52</v>
      </c>
      <c r="W831" s="2">
        <v>42158</v>
      </c>
      <c r="Y831" t="s">
        <v>63</v>
      </c>
      <c r="Z831" t="s">
        <v>40</v>
      </c>
      <c r="AA831">
        <v>4</v>
      </c>
      <c r="AB831">
        <v>2</v>
      </c>
      <c r="AC831" t="s">
        <v>31</v>
      </c>
      <c r="AD831" t="s">
        <v>65</v>
      </c>
      <c r="AE831" t="s">
        <v>43</v>
      </c>
      <c r="AF831" s="3">
        <v>1157</v>
      </c>
      <c r="AG831" s="3">
        <v>77</v>
      </c>
      <c r="AH831">
        <v>80</v>
      </c>
      <c r="AI831">
        <v>2</v>
      </c>
      <c r="AJ831">
        <v>1</v>
      </c>
      <c r="AK831">
        <v>1</v>
      </c>
      <c r="AL831">
        <v>1</v>
      </c>
      <c r="AM831">
        <v>0</v>
      </c>
      <c r="AN831" t="s">
        <v>767</v>
      </c>
      <c r="AO831" t="s">
        <v>31</v>
      </c>
    </row>
    <row r="832" spans="1:41" x14ac:dyDescent="0.25">
      <c r="A832">
        <v>27</v>
      </c>
      <c r="B832" t="s">
        <v>32</v>
      </c>
      <c r="C832" t="s">
        <v>55</v>
      </c>
      <c r="D832">
        <v>10</v>
      </c>
      <c r="E832" t="s">
        <v>61</v>
      </c>
      <c r="F832">
        <v>2</v>
      </c>
      <c r="G832">
        <v>2</v>
      </c>
      <c r="H832" t="s">
        <v>70</v>
      </c>
      <c r="I832">
        <v>4</v>
      </c>
      <c r="J832" t="s">
        <v>51</v>
      </c>
      <c r="K832">
        <v>5769</v>
      </c>
      <c r="L832">
        <v>1</v>
      </c>
      <c r="M832" t="s">
        <v>31</v>
      </c>
      <c r="N832">
        <v>11</v>
      </c>
      <c r="O832">
        <v>3</v>
      </c>
      <c r="P832">
        <v>0</v>
      </c>
      <c r="Q832">
        <v>6</v>
      </c>
      <c r="R832">
        <v>3</v>
      </c>
      <c r="S832">
        <v>6</v>
      </c>
      <c r="T832">
        <v>4</v>
      </c>
      <c r="U832">
        <v>4</v>
      </c>
      <c r="V832" t="s">
        <v>37</v>
      </c>
      <c r="W832" s="1" t="s">
        <v>417</v>
      </c>
      <c r="Y832" t="s">
        <v>54</v>
      </c>
      <c r="Z832" t="s">
        <v>47</v>
      </c>
      <c r="AA832">
        <v>0</v>
      </c>
      <c r="AB832">
        <v>2</v>
      </c>
      <c r="AC832" t="s">
        <v>41</v>
      </c>
      <c r="AD832" t="s">
        <v>42</v>
      </c>
      <c r="AE832" t="s">
        <v>49</v>
      </c>
      <c r="AF832" s="3">
        <v>1158</v>
      </c>
      <c r="AG832" s="3">
        <v>46</v>
      </c>
      <c r="AH832">
        <v>80</v>
      </c>
      <c r="AI832">
        <v>0</v>
      </c>
      <c r="AJ832">
        <v>0</v>
      </c>
      <c r="AL832">
        <v>0</v>
      </c>
      <c r="AM832">
        <v>1</v>
      </c>
      <c r="AN832" t="s">
        <v>768</v>
      </c>
      <c r="AO832" t="s">
        <v>41</v>
      </c>
    </row>
    <row r="833" spans="1:41" x14ac:dyDescent="0.25">
      <c r="A833">
        <v>47</v>
      </c>
      <c r="B833" t="s">
        <v>32</v>
      </c>
      <c r="C833" t="s">
        <v>33</v>
      </c>
      <c r="D833">
        <v>1</v>
      </c>
      <c r="E833" t="s">
        <v>34</v>
      </c>
      <c r="F833">
        <v>3</v>
      </c>
      <c r="G833">
        <v>1</v>
      </c>
      <c r="H833" t="s">
        <v>44</v>
      </c>
      <c r="I833">
        <v>4</v>
      </c>
      <c r="J833" t="s">
        <v>51</v>
      </c>
      <c r="K833">
        <v>3420</v>
      </c>
      <c r="L833">
        <v>7</v>
      </c>
      <c r="M833" t="s">
        <v>41</v>
      </c>
      <c r="N833">
        <v>12</v>
      </c>
      <c r="O833">
        <v>3</v>
      </c>
      <c r="P833">
        <v>1</v>
      </c>
      <c r="Q833">
        <v>17</v>
      </c>
      <c r="R833">
        <v>2</v>
      </c>
      <c r="S833">
        <v>6</v>
      </c>
      <c r="T833">
        <v>1</v>
      </c>
      <c r="U833">
        <v>2</v>
      </c>
      <c r="V833" t="s">
        <v>72</v>
      </c>
      <c r="W833" s="1" t="s">
        <v>408</v>
      </c>
      <c r="Y833" t="s">
        <v>63</v>
      </c>
      <c r="Z833" t="s">
        <v>47</v>
      </c>
      <c r="AA833">
        <v>2</v>
      </c>
      <c r="AB833">
        <v>1</v>
      </c>
      <c r="AC833" t="s">
        <v>41</v>
      </c>
      <c r="AD833" t="s">
        <v>42</v>
      </c>
      <c r="AE833" t="s">
        <v>60</v>
      </c>
      <c r="AF833" s="3">
        <v>1160</v>
      </c>
      <c r="AG833" s="3">
        <v>72</v>
      </c>
      <c r="AH833">
        <v>80</v>
      </c>
      <c r="AI833">
        <v>2</v>
      </c>
      <c r="AJ833">
        <v>1</v>
      </c>
      <c r="AK833">
        <v>1</v>
      </c>
      <c r="AL833">
        <v>1</v>
      </c>
      <c r="AM833">
        <v>0</v>
      </c>
      <c r="AN833" t="s">
        <v>767</v>
      </c>
      <c r="AO833" t="s">
        <v>31</v>
      </c>
    </row>
    <row r="834" spans="1:41" x14ac:dyDescent="0.25">
      <c r="A834">
        <v>37</v>
      </c>
      <c r="B834" t="s">
        <v>81</v>
      </c>
      <c r="C834" t="s">
        <v>33</v>
      </c>
      <c r="D834">
        <v>5</v>
      </c>
      <c r="E834" t="s">
        <v>34</v>
      </c>
      <c r="F834">
        <v>4</v>
      </c>
      <c r="G834">
        <v>1</v>
      </c>
      <c r="H834" t="s">
        <v>35</v>
      </c>
      <c r="I834">
        <v>3</v>
      </c>
      <c r="J834" t="s">
        <v>36</v>
      </c>
      <c r="K834">
        <v>3500</v>
      </c>
      <c r="L834">
        <v>0</v>
      </c>
      <c r="M834" t="s">
        <v>41</v>
      </c>
      <c r="N834">
        <v>14</v>
      </c>
      <c r="O834">
        <v>3</v>
      </c>
      <c r="P834">
        <v>0</v>
      </c>
      <c r="Q834">
        <v>7</v>
      </c>
      <c r="R834">
        <v>2</v>
      </c>
      <c r="S834">
        <v>6</v>
      </c>
      <c r="T834">
        <v>1</v>
      </c>
      <c r="U834">
        <v>3</v>
      </c>
      <c r="V834" t="s">
        <v>58</v>
      </c>
      <c r="W834" s="1" t="s">
        <v>418</v>
      </c>
      <c r="Y834" t="s">
        <v>63</v>
      </c>
      <c r="Z834" t="s">
        <v>47</v>
      </c>
      <c r="AA834">
        <v>4</v>
      </c>
      <c r="AB834">
        <v>0</v>
      </c>
      <c r="AC834" t="s">
        <v>41</v>
      </c>
      <c r="AD834" t="s">
        <v>65</v>
      </c>
      <c r="AE834" t="s">
        <v>49</v>
      </c>
      <c r="AF834" s="3">
        <v>1161</v>
      </c>
      <c r="AG834" s="3">
        <v>52</v>
      </c>
      <c r="AH834">
        <v>80</v>
      </c>
      <c r="AI834">
        <v>2</v>
      </c>
      <c r="AJ834">
        <v>0</v>
      </c>
      <c r="AL834">
        <v>0</v>
      </c>
      <c r="AM834">
        <v>1</v>
      </c>
      <c r="AN834" t="s">
        <v>768</v>
      </c>
      <c r="AO834" t="s">
        <v>41</v>
      </c>
    </row>
    <row r="835" spans="1:41" x14ac:dyDescent="0.25">
      <c r="A835">
        <v>38</v>
      </c>
      <c r="B835" t="s">
        <v>66</v>
      </c>
      <c r="C835" t="s">
        <v>120</v>
      </c>
      <c r="D835">
        <v>10</v>
      </c>
      <c r="E835" t="s">
        <v>34</v>
      </c>
      <c r="F835">
        <v>3</v>
      </c>
      <c r="G835">
        <v>2</v>
      </c>
      <c r="H835" t="s">
        <v>120</v>
      </c>
      <c r="I835">
        <v>3</v>
      </c>
      <c r="J835" t="s">
        <v>51</v>
      </c>
      <c r="K835">
        <v>6077</v>
      </c>
      <c r="L835">
        <v>3</v>
      </c>
      <c r="M835" t="s">
        <v>41</v>
      </c>
      <c r="N835">
        <v>11</v>
      </c>
      <c r="O835">
        <v>3</v>
      </c>
      <c r="P835">
        <v>0</v>
      </c>
      <c r="Q835">
        <v>10</v>
      </c>
      <c r="R835">
        <v>2</v>
      </c>
      <c r="S835">
        <v>6</v>
      </c>
      <c r="T835">
        <v>1</v>
      </c>
      <c r="U835">
        <v>2</v>
      </c>
      <c r="V835" t="s">
        <v>52</v>
      </c>
      <c r="W835" s="1" t="s">
        <v>419</v>
      </c>
      <c r="Y835" t="s">
        <v>39</v>
      </c>
      <c r="Z835" t="s">
        <v>40</v>
      </c>
      <c r="AA835">
        <v>4</v>
      </c>
      <c r="AB835">
        <v>1</v>
      </c>
      <c r="AC835" t="s">
        <v>41</v>
      </c>
      <c r="AD835" t="s">
        <v>42</v>
      </c>
      <c r="AE835" t="s">
        <v>49</v>
      </c>
      <c r="AF835" s="3">
        <v>1162</v>
      </c>
      <c r="AG835" s="3">
        <v>55</v>
      </c>
      <c r="AH835">
        <v>80</v>
      </c>
      <c r="AI835">
        <v>2</v>
      </c>
      <c r="AJ835">
        <v>0</v>
      </c>
      <c r="AL835">
        <v>0</v>
      </c>
      <c r="AM835">
        <v>1</v>
      </c>
      <c r="AN835" t="s">
        <v>768</v>
      </c>
      <c r="AO835" t="s">
        <v>41</v>
      </c>
    </row>
    <row r="836" spans="1:41" x14ac:dyDescent="0.25">
      <c r="A836">
        <v>32</v>
      </c>
      <c r="B836" t="s">
        <v>81</v>
      </c>
      <c r="C836" t="s">
        <v>33</v>
      </c>
      <c r="D836">
        <v>1</v>
      </c>
      <c r="E836" t="s">
        <v>34</v>
      </c>
      <c r="F836">
        <v>3</v>
      </c>
      <c r="G836">
        <v>2</v>
      </c>
      <c r="H836" t="s">
        <v>44</v>
      </c>
      <c r="I836">
        <v>1</v>
      </c>
      <c r="J836" t="s">
        <v>51</v>
      </c>
      <c r="K836">
        <v>4087</v>
      </c>
      <c r="L836">
        <v>4</v>
      </c>
      <c r="M836" t="s">
        <v>41</v>
      </c>
      <c r="N836">
        <v>14</v>
      </c>
      <c r="O836">
        <v>3</v>
      </c>
      <c r="P836">
        <v>1</v>
      </c>
      <c r="Q836">
        <v>9</v>
      </c>
      <c r="R836">
        <v>3</v>
      </c>
      <c r="S836">
        <v>6</v>
      </c>
      <c r="T836">
        <v>1</v>
      </c>
      <c r="U836">
        <v>2</v>
      </c>
      <c r="V836" t="s">
        <v>37</v>
      </c>
      <c r="W836" s="1" t="s">
        <v>420</v>
      </c>
      <c r="Y836" t="s">
        <v>39</v>
      </c>
      <c r="Z836" t="s">
        <v>47</v>
      </c>
      <c r="AA836">
        <v>1</v>
      </c>
      <c r="AB836">
        <v>1</v>
      </c>
      <c r="AC836" t="s">
        <v>31</v>
      </c>
      <c r="AD836" t="s">
        <v>65</v>
      </c>
      <c r="AE836" t="s">
        <v>60</v>
      </c>
      <c r="AF836" s="3">
        <v>1163</v>
      </c>
      <c r="AG836" s="3">
        <v>70</v>
      </c>
      <c r="AH836">
        <v>80</v>
      </c>
      <c r="AI836">
        <v>5</v>
      </c>
      <c r="AJ836">
        <v>0</v>
      </c>
      <c r="AL836">
        <v>0</v>
      </c>
      <c r="AM836">
        <v>1</v>
      </c>
      <c r="AN836" t="s">
        <v>768</v>
      </c>
      <c r="AO836" t="s">
        <v>41</v>
      </c>
    </row>
    <row r="837" spans="1:41" x14ac:dyDescent="0.25">
      <c r="A837">
        <v>29</v>
      </c>
      <c r="B837" t="s">
        <v>66</v>
      </c>
      <c r="C837" t="s">
        <v>33</v>
      </c>
      <c r="D837">
        <v>2</v>
      </c>
      <c r="E837" t="s">
        <v>34</v>
      </c>
      <c r="F837">
        <v>3</v>
      </c>
      <c r="G837">
        <v>2</v>
      </c>
      <c r="H837" t="s">
        <v>89</v>
      </c>
      <c r="I837">
        <v>4</v>
      </c>
      <c r="J837" t="s">
        <v>57</v>
      </c>
      <c r="K837">
        <v>8853</v>
      </c>
      <c r="L837">
        <v>1</v>
      </c>
      <c r="M837" t="s">
        <v>41</v>
      </c>
      <c r="N837">
        <v>19</v>
      </c>
      <c r="O837">
        <v>3</v>
      </c>
      <c r="P837">
        <v>1</v>
      </c>
      <c r="Q837">
        <v>6</v>
      </c>
      <c r="R837">
        <v>0</v>
      </c>
      <c r="S837">
        <v>6</v>
      </c>
      <c r="T837">
        <v>1</v>
      </c>
      <c r="U837">
        <v>3</v>
      </c>
      <c r="V837" t="s">
        <v>58</v>
      </c>
      <c r="W837" s="1" t="s">
        <v>421</v>
      </c>
      <c r="Y837" t="s">
        <v>39</v>
      </c>
      <c r="Z837" t="s">
        <v>40</v>
      </c>
      <c r="AA837">
        <v>2</v>
      </c>
      <c r="AB837">
        <v>3</v>
      </c>
      <c r="AC837" t="s">
        <v>31</v>
      </c>
      <c r="AD837" t="s">
        <v>67</v>
      </c>
      <c r="AE837" t="s">
        <v>60</v>
      </c>
      <c r="AF837" s="3">
        <v>1164</v>
      </c>
      <c r="AG837" s="3">
        <v>100</v>
      </c>
      <c r="AH837">
        <v>80</v>
      </c>
      <c r="AI837">
        <v>4</v>
      </c>
      <c r="AJ837">
        <v>0</v>
      </c>
      <c r="AL837">
        <v>0</v>
      </c>
      <c r="AM837">
        <v>1</v>
      </c>
      <c r="AN837" t="s">
        <v>768</v>
      </c>
      <c r="AO837" t="s">
        <v>41</v>
      </c>
    </row>
    <row r="838" spans="1:41" x14ac:dyDescent="0.25">
      <c r="A838">
        <v>43</v>
      </c>
      <c r="B838" t="s">
        <v>32</v>
      </c>
      <c r="C838" t="s">
        <v>33</v>
      </c>
      <c r="D838">
        <v>27</v>
      </c>
      <c r="E838" t="s">
        <v>34</v>
      </c>
      <c r="F838">
        <v>4</v>
      </c>
      <c r="G838">
        <v>1</v>
      </c>
      <c r="H838" t="s">
        <v>35</v>
      </c>
      <c r="I838">
        <v>2</v>
      </c>
      <c r="J838" t="s">
        <v>57</v>
      </c>
      <c r="K838">
        <v>4876</v>
      </c>
      <c r="L838">
        <v>5</v>
      </c>
      <c r="M838" t="s">
        <v>41</v>
      </c>
      <c r="N838">
        <v>12</v>
      </c>
      <c r="O838">
        <v>3</v>
      </c>
      <c r="P838">
        <v>1</v>
      </c>
      <c r="Q838">
        <v>8</v>
      </c>
      <c r="R838">
        <v>0</v>
      </c>
      <c r="S838">
        <v>6</v>
      </c>
      <c r="T838">
        <v>0</v>
      </c>
      <c r="U838">
        <v>2</v>
      </c>
      <c r="V838" t="s">
        <v>72</v>
      </c>
      <c r="W838" s="2">
        <v>42039</v>
      </c>
      <c r="Y838" t="s">
        <v>46</v>
      </c>
      <c r="Z838" t="s">
        <v>40</v>
      </c>
      <c r="AA838">
        <v>2</v>
      </c>
      <c r="AB838">
        <v>2</v>
      </c>
      <c r="AC838" t="s">
        <v>31</v>
      </c>
      <c r="AD838" t="s">
        <v>67</v>
      </c>
      <c r="AE838" t="s">
        <v>43</v>
      </c>
      <c r="AF838" s="3">
        <v>1165</v>
      </c>
      <c r="AG838" s="3">
        <v>45</v>
      </c>
      <c r="AH838">
        <v>80</v>
      </c>
      <c r="AI838">
        <v>8</v>
      </c>
      <c r="AJ838">
        <v>1</v>
      </c>
      <c r="AK838">
        <v>1</v>
      </c>
      <c r="AL838">
        <v>1</v>
      </c>
      <c r="AM838">
        <v>0</v>
      </c>
      <c r="AN838" t="s">
        <v>767</v>
      </c>
      <c r="AO838" t="s">
        <v>31</v>
      </c>
    </row>
    <row r="839" spans="1:41" x14ac:dyDescent="0.25">
      <c r="A839">
        <v>30</v>
      </c>
      <c r="B839" t="s">
        <v>32</v>
      </c>
      <c r="C839" t="s">
        <v>33</v>
      </c>
      <c r="D839">
        <v>7</v>
      </c>
      <c r="E839" t="s">
        <v>34</v>
      </c>
      <c r="F839">
        <v>2</v>
      </c>
      <c r="G839">
        <v>1</v>
      </c>
      <c r="H839" t="s">
        <v>44</v>
      </c>
      <c r="I839">
        <v>2</v>
      </c>
      <c r="J839" t="s">
        <v>51</v>
      </c>
      <c r="K839">
        <v>2141</v>
      </c>
      <c r="L839">
        <v>1</v>
      </c>
      <c r="M839" t="s">
        <v>41</v>
      </c>
      <c r="N839">
        <v>12</v>
      </c>
      <c r="O839">
        <v>3</v>
      </c>
      <c r="P839">
        <v>1</v>
      </c>
      <c r="Q839">
        <v>6</v>
      </c>
      <c r="R839">
        <v>3</v>
      </c>
      <c r="S839">
        <v>6</v>
      </c>
      <c r="T839">
        <v>1</v>
      </c>
      <c r="U839">
        <v>1</v>
      </c>
      <c r="V839" t="s">
        <v>37</v>
      </c>
      <c r="W839" s="1" t="s">
        <v>422</v>
      </c>
      <c r="Y839" t="s">
        <v>46</v>
      </c>
      <c r="Z839" t="s">
        <v>40</v>
      </c>
      <c r="AA839">
        <v>0</v>
      </c>
      <c r="AB839">
        <v>0</v>
      </c>
      <c r="AC839" t="s">
        <v>31</v>
      </c>
      <c r="AD839" t="s">
        <v>42</v>
      </c>
      <c r="AE839" t="s">
        <v>60</v>
      </c>
      <c r="AF839" s="3">
        <v>1166</v>
      </c>
      <c r="AG839" s="3">
        <v>88</v>
      </c>
      <c r="AH839">
        <v>80</v>
      </c>
      <c r="AI839">
        <v>7</v>
      </c>
      <c r="AJ839">
        <v>0</v>
      </c>
      <c r="AL839">
        <v>0</v>
      </c>
      <c r="AM839">
        <v>1</v>
      </c>
      <c r="AN839" t="s">
        <v>768</v>
      </c>
      <c r="AO839" t="s">
        <v>41</v>
      </c>
    </row>
    <row r="840" spans="1:41" x14ac:dyDescent="0.25">
      <c r="A840">
        <v>24</v>
      </c>
      <c r="B840" t="s">
        <v>66</v>
      </c>
      <c r="C840" t="s">
        <v>33</v>
      </c>
      <c r="D840">
        <v>2</v>
      </c>
      <c r="E840" t="s">
        <v>61</v>
      </c>
      <c r="F840">
        <v>3</v>
      </c>
      <c r="G840">
        <v>1</v>
      </c>
      <c r="H840" t="s">
        <v>44</v>
      </c>
      <c r="I840">
        <v>4</v>
      </c>
      <c r="J840" t="s">
        <v>36</v>
      </c>
      <c r="K840">
        <v>3760</v>
      </c>
      <c r="L840">
        <v>1</v>
      </c>
      <c r="M840" t="s">
        <v>31</v>
      </c>
      <c r="N840">
        <v>13</v>
      </c>
      <c r="O840">
        <v>3</v>
      </c>
      <c r="P840">
        <v>0</v>
      </c>
      <c r="Q840">
        <v>6</v>
      </c>
      <c r="R840">
        <v>2</v>
      </c>
      <c r="S840">
        <v>6</v>
      </c>
      <c r="T840">
        <v>1</v>
      </c>
      <c r="U840">
        <v>3</v>
      </c>
      <c r="V840" t="s">
        <v>72</v>
      </c>
      <c r="W840" s="1" t="s">
        <v>407</v>
      </c>
      <c r="Y840" t="s">
        <v>63</v>
      </c>
      <c r="Z840" t="s">
        <v>40</v>
      </c>
      <c r="AA840">
        <v>4</v>
      </c>
      <c r="AB840">
        <v>0</v>
      </c>
      <c r="AC840" t="s">
        <v>31</v>
      </c>
      <c r="AD840" t="s">
        <v>65</v>
      </c>
      <c r="AE840" t="s">
        <v>49</v>
      </c>
      <c r="AF840" s="3">
        <v>1167</v>
      </c>
      <c r="AG840" s="3">
        <v>44</v>
      </c>
      <c r="AH840">
        <v>80</v>
      </c>
      <c r="AI840">
        <v>9</v>
      </c>
      <c r="AJ840">
        <v>1</v>
      </c>
      <c r="AK840">
        <v>1</v>
      </c>
      <c r="AL840">
        <v>1</v>
      </c>
      <c r="AM840">
        <v>0</v>
      </c>
      <c r="AN840" t="s">
        <v>767</v>
      </c>
      <c r="AO840" t="s">
        <v>31</v>
      </c>
    </row>
    <row r="841" spans="1:41" x14ac:dyDescent="0.25">
      <c r="A841">
        <v>33</v>
      </c>
      <c r="B841" t="s">
        <v>32</v>
      </c>
      <c r="C841" t="s">
        <v>55</v>
      </c>
      <c r="D841">
        <v>2</v>
      </c>
      <c r="E841" t="s">
        <v>34</v>
      </c>
      <c r="F841">
        <v>3</v>
      </c>
      <c r="G841">
        <v>2</v>
      </c>
      <c r="H841" t="s">
        <v>70</v>
      </c>
      <c r="I841">
        <v>4</v>
      </c>
      <c r="J841" t="s">
        <v>57</v>
      </c>
      <c r="K841">
        <v>5505</v>
      </c>
      <c r="L841">
        <v>1</v>
      </c>
      <c r="M841" t="s">
        <v>41</v>
      </c>
      <c r="N841">
        <v>14</v>
      </c>
      <c r="O841">
        <v>3</v>
      </c>
      <c r="P841">
        <v>2</v>
      </c>
      <c r="Q841">
        <v>6</v>
      </c>
      <c r="R841">
        <v>5</v>
      </c>
      <c r="S841">
        <v>6</v>
      </c>
      <c r="T841">
        <v>0</v>
      </c>
      <c r="U841">
        <v>4</v>
      </c>
      <c r="V841" t="s">
        <v>37</v>
      </c>
      <c r="W841" s="1" t="s">
        <v>423</v>
      </c>
      <c r="Y841" t="s">
        <v>69</v>
      </c>
      <c r="Z841" t="s">
        <v>47</v>
      </c>
      <c r="AA841">
        <v>3</v>
      </c>
      <c r="AB841">
        <v>2</v>
      </c>
      <c r="AC841" t="s">
        <v>31</v>
      </c>
      <c r="AD841" t="s">
        <v>42</v>
      </c>
      <c r="AE841" t="s">
        <v>60</v>
      </c>
      <c r="AF841" s="3">
        <v>1171</v>
      </c>
      <c r="AG841" s="3">
        <v>45</v>
      </c>
      <c r="AH841">
        <v>80</v>
      </c>
      <c r="AI841">
        <v>4</v>
      </c>
      <c r="AJ841">
        <v>0</v>
      </c>
      <c r="AL841">
        <v>0</v>
      </c>
      <c r="AM841">
        <v>1</v>
      </c>
      <c r="AN841" t="s">
        <v>768</v>
      </c>
      <c r="AO841" t="s">
        <v>41</v>
      </c>
    </row>
    <row r="842" spans="1:41" x14ac:dyDescent="0.25">
      <c r="A842">
        <v>33</v>
      </c>
      <c r="B842" t="s">
        <v>81</v>
      </c>
      <c r="C842" t="s">
        <v>55</v>
      </c>
      <c r="D842">
        <v>16</v>
      </c>
      <c r="E842" t="s">
        <v>61</v>
      </c>
      <c r="F842">
        <v>3</v>
      </c>
      <c r="G842">
        <v>2</v>
      </c>
      <c r="H842" t="s">
        <v>70</v>
      </c>
      <c r="I842">
        <v>4</v>
      </c>
      <c r="J842" t="s">
        <v>57</v>
      </c>
      <c r="K842">
        <v>5368</v>
      </c>
      <c r="L842">
        <v>1</v>
      </c>
      <c r="M842" t="s">
        <v>31</v>
      </c>
      <c r="N842">
        <v>25</v>
      </c>
      <c r="O842">
        <v>4</v>
      </c>
      <c r="P842">
        <v>1</v>
      </c>
      <c r="Q842">
        <v>7</v>
      </c>
      <c r="R842">
        <v>2</v>
      </c>
      <c r="S842">
        <v>6</v>
      </c>
      <c r="T842">
        <v>1</v>
      </c>
      <c r="U842">
        <v>2</v>
      </c>
      <c r="V842" t="s">
        <v>37</v>
      </c>
      <c r="W842" s="2">
        <v>42156</v>
      </c>
      <c r="Y842" t="s">
        <v>39</v>
      </c>
      <c r="Z842" t="s">
        <v>40</v>
      </c>
      <c r="AA842">
        <v>0</v>
      </c>
      <c r="AB842">
        <v>0</v>
      </c>
      <c r="AC842" t="s">
        <v>41</v>
      </c>
      <c r="AD842" t="s">
        <v>67</v>
      </c>
      <c r="AE842" t="s">
        <v>60</v>
      </c>
      <c r="AF842" s="3">
        <v>1172</v>
      </c>
      <c r="AG842" s="3">
        <v>58</v>
      </c>
      <c r="AH842">
        <v>80</v>
      </c>
      <c r="AI842">
        <v>0</v>
      </c>
      <c r="AJ842">
        <v>0</v>
      </c>
      <c r="AL842">
        <v>0</v>
      </c>
      <c r="AM842">
        <v>1</v>
      </c>
      <c r="AN842" t="s">
        <v>768</v>
      </c>
      <c r="AO842" t="s">
        <v>41</v>
      </c>
    </row>
    <row r="843" spans="1:41" x14ac:dyDescent="0.25">
      <c r="A843">
        <v>37</v>
      </c>
      <c r="B843" t="s">
        <v>66</v>
      </c>
      <c r="C843" t="s">
        <v>55</v>
      </c>
      <c r="D843">
        <v>1</v>
      </c>
      <c r="E843" t="s">
        <v>34</v>
      </c>
      <c r="F843">
        <v>1</v>
      </c>
      <c r="G843">
        <v>2</v>
      </c>
      <c r="H843" t="s">
        <v>70</v>
      </c>
      <c r="I843">
        <v>4</v>
      </c>
      <c r="J843" t="s">
        <v>57</v>
      </c>
      <c r="K843">
        <v>9525</v>
      </c>
      <c r="L843">
        <v>1</v>
      </c>
      <c r="M843" t="s">
        <v>41</v>
      </c>
      <c r="N843">
        <v>14</v>
      </c>
      <c r="O843">
        <v>3</v>
      </c>
      <c r="P843">
        <v>2</v>
      </c>
      <c r="Q843">
        <v>6</v>
      </c>
      <c r="R843">
        <v>2</v>
      </c>
      <c r="S843">
        <v>6</v>
      </c>
      <c r="T843">
        <v>1</v>
      </c>
      <c r="U843">
        <v>3</v>
      </c>
      <c r="V843" t="s">
        <v>37</v>
      </c>
      <c r="W843" s="1" t="s">
        <v>396</v>
      </c>
      <c r="Y843" t="s">
        <v>69</v>
      </c>
      <c r="Z843" t="s">
        <v>40</v>
      </c>
      <c r="AA843">
        <v>3</v>
      </c>
      <c r="AB843">
        <v>3</v>
      </c>
      <c r="AC843" t="s">
        <v>41</v>
      </c>
      <c r="AD843" t="s">
        <v>42</v>
      </c>
      <c r="AE843" t="s">
        <v>43</v>
      </c>
      <c r="AF843" s="3">
        <v>1173</v>
      </c>
      <c r="AG843" s="3">
        <v>49</v>
      </c>
      <c r="AH843">
        <v>80</v>
      </c>
      <c r="AI843">
        <v>3</v>
      </c>
      <c r="AJ843">
        <v>0</v>
      </c>
      <c r="AL843">
        <v>0</v>
      </c>
      <c r="AM843">
        <v>1</v>
      </c>
      <c r="AN843" t="s">
        <v>768</v>
      </c>
      <c r="AO843" t="s">
        <v>41</v>
      </c>
    </row>
    <row r="844" spans="1:41" x14ac:dyDescent="0.25">
      <c r="A844">
        <v>24</v>
      </c>
      <c r="B844" t="s">
        <v>32</v>
      </c>
      <c r="C844" t="s">
        <v>33</v>
      </c>
      <c r="D844">
        <v>29</v>
      </c>
      <c r="E844" t="s">
        <v>34</v>
      </c>
      <c r="F844">
        <v>3</v>
      </c>
      <c r="G844">
        <v>1</v>
      </c>
      <c r="H844" t="s">
        <v>35</v>
      </c>
      <c r="I844">
        <v>1</v>
      </c>
      <c r="J844" t="s">
        <v>57</v>
      </c>
      <c r="K844">
        <v>3907</v>
      </c>
      <c r="L844">
        <v>1</v>
      </c>
      <c r="M844" t="s">
        <v>41</v>
      </c>
      <c r="N844">
        <v>13</v>
      </c>
      <c r="O844">
        <v>3</v>
      </c>
      <c r="P844">
        <v>3</v>
      </c>
      <c r="Q844">
        <v>6</v>
      </c>
      <c r="R844">
        <v>2</v>
      </c>
      <c r="S844">
        <v>6</v>
      </c>
      <c r="T844">
        <v>1</v>
      </c>
      <c r="U844">
        <v>2</v>
      </c>
      <c r="V844" t="s">
        <v>37</v>
      </c>
      <c r="W844" s="1" t="s">
        <v>408</v>
      </c>
      <c r="Y844" t="s">
        <v>39</v>
      </c>
      <c r="Z844" t="s">
        <v>47</v>
      </c>
      <c r="AA844">
        <v>4</v>
      </c>
      <c r="AB844">
        <v>1</v>
      </c>
      <c r="AC844" t="s">
        <v>31</v>
      </c>
      <c r="AD844" t="s">
        <v>48</v>
      </c>
      <c r="AE844" t="s">
        <v>49</v>
      </c>
      <c r="AF844" s="3">
        <v>1175</v>
      </c>
      <c r="AG844" s="3">
        <v>79</v>
      </c>
      <c r="AH844">
        <v>80</v>
      </c>
      <c r="AI844">
        <v>1</v>
      </c>
      <c r="AJ844">
        <v>1</v>
      </c>
      <c r="AK844">
        <v>1</v>
      </c>
      <c r="AL844">
        <v>1</v>
      </c>
      <c r="AM844">
        <v>0</v>
      </c>
      <c r="AN844" t="s">
        <v>767</v>
      </c>
      <c r="AO844" t="s">
        <v>31</v>
      </c>
    </row>
    <row r="845" spans="1:41" x14ac:dyDescent="0.25">
      <c r="A845">
        <v>27</v>
      </c>
      <c r="B845" t="s">
        <v>32</v>
      </c>
      <c r="C845" t="s">
        <v>33</v>
      </c>
      <c r="D845">
        <v>8</v>
      </c>
      <c r="E845" t="s">
        <v>61</v>
      </c>
      <c r="F845">
        <v>3</v>
      </c>
      <c r="G845">
        <v>1</v>
      </c>
      <c r="H845" t="s">
        <v>44</v>
      </c>
      <c r="I845">
        <v>4</v>
      </c>
      <c r="J845" t="s">
        <v>36</v>
      </c>
      <c r="K845">
        <v>3445</v>
      </c>
      <c r="L845">
        <v>1</v>
      </c>
      <c r="M845" t="s">
        <v>41</v>
      </c>
      <c r="N845">
        <v>11</v>
      </c>
      <c r="O845">
        <v>3</v>
      </c>
      <c r="P845">
        <v>0</v>
      </c>
      <c r="Q845">
        <v>6</v>
      </c>
      <c r="R845">
        <v>5</v>
      </c>
      <c r="S845">
        <v>6</v>
      </c>
      <c r="T845">
        <v>1</v>
      </c>
      <c r="U845">
        <v>4</v>
      </c>
      <c r="V845" t="s">
        <v>37</v>
      </c>
      <c r="W845" s="2">
        <v>42339</v>
      </c>
      <c r="Y845" t="s">
        <v>63</v>
      </c>
      <c r="Z845" t="s">
        <v>47</v>
      </c>
      <c r="AA845">
        <v>3</v>
      </c>
      <c r="AB845">
        <v>3</v>
      </c>
      <c r="AC845" t="s">
        <v>31</v>
      </c>
      <c r="AD845" t="s">
        <v>48</v>
      </c>
      <c r="AE845" t="s">
        <v>43</v>
      </c>
      <c r="AF845" s="3">
        <v>1177</v>
      </c>
      <c r="AG845" s="3">
        <v>82</v>
      </c>
      <c r="AH845">
        <v>80</v>
      </c>
      <c r="AI845">
        <v>7</v>
      </c>
      <c r="AJ845">
        <v>0</v>
      </c>
      <c r="AL845">
        <v>0</v>
      </c>
      <c r="AM845">
        <v>1</v>
      </c>
      <c r="AN845" t="s">
        <v>768</v>
      </c>
      <c r="AO845" t="s">
        <v>41</v>
      </c>
    </row>
    <row r="846" spans="1:41" x14ac:dyDescent="0.25">
      <c r="A846">
        <v>38</v>
      </c>
      <c r="B846" t="s">
        <v>66</v>
      </c>
      <c r="C846" t="s">
        <v>33</v>
      </c>
      <c r="D846">
        <v>2</v>
      </c>
      <c r="E846" t="s">
        <v>61</v>
      </c>
      <c r="F846">
        <v>2</v>
      </c>
      <c r="G846">
        <v>1</v>
      </c>
      <c r="H846" t="s">
        <v>35</v>
      </c>
      <c r="I846">
        <v>2</v>
      </c>
      <c r="J846" t="s">
        <v>51</v>
      </c>
      <c r="K846">
        <v>2468</v>
      </c>
      <c r="L846">
        <v>4</v>
      </c>
      <c r="M846" t="s">
        <v>41</v>
      </c>
      <c r="N846">
        <v>14</v>
      </c>
      <c r="O846">
        <v>3</v>
      </c>
      <c r="P846">
        <v>1</v>
      </c>
      <c r="Q846">
        <v>9</v>
      </c>
      <c r="R846">
        <v>4</v>
      </c>
      <c r="S846">
        <v>6</v>
      </c>
      <c r="T846">
        <v>0</v>
      </c>
      <c r="U846">
        <v>5</v>
      </c>
      <c r="V846" t="s">
        <v>37</v>
      </c>
      <c r="W846" s="1" t="s">
        <v>424</v>
      </c>
      <c r="Y846" t="s">
        <v>39</v>
      </c>
      <c r="Z846" t="s">
        <v>40</v>
      </c>
      <c r="AA846">
        <v>0</v>
      </c>
      <c r="AB846">
        <v>0</v>
      </c>
      <c r="AC846" t="s">
        <v>41</v>
      </c>
      <c r="AD846" t="s">
        <v>48</v>
      </c>
      <c r="AE846" t="s">
        <v>60</v>
      </c>
      <c r="AF846" s="3">
        <v>1179</v>
      </c>
      <c r="AG846" s="3">
        <v>72</v>
      </c>
      <c r="AH846">
        <v>80</v>
      </c>
      <c r="AI846">
        <v>3</v>
      </c>
      <c r="AJ846">
        <v>0</v>
      </c>
      <c r="AL846">
        <v>0</v>
      </c>
      <c r="AM846">
        <v>1</v>
      </c>
      <c r="AN846" t="s">
        <v>768</v>
      </c>
      <c r="AO846" t="s">
        <v>41</v>
      </c>
    </row>
    <row r="847" spans="1:41" x14ac:dyDescent="0.25">
      <c r="A847">
        <v>42</v>
      </c>
      <c r="B847" t="s">
        <v>81</v>
      </c>
      <c r="C847" t="s">
        <v>33</v>
      </c>
      <c r="D847">
        <v>10</v>
      </c>
      <c r="E847" t="s">
        <v>34</v>
      </c>
      <c r="F847">
        <v>3</v>
      </c>
      <c r="G847">
        <v>1</v>
      </c>
      <c r="H847" t="s">
        <v>44</v>
      </c>
      <c r="I847">
        <v>3</v>
      </c>
      <c r="J847" t="s">
        <v>51</v>
      </c>
      <c r="K847">
        <v>2936</v>
      </c>
      <c r="L847">
        <v>3</v>
      </c>
      <c r="M847" t="s">
        <v>41</v>
      </c>
      <c r="N847">
        <v>22</v>
      </c>
      <c r="O847">
        <v>4</v>
      </c>
      <c r="P847">
        <v>2</v>
      </c>
      <c r="Q847">
        <v>10</v>
      </c>
      <c r="R847">
        <v>1</v>
      </c>
      <c r="S847">
        <v>6</v>
      </c>
      <c r="T847">
        <v>3</v>
      </c>
      <c r="U847">
        <v>3</v>
      </c>
      <c r="V847" t="s">
        <v>58</v>
      </c>
      <c r="W847" s="2">
        <v>42314</v>
      </c>
      <c r="Y847" t="s">
        <v>63</v>
      </c>
      <c r="Z847" t="s">
        <v>40</v>
      </c>
      <c r="AA847">
        <v>4</v>
      </c>
      <c r="AB847">
        <v>2</v>
      </c>
      <c r="AC847" t="s">
        <v>31</v>
      </c>
      <c r="AD847" t="s">
        <v>65</v>
      </c>
      <c r="AE847" t="s">
        <v>49</v>
      </c>
      <c r="AF847" s="3">
        <v>1180</v>
      </c>
      <c r="AG847" s="3">
        <v>92</v>
      </c>
      <c r="AH847">
        <v>80</v>
      </c>
      <c r="AI847">
        <v>1</v>
      </c>
      <c r="AJ847">
        <v>0</v>
      </c>
      <c r="AL847">
        <v>0</v>
      </c>
      <c r="AM847">
        <v>1</v>
      </c>
      <c r="AN847" t="s">
        <v>768</v>
      </c>
      <c r="AO847" t="s">
        <v>41</v>
      </c>
    </row>
    <row r="848" spans="1:41" x14ac:dyDescent="0.25">
      <c r="A848">
        <v>38</v>
      </c>
      <c r="B848" t="s">
        <v>66</v>
      </c>
      <c r="C848" t="s">
        <v>120</v>
      </c>
      <c r="D848">
        <v>1</v>
      </c>
      <c r="E848" t="s">
        <v>34</v>
      </c>
      <c r="F848">
        <v>3</v>
      </c>
      <c r="G848">
        <v>1</v>
      </c>
      <c r="H848" t="s">
        <v>120</v>
      </c>
      <c r="I848">
        <v>2</v>
      </c>
      <c r="J848" t="s">
        <v>51</v>
      </c>
      <c r="K848">
        <v>2991</v>
      </c>
      <c r="L848">
        <v>0</v>
      </c>
      <c r="M848" t="s">
        <v>31</v>
      </c>
      <c r="N848">
        <v>11</v>
      </c>
      <c r="O848">
        <v>3</v>
      </c>
      <c r="P848">
        <v>1</v>
      </c>
      <c r="Q848">
        <v>7</v>
      </c>
      <c r="R848">
        <v>2</v>
      </c>
      <c r="S848">
        <v>6</v>
      </c>
      <c r="T848">
        <v>1</v>
      </c>
      <c r="U848">
        <v>2</v>
      </c>
      <c r="V848" t="s">
        <v>58</v>
      </c>
      <c r="W848" s="1" t="s">
        <v>425</v>
      </c>
      <c r="Y848" t="s">
        <v>54</v>
      </c>
      <c r="Z848" t="s">
        <v>40</v>
      </c>
      <c r="AA848">
        <v>1</v>
      </c>
      <c r="AB848">
        <v>3</v>
      </c>
      <c r="AC848" t="s">
        <v>41</v>
      </c>
      <c r="AD848" t="s">
        <v>48</v>
      </c>
      <c r="AE848" t="s">
        <v>43</v>
      </c>
      <c r="AF848" s="3">
        <v>1182</v>
      </c>
      <c r="AG848" s="3">
        <v>44</v>
      </c>
      <c r="AH848">
        <v>80</v>
      </c>
      <c r="AI848">
        <v>7</v>
      </c>
      <c r="AJ848">
        <v>0</v>
      </c>
      <c r="AL848">
        <v>0</v>
      </c>
      <c r="AM848">
        <v>1</v>
      </c>
      <c r="AN848" t="s">
        <v>768</v>
      </c>
      <c r="AO848" t="s">
        <v>41</v>
      </c>
    </row>
    <row r="849" spans="1:41" x14ac:dyDescent="0.25">
      <c r="A849">
        <v>32</v>
      </c>
      <c r="B849" t="s">
        <v>32</v>
      </c>
      <c r="C849" t="s">
        <v>33</v>
      </c>
      <c r="D849">
        <v>29</v>
      </c>
      <c r="E849" t="s">
        <v>61</v>
      </c>
      <c r="F849">
        <v>2</v>
      </c>
      <c r="G849">
        <v>1</v>
      </c>
      <c r="H849" t="s">
        <v>35</v>
      </c>
      <c r="I849">
        <v>2</v>
      </c>
      <c r="J849" t="s">
        <v>36</v>
      </c>
      <c r="K849">
        <v>2837</v>
      </c>
      <c r="L849">
        <v>1</v>
      </c>
      <c r="M849" t="s">
        <v>41</v>
      </c>
      <c r="N849">
        <v>13</v>
      </c>
      <c r="O849">
        <v>3</v>
      </c>
      <c r="P849">
        <v>0</v>
      </c>
      <c r="Q849">
        <v>6</v>
      </c>
      <c r="R849">
        <v>3</v>
      </c>
      <c r="S849">
        <v>6</v>
      </c>
      <c r="T849">
        <v>4</v>
      </c>
      <c r="U849">
        <v>1</v>
      </c>
      <c r="V849" t="s">
        <v>52</v>
      </c>
      <c r="W849" s="2">
        <v>42041</v>
      </c>
      <c r="Y849" t="s">
        <v>46</v>
      </c>
      <c r="Z849" t="s">
        <v>47</v>
      </c>
      <c r="AA849">
        <v>1</v>
      </c>
      <c r="AB849">
        <v>3</v>
      </c>
      <c r="AC849" t="s">
        <v>31</v>
      </c>
      <c r="AD849" t="s">
        <v>67</v>
      </c>
      <c r="AE849" t="s">
        <v>49</v>
      </c>
      <c r="AF849" s="3">
        <v>1184</v>
      </c>
      <c r="AG849" s="3">
        <v>97</v>
      </c>
      <c r="AH849">
        <v>80</v>
      </c>
      <c r="AI849">
        <v>9</v>
      </c>
      <c r="AJ849">
        <v>0</v>
      </c>
      <c r="AL849">
        <v>0</v>
      </c>
      <c r="AM849">
        <v>1</v>
      </c>
      <c r="AN849" t="s">
        <v>768</v>
      </c>
      <c r="AO849" t="s">
        <v>41</v>
      </c>
    </row>
    <row r="850" spans="1:41" x14ac:dyDescent="0.25">
      <c r="A850">
        <v>39</v>
      </c>
      <c r="B850" t="s">
        <v>81</v>
      </c>
      <c r="C850" t="s">
        <v>33</v>
      </c>
      <c r="D850">
        <v>9</v>
      </c>
      <c r="E850" t="s">
        <v>34</v>
      </c>
      <c r="F850">
        <v>3</v>
      </c>
      <c r="G850">
        <v>5</v>
      </c>
      <c r="H850" t="s">
        <v>75</v>
      </c>
      <c r="I850">
        <v>4</v>
      </c>
      <c r="J850" t="s">
        <v>36</v>
      </c>
      <c r="K850">
        <v>19431</v>
      </c>
      <c r="L850">
        <v>2</v>
      </c>
      <c r="M850" t="s">
        <v>41</v>
      </c>
      <c r="N850">
        <v>13</v>
      </c>
      <c r="O850">
        <v>3</v>
      </c>
      <c r="P850">
        <v>0</v>
      </c>
      <c r="Q850">
        <v>21</v>
      </c>
      <c r="R850">
        <v>3</v>
      </c>
      <c r="S850">
        <v>6</v>
      </c>
      <c r="T850">
        <v>1</v>
      </c>
      <c r="U850">
        <v>3</v>
      </c>
      <c r="V850" t="s">
        <v>52</v>
      </c>
      <c r="W850" s="2">
        <v>42069</v>
      </c>
      <c r="Y850" t="s">
        <v>69</v>
      </c>
      <c r="Z850" t="s">
        <v>47</v>
      </c>
      <c r="AA850">
        <v>1</v>
      </c>
      <c r="AB850">
        <v>1</v>
      </c>
      <c r="AC850" t="s">
        <v>41</v>
      </c>
      <c r="AD850" t="s">
        <v>42</v>
      </c>
      <c r="AE850" t="s">
        <v>43</v>
      </c>
      <c r="AF850" s="3">
        <v>1185</v>
      </c>
      <c r="AG850" s="3">
        <v>47</v>
      </c>
      <c r="AH850">
        <v>80</v>
      </c>
      <c r="AI850">
        <v>2</v>
      </c>
      <c r="AJ850">
        <v>0</v>
      </c>
      <c r="AL850">
        <v>0</v>
      </c>
      <c r="AM850">
        <v>1</v>
      </c>
      <c r="AN850" t="s">
        <v>768</v>
      </c>
      <c r="AO850" t="s">
        <v>41</v>
      </c>
    </row>
    <row r="851" spans="1:41" x14ac:dyDescent="0.25">
      <c r="A851">
        <v>50</v>
      </c>
      <c r="B851" t="s">
        <v>66</v>
      </c>
      <c r="C851" t="s">
        <v>55</v>
      </c>
      <c r="D851">
        <v>1</v>
      </c>
      <c r="E851" t="s">
        <v>34</v>
      </c>
      <c r="F851">
        <v>3</v>
      </c>
      <c r="G851">
        <v>2</v>
      </c>
      <c r="H851" t="s">
        <v>70</v>
      </c>
      <c r="I851">
        <v>3</v>
      </c>
      <c r="J851" t="s">
        <v>57</v>
      </c>
      <c r="K851">
        <v>6728</v>
      </c>
      <c r="L851">
        <v>7</v>
      </c>
      <c r="M851" t="s">
        <v>41</v>
      </c>
      <c r="N851">
        <v>12</v>
      </c>
      <c r="O851">
        <v>3</v>
      </c>
      <c r="P851">
        <v>2</v>
      </c>
      <c r="Q851">
        <v>12</v>
      </c>
      <c r="R851">
        <v>3</v>
      </c>
      <c r="S851">
        <v>6</v>
      </c>
      <c r="T851">
        <v>0</v>
      </c>
      <c r="U851">
        <v>1</v>
      </c>
      <c r="V851" t="s">
        <v>37</v>
      </c>
      <c r="W851" s="1" t="s">
        <v>426</v>
      </c>
      <c r="Y851" t="s">
        <v>54</v>
      </c>
      <c r="Z851" t="s">
        <v>40</v>
      </c>
      <c r="AA851">
        <v>5</v>
      </c>
      <c r="AB851">
        <v>0</v>
      </c>
      <c r="AC851" t="s">
        <v>41</v>
      </c>
      <c r="AD851" t="s">
        <v>48</v>
      </c>
      <c r="AE851" t="s">
        <v>43</v>
      </c>
      <c r="AF851" s="3">
        <v>1188</v>
      </c>
      <c r="AG851" s="3">
        <v>85</v>
      </c>
      <c r="AH851">
        <v>80</v>
      </c>
      <c r="AI851">
        <v>3</v>
      </c>
      <c r="AJ851">
        <v>1</v>
      </c>
      <c r="AK851">
        <v>1</v>
      </c>
      <c r="AL851">
        <v>1</v>
      </c>
      <c r="AM851">
        <v>0</v>
      </c>
      <c r="AN851" t="s">
        <v>767</v>
      </c>
      <c r="AO851" t="s">
        <v>31</v>
      </c>
    </row>
    <row r="852" spans="1:41" x14ac:dyDescent="0.25">
      <c r="A852">
        <v>36</v>
      </c>
      <c r="B852" t="s">
        <v>32</v>
      </c>
      <c r="C852" t="s">
        <v>55</v>
      </c>
      <c r="D852">
        <v>11</v>
      </c>
      <c r="E852" t="s">
        <v>61</v>
      </c>
      <c r="F852">
        <v>2</v>
      </c>
      <c r="G852">
        <v>2</v>
      </c>
      <c r="H852" t="s">
        <v>70</v>
      </c>
      <c r="I852">
        <v>4</v>
      </c>
      <c r="J852" t="s">
        <v>51</v>
      </c>
      <c r="K852">
        <v>6652</v>
      </c>
      <c r="L852">
        <v>4</v>
      </c>
      <c r="M852" t="s">
        <v>41</v>
      </c>
      <c r="N852">
        <v>13</v>
      </c>
      <c r="O852">
        <v>3</v>
      </c>
      <c r="P852">
        <v>1</v>
      </c>
      <c r="Q852">
        <v>8</v>
      </c>
      <c r="R852">
        <v>2</v>
      </c>
      <c r="S852">
        <v>6</v>
      </c>
      <c r="T852">
        <v>0</v>
      </c>
      <c r="U852">
        <v>0</v>
      </c>
      <c r="V852" t="s">
        <v>72</v>
      </c>
      <c r="W852" s="1" t="s">
        <v>395</v>
      </c>
      <c r="Y852" t="s">
        <v>63</v>
      </c>
      <c r="Z852" t="s">
        <v>40</v>
      </c>
      <c r="AA852">
        <v>2</v>
      </c>
      <c r="AB852">
        <v>3</v>
      </c>
      <c r="AC852" t="s">
        <v>41</v>
      </c>
      <c r="AD852" t="s">
        <v>42</v>
      </c>
      <c r="AE852" t="s">
        <v>43</v>
      </c>
      <c r="AF852" s="3">
        <v>1190</v>
      </c>
      <c r="AG852" s="3">
        <v>76</v>
      </c>
      <c r="AH852">
        <v>80</v>
      </c>
      <c r="AI852">
        <v>0</v>
      </c>
      <c r="AJ852">
        <v>0</v>
      </c>
      <c r="AL852">
        <v>0</v>
      </c>
      <c r="AM852">
        <v>1</v>
      </c>
      <c r="AN852" t="s">
        <v>768</v>
      </c>
      <c r="AO852" t="s">
        <v>41</v>
      </c>
    </row>
    <row r="853" spans="1:41" x14ac:dyDescent="0.25">
      <c r="A853">
        <v>27</v>
      </c>
      <c r="B853" t="s">
        <v>32</v>
      </c>
      <c r="C853" t="s">
        <v>33</v>
      </c>
      <c r="D853">
        <v>4</v>
      </c>
      <c r="E853" t="s">
        <v>34</v>
      </c>
      <c r="F853">
        <v>4</v>
      </c>
      <c r="G853">
        <v>2</v>
      </c>
      <c r="H853" t="s">
        <v>78</v>
      </c>
      <c r="I853">
        <v>2</v>
      </c>
      <c r="J853" t="s">
        <v>51</v>
      </c>
      <c r="K853">
        <v>6142</v>
      </c>
      <c r="L853">
        <v>1</v>
      </c>
      <c r="M853" t="s">
        <v>31</v>
      </c>
      <c r="N853">
        <v>20</v>
      </c>
      <c r="O853">
        <v>4</v>
      </c>
      <c r="P853">
        <v>1</v>
      </c>
      <c r="Q853">
        <v>6</v>
      </c>
      <c r="R853">
        <v>0</v>
      </c>
      <c r="S853">
        <v>6</v>
      </c>
      <c r="T853">
        <v>0</v>
      </c>
      <c r="U853">
        <v>3</v>
      </c>
      <c r="V853" t="s">
        <v>52</v>
      </c>
      <c r="W853" s="1" t="s">
        <v>404</v>
      </c>
      <c r="Y853" t="s">
        <v>39</v>
      </c>
      <c r="Z853" t="s">
        <v>40</v>
      </c>
      <c r="AA853">
        <v>5</v>
      </c>
      <c r="AB853">
        <v>0</v>
      </c>
      <c r="AC853" t="s">
        <v>31</v>
      </c>
      <c r="AD853" t="s">
        <v>65</v>
      </c>
      <c r="AE853" t="s">
        <v>43</v>
      </c>
      <c r="AF853" s="3">
        <v>1191</v>
      </c>
      <c r="AG853" s="3">
        <v>92</v>
      </c>
      <c r="AH853">
        <v>80</v>
      </c>
      <c r="AI853">
        <v>2</v>
      </c>
      <c r="AJ853">
        <v>0</v>
      </c>
      <c r="AL853">
        <v>0</v>
      </c>
      <c r="AM853">
        <v>1</v>
      </c>
      <c r="AN853" t="s">
        <v>768</v>
      </c>
      <c r="AO853" t="s">
        <v>41</v>
      </c>
    </row>
    <row r="854" spans="1:41" x14ac:dyDescent="0.25">
      <c r="A854">
        <v>32</v>
      </c>
      <c r="B854" t="s">
        <v>66</v>
      </c>
      <c r="C854" t="s">
        <v>33</v>
      </c>
      <c r="D854">
        <v>2</v>
      </c>
      <c r="E854" t="s">
        <v>34</v>
      </c>
      <c r="F854">
        <v>3</v>
      </c>
      <c r="G854">
        <v>1</v>
      </c>
      <c r="H854" t="s">
        <v>35</v>
      </c>
      <c r="I854">
        <v>4</v>
      </c>
      <c r="J854" t="s">
        <v>36</v>
      </c>
      <c r="K854">
        <v>3068</v>
      </c>
      <c r="L854">
        <v>0</v>
      </c>
      <c r="M854" t="s">
        <v>41</v>
      </c>
      <c r="N854">
        <v>13</v>
      </c>
      <c r="O854">
        <v>3</v>
      </c>
      <c r="P854">
        <v>0</v>
      </c>
      <c r="Q854">
        <v>8</v>
      </c>
      <c r="R854">
        <v>2</v>
      </c>
      <c r="S854">
        <v>7</v>
      </c>
      <c r="T854">
        <v>3</v>
      </c>
      <c r="U854">
        <v>6</v>
      </c>
      <c r="V854" t="s">
        <v>58</v>
      </c>
      <c r="W854" s="2">
        <v>41673</v>
      </c>
      <c r="Y854" t="s">
        <v>39</v>
      </c>
      <c r="Z854" t="s">
        <v>47</v>
      </c>
      <c r="AA854">
        <v>5</v>
      </c>
      <c r="AB854">
        <v>1</v>
      </c>
      <c r="AC854" t="s">
        <v>31</v>
      </c>
      <c r="AD854" t="s">
        <v>67</v>
      </c>
      <c r="AE854" t="s">
        <v>49</v>
      </c>
      <c r="AF854" s="3">
        <v>1192</v>
      </c>
      <c r="AG854" s="3">
        <v>54</v>
      </c>
      <c r="AH854">
        <v>80</v>
      </c>
      <c r="AI854">
        <v>8</v>
      </c>
      <c r="AJ854">
        <v>0</v>
      </c>
      <c r="AL854">
        <v>0</v>
      </c>
      <c r="AM854">
        <v>1</v>
      </c>
      <c r="AN854" t="s">
        <v>768</v>
      </c>
      <c r="AO854" t="s">
        <v>41</v>
      </c>
    </row>
    <row r="855" spans="1:41" x14ac:dyDescent="0.25">
      <c r="A855">
        <v>36</v>
      </c>
      <c r="B855" t="s">
        <v>32</v>
      </c>
      <c r="C855" t="s">
        <v>33</v>
      </c>
      <c r="D855">
        <v>27</v>
      </c>
      <c r="E855" t="s">
        <v>34</v>
      </c>
      <c r="F855">
        <v>3</v>
      </c>
      <c r="G855">
        <v>2</v>
      </c>
      <c r="H855" t="s">
        <v>89</v>
      </c>
      <c r="I855">
        <v>3</v>
      </c>
      <c r="J855" t="s">
        <v>51</v>
      </c>
      <c r="K855">
        <v>5237</v>
      </c>
      <c r="L855">
        <v>6</v>
      </c>
      <c r="M855" t="s">
        <v>41</v>
      </c>
      <c r="N855">
        <v>13</v>
      </c>
      <c r="O855">
        <v>3</v>
      </c>
      <c r="P855">
        <v>2</v>
      </c>
      <c r="Q855">
        <v>17</v>
      </c>
      <c r="R855">
        <v>3</v>
      </c>
      <c r="S855">
        <v>7</v>
      </c>
      <c r="T855">
        <v>7</v>
      </c>
      <c r="U855">
        <v>7</v>
      </c>
      <c r="V855" t="s">
        <v>72</v>
      </c>
      <c r="W855" s="1" t="s">
        <v>427</v>
      </c>
      <c r="Y855" t="s">
        <v>69</v>
      </c>
      <c r="Z855" t="s">
        <v>40</v>
      </c>
      <c r="AA855">
        <v>0</v>
      </c>
      <c r="AB855">
        <v>2</v>
      </c>
      <c r="AC855" t="s">
        <v>41</v>
      </c>
      <c r="AD855" t="s">
        <v>48</v>
      </c>
      <c r="AE855" t="s">
        <v>43</v>
      </c>
      <c r="AF855" s="3">
        <v>1193</v>
      </c>
      <c r="AG855" s="3">
        <v>54</v>
      </c>
      <c r="AH855">
        <v>80</v>
      </c>
      <c r="AI855">
        <v>1</v>
      </c>
      <c r="AJ855">
        <v>0</v>
      </c>
      <c r="AL855">
        <v>0</v>
      </c>
      <c r="AM855">
        <v>1</v>
      </c>
      <c r="AN855" t="s">
        <v>768</v>
      </c>
      <c r="AO855" t="s">
        <v>41</v>
      </c>
    </row>
    <row r="856" spans="1:41" x14ac:dyDescent="0.25">
      <c r="A856">
        <v>31</v>
      </c>
      <c r="B856" t="s">
        <v>32</v>
      </c>
      <c r="C856" t="s">
        <v>33</v>
      </c>
      <c r="D856">
        <v>7</v>
      </c>
      <c r="E856" t="s">
        <v>34</v>
      </c>
      <c r="F856">
        <v>3</v>
      </c>
      <c r="G856">
        <v>2</v>
      </c>
      <c r="H856" t="s">
        <v>35</v>
      </c>
      <c r="I856">
        <v>4</v>
      </c>
      <c r="J856" t="s">
        <v>57</v>
      </c>
      <c r="K856">
        <v>5915</v>
      </c>
      <c r="L856">
        <v>3</v>
      </c>
      <c r="M856" t="s">
        <v>41</v>
      </c>
      <c r="N856">
        <v>22</v>
      </c>
      <c r="O856">
        <v>4</v>
      </c>
      <c r="P856">
        <v>1</v>
      </c>
      <c r="Q856">
        <v>10</v>
      </c>
      <c r="R856">
        <v>3</v>
      </c>
      <c r="S856">
        <v>7</v>
      </c>
      <c r="T856">
        <v>1</v>
      </c>
      <c r="U856">
        <v>7</v>
      </c>
      <c r="V856" t="s">
        <v>52</v>
      </c>
      <c r="W856" s="1" t="s">
        <v>428</v>
      </c>
      <c r="Y856" t="s">
        <v>63</v>
      </c>
      <c r="Z856" t="s">
        <v>47</v>
      </c>
      <c r="AA856">
        <v>5</v>
      </c>
      <c r="AB856">
        <v>3</v>
      </c>
      <c r="AC856" t="s">
        <v>41</v>
      </c>
      <c r="AD856" t="s">
        <v>48</v>
      </c>
      <c r="AE856" t="s">
        <v>60</v>
      </c>
      <c r="AF856" s="3">
        <v>1195</v>
      </c>
      <c r="AG856" s="3">
        <v>83</v>
      </c>
      <c r="AH856">
        <v>80</v>
      </c>
      <c r="AI856">
        <v>2</v>
      </c>
      <c r="AJ856">
        <v>0</v>
      </c>
      <c r="AL856">
        <v>0</v>
      </c>
      <c r="AM856">
        <v>1</v>
      </c>
      <c r="AN856" t="s">
        <v>768</v>
      </c>
      <c r="AO856" t="s">
        <v>41</v>
      </c>
    </row>
    <row r="857" spans="1:41" x14ac:dyDescent="0.25">
      <c r="A857">
        <v>37</v>
      </c>
      <c r="B857" t="s">
        <v>32</v>
      </c>
      <c r="C857" t="s">
        <v>33</v>
      </c>
      <c r="D857">
        <v>1</v>
      </c>
      <c r="E857" t="s">
        <v>34</v>
      </c>
      <c r="F857">
        <v>2</v>
      </c>
      <c r="G857">
        <v>2</v>
      </c>
      <c r="H857" t="s">
        <v>78</v>
      </c>
      <c r="I857">
        <v>3</v>
      </c>
      <c r="J857" t="s">
        <v>57</v>
      </c>
      <c r="K857">
        <v>5993</v>
      </c>
      <c r="L857">
        <v>1</v>
      </c>
      <c r="M857" t="s">
        <v>41</v>
      </c>
      <c r="N857">
        <v>18</v>
      </c>
      <c r="O857">
        <v>3</v>
      </c>
      <c r="P857">
        <v>1</v>
      </c>
      <c r="Q857">
        <v>7</v>
      </c>
      <c r="R857">
        <v>2</v>
      </c>
      <c r="S857">
        <v>7</v>
      </c>
      <c r="T857">
        <v>0</v>
      </c>
      <c r="U857">
        <v>7</v>
      </c>
      <c r="V857" t="s">
        <v>52</v>
      </c>
      <c r="W857" s="2">
        <v>41885</v>
      </c>
      <c r="Y857" t="s">
        <v>54</v>
      </c>
      <c r="Z857" t="s">
        <v>47</v>
      </c>
      <c r="AA857">
        <v>0</v>
      </c>
      <c r="AB857">
        <v>3</v>
      </c>
      <c r="AC857" t="s">
        <v>41</v>
      </c>
      <c r="AD857" t="s">
        <v>42</v>
      </c>
      <c r="AE857" t="s">
        <v>49</v>
      </c>
      <c r="AF857" s="3">
        <v>1196</v>
      </c>
      <c r="AG857" s="3">
        <v>56</v>
      </c>
      <c r="AH857">
        <v>80</v>
      </c>
      <c r="AI857">
        <v>8</v>
      </c>
      <c r="AJ857">
        <v>0</v>
      </c>
      <c r="AL857">
        <v>0</v>
      </c>
      <c r="AM857">
        <v>1</v>
      </c>
      <c r="AN857" t="s">
        <v>768</v>
      </c>
      <c r="AO857" t="s">
        <v>41</v>
      </c>
    </row>
    <row r="858" spans="1:41" x14ac:dyDescent="0.25">
      <c r="A858">
        <v>33</v>
      </c>
      <c r="B858" t="s">
        <v>81</v>
      </c>
      <c r="C858" t="s">
        <v>55</v>
      </c>
      <c r="D858">
        <v>22</v>
      </c>
      <c r="E858" t="s">
        <v>34</v>
      </c>
      <c r="F858">
        <v>3</v>
      </c>
      <c r="G858">
        <v>2</v>
      </c>
      <c r="H858" t="s">
        <v>70</v>
      </c>
      <c r="I858">
        <v>2</v>
      </c>
      <c r="J858" t="s">
        <v>51</v>
      </c>
      <c r="K858">
        <v>6146</v>
      </c>
      <c r="L858">
        <v>0</v>
      </c>
      <c r="M858" t="s">
        <v>41</v>
      </c>
      <c r="N858">
        <v>13</v>
      </c>
      <c r="O858">
        <v>3</v>
      </c>
      <c r="P858">
        <v>1</v>
      </c>
      <c r="Q858">
        <v>8</v>
      </c>
      <c r="R858">
        <v>2</v>
      </c>
      <c r="S858">
        <v>7</v>
      </c>
      <c r="T858">
        <v>0</v>
      </c>
      <c r="U858">
        <v>7</v>
      </c>
      <c r="V858" t="s">
        <v>58</v>
      </c>
      <c r="W858" s="2">
        <v>41857</v>
      </c>
      <c r="Y858" t="s">
        <v>46</v>
      </c>
      <c r="Z858" t="s">
        <v>40</v>
      </c>
      <c r="AA858">
        <v>4</v>
      </c>
      <c r="AB858">
        <v>3</v>
      </c>
      <c r="AC858" t="s">
        <v>41</v>
      </c>
      <c r="AD858" t="s">
        <v>65</v>
      </c>
      <c r="AE858" t="s">
        <v>43</v>
      </c>
      <c r="AF858" s="3">
        <v>1198</v>
      </c>
      <c r="AG858" s="3">
        <v>87</v>
      </c>
      <c r="AH858">
        <v>80</v>
      </c>
      <c r="AI858">
        <v>2</v>
      </c>
      <c r="AJ858">
        <v>0</v>
      </c>
      <c r="AL858">
        <v>0</v>
      </c>
      <c r="AM858">
        <v>1</v>
      </c>
      <c r="AN858" t="s">
        <v>768</v>
      </c>
      <c r="AO858" t="s">
        <v>41</v>
      </c>
    </row>
    <row r="859" spans="1:41" x14ac:dyDescent="0.25">
      <c r="A859">
        <v>31</v>
      </c>
      <c r="B859" t="s">
        <v>32</v>
      </c>
      <c r="C859" t="s">
        <v>55</v>
      </c>
      <c r="D859">
        <v>6</v>
      </c>
      <c r="E859" t="s">
        <v>34</v>
      </c>
      <c r="F859">
        <v>1</v>
      </c>
      <c r="G859">
        <v>2</v>
      </c>
      <c r="H859" t="s">
        <v>70</v>
      </c>
      <c r="I859">
        <v>3</v>
      </c>
      <c r="J859" t="s">
        <v>51</v>
      </c>
      <c r="K859">
        <v>6172</v>
      </c>
      <c r="L859">
        <v>4</v>
      </c>
      <c r="M859" t="s">
        <v>31</v>
      </c>
      <c r="N859">
        <v>18</v>
      </c>
      <c r="O859">
        <v>3</v>
      </c>
      <c r="P859">
        <v>0</v>
      </c>
      <c r="Q859">
        <v>12</v>
      </c>
      <c r="R859">
        <v>3</v>
      </c>
      <c r="S859">
        <v>7</v>
      </c>
      <c r="T859">
        <v>7</v>
      </c>
      <c r="U859">
        <v>7</v>
      </c>
      <c r="V859" t="s">
        <v>52</v>
      </c>
      <c r="W859" s="2">
        <v>41672</v>
      </c>
      <c r="Y859" t="s">
        <v>39</v>
      </c>
      <c r="Z859" t="s">
        <v>47</v>
      </c>
      <c r="AA859">
        <v>1</v>
      </c>
      <c r="AB859">
        <v>1</v>
      </c>
      <c r="AC859" t="s">
        <v>41</v>
      </c>
      <c r="AD859" t="s">
        <v>65</v>
      </c>
      <c r="AE859" t="s">
        <v>49</v>
      </c>
      <c r="AF859" s="3">
        <v>1200</v>
      </c>
      <c r="AG859" s="3">
        <v>96</v>
      </c>
      <c r="AH859">
        <v>80</v>
      </c>
      <c r="AI859">
        <v>4</v>
      </c>
      <c r="AJ859">
        <v>1</v>
      </c>
      <c r="AK859">
        <v>1</v>
      </c>
      <c r="AL859">
        <v>1</v>
      </c>
      <c r="AM859">
        <v>0</v>
      </c>
      <c r="AN859" t="s">
        <v>767</v>
      </c>
      <c r="AO859" t="s">
        <v>31</v>
      </c>
    </row>
    <row r="860" spans="1:41" x14ac:dyDescent="0.25">
      <c r="A860">
        <v>41</v>
      </c>
      <c r="B860" t="s">
        <v>66</v>
      </c>
      <c r="C860" t="s">
        <v>33</v>
      </c>
      <c r="D860">
        <v>10</v>
      </c>
      <c r="E860" t="s">
        <v>34</v>
      </c>
      <c r="F860">
        <v>2</v>
      </c>
      <c r="G860">
        <v>4</v>
      </c>
      <c r="H860" t="s">
        <v>75</v>
      </c>
      <c r="I860">
        <v>1</v>
      </c>
      <c r="J860" t="s">
        <v>57</v>
      </c>
      <c r="K860">
        <v>17181</v>
      </c>
      <c r="L860">
        <v>4</v>
      </c>
      <c r="M860" t="s">
        <v>41</v>
      </c>
      <c r="N860">
        <v>13</v>
      </c>
      <c r="O860">
        <v>3</v>
      </c>
      <c r="P860">
        <v>1</v>
      </c>
      <c r="Q860">
        <v>21</v>
      </c>
      <c r="R860">
        <v>2</v>
      </c>
      <c r="S860">
        <v>7</v>
      </c>
      <c r="T860">
        <v>7</v>
      </c>
      <c r="U860">
        <v>7</v>
      </c>
      <c r="V860" t="s">
        <v>52</v>
      </c>
      <c r="W860" s="2">
        <v>41644</v>
      </c>
      <c r="Y860" t="s">
        <v>54</v>
      </c>
      <c r="Z860" t="s">
        <v>40</v>
      </c>
      <c r="AA860">
        <v>2</v>
      </c>
      <c r="AB860">
        <v>2</v>
      </c>
      <c r="AC860" t="s">
        <v>31</v>
      </c>
      <c r="AD860" t="s">
        <v>67</v>
      </c>
      <c r="AE860" t="s">
        <v>49</v>
      </c>
      <c r="AF860" s="3">
        <v>1201</v>
      </c>
      <c r="AG860" s="3">
        <v>50</v>
      </c>
      <c r="AH860">
        <v>80</v>
      </c>
      <c r="AI860">
        <v>7</v>
      </c>
      <c r="AJ860">
        <v>0</v>
      </c>
      <c r="AL860">
        <v>0</v>
      </c>
      <c r="AM860">
        <v>1</v>
      </c>
      <c r="AN860" t="s">
        <v>768</v>
      </c>
      <c r="AO860" t="s">
        <v>41</v>
      </c>
    </row>
    <row r="861" spans="1:41" x14ac:dyDescent="0.25">
      <c r="A861">
        <v>53</v>
      </c>
      <c r="B861" t="s">
        <v>32</v>
      </c>
      <c r="C861" t="s">
        <v>55</v>
      </c>
      <c r="D861">
        <v>6</v>
      </c>
      <c r="E861" t="s">
        <v>34</v>
      </c>
      <c r="F861">
        <v>3</v>
      </c>
      <c r="G861">
        <v>2</v>
      </c>
      <c r="H861" t="s">
        <v>56</v>
      </c>
      <c r="I861">
        <v>3</v>
      </c>
      <c r="J861" t="s">
        <v>51</v>
      </c>
      <c r="K861">
        <v>2306</v>
      </c>
      <c r="L861">
        <v>2</v>
      </c>
      <c r="M861" t="s">
        <v>31</v>
      </c>
      <c r="N861">
        <v>20</v>
      </c>
      <c r="O861">
        <v>4</v>
      </c>
      <c r="P861">
        <v>1</v>
      </c>
      <c r="Q861">
        <v>13</v>
      </c>
      <c r="R861">
        <v>3</v>
      </c>
      <c r="S861">
        <v>7</v>
      </c>
      <c r="T861">
        <v>4</v>
      </c>
      <c r="U861">
        <v>5</v>
      </c>
      <c r="V861" t="s">
        <v>58</v>
      </c>
      <c r="W861" s="1" t="s">
        <v>429</v>
      </c>
      <c r="Y861" t="s">
        <v>69</v>
      </c>
      <c r="Z861" t="s">
        <v>47</v>
      </c>
      <c r="AA861">
        <v>0</v>
      </c>
      <c r="AB861">
        <v>1</v>
      </c>
      <c r="AC861" t="s">
        <v>41</v>
      </c>
      <c r="AD861" t="s">
        <v>48</v>
      </c>
      <c r="AE861" t="s">
        <v>43</v>
      </c>
      <c r="AF861" s="3">
        <v>1202</v>
      </c>
      <c r="AG861" s="3">
        <v>69</v>
      </c>
      <c r="AH861">
        <v>80</v>
      </c>
      <c r="AI861">
        <v>4</v>
      </c>
      <c r="AJ861">
        <v>0</v>
      </c>
      <c r="AL861">
        <v>0</v>
      </c>
      <c r="AM861">
        <v>1</v>
      </c>
      <c r="AN861" t="s">
        <v>768</v>
      </c>
      <c r="AO861" t="s">
        <v>41</v>
      </c>
    </row>
    <row r="862" spans="1:41" x14ac:dyDescent="0.25">
      <c r="A862">
        <v>51</v>
      </c>
      <c r="B862" t="s">
        <v>32</v>
      </c>
      <c r="C862" t="s">
        <v>33</v>
      </c>
      <c r="D862">
        <v>3</v>
      </c>
      <c r="E862" t="s">
        <v>61</v>
      </c>
      <c r="F862">
        <v>3</v>
      </c>
      <c r="G862">
        <v>4</v>
      </c>
      <c r="H862" t="s">
        <v>89</v>
      </c>
      <c r="I862">
        <v>2</v>
      </c>
      <c r="J862" t="s">
        <v>36</v>
      </c>
      <c r="K862">
        <v>13734</v>
      </c>
      <c r="L862">
        <v>3</v>
      </c>
      <c r="M862" t="s">
        <v>41</v>
      </c>
      <c r="N862">
        <v>18</v>
      </c>
      <c r="O862">
        <v>3</v>
      </c>
      <c r="P862">
        <v>0</v>
      </c>
      <c r="Q862">
        <v>21</v>
      </c>
      <c r="R862">
        <v>6</v>
      </c>
      <c r="S862">
        <v>7</v>
      </c>
      <c r="T862">
        <v>1</v>
      </c>
      <c r="U862">
        <v>0</v>
      </c>
      <c r="V862" t="s">
        <v>37</v>
      </c>
      <c r="W862" s="1" t="s">
        <v>430</v>
      </c>
      <c r="Y862" t="s">
        <v>39</v>
      </c>
      <c r="Z862" t="s">
        <v>47</v>
      </c>
      <c r="AA862">
        <v>0</v>
      </c>
      <c r="AB862">
        <v>2</v>
      </c>
      <c r="AC862" t="s">
        <v>31</v>
      </c>
      <c r="AD862" t="s">
        <v>48</v>
      </c>
      <c r="AE862" t="s">
        <v>60</v>
      </c>
      <c r="AF862" s="3">
        <v>1203</v>
      </c>
      <c r="AG862" s="3">
        <v>48</v>
      </c>
      <c r="AH862">
        <v>80</v>
      </c>
      <c r="AI862">
        <v>0</v>
      </c>
      <c r="AJ862">
        <v>1</v>
      </c>
      <c r="AK862">
        <v>1</v>
      </c>
      <c r="AL862">
        <v>1</v>
      </c>
      <c r="AM862">
        <v>0</v>
      </c>
      <c r="AN862" t="s">
        <v>767</v>
      </c>
      <c r="AO862" t="s">
        <v>31</v>
      </c>
    </row>
    <row r="863" spans="1:41" x14ac:dyDescent="0.25">
      <c r="A863">
        <v>27</v>
      </c>
      <c r="B863" t="s">
        <v>32</v>
      </c>
      <c r="C863" t="s">
        <v>33</v>
      </c>
      <c r="D863">
        <v>9</v>
      </c>
      <c r="E863" t="s">
        <v>61</v>
      </c>
      <c r="F863">
        <v>3</v>
      </c>
      <c r="G863">
        <v>1</v>
      </c>
      <c r="H863" t="s">
        <v>44</v>
      </c>
      <c r="I863">
        <v>2</v>
      </c>
      <c r="J863" t="s">
        <v>36</v>
      </c>
      <c r="K863">
        <v>2279</v>
      </c>
      <c r="L863">
        <v>1</v>
      </c>
      <c r="M863" t="s">
        <v>41</v>
      </c>
      <c r="N863">
        <v>16</v>
      </c>
      <c r="O863">
        <v>3</v>
      </c>
      <c r="P863">
        <v>0</v>
      </c>
      <c r="Q863">
        <v>7</v>
      </c>
      <c r="R863">
        <v>2</v>
      </c>
      <c r="S863">
        <v>7</v>
      </c>
      <c r="T863">
        <v>0</v>
      </c>
      <c r="U863">
        <v>3</v>
      </c>
      <c r="V863" t="s">
        <v>72</v>
      </c>
      <c r="W863" s="1" t="s">
        <v>431</v>
      </c>
      <c r="Y863" t="s">
        <v>39</v>
      </c>
      <c r="Z863" t="s">
        <v>47</v>
      </c>
      <c r="AA863">
        <v>1</v>
      </c>
      <c r="AB863">
        <v>1</v>
      </c>
      <c r="AC863" t="s">
        <v>31</v>
      </c>
      <c r="AD863" t="s">
        <v>42</v>
      </c>
      <c r="AE863" t="s">
        <v>43</v>
      </c>
      <c r="AF863" s="3">
        <v>1204</v>
      </c>
      <c r="AG863" s="3">
        <v>69</v>
      </c>
      <c r="AH863">
        <v>80</v>
      </c>
      <c r="AI863">
        <v>15</v>
      </c>
      <c r="AJ863">
        <v>0</v>
      </c>
      <c r="AL863">
        <v>0</v>
      </c>
      <c r="AM863">
        <v>1</v>
      </c>
      <c r="AN863" t="s">
        <v>768</v>
      </c>
      <c r="AO863" t="s">
        <v>41</v>
      </c>
    </row>
    <row r="864" spans="1:41" x14ac:dyDescent="0.25">
      <c r="A864">
        <v>38</v>
      </c>
      <c r="B864" t="s">
        <v>32</v>
      </c>
      <c r="C864" t="s">
        <v>33</v>
      </c>
      <c r="D864">
        <v>29</v>
      </c>
      <c r="E864" t="s">
        <v>34</v>
      </c>
      <c r="F864">
        <v>3</v>
      </c>
      <c r="G864">
        <v>2</v>
      </c>
      <c r="H864" t="s">
        <v>78</v>
      </c>
      <c r="I864">
        <v>4</v>
      </c>
      <c r="J864" t="s">
        <v>51</v>
      </c>
      <c r="K864">
        <v>6261</v>
      </c>
      <c r="L864">
        <v>3</v>
      </c>
      <c r="M864" t="s">
        <v>41</v>
      </c>
      <c r="N864">
        <v>18</v>
      </c>
      <c r="O864">
        <v>3</v>
      </c>
      <c r="P864">
        <v>1</v>
      </c>
      <c r="Q864">
        <v>9</v>
      </c>
      <c r="R864">
        <v>3</v>
      </c>
      <c r="S864">
        <v>7</v>
      </c>
      <c r="T864">
        <v>1</v>
      </c>
      <c r="U864">
        <v>7</v>
      </c>
      <c r="V864" t="s">
        <v>72</v>
      </c>
      <c r="W864" s="2">
        <v>41673</v>
      </c>
      <c r="Y864" t="s">
        <v>63</v>
      </c>
      <c r="Z864" t="s">
        <v>40</v>
      </c>
      <c r="AA864">
        <v>3</v>
      </c>
      <c r="AB864">
        <v>0</v>
      </c>
      <c r="AC864" t="s">
        <v>41</v>
      </c>
      <c r="AD864" t="s">
        <v>48</v>
      </c>
      <c r="AE864" t="s">
        <v>60</v>
      </c>
      <c r="AF864" s="3">
        <v>1206</v>
      </c>
      <c r="AG864" s="3">
        <v>74</v>
      </c>
      <c r="AH864">
        <v>80</v>
      </c>
      <c r="AI864">
        <v>0</v>
      </c>
      <c r="AJ864">
        <v>0</v>
      </c>
      <c r="AL864">
        <v>0</v>
      </c>
      <c r="AM864">
        <v>1</v>
      </c>
      <c r="AN864" t="s">
        <v>768</v>
      </c>
      <c r="AO864" t="s">
        <v>41</v>
      </c>
    </row>
    <row r="865" spans="1:41" x14ac:dyDescent="0.25">
      <c r="A865">
        <v>49</v>
      </c>
      <c r="B865" t="s">
        <v>81</v>
      </c>
      <c r="C865" t="s">
        <v>33</v>
      </c>
      <c r="D865">
        <v>18</v>
      </c>
      <c r="E865" t="s">
        <v>34</v>
      </c>
      <c r="F865">
        <v>3</v>
      </c>
      <c r="G865">
        <v>2</v>
      </c>
      <c r="H865" t="s">
        <v>78</v>
      </c>
      <c r="I865">
        <v>4</v>
      </c>
      <c r="J865" t="s">
        <v>57</v>
      </c>
      <c r="K865">
        <v>6804</v>
      </c>
      <c r="L865">
        <v>1</v>
      </c>
      <c r="M865" t="s">
        <v>31</v>
      </c>
      <c r="N865">
        <v>15</v>
      </c>
      <c r="O865">
        <v>3</v>
      </c>
      <c r="P865">
        <v>2</v>
      </c>
      <c r="Q865">
        <v>7</v>
      </c>
      <c r="R865">
        <v>0</v>
      </c>
      <c r="S865">
        <v>7</v>
      </c>
      <c r="T865">
        <v>1</v>
      </c>
      <c r="U865">
        <v>7</v>
      </c>
      <c r="V865" t="s">
        <v>72</v>
      </c>
      <c r="W865" s="1" t="s">
        <v>432</v>
      </c>
      <c r="Y865" t="s">
        <v>46</v>
      </c>
      <c r="Z865" t="s">
        <v>47</v>
      </c>
      <c r="AA865">
        <v>2</v>
      </c>
      <c r="AB865">
        <v>0</v>
      </c>
      <c r="AC865" t="s">
        <v>41</v>
      </c>
      <c r="AD865" t="s">
        <v>67</v>
      </c>
      <c r="AE865" t="s">
        <v>49</v>
      </c>
      <c r="AF865" s="3">
        <v>1207</v>
      </c>
      <c r="AG865" s="3">
        <v>99</v>
      </c>
      <c r="AH865">
        <v>80</v>
      </c>
      <c r="AI865">
        <v>4</v>
      </c>
      <c r="AJ865">
        <v>0</v>
      </c>
      <c r="AL865">
        <v>0</v>
      </c>
      <c r="AM865">
        <v>1</v>
      </c>
      <c r="AN865" t="s">
        <v>768</v>
      </c>
      <c r="AO865" t="s">
        <v>41</v>
      </c>
    </row>
    <row r="866" spans="1:41" x14ac:dyDescent="0.25">
      <c r="A866">
        <v>40</v>
      </c>
      <c r="B866" t="s">
        <v>32</v>
      </c>
      <c r="C866" t="s">
        <v>33</v>
      </c>
      <c r="D866">
        <v>19</v>
      </c>
      <c r="E866" t="s">
        <v>34</v>
      </c>
      <c r="F866">
        <v>3</v>
      </c>
      <c r="G866">
        <v>2</v>
      </c>
      <c r="H866" t="s">
        <v>35</v>
      </c>
      <c r="I866">
        <v>4</v>
      </c>
      <c r="J866" t="s">
        <v>51</v>
      </c>
      <c r="K866">
        <v>2741</v>
      </c>
      <c r="L866">
        <v>8</v>
      </c>
      <c r="M866" t="s">
        <v>31</v>
      </c>
      <c r="N866">
        <v>15</v>
      </c>
      <c r="O866">
        <v>3</v>
      </c>
      <c r="P866">
        <v>1</v>
      </c>
      <c r="Q866">
        <v>15</v>
      </c>
      <c r="R866">
        <v>2</v>
      </c>
      <c r="S866">
        <v>7</v>
      </c>
      <c r="T866">
        <v>3</v>
      </c>
      <c r="U866">
        <v>7</v>
      </c>
      <c r="V866" t="s">
        <v>52</v>
      </c>
      <c r="W866" s="1" t="s">
        <v>433</v>
      </c>
      <c r="Y866" t="s">
        <v>63</v>
      </c>
      <c r="Z866" t="s">
        <v>40</v>
      </c>
      <c r="AA866">
        <v>3</v>
      </c>
      <c r="AB866">
        <v>2</v>
      </c>
      <c r="AC866" t="s">
        <v>31</v>
      </c>
      <c r="AD866" t="s">
        <v>65</v>
      </c>
      <c r="AE866" t="s">
        <v>60</v>
      </c>
      <c r="AF866" s="3">
        <v>1210</v>
      </c>
      <c r="AG866" s="3">
        <v>95</v>
      </c>
      <c r="AH866">
        <v>80</v>
      </c>
      <c r="AI866">
        <v>0</v>
      </c>
      <c r="AJ866">
        <v>1</v>
      </c>
      <c r="AK866">
        <v>1</v>
      </c>
      <c r="AL866">
        <v>1</v>
      </c>
      <c r="AM866">
        <v>0</v>
      </c>
      <c r="AN866" t="s">
        <v>767</v>
      </c>
      <c r="AO866" t="s">
        <v>31</v>
      </c>
    </row>
    <row r="867" spans="1:41" x14ac:dyDescent="0.25">
      <c r="A867">
        <v>27</v>
      </c>
      <c r="B867" t="s">
        <v>66</v>
      </c>
      <c r="C867" t="s">
        <v>55</v>
      </c>
      <c r="D867">
        <v>20</v>
      </c>
      <c r="E867" t="s">
        <v>61</v>
      </c>
      <c r="F867">
        <v>3</v>
      </c>
      <c r="G867">
        <v>2</v>
      </c>
      <c r="H867" t="s">
        <v>70</v>
      </c>
      <c r="I867">
        <v>3</v>
      </c>
      <c r="J867" t="s">
        <v>36</v>
      </c>
      <c r="K867">
        <v>9981</v>
      </c>
      <c r="L867">
        <v>1</v>
      </c>
      <c r="M867" t="s">
        <v>41</v>
      </c>
      <c r="N867">
        <v>14</v>
      </c>
      <c r="O867">
        <v>3</v>
      </c>
      <c r="P867">
        <v>0</v>
      </c>
      <c r="Q867">
        <v>7</v>
      </c>
      <c r="R867">
        <v>2</v>
      </c>
      <c r="S867">
        <v>7</v>
      </c>
      <c r="T867">
        <v>0</v>
      </c>
      <c r="U867">
        <v>7</v>
      </c>
      <c r="V867" t="s">
        <v>58</v>
      </c>
      <c r="W867" s="1" t="s">
        <v>434</v>
      </c>
      <c r="Y867" t="s">
        <v>69</v>
      </c>
      <c r="Z867" t="s">
        <v>47</v>
      </c>
      <c r="AA867">
        <v>2</v>
      </c>
      <c r="AB867">
        <v>3</v>
      </c>
      <c r="AC867" t="s">
        <v>41</v>
      </c>
      <c r="AD867" t="s">
        <v>42</v>
      </c>
      <c r="AE867" t="s">
        <v>49</v>
      </c>
      <c r="AF867" s="3">
        <v>1211</v>
      </c>
      <c r="AG867" s="3">
        <v>61</v>
      </c>
      <c r="AH867">
        <v>80</v>
      </c>
      <c r="AI867">
        <v>3</v>
      </c>
      <c r="AJ867">
        <v>0</v>
      </c>
      <c r="AL867">
        <v>0</v>
      </c>
      <c r="AM867">
        <v>1</v>
      </c>
      <c r="AN867" t="s">
        <v>768</v>
      </c>
      <c r="AO867" t="s">
        <v>41</v>
      </c>
    </row>
    <row r="868" spans="1:41" x14ac:dyDescent="0.25">
      <c r="A868">
        <v>50</v>
      </c>
      <c r="B868" t="s">
        <v>32</v>
      </c>
      <c r="C868" t="s">
        <v>55</v>
      </c>
      <c r="D868">
        <v>1</v>
      </c>
      <c r="E868" t="s">
        <v>61</v>
      </c>
      <c r="F868">
        <v>3</v>
      </c>
      <c r="G868">
        <v>5</v>
      </c>
      <c r="H868" t="s">
        <v>75</v>
      </c>
      <c r="I868">
        <v>4</v>
      </c>
      <c r="J868" t="s">
        <v>57</v>
      </c>
      <c r="K868">
        <v>19517</v>
      </c>
      <c r="L868">
        <v>3</v>
      </c>
      <c r="M868" t="s">
        <v>41</v>
      </c>
      <c r="N868">
        <v>11</v>
      </c>
      <c r="O868">
        <v>3</v>
      </c>
      <c r="P868">
        <v>1</v>
      </c>
      <c r="Q868">
        <v>32</v>
      </c>
      <c r="R868">
        <v>3</v>
      </c>
      <c r="S868">
        <v>7</v>
      </c>
      <c r="T868">
        <v>0</v>
      </c>
      <c r="U868">
        <v>6</v>
      </c>
      <c r="V868" t="s">
        <v>52</v>
      </c>
      <c r="W868" s="1" t="s">
        <v>435</v>
      </c>
      <c r="Y868" t="s">
        <v>46</v>
      </c>
      <c r="Z868" t="s">
        <v>40</v>
      </c>
      <c r="AA868">
        <v>1</v>
      </c>
      <c r="AB868">
        <v>2</v>
      </c>
      <c r="AC868" t="s">
        <v>41</v>
      </c>
      <c r="AD868" t="s">
        <v>67</v>
      </c>
      <c r="AE868" t="s">
        <v>43</v>
      </c>
      <c r="AF868" s="3">
        <v>1212</v>
      </c>
      <c r="AG868" s="3">
        <v>62</v>
      </c>
      <c r="AH868">
        <v>80</v>
      </c>
      <c r="AI868">
        <v>0</v>
      </c>
      <c r="AJ868">
        <v>0</v>
      </c>
      <c r="AL868">
        <v>0</v>
      </c>
      <c r="AM868">
        <v>1</v>
      </c>
      <c r="AN868" t="s">
        <v>768</v>
      </c>
      <c r="AO868" t="s">
        <v>41</v>
      </c>
    </row>
    <row r="869" spans="1:41" x14ac:dyDescent="0.25">
      <c r="A869">
        <v>46</v>
      </c>
      <c r="B869" t="s">
        <v>32</v>
      </c>
      <c r="C869" t="s">
        <v>55</v>
      </c>
      <c r="D869">
        <v>2</v>
      </c>
      <c r="E869" t="s">
        <v>61</v>
      </c>
      <c r="F869">
        <v>1</v>
      </c>
      <c r="G869">
        <v>4</v>
      </c>
      <c r="H869" t="s">
        <v>75</v>
      </c>
      <c r="I869">
        <v>2</v>
      </c>
      <c r="J869" t="s">
        <v>51</v>
      </c>
      <c r="K869">
        <v>16872</v>
      </c>
      <c r="L869">
        <v>3</v>
      </c>
      <c r="M869" t="s">
        <v>31</v>
      </c>
      <c r="N869">
        <v>12</v>
      </c>
      <c r="O869">
        <v>3</v>
      </c>
      <c r="P869">
        <v>1</v>
      </c>
      <c r="Q869">
        <v>28</v>
      </c>
      <c r="R869">
        <v>2</v>
      </c>
      <c r="S869">
        <v>7</v>
      </c>
      <c r="T869">
        <v>7</v>
      </c>
      <c r="U869">
        <v>7</v>
      </c>
      <c r="V869" t="s">
        <v>58</v>
      </c>
      <c r="W869" s="1" t="s">
        <v>432</v>
      </c>
      <c r="Y869" t="s">
        <v>63</v>
      </c>
      <c r="Z869" t="s">
        <v>40</v>
      </c>
      <c r="AA869">
        <v>2</v>
      </c>
      <c r="AB869">
        <v>0</v>
      </c>
      <c r="AC869" t="s">
        <v>31</v>
      </c>
      <c r="AD869" t="s">
        <v>65</v>
      </c>
      <c r="AE869" t="s">
        <v>60</v>
      </c>
      <c r="AF869" s="3">
        <v>1215</v>
      </c>
      <c r="AG869" s="3">
        <v>30</v>
      </c>
      <c r="AH869">
        <v>80</v>
      </c>
      <c r="AI869">
        <v>2</v>
      </c>
      <c r="AJ869">
        <v>0</v>
      </c>
      <c r="AL869">
        <v>0</v>
      </c>
      <c r="AM869">
        <v>1</v>
      </c>
      <c r="AN869" t="s">
        <v>768</v>
      </c>
      <c r="AO869" t="s">
        <v>41</v>
      </c>
    </row>
    <row r="870" spans="1:41" x14ac:dyDescent="0.25">
      <c r="A870">
        <v>35</v>
      </c>
      <c r="B870" t="s">
        <v>32</v>
      </c>
      <c r="C870" t="s">
        <v>33</v>
      </c>
      <c r="D870">
        <v>22</v>
      </c>
      <c r="E870" t="s">
        <v>61</v>
      </c>
      <c r="F870">
        <v>4</v>
      </c>
      <c r="G870">
        <v>3</v>
      </c>
      <c r="H870" t="s">
        <v>75</v>
      </c>
      <c r="I870">
        <v>2</v>
      </c>
      <c r="J870" t="s">
        <v>57</v>
      </c>
      <c r="K870">
        <v>11996</v>
      </c>
      <c r="L870">
        <v>7</v>
      </c>
      <c r="M870" t="s">
        <v>41</v>
      </c>
      <c r="N870">
        <v>18</v>
      </c>
      <c r="O870">
        <v>3</v>
      </c>
      <c r="P870">
        <v>1</v>
      </c>
      <c r="Q870">
        <v>10</v>
      </c>
      <c r="R870">
        <v>6</v>
      </c>
      <c r="S870">
        <v>7</v>
      </c>
      <c r="T870">
        <v>6</v>
      </c>
      <c r="U870">
        <v>2</v>
      </c>
      <c r="V870" t="s">
        <v>37</v>
      </c>
      <c r="W870" s="1" t="s">
        <v>436</v>
      </c>
      <c r="Y870" t="s">
        <v>69</v>
      </c>
      <c r="Z870" t="s">
        <v>40</v>
      </c>
      <c r="AA870">
        <v>5</v>
      </c>
      <c r="AB870">
        <v>0</v>
      </c>
      <c r="AC870" t="s">
        <v>41</v>
      </c>
      <c r="AD870" t="s">
        <v>65</v>
      </c>
      <c r="AE870" t="s">
        <v>60</v>
      </c>
      <c r="AF870" s="3">
        <v>1216</v>
      </c>
      <c r="AG870" s="3">
        <v>78</v>
      </c>
      <c r="AH870">
        <v>80</v>
      </c>
      <c r="AI870">
        <v>5</v>
      </c>
      <c r="AJ870">
        <v>0</v>
      </c>
      <c r="AL870">
        <v>0</v>
      </c>
      <c r="AM870">
        <v>1</v>
      </c>
      <c r="AN870" t="s">
        <v>768</v>
      </c>
      <c r="AO870" t="s">
        <v>41</v>
      </c>
    </row>
    <row r="871" spans="1:41" x14ac:dyDescent="0.25">
      <c r="A871">
        <v>49</v>
      </c>
      <c r="B871" t="s">
        <v>32</v>
      </c>
      <c r="C871" t="s">
        <v>33</v>
      </c>
      <c r="D871">
        <v>1</v>
      </c>
      <c r="E871" t="s">
        <v>61</v>
      </c>
      <c r="F871">
        <v>2</v>
      </c>
      <c r="G871">
        <v>4</v>
      </c>
      <c r="H871" t="s">
        <v>89</v>
      </c>
      <c r="I871">
        <v>3</v>
      </c>
      <c r="J871" t="s">
        <v>36</v>
      </c>
      <c r="K871">
        <v>13964</v>
      </c>
      <c r="L871">
        <v>7</v>
      </c>
      <c r="M871" t="s">
        <v>31</v>
      </c>
      <c r="N871">
        <v>12</v>
      </c>
      <c r="O871">
        <v>3</v>
      </c>
      <c r="P871">
        <v>0</v>
      </c>
      <c r="Q871">
        <v>25</v>
      </c>
      <c r="R871">
        <v>2</v>
      </c>
      <c r="S871">
        <v>7</v>
      </c>
      <c r="T871">
        <v>0</v>
      </c>
      <c r="U871">
        <v>7</v>
      </c>
      <c r="V871" t="s">
        <v>52</v>
      </c>
      <c r="W871" s="2">
        <v>41915</v>
      </c>
      <c r="Y871" t="s">
        <v>63</v>
      </c>
      <c r="Z871" t="s">
        <v>47</v>
      </c>
      <c r="AA871">
        <v>5</v>
      </c>
      <c r="AB871">
        <v>1</v>
      </c>
      <c r="AC871" t="s">
        <v>31</v>
      </c>
      <c r="AD871" t="s">
        <v>67</v>
      </c>
      <c r="AE871" t="s">
        <v>43</v>
      </c>
      <c r="AF871" s="3">
        <v>1217</v>
      </c>
      <c r="AG871" s="3">
        <v>52</v>
      </c>
      <c r="AH871">
        <v>80</v>
      </c>
      <c r="AI871">
        <v>2</v>
      </c>
      <c r="AJ871">
        <v>0</v>
      </c>
      <c r="AL871">
        <v>0</v>
      </c>
      <c r="AM871">
        <v>1</v>
      </c>
      <c r="AN871" t="s">
        <v>768</v>
      </c>
      <c r="AO871" t="s">
        <v>41</v>
      </c>
    </row>
    <row r="872" spans="1:41" x14ac:dyDescent="0.25">
      <c r="A872">
        <v>31</v>
      </c>
      <c r="B872" t="s">
        <v>32</v>
      </c>
      <c r="C872" t="s">
        <v>55</v>
      </c>
      <c r="D872">
        <v>7</v>
      </c>
      <c r="E872" t="s">
        <v>34</v>
      </c>
      <c r="F872">
        <v>3</v>
      </c>
      <c r="G872">
        <v>2</v>
      </c>
      <c r="H872" t="s">
        <v>70</v>
      </c>
      <c r="I872">
        <v>4</v>
      </c>
      <c r="J872" t="s">
        <v>57</v>
      </c>
      <c r="K872">
        <v>7547</v>
      </c>
      <c r="L872">
        <v>4</v>
      </c>
      <c r="M872" t="s">
        <v>41</v>
      </c>
      <c r="N872">
        <v>12</v>
      </c>
      <c r="O872">
        <v>3</v>
      </c>
      <c r="P872">
        <v>3</v>
      </c>
      <c r="Q872">
        <v>13</v>
      </c>
      <c r="R872">
        <v>3</v>
      </c>
      <c r="S872">
        <v>7</v>
      </c>
      <c r="T872">
        <v>1</v>
      </c>
      <c r="U872">
        <v>7</v>
      </c>
      <c r="V872" t="s">
        <v>52</v>
      </c>
      <c r="W872" s="1" t="s">
        <v>437</v>
      </c>
      <c r="Y872" t="s">
        <v>69</v>
      </c>
      <c r="Z872" t="s">
        <v>40</v>
      </c>
      <c r="AA872">
        <v>0</v>
      </c>
      <c r="AB872">
        <v>2</v>
      </c>
      <c r="AC872" t="s">
        <v>31</v>
      </c>
      <c r="AD872" t="s">
        <v>65</v>
      </c>
      <c r="AE872" t="s">
        <v>60</v>
      </c>
      <c r="AF872" s="3">
        <v>1218</v>
      </c>
      <c r="AG872" s="3">
        <v>94</v>
      </c>
      <c r="AH872">
        <v>80</v>
      </c>
      <c r="AI872">
        <v>7</v>
      </c>
      <c r="AJ872">
        <v>0</v>
      </c>
      <c r="AL872">
        <v>0</v>
      </c>
      <c r="AM872">
        <v>1</v>
      </c>
      <c r="AN872" t="s">
        <v>768</v>
      </c>
      <c r="AO872" t="s">
        <v>41</v>
      </c>
    </row>
    <row r="873" spans="1:41" x14ac:dyDescent="0.25">
      <c r="A873">
        <v>32</v>
      </c>
      <c r="B873" t="s">
        <v>32</v>
      </c>
      <c r="C873" t="s">
        <v>33</v>
      </c>
      <c r="D873">
        <v>2</v>
      </c>
      <c r="E873" t="s">
        <v>61</v>
      </c>
      <c r="F873">
        <v>4</v>
      </c>
      <c r="G873">
        <v>2</v>
      </c>
      <c r="H873" t="s">
        <v>44</v>
      </c>
      <c r="I873">
        <v>4</v>
      </c>
      <c r="J873" t="s">
        <v>36</v>
      </c>
      <c r="K873">
        <v>5055</v>
      </c>
      <c r="L873">
        <v>7</v>
      </c>
      <c r="M873" t="s">
        <v>41</v>
      </c>
      <c r="N873">
        <v>16</v>
      </c>
      <c r="O873">
        <v>3</v>
      </c>
      <c r="P873">
        <v>0</v>
      </c>
      <c r="Q873">
        <v>10</v>
      </c>
      <c r="R873">
        <v>0</v>
      </c>
      <c r="S873">
        <v>7</v>
      </c>
      <c r="T873">
        <v>0</v>
      </c>
      <c r="U873">
        <v>7</v>
      </c>
      <c r="V873" t="s">
        <v>72</v>
      </c>
      <c r="W873" s="1" t="s">
        <v>438</v>
      </c>
      <c r="Y873" t="s">
        <v>54</v>
      </c>
      <c r="Z873" t="s">
        <v>47</v>
      </c>
      <c r="AA873">
        <v>1</v>
      </c>
      <c r="AB873">
        <v>1</v>
      </c>
      <c r="AC873" t="s">
        <v>41</v>
      </c>
      <c r="AD873" t="s">
        <v>65</v>
      </c>
      <c r="AE873" t="s">
        <v>49</v>
      </c>
      <c r="AF873" s="3">
        <v>1219</v>
      </c>
      <c r="AG873" s="3">
        <v>97</v>
      </c>
      <c r="AH873">
        <v>80</v>
      </c>
      <c r="AI873">
        <v>0</v>
      </c>
      <c r="AJ873">
        <v>1</v>
      </c>
      <c r="AK873">
        <v>1</v>
      </c>
      <c r="AL873">
        <v>1</v>
      </c>
      <c r="AM873">
        <v>0</v>
      </c>
      <c r="AN873" t="s">
        <v>767</v>
      </c>
      <c r="AO873" t="s">
        <v>31</v>
      </c>
    </row>
    <row r="874" spans="1:41" x14ac:dyDescent="0.25">
      <c r="A874">
        <v>33</v>
      </c>
      <c r="B874" t="s">
        <v>66</v>
      </c>
      <c r="C874" t="s">
        <v>55</v>
      </c>
      <c r="D874">
        <v>10</v>
      </c>
      <c r="E874" t="s">
        <v>34</v>
      </c>
      <c r="F874">
        <v>2</v>
      </c>
      <c r="G874">
        <v>2</v>
      </c>
      <c r="H874" t="s">
        <v>70</v>
      </c>
      <c r="I874">
        <v>4</v>
      </c>
      <c r="J874" t="s">
        <v>36</v>
      </c>
      <c r="K874">
        <v>4682</v>
      </c>
      <c r="L874">
        <v>3</v>
      </c>
      <c r="M874" t="s">
        <v>41</v>
      </c>
      <c r="N874">
        <v>14</v>
      </c>
      <c r="O874">
        <v>3</v>
      </c>
      <c r="P874">
        <v>0</v>
      </c>
      <c r="Q874">
        <v>9</v>
      </c>
      <c r="R874">
        <v>6</v>
      </c>
      <c r="S874">
        <v>7</v>
      </c>
      <c r="T874">
        <v>0</v>
      </c>
      <c r="U874">
        <v>1</v>
      </c>
      <c r="V874" t="s">
        <v>58</v>
      </c>
      <c r="W874" s="1" t="s">
        <v>439</v>
      </c>
      <c r="Y874" t="s">
        <v>46</v>
      </c>
      <c r="Z874" t="s">
        <v>40</v>
      </c>
      <c r="AA874">
        <v>5</v>
      </c>
      <c r="AB874">
        <v>0</v>
      </c>
      <c r="AC874" t="s">
        <v>31</v>
      </c>
      <c r="AD874" t="s">
        <v>67</v>
      </c>
      <c r="AE874" t="s">
        <v>43</v>
      </c>
      <c r="AF874" s="3">
        <v>1220</v>
      </c>
      <c r="AG874" s="3">
        <v>82</v>
      </c>
      <c r="AH874">
        <v>80</v>
      </c>
      <c r="AI874">
        <v>7</v>
      </c>
      <c r="AJ874">
        <v>0</v>
      </c>
      <c r="AL874">
        <v>0</v>
      </c>
      <c r="AM874">
        <v>1</v>
      </c>
      <c r="AN874" t="s">
        <v>768</v>
      </c>
      <c r="AO874" t="s">
        <v>41</v>
      </c>
    </row>
    <row r="875" spans="1:41" x14ac:dyDescent="0.25">
      <c r="A875">
        <v>29</v>
      </c>
      <c r="B875" t="s">
        <v>32</v>
      </c>
      <c r="C875" t="s">
        <v>33</v>
      </c>
      <c r="D875">
        <v>8</v>
      </c>
      <c r="E875" t="s">
        <v>34</v>
      </c>
      <c r="F875">
        <v>1</v>
      </c>
      <c r="G875">
        <v>1</v>
      </c>
      <c r="H875" t="s">
        <v>35</v>
      </c>
      <c r="I875">
        <v>1</v>
      </c>
      <c r="J875" t="s">
        <v>51</v>
      </c>
      <c r="K875">
        <v>2119</v>
      </c>
      <c r="L875">
        <v>1</v>
      </c>
      <c r="M875" t="s">
        <v>31</v>
      </c>
      <c r="N875">
        <v>11</v>
      </c>
      <c r="O875">
        <v>3</v>
      </c>
      <c r="P875">
        <v>0</v>
      </c>
      <c r="Q875">
        <v>7</v>
      </c>
      <c r="R875">
        <v>4</v>
      </c>
      <c r="S875">
        <v>7</v>
      </c>
      <c r="T875">
        <v>0</v>
      </c>
      <c r="U875">
        <v>7</v>
      </c>
      <c r="V875" t="s">
        <v>37</v>
      </c>
      <c r="W875" s="1" t="s">
        <v>440</v>
      </c>
      <c r="Y875" t="s">
        <v>54</v>
      </c>
      <c r="Z875" t="s">
        <v>47</v>
      </c>
      <c r="AA875">
        <v>0</v>
      </c>
      <c r="AB875">
        <v>0</v>
      </c>
      <c r="AC875" t="s">
        <v>31</v>
      </c>
      <c r="AD875" t="s">
        <v>67</v>
      </c>
      <c r="AE875" t="s">
        <v>60</v>
      </c>
      <c r="AF875" s="3">
        <v>1221</v>
      </c>
      <c r="AG875" s="3">
        <v>60</v>
      </c>
      <c r="AH875">
        <v>80</v>
      </c>
      <c r="AI875">
        <v>7</v>
      </c>
      <c r="AJ875">
        <v>0</v>
      </c>
      <c r="AL875">
        <v>0</v>
      </c>
      <c r="AM875">
        <v>1</v>
      </c>
      <c r="AN875" t="s">
        <v>768</v>
      </c>
      <c r="AO875" t="s">
        <v>41</v>
      </c>
    </row>
    <row r="876" spans="1:41" x14ac:dyDescent="0.25">
      <c r="A876">
        <v>29</v>
      </c>
      <c r="B876" t="s">
        <v>32</v>
      </c>
      <c r="C876" t="s">
        <v>55</v>
      </c>
      <c r="D876">
        <v>10</v>
      </c>
      <c r="E876" t="s">
        <v>61</v>
      </c>
      <c r="F876">
        <v>2</v>
      </c>
      <c r="G876">
        <v>2</v>
      </c>
      <c r="H876" t="s">
        <v>70</v>
      </c>
      <c r="I876">
        <v>2</v>
      </c>
      <c r="J876" t="s">
        <v>57</v>
      </c>
      <c r="K876">
        <v>8268</v>
      </c>
      <c r="L876">
        <v>1</v>
      </c>
      <c r="M876" t="s">
        <v>31</v>
      </c>
      <c r="N876">
        <v>14</v>
      </c>
      <c r="O876">
        <v>3</v>
      </c>
      <c r="P876">
        <v>2</v>
      </c>
      <c r="Q876">
        <v>7</v>
      </c>
      <c r="R876">
        <v>2</v>
      </c>
      <c r="S876">
        <v>7</v>
      </c>
      <c r="T876">
        <v>1</v>
      </c>
      <c r="U876">
        <v>7</v>
      </c>
      <c r="V876" t="s">
        <v>72</v>
      </c>
      <c r="W876" s="1" t="s">
        <v>441</v>
      </c>
      <c r="Y876" t="s">
        <v>63</v>
      </c>
      <c r="Z876" t="s">
        <v>40</v>
      </c>
      <c r="AA876">
        <v>5</v>
      </c>
      <c r="AB876">
        <v>2</v>
      </c>
      <c r="AC876" t="s">
        <v>31</v>
      </c>
      <c r="AD876" t="s">
        <v>67</v>
      </c>
      <c r="AE876" t="s">
        <v>49</v>
      </c>
      <c r="AF876" s="3">
        <v>1224</v>
      </c>
      <c r="AG876" s="3">
        <v>49</v>
      </c>
      <c r="AH876">
        <v>80</v>
      </c>
      <c r="AI876">
        <v>7</v>
      </c>
      <c r="AJ876">
        <v>0</v>
      </c>
      <c r="AL876">
        <v>0</v>
      </c>
      <c r="AM876">
        <v>1</v>
      </c>
      <c r="AN876" t="s">
        <v>768</v>
      </c>
      <c r="AO876" t="s">
        <v>41</v>
      </c>
    </row>
    <row r="877" spans="1:41" x14ac:dyDescent="0.25">
      <c r="A877">
        <v>37</v>
      </c>
      <c r="B877" t="s">
        <v>32</v>
      </c>
      <c r="C877" t="s">
        <v>33</v>
      </c>
      <c r="D877">
        <v>6</v>
      </c>
      <c r="E877" t="s">
        <v>34</v>
      </c>
      <c r="F877">
        <v>4</v>
      </c>
      <c r="G877">
        <v>2</v>
      </c>
      <c r="H877" t="s">
        <v>44</v>
      </c>
      <c r="I877">
        <v>1</v>
      </c>
      <c r="J877" t="s">
        <v>57</v>
      </c>
      <c r="K877">
        <v>5974</v>
      </c>
      <c r="L877">
        <v>4</v>
      </c>
      <c r="M877" t="s">
        <v>31</v>
      </c>
      <c r="N877">
        <v>13</v>
      </c>
      <c r="O877">
        <v>3</v>
      </c>
      <c r="P877">
        <v>2</v>
      </c>
      <c r="Q877">
        <v>13</v>
      </c>
      <c r="R877">
        <v>2</v>
      </c>
      <c r="S877">
        <v>7</v>
      </c>
      <c r="T877">
        <v>6</v>
      </c>
      <c r="U877">
        <v>7</v>
      </c>
      <c r="V877" t="s">
        <v>37</v>
      </c>
      <c r="W877" s="1" t="s">
        <v>442</v>
      </c>
      <c r="Y877" t="s">
        <v>46</v>
      </c>
      <c r="Z877" t="s">
        <v>47</v>
      </c>
      <c r="AA877">
        <v>3</v>
      </c>
      <c r="AB877">
        <v>0</v>
      </c>
      <c r="AC877" t="s">
        <v>31</v>
      </c>
      <c r="AD877" t="s">
        <v>67</v>
      </c>
      <c r="AE877" t="s">
        <v>49</v>
      </c>
      <c r="AF877" s="3">
        <v>1225</v>
      </c>
      <c r="AG877" s="3">
        <v>32</v>
      </c>
      <c r="AH877">
        <v>80</v>
      </c>
      <c r="AI877">
        <v>11</v>
      </c>
      <c r="AJ877">
        <v>0</v>
      </c>
      <c r="AL877">
        <v>0</v>
      </c>
      <c r="AM877">
        <v>1</v>
      </c>
      <c r="AN877" t="s">
        <v>768</v>
      </c>
      <c r="AO877" t="s">
        <v>41</v>
      </c>
    </row>
    <row r="878" spans="1:41" x14ac:dyDescent="0.25">
      <c r="A878">
        <v>40</v>
      </c>
      <c r="B878" t="s">
        <v>32</v>
      </c>
      <c r="C878" t="s">
        <v>33</v>
      </c>
      <c r="D878">
        <v>10</v>
      </c>
      <c r="E878" t="s">
        <v>61</v>
      </c>
      <c r="F878">
        <v>4</v>
      </c>
      <c r="G878">
        <v>1</v>
      </c>
      <c r="H878" t="s">
        <v>35</v>
      </c>
      <c r="I878">
        <v>3</v>
      </c>
      <c r="J878" t="s">
        <v>51</v>
      </c>
      <c r="K878">
        <v>2213</v>
      </c>
      <c r="L878">
        <v>3</v>
      </c>
      <c r="M878" t="s">
        <v>31</v>
      </c>
      <c r="N878">
        <v>13</v>
      </c>
      <c r="O878">
        <v>3</v>
      </c>
      <c r="P878">
        <v>1</v>
      </c>
      <c r="Q878">
        <v>10</v>
      </c>
      <c r="R878">
        <v>3</v>
      </c>
      <c r="S878">
        <v>7</v>
      </c>
      <c r="T878">
        <v>1</v>
      </c>
      <c r="U878">
        <v>7</v>
      </c>
      <c r="V878" t="s">
        <v>72</v>
      </c>
      <c r="W878" s="2">
        <v>41948</v>
      </c>
      <c r="Y878" t="s">
        <v>39</v>
      </c>
      <c r="Z878" t="s">
        <v>47</v>
      </c>
      <c r="AA878">
        <v>5</v>
      </c>
      <c r="AB878">
        <v>2</v>
      </c>
      <c r="AC878" t="s">
        <v>41</v>
      </c>
      <c r="AD878" t="s">
        <v>67</v>
      </c>
      <c r="AE878" t="s">
        <v>60</v>
      </c>
      <c r="AF878" s="3">
        <v>1226</v>
      </c>
      <c r="AG878" s="3">
        <v>43</v>
      </c>
      <c r="AH878">
        <v>80</v>
      </c>
      <c r="AI878">
        <v>1</v>
      </c>
      <c r="AJ878">
        <v>0</v>
      </c>
      <c r="AL878">
        <v>0</v>
      </c>
      <c r="AM878">
        <v>1</v>
      </c>
      <c r="AN878" t="s">
        <v>768</v>
      </c>
      <c r="AO878" t="s">
        <v>41</v>
      </c>
    </row>
    <row r="879" spans="1:41" x14ac:dyDescent="0.25">
      <c r="A879">
        <v>28</v>
      </c>
      <c r="B879" t="s">
        <v>32</v>
      </c>
      <c r="C879" t="s">
        <v>55</v>
      </c>
      <c r="D879">
        <v>9</v>
      </c>
      <c r="E879" t="s">
        <v>34</v>
      </c>
      <c r="F879">
        <v>3</v>
      </c>
      <c r="G879">
        <v>2</v>
      </c>
      <c r="H879" t="s">
        <v>70</v>
      </c>
      <c r="I879">
        <v>4</v>
      </c>
      <c r="J879" t="s">
        <v>36</v>
      </c>
      <c r="K879">
        <v>5253</v>
      </c>
      <c r="L879">
        <v>1</v>
      </c>
      <c r="M879" t="s">
        <v>41</v>
      </c>
      <c r="N879">
        <v>16</v>
      </c>
      <c r="O879">
        <v>3</v>
      </c>
      <c r="P879">
        <v>0</v>
      </c>
      <c r="Q879">
        <v>7</v>
      </c>
      <c r="R879">
        <v>1</v>
      </c>
      <c r="S879">
        <v>7</v>
      </c>
      <c r="T879">
        <v>0</v>
      </c>
      <c r="U879">
        <v>7</v>
      </c>
      <c r="V879" t="s">
        <v>37</v>
      </c>
      <c r="W879" s="2">
        <v>41823</v>
      </c>
      <c r="Y879" t="s">
        <v>39</v>
      </c>
      <c r="Z879" t="s">
        <v>40</v>
      </c>
      <c r="AA879">
        <v>4</v>
      </c>
      <c r="AB879">
        <v>0</v>
      </c>
      <c r="AC879" t="s">
        <v>41</v>
      </c>
      <c r="AD879" t="s">
        <v>48</v>
      </c>
      <c r="AE879" t="s">
        <v>60</v>
      </c>
      <c r="AF879" s="3">
        <v>1228</v>
      </c>
      <c r="AG879" s="3">
        <v>60</v>
      </c>
      <c r="AH879">
        <v>80</v>
      </c>
      <c r="AI879">
        <v>3</v>
      </c>
      <c r="AJ879">
        <v>0</v>
      </c>
      <c r="AL879">
        <v>0</v>
      </c>
      <c r="AM879">
        <v>1</v>
      </c>
      <c r="AN879" t="s">
        <v>768</v>
      </c>
      <c r="AO879" t="s">
        <v>41</v>
      </c>
    </row>
    <row r="880" spans="1:41" x14ac:dyDescent="0.25">
      <c r="A880">
        <v>51</v>
      </c>
      <c r="B880" t="s">
        <v>32</v>
      </c>
      <c r="C880" t="s">
        <v>55</v>
      </c>
      <c r="D880">
        <v>14</v>
      </c>
      <c r="E880" t="s">
        <v>61</v>
      </c>
      <c r="F880">
        <v>3</v>
      </c>
      <c r="G880">
        <v>2</v>
      </c>
      <c r="H880" t="s">
        <v>70</v>
      </c>
      <c r="I880">
        <v>4</v>
      </c>
      <c r="J880" t="s">
        <v>51</v>
      </c>
      <c r="K880">
        <v>4936</v>
      </c>
      <c r="L880">
        <v>4</v>
      </c>
      <c r="M880" t="s">
        <v>41</v>
      </c>
      <c r="N880">
        <v>11</v>
      </c>
      <c r="O880">
        <v>3</v>
      </c>
      <c r="P880">
        <v>1</v>
      </c>
      <c r="Q880">
        <v>18</v>
      </c>
      <c r="R880">
        <v>2</v>
      </c>
      <c r="S880">
        <v>7</v>
      </c>
      <c r="T880">
        <v>0</v>
      </c>
      <c r="U880">
        <v>7</v>
      </c>
      <c r="V880" t="s">
        <v>58</v>
      </c>
      <c r="W880" s="1" t="s">
        <v>443</v>
      </c>
      <c r="Y880" t="s">
        <v>54</v>
      </c>
      <c r="Z880" t="s">
        <v>47</v>
      </c>
      <c r="AA880">
        <v>4</v>
      </c>
      <c r="AB880">
        <v>1</v>
      </c>
      <c r="AC880" t="s">
        <v>31</v>
      </c>
      <c r="AD880" t="s">
        <v>65</v>
      </c>
      <c r="AE880" t="s">
        <v>60</v>
      </c>
      <c r="AF880" s="3">
        <v>1231</v>
      </c>
      <c r="AG880" s="3">
        <v>79</v>
      </c>
      <c r="AH880">
        <v>80</v>
      </c>
      <c r="AI880">
        <v>3</v>
      </c>
      <c r="AJ880">
        <v>0</v>
      </c>
      <c r="AL880">
        <v>0</v>
      </c>
      <c r="AM880">
        <v>1</v>
      </c>
      <c r="AN880" t="s">
        <v>768</v>
      </c>
      <c r="AO880" t="s">
        <v>41</v>
      </c>
    </row>
    <row r="881" spans="1:41" x14ac:dyDescent="0.25">
      <c r="A881">
        <v>56</v>
      </c>
      <c r="B881" t="s">
        <v>66</v>
      </c>
      <c r="C881" t="s">
        <v>55</v>
      </c>
      <c r="D881">
        <v>6</v>
      </c>
      <c r="E881" t="s">
        <v>61</v>
      </c>
      <c r="F881">
        <v>4</v>
      </c>
      <c r="G881">
        <v>4</v>
      </c>
      <c r="H881" t="s">
        <v>70</v>
      </c>
      <c r="I881">
        <v>1</v>
      </c>
      <c r="J881" t="s">
        <v>51</v>
      </c>
      <c r="K881">
        <v>13212</v>
      </c>
      <c r="L881">
        <v>9</v>
      </c>
      <c r="M881" t="s">
        <v>41</v>
      </c>
      <c r="N881">
        <v>11</v>
      </c>
      <c r="O881">
        <v>3</v>
      </c>
      <c r="P881">
        <v>3</v>
      </c>
      <c r="Q881">
        <v>36</v>
      </c>
      <c r="R881">
        <v>0</v>
      </c>
      <c r="S881">
        <v>7</v>
      </c>
      <c r="T881">
        <v>7</v>
      </c>
      <c r="U881">
        <v>7</v>
      </c>
      <c r="V881" t="s">
        <v>37</v>
      </c>
      <c r="W881" s="2">
        <v>41824</v>
      </c>
      <c r="Y881" t="s">
        <v>69</v>
      </c>
      <c r="Z881" t="s">
        <v>40</v>
      </c>
      <c r="AA881">
        <v>5</v>
      </c>
      <c r="AB881">
        <v>1</v>
      </c>
      <c r="AC881" t="s">
        <v>31</v>
      </c>
      <c r="AD881" t="s">
        <v>67</v>
      </c>
      <c r="AE881" t="s">
        <v>60</v>
      </c>
      <c r="AF881" s="3">
        <v>1233</v>
      </c>
      <c r="AG881" s="3">
        <v>52</v>
      </c>
      <c r="AH881">
        <v>80</v>
      </c>
      <c r="AI881">
        <v>7</v>
      </c>
      <c r="AJ881">
        <v>0</v>
      </c>
      <c r="AL881">
        <v>0</v>
      </c>
      <c r="AM881">
        <v>1</v>
      </c>
      <c r="AN881" t="s">
        <v>768</v>
      </c>
      <c r="AO881" t="s">
        <v>41</v>
      </c>
    </row>
    <row r="882" spans="1:41" x14ac:dyDescent="0.25">
      <c r="A882">
        <v>34</v>
      </c>
      <c r="B882" t="s">
        <v>32</v>
      </c>
      <c r="C882" t="s">
        <v>33</v>
      </c>
      <c r="D882">
        <v>2</v>
      </c>
      <c r="E882" t="s">
        <v>34</v>
      </c>
      <c r="F882">
        <v>2</v>
      </c>
      <c r="G882">
        <v>1</v>
      </c>
      <c r="H882" t="s">
        <v>44</v>
      </c>
      <c r="I882">
        <v>3</v>
      </c>
      <c r="J882" t="s">
        <v>57</v>
      </c>
      <c r="K882">
        <v>2768</v>
      </c>
      <c r="L882">
        <v>3</v>
      </c>
      <c r="M882" t="s">
        <v>41</v>
      </c>
      <c r="N882">
        <v>12</v>
      </c>
      <c r="O882">
        <v>3</v>
      </c>
      <c r="P882">
        <v>1</v>
      </c>
      <c r="Q882">
        <v>14</v>
      </c>
      <c r="R882">
        <v>3</v>
      </c>
      <c r="S882">
        <v>7</v>
      </c>
      <c r="T882">
        <v>5</v>
      </c>
      <c r="U882">
        <v>7</v>
      </c>
      <c r="V882" t="s">
        <v>72</v>
      </c>
      <c r="W882" s="1" t="s">
        <v>444</v>
      </c>
      <c r="Y882" t="s">
        <v>39</v>
      </c>
      <c r="Z882" t="s">
        <v>47</v>
      </c>
      <c r="AA882">
        <v>2</v>
      </c>
      <c r="AB882">
        <v>0</v>
      </c>
      <c r="AC882" t="s">
        <v>31</v>
      </c>
      <c r="AD882" t="s">
        <v>48</v>
      </c>
      <c r="AE882" t="s">
        <v>49</v>
      </c>
      <c r="AF882" s="3">
        <v>1234</v>
      </c>
      <c r="AG882" s="3">
        <v>77</v>
      </c>
      <c r="AH882">
        <v>80</v>
      </c>
      <c r="AI882">
        <v>2</v>
      </c>
      <c r="AJ882">
        <v>0</v>
      </c>
      <c r="AL882">
        <v>0</v>
      </c>
      <c r="AM882">
        <v>1</v>
      </c>
      <c r="AN882" t="s">
        <v>768</v>
      </c>
      <c r="AO882" t="s">
        <v>41</v>
      </c>
    </row>
    <row r="883" spans="1:41" x14ac:dyDescent="0.25">
      <c r="A883">
        <v>33</v>
      </c>
      <c r="B883" t="s">
        <v>32</v>
      </c>
      <c r="C883" t="s">
        <v>33</v>
      </c>
      <c r="D883">
        <v>15</v>
      </c>
      <c r="E883" t="s">
        <v>34</v>
      </c>
      <c r="F883">
        <v>3</v>
      </c>
      <c r="G883">
        <v>3</v>
      </c>
      <c r="H883" t="s">
        <v>75</v>
      </c>
      <c r="I883">
        <v>3</v>
      </c>
      <c r="J883" t="s">
        <v>51</v>
      </c>
      <c r="K883">
        <v>13610</v>
      </c>
      <c r="L883">
        <v>7</v>
      </c>
      <c r="M883" t="s">
        <v>31</v>
      </c>
      <c r="N883">
        <v>12</v>
      </c>
      <c r="O883">
        <v>3</v>
      </c>
      <c r="P883">
        <v>0</v>
      </c>
      <c r="Q883">
        <v>15</v>
      </c>
      <c r="R883">
        <v>2</v>
      </c>
      <c r="S883">
        <v>7</v>
      </c>
      <c r="T883">
        <v>7</v>
      </c>
      <c r="U883">
        <v>7</v>
      </c>
      <c r="V883" t="s">
        <v>72</v>
      </c>
      <c r="W883" s="1" t="s">
        <v>445</v>
      </c>
      <c r="Y883" t="s">
        <v>54</v>
      </c>
      <c r="Z883" t="s">
        <v>40</v>
      </c>
      <c r="AA883">
        <v>2</v>
      </c>
      <c r="AB883">
        <v>1</v>
      </c>
      <c r="AC883" t="s">
        <v>41</v>
      </c>
      <c r="AD883" t="s">
        <v>42</v>
      </c>
      <c r="AE883" t="s">
        <v>49</v>
      </c>
      <c r="AF883" s="3">
        <v>1235</v>
      </c>
      <c r="AG883" s="3">
        <v>38</v>
      </c>
      <c r="AH883">
        <v>80</v>
      </c>
      <c r="AI883">
        <v>7</v>
      </c>
      <c r="AJ883">
        <v>0</v>
      </c>
      <c r="AL883">
        <v>0</v>
      </c>
      <c r="AM883">
        <v>1</v>
      </c>
      <c r="AN883" t="s">
        <v>768</v>
      </c>
      <c r="AO883" t="s">
        <v>41</v>
      </c>
    </row>
    <row r="884" spans="1:41" x14ac:dyDescent="0.25">
      <c r="A884">
        <v>26</v>
      </c>
      <c r="B884" t="s">
        <v>66</v>
      </c>
      <c r="C884" t="s">
        <v>120</v>
      </c>
      <c r="D884">
        <v>17</v>
      </c>
      <c r="E884" t="s">
        <v>61</v>
      </c>
      <c r="F884">
        <v>3</v>
      </c>
      <c r="G884">
        <v>1</v>
      </c>
      <c r="H884" t="s">
        <v>120</v>
      </c>
      <c r="I884">
        <v>3</v>
      </c>
      <c r="J884" t="s">
        <v>57</v>
      </c>
      <c r="K884">
        <v>2741</v>
      </c>
      <c r="L884">
        <v>0</v>
      </c>
      <c r="M884" t="s">
        <v>31</v>
      </c>
      <c r="N884">
        <v>11</v>
      </c>
      <c r="O884">
        <v>3</v>
      </c>
      <c r="P884">
        <v>1</v>
      </c>
      <c r="Q884">
        <v>8</v>
      </c>
      <c r="R884">
        <v>2</v>
      </c>
      <c r="S884">
        <v>7</v>
      </c>
      <c r="T884">
        <v>1</v>
      </c>
      <c r="U884">
        <v>0</v>
      </c>
      <c r="V884" t="s">
        <v>37</v>
      </c>
      <c r="W884" s="2">
        <v>41700</v>
      </c>
      <c r="Y884" t="s">
        <v>54</v>
      </c>
      <c r="Z884" t="s">
        <v>47</v>
      </c>
      <c r="AA884">
        <v>4</v>
      </c>
      <c r="AB884">
        <v>3</v>
      </c>
      <c r="AC884" t="s">
        <v>31</v>
      </c>
      <c r="AD884" t="s">
        <v>42</v>
      </c>
      <c r="AE884" t="s">
        <v>43</v>
      </c>
      <c r="AF884" s="3">
        <v>1237</v>
      </c>
      <c r="AG884" s="3">
        <v>77</v>
      </c>
      <c r="AH884">
        <v>80</v>
      </c>
      <c r="AI884">
        <v>7</v>
      </c>
      <c r="AJ884">
        <v>0</v>
      </c>
      <c r="AL884">
        <v>0</v>
      </c>
      <c r="AM884">
        <v>1</v>
      </c>
      <c r="AN884" t="s">
        <v>768</v>
      </c>
      <c r="AO884" t="s">
        <v>41</v>
      </c>
    </row>
    <row r="885" spans="1:41" x14ac:dyDescent="0.25">
      <c r="A885">
        <v>25</v>
      </c>
      <c r="B885" t="s">
        <v>32</v>
      </c>
      <c r="C885" t="s">
        <v>55</v>
      </c>
      <c r="D885">
        <v>13</v>
      </c>
      <c r="E885" t="s">
        <v>34</v>
      </c>
      <c r="F885">
        <v>3</v>
      </c>
      <c r="G885">
        <v>1</v>
      </c>
      <c r="H885" t="s">
        <v>56</v>
      </c>
      <c r="I885">
        <v>3</v>
      </c>
      <c r="J885" t="s">
        <v>51</v>
      </c>
      <c r="K885">
        <v>2096</v>
      </c>
      <c r="L885">
        <v>1</v>
      </c>
      <c r="M885" t="s">
        <v>41</v>
      </c>
      <c r="N885">
        <v>11</v>
      </c>
      <c r="O885">
        <v>3</v>
      </c>
      <c r="P885">
        <v>0</v>
      </c>
      <c r="Q885">
        <v>7</v>
      </c>
      <c r="R885">
        <v>1</v>
      </c>
      <c r="S885">
        <v>7</v>
      </c>
      <c r="T885">
        <v>0</v>
      </c>
      <c r="U885">
        <v>6</v>
      </c>
      <c r="V885" t="s">
        <v>58</v>
      </c>
      <c r="W885" s="1" t="s">
        <v>446</v>
      </c>
      <c r="Y885" t="s">
        <v>46</v>
      </c>
      <c r="Z885" t="s">
        <v>40</v>
      </c>
      <c r="AA885">
        <v>1</v>
      </c>
      <c r="AB885">
        <v>1</v>
      </c>
      <c r="AC885" t="s">
        <v>41</v>
      </c>
      <c r="AD885" t="s">
        <v>42</v>
      </c>
      <c r="AE885" t="s">
        <v>43</v>
      </c>
      <c r="AF885" s="3">
        <v>1238</v>
      </c>
      <c r="AG885" s="3">
        <v>60</v>
      </c>
      <c r="AH885">
        <v>80</v>
      </c>
      <c r="AI885">
        <v>10</v>
      </c>
      <c r="AJ885">
        <v>0</v>
      </c>
      <c r="AL885">
        <v>0</v>
      </c>
      <c r="AM885">
        <v>1</v>
      </c>
      <c r="AN885" t="s">
        <v>768</v>
      </c>
      <c r="AO885" t="s">
        <v>41</v>
      </c>
    </row>
    <row r="886" spans="1:41" x14ac:dyDescent="0.25">
      <c r="A886">
        <v>31</v>
      </c>
      <c r="B886" t="s">
        <v>32</v>
      </c>
      <c r="C886" t="s">
        <v>55</v>
      </c>
      <c r="D886">
        <v>6</v>
      </c>
      <c r="E886" t="s">
        <v>34</v>
      </c>
      <c r="F886">
        <v>4</v>
      </c>
      <c r="G886">
        <v>2</v>
      </c>
      <c r="H886" t="s">
        <v>70</v>
      </c>
      <c r="I886">
        <v>4</v>
      </c>
      <c r="J886" t="s">
        <v>57</v>
      </c>
      <c r="K886">
        <v>5460</v>
      </c>
      <c r="L886">
        <v>4</v>
      </c>
      <c r="M886" t="s">
        <v>41</v>
      </c>
      <c r="N886">
        <v>22</v>
      </c>
      <c r="O886">
        <v>4</v>
      </c>
      <c r="P886">
        <v>2</v>
      </c>
      <c r="Q886">
        <v>13</v>
      </c>
      <c r="R886">
        <v>4</v>
      </c>
      <c r="S886">
        <v>7</v>
      </c>
      <c r="T886">
        <v>5</v>
      </c>
      <c r="U886">
        <v>7</v>
      </c>
      <c r="V886" t="s">
        <v>58</v>
      </c>
      <c r="W886" s="1" t="s">
        <v>447</v>
      </c>
      <c r="Y886" t="s">
        <v>46</v>
      </c>
      <c r="Z886" t="s">
        <v>47</v>
      </c>
      <c r="AA886">
        <v>4</v>
      </c>
      <c r="AB886">
        <v>1</v>
      </c>
      <c r="AC886" t="s">
        <v>41</v>
      </c>
      <c r="AD886" t="s">
        <v>48</v>
      </c>
      <c r="AE886" t="s">
        <v>49</v>
      </c>
      <c r="AF886" s="3">
        <v>1239</v>
      </c>
      <c r="AG886" s="3">
        <v>84</v>
      </c>
      <c r="AH886">
        <v>80</v>
      </c>
      <c r="AI886">
        <v>1</v>
      </c>
      <c r="AJ886">
        <v>0</v>
      </c>
      <c r="AL886">
        <v>0</v>
      </c>
      <c r="AM886">
        <v>1</v>
      </c>
      <c r="AN886" t="s">
        <v>768</v>
      </c>
      <c r="AO886" t="s">
        <v>41</v>
      </c>
    </row>
    <row r="887" spans="1:41" x14ac:dyDescent="0.25">
      <c r="A887">
        <v>38</v>
      </c>
      <c r="B887" t="s">
        <v>32</v>
      </c>
      <c r="C887" t="s">
        <v>55</v>
      </c>
      <c r="D887">
        <v>7</v>
      </c>
      <c r="E887" t="s">
        <v>61</v>
      </c>
      <c r="F887">
        <v>2</v>
      </c>
      <c r="G887">
        <v>2</v>
      </c>
      <c r="H887" t="s">
        <v>70</v>
      </c>
      <c r="I887">
        <v>4</v>
      </c>
      <c r="J887" t="s">
        <v>36</v>
      </c>
      <c r="K887">
        <v>4028</v>
      </c>
      <c r="L887">
        <v>0</v>
      </c>
      <c r="M887" t="s">
        <v>41</v>
      </c>
      <c r="N887">
        <v>20</v>
      </c>
      <c r="O887">
        <v>4</v>
      </c>
      <c r="P887">
        <v>0</v>
      </c>
      <c r="Q887">
        <v>8</v>
      </c>
      <c r="R887">
        <v>2</v>
      </c>
      <c r="S887">
        <v>7</v>
      </c>
      <c r="T887">
        <v>0</v>
      </c>
      <c r="U887">
        <v>5</v>
      </c>
      <c r="V887" t="s">
        <v>58</v>
      </c>
      <c r="W887" s="1" t="s">
        <v>448</v>
      </c>
      <c r="Y887" t="s">
        <v>46</v>
      </c>
      <c r="Z887" t="s">
        <v>40</v>
      </c>
      <c r="AA887">
        <v>1</v>
      </c>
      <c r="AB887">
        <v>2</v>
      </c>
      <c r="AC887" t="s">
        <v>41</v>
      </c>
      <c r="AD887" t="s">
        <v>48</v>
      </c>
      <c r="AE887" t="s">
        <v>60</v>
      </c>
      <c r="AF887" s="3">
        <v>1240</v>
      </c>
      <c r="AG887" s="3">
        <v>57</v>
      </c>
      <c r="AH887">
        <v>80</v>
      </c>
      <c r="AI887">
        <v>3</v>
      </c>
      <c r="AJ887">
        <v>0</v>
      </c>
      <c r="AL887">
        <v>0</v>
      </c>
      <c r="AM887">
        <v>1</v>
      </c>
      <c r="AN887" t="s">
        <v>768</v>
      </c>
      <c r="AO887" t="s">
        <v>41</v>
      </c>
    </row>
    <row r="888" spans="1:41" x14ac:dyDescent="0.25">
      <c r="A888">
        <v>32</v>
      </c>
      <c r="B888" t="s">
        <v>32</v>
      </c>
      <c r="C888" t="s">
        <v>33</v>
      </c>
      <c r="D888">
        <v>3</v>
      </c>
      <c r="E888" t="s">
        <v>61</v>
      </c>
      <c r="F888">
        <v>3</v>
      </c>
      <c r="G888">
        <v>3</v>
      </c>
      <c r="H888" t="s">
        <v>50</v>
      </c>
      <c r="I888">
        <v>4</v>
      </c>
      <c r="J888" t="s">
        <v>36</v>
      </c>
      <c r="K888">
        <v>11159</v>
      </c>
      <c r="L888">
        <v>3</v>
      </c>
      <c r="M888" t="s">
        <v>41</v>
      </c>
      <c r="N888">
        <v>15</v>
      </c>
      <c r="O888">
        <v>3</v>
      </c>
      <c r="P888">
        <v>0</v>
      </c>
      <c r="Q888">
        <v>10</v>
      </c>
      <c r="R888">
        <v>6</v>
      </c>
      <c r="S888">
        <v>7</v>
      </c>
      <c r="T888">
        <v>7</v>
      </c>
      <c r="U888">
        <v>7</v>
      </c>
      <c r="V888" t="s">
        <v>37</v>
      </c>
      <c r="W888" s="1" t="s">
        <v>449</v>
      </c>
      <c r="Y888" t="s">
        <v>54</v>
      </c>
      <c r="Z888" t="s">
        <v>47</v>
      </c>
      <c r="AA888">
        <v>4</v>
      </c>
      <c r="AB888">
        <v>1</v>
      </c>
      <c r="AC888" t="s">
        <v>31</v>
      </c>
      <c r="AD888" t="s">
        <v>67</v>
      </c>
      <c r="AE888" t="s">
        <v>60</v>
      </c>
      <c r="AF888" s="3">
        <v>1241</v>
      </c>
      <c r="AG888" s="3">
        <v>63</v>
      </c>
      <c r="AH888">
        <v>80</v>
      </c>
      <c r="AI888">
        <v>9</v>
      </c>
      <c r="AJ888">
        <v>0</v>
      </c>
      <c r="AL888">
        <v>0</v>
      </c>
      <c r="AM888">
        <v>1</v>
      </c>
      <c r="AN888" t="s">
        <v>768</v>
      </c>
      <c r="AO888" t="s">
        <v>41</v>
      </c>
    </row>
    <row r="889" spans="1:41" x14ac:dyDescent="0.25">
      <c r="A889">
        <v>47</v>
      </c>
      <c r="B889" t="s">
        <v>32</v>
      </c>
      <c r="C889" t="s">
        <v>55</v>
      </c>
      <c r="D889">
        <v>14</v>
      </c>
      <c r="E889" t="s">
        <v>34</v>
      </c>
      <c r="F889">
        <v>3</v>
      </c>
      <c r="G889">
        <v>2</v>
      </c>
      <c r="H889" t="s">
        <v>70</v>
      </c>
      <c r="I889">
        <v>1</v>
      </c>
      <c r="J889" t="s">
        <v>36</v>
      </c>
      <c r="K889">
        <v>4960</v>
      </c>
      <c r="L889">
        <v>2</v>
      </c>
      <c r="M889" t="s">
        <v>41</v>
      </c>
      <c r="N889">
        <v>12</v>
      </c>
      <c r="O889">
        <v>3</v>
      </c>
      <c r="P889">
        <v>0</v>
      </c>
      <c r="Q889">
        <v>20</v>
      </c>
      <c r="R889">
        <v>2</v>
      </c>
      <c r="S889">
        <v>7</v>
      </c>
      <c r="T889">
        <v>1</v>
      </c>
      <c r="U889">
        <v>7</v>
      </c>
      <c r="V889" t="s">
        <v>52</v>
      </c>
      <c r="W889" s="1" t="s">
        <v>450</v>
      </c>
      <c r="Y889" t="s">
        <v>39</v>
      </c>
      <c r="Z889" t="s">
        <v>47</v>
      </c>
      <c r="AA889">
        <v>5</v>
      </c>
      <c r="AB889">
        <v>0</v>
      </c>
      <c r="AC889" t="s">
        <v>41</v>
      </c>
      <c r="AD889" t="s">
        <v>48</v>
      </c>
      <c r="AE889" t="s">
        <v>49</v>
      </c>
      <c r="AF889" s="3">
        <v>1242</v>
      </c>
      <c r="AG889" s="3">
        <v>60</v>
      </c>
      <c r="AH889">
        <v>80</v>
      </c>
      <c r="AI889">
        <v>0</v>
      </c>
      <c r="AJ889">
        <v>0</v>
      </c>
      <c r="AL889">
        <v>0</v>
      </c>
      <c r="AM889">
        <v>1</v>
      </c>
      <c r="AN889" t="s">
        <v>768</v>
      </c>
      <c r="AO889" t="s">
        <v>41</v>
      </c>
    </row>
    <row r="890" spans="1:41" x14ac:dyDescent="0.25">
      <c r="A890">
        <v>28</v>
      </c>
      <c r="B890" t="s">
        <v>32</v>
      </c>
      <c r="C890" t="s">
        <v>33</v>
      </c>
      <c r="D890">
        <v>1</v>
      </c>
      <c r="E890" t="s">
        <v>61</v>
      </c>
      <c r="F890">
        <v>1</v>
      </c>
      <c r="G890">
        <v>1</v>
      </c>
      <c r="H890" t="s">
        <v>44</v>
      </c>
      <c r="I890">
        <v>2</v>
      </c>
      <c r="J890" t="s">
        <v>36</v>
      </c>
      <c r="K890">
        <v>2216</v>
      </c>
      <c r="L890">
        <v>7</v>
      </c>
      <c r="M890" t="s">
        <v>31</v>
      </c>
      <c r="N890">
        <v>13</v>
      </c>
      <c r="O890">
        <v>3</v>
      </c>
      <c r="P890">
        <v>0</v>
      </c>
      <c r="Q890">
        <v>10</v>
      </c>
      <c r="R890">
        <v>4</v>
      </c>
      <c r="S890">
        <v>7</v>
      </c>
      <c r="T890">
        <v>3</v>
      </c>
      <c r="U890">
        <v>7</v>
      </c>
      <c r="V890" t="s">
        <v>72</v>
      </c>
      <c r="W890" s="2">
        <v>41949</v>
      </c>
      <c r="Y890" t="s">
        <v>39</v>
      </c>
      <c r="Z890" t="s">
        <v>40</v>
      </c>
      <c r="AA890">
        <v>0</v>
      </c>
      <c r="AB890">
        <v>0</v>
      </c>
      <c r="AC890" t="s">
        <v>31</v>
      </c>
      <c r="AD890" t="s">
        <v>65</v>
      </c>
      <c r="AE890" t="s">
        <v>60</v>
      </c>
      <c r="AF890" s="3">
        <v>1243</v>
      </c>
      <c r="AG890" s="3">
        <v>78</v>
      </c>
      <c r="AH890">
        <v>80</v>
      </c>
      <c r="AI890">
        <v>2</v>
      </c>
      <c r="AJ890">
        <v>0</v>
      </c>
      <c r="AL890">
        <v>0</v>
      </c>
      <c r="AM890">
        <v>1</v>
      </c>
      <c r="AN890" t="s">
        <v>768</v>
      </c>
      <c r="AO890" t="s">
        <v>41</v>
      </c>
    </row>
    <row r="891" spans="1:41" x14ac:dyDescent="0.25">
      <c r="A891">
        <v>27</v>
      </c>
      <c r="B891" t="s">
        <v>32</v>
      </c>
      <c r="C891" t="s">
        <v>33</v>
      </c>
      <c r="D891">
        <v>7</v>
      </c>
      <c r="E891" t="s">
        <v>61</v>
      </c>
      <c r="F891">
        <v>2</v>
      </c>
      <c r="G891">
        <v>2</v>
      </c>
      <c r="H891" t="s">
        <v>89</v>
      </c>
      <c r="I891">
        <v>1</v>
      </c>
      <c r="J891" t="s">
        <v>36</v>
      </c>
      <c r="K891">
        <v>6811</v>
      </c>
      <c r="L891">
        <v>8</v>
      </c>
      <c r="M891" t="s">
        <v>41</v>
      </c>
      <c r="N891">
        <v>19</v>
      </c>
      <c r="O891">
        <v>3</v>
      </c>
      <c r="P891">
        <v>0</v>
      </c>
      <c r="Q891">
        <v>9</v>
      </c>
      <c r="R891">
        <v>2</v>
      </c>
      <c r="S891">
        <v>7</v>
      </c>
      <c r="T891">
        <v>0</v>
      </c>
      <c r="U891">
        <v>7</v>
      </c>
      <c r="V891" t="s">
        <v>58</v>
      </c>
      <c r="W891" s="2">
        <v>41822</v>
      </c>
      <c r="Y891" t="s">
        <v>39</v>
      </c>
      <c r="Z891" t="s">
        <v>47</v>
      </c>
      <c r="AA891">
        <v>3</v>
      </c>
      <c r="AB891">
        <v>2</v>
      </c>
      <c r="AC891" t="s">
        <v>41</v>
      </c>
      <c r="AD891" t="s">
        <v>67</v>
      </c>
      <c r="AE891" t="s">
        <v>60</v>
      </c>
      <c r="AF891" s="3">
        <v>1244</v>
      </c>
      <c r="AG891" s="3">
        <v>42</v>
      </c>
      <c r="AH891">
        <v>80</v>
      </c>
      <c r="AI891">
        <v>7</v>
      </c>
      <c r="AJ891">
        <v>0</v>
      </c>
      <c r="AL891">
        <v>0</v>
      </c>
      <c r="AM891">
        <v>1</v>
      </c>
      <c r="AN891" t="s">
        <v>768</v>
      </c>
      <c r="AO891" t="s">
        <v>41</v>
      </c>
    </row>
    <row r="892" spans="1:41" x14ac:dyDescent="0.25">
      <c r="A892">
        <v>47</v>
      </c>
      <c r="B892" t="s">
        <v>32</v>
      </c>
      <c r="C892" t="s">
        <v>55</v>
      </c>
      <c r="D892">
        <v>2</v>
      </c>
      <c r="E892" t="s">
        <v>61</v>
      </c>
      <c r="F892">
        <v>3</v>
      </c>
      <c r="G892">
        <v>2</v>
      </c>
      <c r="H892" t="s">
        <v>70</v>
      </c>
      <c r="I892">
        <v>4</v>
      </c>
      <c r="J892" t="s">
        <v>51</v>
      </c>
      <c r="K892">
        <v>4537</v>
      </c>
      <c r="L892">
        <v>0</v>
      </c>
      <c r="M892" t="s">
        <v>31</v>
      </c>
      <c r="N892">
        <v>22</v>
      </c>
      <c r="O892">
        <v>4</v>
      </c>
      <c r="P892">
        <v>1</v>
      </c>
      <c r="Q892">
        <v>8</v>
      </c>
      <c r="R892">
        <v>2</v>
      </c>
      <c r="S892">
        <v>7</v>
      </c>
      <c r="T892">
        <v>7</v>
      </c>
      <c r="U892">
        <v>7</v>
      </c>
      <c r="V892" t="s">
        <v>72</v>
      </c>
      <c r="W892" s="1" t="s">
        <v>451</v>
      </c>
      <c r="Y892" t="s">
        <v>46</v>
      </c>
      <c r="Z892" t="s">
        <v>47</v>
      </c>
      <c r="AA892">
        <v>2</v>
      </c>
      <c r="AB892">
        <v>0</v>
      </c>
      <c r="AC892" t="s">
        <v>31</v>
      </c>
      <c r="AD892" t="s">
        <v>42</v>
      </c>
      <c r="AE892" t="s">
        <v>49</v>
      </c>
      <c r="AF892" s="3">
        <v>1245</v>
      </c>
      <c r="AG892" s="3">
        <v>53</v>
      </c>
      <c r="AH892">
        <v>80</v>
      </c>
      <c r="AI892">
        <v>4</v>
      </c>
      <c r="AJ892">
        <v>0</v>
      </c>
      <c r="AL892">
        <v>0</v>
      </c>
      <c r="AM892">
        <v>1</v>
      </c>
      <c r="AN892" t="s">
        <v>768</v>
      </c>
      <c r="AO892" t="s">
        <v>41</v>
      </c>
    </row>
    <row r="893" spans="1:41" x14ac:dyDescent="0.25">
      <c r="A893">
        <v>41</v>
      </c>
      <c r="B893" t="s">
        <v>32</v>
      </c>
      <c r="C893" t="s">
        <v>33</v>
      </c>
      <c r="D893">
        <v>2</v>
      </c>
      <c r="E893" t="s">
        <v>61</v>
      </c>
      <c r="F893">
        <v>1</v>
      </c>
      <c r="G893">
        <v>1</v>
      </c>
      <c r="H893" t="s">
        <v>35</v>
      </c>
      <c r="I893">
        <v>4</v>
      </c>
      <c r="J893" t="s">
        <v>57</v>
      </c>
      <c r="K893">
        <v>2778</v>
      </c>
      <c r="L893">
        <v>4</v>
      </c>
      <c r="M893" t="s">
        <v>31</v>
      </c>
      <c r="N893">
        <v>13</v>
      </c>
      <c r="O893">
        <v>3</v>
      </c>
      <c r="P893">
        <v>1</v>
      </c>
      <c r="Q893">
        <v>10</v>
      </c>
      <c r="R893">
        <v>1</v>
      </c>
      <c r="S893">
        <v>7</v>
      </c>
      <c r="T893">
        <v>1</v>
      </c>
      <c r="U893">
        <v>0</v>
      </c>
      <c r="V893" t="s">
        <v>37</v>
      </c>
      <c r="W893" s="1" t="s">
        <v>452</v>
      </c>
      <c r="Y893" t="s">
        <v>54</v>
      </c>
      <c r="Z893" t="s">
        <v>40</v>
      </c>
      <c r="AA893">
        <v>0</v>
      </c>
      <c r="AB893">
        <v>2</v>
      </c>
      <c r="AC893" t="s">
        <v>31</v>
      </c>
      <c r="AD893" t="s">
        <v>67</v>
      </c>
      <c r="AE893" t="s">
        <v>60</v>
      </c>
      <c r="AF893" s="3">
        <v>1246</v>
      </c>
      <c r="AG893" s="3">
        <v>72</v>
      </c>
      <c r="AH893">
        <v>80</v>
      </c>
      <c r="AI893">
        <v>5</v>
      </c>
      <c r="AJ893">
        <v>0</v>
      </c>
      <c r="AL893">
        <v>0</v>
      </c>
      <c r="AM893">
        <v>1</v>
      </c>
      <c r="AN893" t="s">
        <v>768</v>
      </c>
      <c r="AO893" t="s">
        <v>41</v>
      </c>
    </row>
    <row r="894" spans="1:41" x14ac:dyDescent="0.25">
      <c r="A894">
        <v>31</v>
      </c>
      <c r="B894" t="s">
        <v>32</v>
      </c>
      <c r="C894" t="s">
        <v>55</v>
      </c>
      <c r="D894">
        <v>7</v>
      </c>
      <c r="E894" t="s">
        <v>34</v>
      </c>
      <c r="F894">
        <v>2</v>
      </c>
      <c r="G894">
        <v>1</v>
      </c>
      <c r="H894" t="s">
        <v>56</v>
      </c>
      <c r="I894">
        <v>3</v>
      </c>
      <c r="J894" t="s">
        <v>51</v>
      </c>
      <c r="K894">
        <v>2329</v>
      </c>
      <c r="L894">
        <v>3</v>
      </c>
      <c r="M894" t="s">
        <v>41</v>
      </c>
      <c r="N894">
        <v>15</v>
      </c>
      <c r="O894">
        <v>3</v>
      </c>
      <c r="P894">
        <v>0</v>
      </c>
      <c r="Q894">
        <v>13</v>
      </c>
      <c r="R894">
        <v>2</v>
      </c>
      <c r="S894">
        <v>7</v>
      </c>
      <c r="T894">
        <v>5</v>
      </c>
      <c r="U894">
        <v>2</v>
      </c>
      <c r="V894" t="s">
        <v>72</v>
      </c>
      <c r="W894" s="2">
        <v>41734</v>
      </c>
      <c r="Y894" t="s">
        <v>54</v>
      </c>
      <c r="Z894" t="s">
        <v>40</v>
      </c>
      <c r="AA894">
        <v>3</v>
      </c>
      <c r="AB894">
        <v>0</v>
      </c>
      <c r="AC894" t="s">
        <v>41</v>
      </c>
      <c r="AD894" t="s">
        <v>67</v>
      </c>
      <c r="AE894" t="s">
        <v>60</v>
      </c>
      <c r="AF894" s="3">
        <v>1248</v>
      </c>
      <c r="AG894" s="3">
        <v>96</v>
      </c>
      <c r="AH894">
        <v>80</v>
      </c>
      <c r="AI894">
        <v>1</v>
      </c>
      <c r="AJ894">
        <v>1</v>
      </c>
      <c r="AK894">
        <v>1</v>
      </c>
      <c r="AL894">
        <v>1</v>
      </c>
      <c r="AM894">
        <v>0</v>
      </c>
      <c r="AN894" t="s">
        <v>767</v>
      </c>
      <c r="AO894" t="s">
        <v>31</v>
      </c>
    </row>
    <row r="895" spans="1:41" x14ac:dyDescent="0.25">
      <c r="A895">
        <v>26</v>
      </c>
      <c r="B895" t="s">
        <v>66</v>
      </c>
      <c r="C895" t="s">
        <v>55</v>
      </c>
      <c r="D895">
        <v>1</v>
      </c>
      <c r="E895" t="s">
        <v>34</v>
      </c>
      <c r="F895">
        <v>2</v>
      </c>
      <c r="G895">
        <v>2</v>
      </c>
      <c r="H895" t="s">
        <v>70</v>
      </c>
      <c r="I895">
        <v>1</v>
      </c>
      <c r="J895" t="s">
        <v>36</v>
      </c>
      <c r="K895">
        <v>4294</v>
      </c>
      <c r="L895">
        <v>1</v>
      </c>
      <c r="M895" t="s">
        <v>41</v>
      </c>
      <c r="N895">
        <v>12</v>
      </c>
      <c r="O895">
        <v>3</v>
      </c>
      <c r="P895">
        <v>0</v>
      </c>
      <c r="Q895">
        <v>7</v>
      </c>
      <c r="R895">
        <v>2</v>
      </c>
      <c r="S895">
        <v>7</v>
      </c>
      <c r="T895">
        <v>0</v>
      </c>
      <c r="U895">
        <v>7</v>
      </c>
      <c r="V895" t="s">
        <v>58</v>
      </c>
      <c r="W895" s="1" t="s">
        <v>453</v>
      </c>
      <c r="Y895" t="s">
        <v>63</v>
      </c>
      <c r="Z895" t="s">
        <v>47</v>
      </c>
      <c r="AA895">
        <v>4</v>
      </c>
      <c r="AB895">
        <v>2</v>
      </c>
      <c r="AC895" t="s">
        <v>41</v>
      </c>
      <c r="AD895" t="s">
        <v>48</v>
      </c>
      <c r="AE895" t="s">
        <v>49</v>
      </c>
      <c r="AF895" s="3">
        <v>1249</v>
      </c>
      <c r="AG895" s="3">
        <v>97</v>
      </c>
      <c r="AH895">
        <v>80</v>
      </c>
      <c r="AI895">
        <v>2</v>
      </c>
      <c r="AJ895">
        <v>0</v>
      </c>
      <c r="AL895">
        <v>0</v>
      </c>
      <c r="AM895">
        <v>1</v>
      </c>
      <c r="AN895" t="s">
        <v>768</v>
      </c>
      <c r="AO895" t="s">
        <v>41</v>
      </c>
    </row>
    <row r="896" spans="1:41" x14ac:dyDescent="0.25">
      <c r="A896">
        <v>36</v>
      </c>
      <c r="B896" t="s">
        <v>81</v>
      </c>
      <c r="C896" t="s">
        <v>55</v>
      </c>
      <c r="D896">
        <v>8</v>
      </c>
      <c r="E896" t="s">
        <v>34</v>
      </c>
      <c r="F896">
        <v>3</v>
      </c>
      <c r="G896">
        <v>2</v>
      </c>
      <c r="H896" t="s">
        <v>70</v>
      </c>
      <c r="I896">
        <v>4</v>
      </c>
      <c r="J896" t="s">
        <v>57</v>
      </c>
      <c r="K896">
        <v>5079</v>
      </c>
      <c r="L896">
        <v>4</v>
      </c>
      <c r="M896" t="s">
        <v>41</v>
      </c>
      <c r="N896">
        <v>13</v>
      </c>
      <c r="O896">
        <v>3</v>
      </c>
      <c r="P896">
        <v>2</v>
      </c>
      <c r="Q896">
        <v>12</v>
      </c>
      <c r="R896">
        <v>3</v>
      </c>
      <c r="S896">
        <v>7</v>
      </c>
      <c r="T896">
        <v>0</v>
      </c>
      <c r="U896">
        <v>7</v>
      </c>
      <c r="V896" t="s">
        <v>72</v>
      </c>
      <c r="W896" s="1" t="s">
        <v>454</v>
      </c>
      <c r="Y896" t="s">
        <v>39</v>
      </c>
      <c r="Z896" t="s">
        <v>40</v>
      </c>
      <c r="AA896">
        <v>1</v>
      </c>
      <c r="AB896">
        <v>2</v>
      </c>
      <c r="AC896" t="s">
        <v>31</v>
      </c>
      <c r="AD896" t="s">
        <v>42</v>
      </c>
      <c r="AE896" t="s">
        <v>60</v>
      </c>
      <c r="AF896" s="3">
        <v>1250</v>
      </c>
      <c r="AG896" s="3">
        <v>85</v>
      </c>
      <c r="AH896">
        <v>80</v>
      </c>
      <c r="AI896">
        <v>9</v>
      </c>
      <c r="AJ896">
        <v>0</v>
      </c>
      <c r="AL896">
        <v>0</v>
      </c>
      <c r="AM896">
        <v>1</v>
      </c>
      <c r="AN896" t="s">
        <v>768</v>
      </c>
      <c r="AO896" t="s">
        <v>41</v>
      </c>
    </row>
    <row r="897" spans="1:41" x14ac:dyDescent="0.25">
      <c r="A897">
        <v>40</v>
      </c>
      <c r="B897" t="s">
        <v>32</v>
      </c>
      <c r="C897" t="s">
        <v>55</v>
      </c>
      <c r="D897">
        <v>26</v>
      </c>
      <c r="E897" t="s">
        <v>34</v>
      </c>
      <c r="F897">
        <v>3</v>
      </c>
      <c r="G897">
        <v>2</v>
      </c>
      <c r="H897" t="s">
        <v>70</v>
      </c>
      <c r="I897">
        <v>1</v>
      </c>
      <c r="J897" t="s">
        <v>51</v>
      </c>
      <c r="K897">
        <v>8396</v>
      </c>
      <c r="L897">
        <v>1</v>
      </c>
      <c r="M897" t="s">
        <v>41</v>
      </c>
      <c r="N897">
        <v>14</v>
      </c>
      <c r="O897">
        <v>3</v>
      </c>
      <c r="P897">
        <v>1</v>
      </c>
      <c r="Q897">
        <v>8</v>
      </c>
      <c r="R897">
        <v>3</v>
      </c>
      <c r="S897">
        <v>7</v>
      </c>
      <c r="T897">
        <v>7</v>
      </c>
      <c r="U897">
        <v>5</v>
      </c>
      <c r="V897" t="s">
        <v>52</v>
      </c>
      <c r="W897" s="1" t="s">
        <v>455</v>
      </c>
      <c r="Y897" t="s">
        <v>54</v>
      </c>
      <c r="Z897" t="s">
        <v>47</v>
      </c>
      <c r="AA897">
        <v>0</v>
      </c>
      <c r="AB897">
        <v>3</v>
      </c>
      <c r="AC897" t="s">
        <v>41</v>
      </c>
      <c r="AD897" t="s">
        <v>67</v>
      </c>
      <c r="AE897" t="s">
        <v>60</v>
      </c>
      <c r="AF897" s="3">
        <v>1251</v>
      </c>
      <c r="AG897" s="3">
        <v>80</v>
      </c>
      <c r="AH897">
        <v>80</v>
      </c>
      <c r="AI897">
        <v>5</v>
      </c>
      <c r="AJ897">
        <v>0</v>
      </c>
      <c r="AL897">
        <v>0</v>
      </c>
      <c r="AM897">
        <v>1</v>
      </c>
      <c r="AN897" t="s">
        <v>768</v>
      </c>
      <c r="AO897" t="s">
        <v>41</v>
      </c>
    </row>
    <row r="898" spans="1:41" x14ac:dyDescent="0.25">
      <c r="A898">
        <v>25</v>
      </c>
      <c r="B898" t="s">
        <v>32</v>
      </c>
      <c r="C898" t="s">
        <v>33</v>
      </c>
      <c r="D898">
        <v>4</v>
      </c>
      <c r="E898" t="s">
        <v>34</v>
      </c>
      <c r="F898">
        <v>3</v>
      </c>
      <c r="G898">
        <v>1</v>
      </c>
      <c r="H898" t="s">
        <v>35</v>
      </c>
      <c r="I898">
        <v>4</v>
      </c>
      <c r="J898" t="s">
        <v>51</v>
      </c>
      <c r="K898">
        <v>3691</v>
      </c>
      <c r="L898">
        <v>1</v>
      </c>
      <c r="M898" t="s">
        <v>31</v>
      </c>
      <c r="N898">
        <v>15</v>
      </c>
      <c r="O898">
        <v>3</v>
      </c>
      <c r="P898">
        <v>1</v>
      </c>
      <c r="Q898">
        <v>7</v>
      </c>
      <c r="R898">
        <v>3</v>
      </c>
      <c r="S898">
        <v>7</v>
      </c>
      <c r="T898">
        <v>5</v>
      </c>
      <c r="U898">
        <v>6</v>
      </c>
      <c r="V898" t="s">
        <v>72</v>
      </c>
      <c r="W898" s="2">
        <v>41914</v>
      </c>
      <c r="Y898" t="s">
        <v>46</v>
      </c>
      <c r="Z898" t="s">
        <v>40</v>
      </c>
      <c r="AA898">
        <v>4</v>
      </c>
      <c r="AB898">
        <v>2</v>
      </c>
      <c r="AC898" t="s">
        <v>31</v>
      </c>
      <c r="AD898" t="s">
        <v>42</v>
      </c>
      <c r="AE898" t="s">
        <v>43</v>
      </c>
      <c r="AF898" s="3">
        <v>1252</v>
      </c>
      <c r="AG898" s="3">
        <v>96</v>
      </c>
      <c r="AH898">
        <v>80</v>
      </c>
      <c r="AI898">
        <v>9</v>
      </c>
      <c r="AJ898">
        <v>0</v>
      </c>
      <c r="AL898">
        <v>0</v>
      </c>
      <c r="AM898">
        <v>1</v>
      </c>
      <c r="AN898" t="s">
        <v>768</v>
      </c>
      <c r="AO898" t="s">
        <v>41</v>
      </c>
    </row>
    <row r="899" spans="1:41" x14ac:dyDescent="0.25">
      <c r="A899">
        <v>29</v>
      </c>
      <c r="B899" t="s">
        <v>32</v>
      </c>
      <c r="C899" t="s">
        <v>33</v>
      </c>
      <c r="D899">
        <v>28</v>
      </c>
      <c r="E899" t="s">
        <v>61</v>
      </c>
      <c r="F899">
        <v>3</v>
      </c>
      <c r="G899">
        <v>1</v>
      </c>
      <c r="H899" t="s">
        <v>44</v>
      </c>
      <c r="I899">
        <v>4</v>
      </c>
      <c r="J899" t="s">
        <v>57</v>
      </c>
      <c r="K899">
        <v>2514</v>
      </c>
      <c r="L899">
        <v>4</v>
      </c>
      <c r="M899" t="s">
        <v>41</v>
      </c>
      <c r="N899">
        <v>22</v>
      </c>
      <c r="O899">
        <v>4</v>
      </c>
      <c r="P899">
        <v>1</v>
      </c>
      <c r="Q899">
        <v>11</v>
      </c>
      <c r="R899">
        <v>1</v>
      </c>
      <c r="S899">
        <v>7</v>
      </c>
      <c r="T899">
        <v>1</v>
      </c>
      <c r="U899">
        <v>7</v>
      </c>
      <c r="V899" t="s">
        <v>52</v>
      </c>
      <c r="W899" s="1" t="s">
        <v>456</v>
      </c>
      <c r="Y899" t="s">
        <v>69</v>
      </c>
      <c r="Z899" t="s">
        <v>40</v>
      </c>
      <c r="AA899">
        <v>1</v>
      </c>
      <c r="AB899">
        <v>3</v>
      </c>
      <c r="AC899" t="s">
        <v>31</v>
      </c>
      <c r="AD899" t="s">
        <v>65</v>
      </c>
      <c r="AE899" t="s">
        <v>43</v>
      </c>
      <c r="AF899" s="3">
        <v>1254</v>
      </c>
      <c r="AG899" s="3">
        <v>48</v>
      </c>
      <c r="AH899">
        <v>80</v>
      </c>
      <c r="AI899">
        <v>1</v>
      </c>
      <c r="AJ899">
        <v>0</v>
      </c>
      <c r="AL899">
        <v>0</v>
      </c>
      <c r="AM899">
        <v>1</v>
      </c>
      <c r="AN899" t="s">
        <v>768</v>
      </c>
      <c r="AO899" t="s">
        <v>41</v>
      </c>
    </row>
    <row r="900" spans="1:41" x14ac:dyDescent="0.25">
      <c r="A900">
        <v>29</v>
      </c>
      <c r="B900" t="s">
        <v>66</v>
      </c>
      <c r="C900" t="s">
        <v>33</v>
      </c>
      <c r="D900">
        <v>10</v>
      </c>
      <c r="E900" t="s">
        <v>61</v>
      </c>
      <c r="F900">
        <v>3</v>
      </c>
      <c r="G900">
        <v>1</v>
      </c>
      <c r="H900" t="s">
        <v>44</v>
      </c>
      <c r="I900">
        <v>2</v>
      </c>
      <c r="J900" t="s">
        <v>57</v>
      </c>
      <c r="K900">
        <v>3291</v>
      </c>
      <c r="L900">
        <v>0</v>
      </c>
      <c r="M900" t="s">
        <v>41</v>
      </c>
      <c r="N900">
        <v>14</v>
      </c>
      <c r="O900">
        <v>3</v>
      </c>
      <c r="P900">
        <v>2</v>
      </c>
      <c r="Q900">
        <v>8</v>
      </c>
      <c r="R900">
        <v>2</v>
      </c>
      <c r="S900">
        <v>7</v>
      </c>
      <c r="T900">
        <v>1</v>
      </c>
      <c r="U900">
        <v>1</v>
      </c>
      <c r="V900" t="s">
        <v>58</v>
      </c>
      <c r="W900" s="1" t="s">
        <v>457</v>
      </c>
      <c r="Y900" t="s">
        <v>46</v>
      </c>
      <c r="Z900" t="s">
        <v>40</v>
      </c>
      <c r="AA900">
        <v>1</v>
      </c>
      <c r="AB900">
        <v>1</v>
      </c>
      <c r="AC900" t="s">
        <v>41</v>
      </c>
      <c r="AD900" t="s">
        <v>67</v>
      </c>
      <c r="AE900" t="s">
        <v>43</v>
      </c>
      <c r="AF900" s="3">
        <v>1255</v>
      </c>
      <c r="AG900" s="3">
        <v>96</v>
      </c>
      <c r="AH900">
        <v>80</v>
      </c>
      <c r="AI900">
        <v>7</v>
      </c>
      <c r="AJ900">
        <v>0</v>
      </c>
      <c r="AL900">
        <v>0</v>
      </c>
      <c r="AM900">
        <v>1</v>
      </c>
      <c r="AN900" t="s">
        <v>768</v>
      </c>
      <c r="AO900" t="s">
        <v>41</v>
      </c>
    </row>
    <row r="901" spans="1:41" x14ac:dyDescent="0.25">
      <c r="A901">
        <v>38</v>
      </c>
      <c r="B901" t="s">
        <v>32</v>
      </c>
      <c r="C901" t="s">
        <v>120</v>
      </c>
      <c r="D901">
        <v>1</v>
      </c>
      <c r="E901" t="s">
        <v>34</v>
      </c>
      <c r="F901">
        <v>4</v>
      </c>
      <c r="G901">
        <v>1</v>
      </c>
      <c r="H901" t="s">
        <v>120</v>
      </c>
      <c r="I901">
        <v>3</v>
      </c>
      <c r="J901" t="s">
        <v>51</v>
      </c>
      <c r="K901">
        <v>2844</v>
      </c>
      <c r="L901">
        <v>1</v>
      </c>
      <c r="M901" t="s">
        <v>41</v>
      </c>
      <c r="N901">
        <v>13</v>
      </c>
      <c r="O901">
        <v>3</v>
      </c>
      <c r="P901">
        <v>1</v>
      </c>
      <c r="Q901">
        <v>7</v>
      </c>
      <c r="R901">
        <v>2</v>
      </c>
      <c r="S901">
        <v>7</v>
      </c>
      <c r="T901">
        <v>5</v>
      </c>
      <c r="U901">
        <v>0</v>
      </c>
      <c r="V901" t="s">
        <v>37</v>
      </c>
      <c r="W901" s="2">
        <v>41793</v>
      </c>
      <c r="Y901" t="s">
        <v>39</v>
      </c>
      <c r="Z901" t="s">
        <v>40</v>
      </c>
      <c r="AA901">
        <v>4</v>
      </c>
      <c r="AB901">
        <v>2</v>
      </c>
      <c r="AC901" t="s">
        <v>41</v>
      </c>
      <c r="AD901" t="s">
        <v>65</v>
      </c>
      <c r="AE901" t="s">
        <v>49</v>
      </c>
      <c r="AF901" s="3">
        <v>1256</v>
      </c>
      <c r="AG901" s="3">
        <v>85</v>
      </c>
      <c r="AH901">
        <v>80</v>
      </c>
      <c r="AI901">
        <v>0</v>
      </c>
      <c r="AJ901">
        <v>0</v>
      </c>
      <c r="AL901">
        <v>0</v>
      </c>
      <c r="AM901">
        <v>1</v>
      </c>
      <c r="AN901" t="s">
        <v>768</v>
      </c>
      <c r="AO901" t="s">
        <v>41</v>
      </c>
    </row>
    <row r="902" spans="1:41" x14ac:dyDescent="0.25">
      <c r="A902">
        <v>35</v>
      </c>
      <c r="B902" t="s">
        <v>32</v>
      </c>
      <c r="C902" t="s">
        <v>33</v>
      </c>
      <c r="D902">
        <v>2</v>
      </c>
      <c r="E902" t="s">
        <v>34</v>
      </c>
      <c r="F902">
        <v>2</v>
      </c>
      <c r="G902">
        <v>3</v>
      </c>
      <c r="H902" t="s">
        <v>78</v>
      </c>
      <c r="I902">
        <v>2</v>
      </c>
      <c r="J902" t="s">
        <v>57</v>
      </c>
      <c r="K902">
        <v>10274</v>
      </c>
      <c r="L902">
        <v>2</v>
      </c>
      <c r="M902" t="s">
        <v>41</v>
      </c>
      <c r="N902">
        <v>18</v>
      </c>
      <c r="O902">
        <v>3</v>
      </c>
      <c r="P902">
        <v>1</v>
      </c>
      <c r="Q902">
        <v>15</v>
      </c>
      <c r="R902">
        <v>2</v>
      </c>
      <c r="S902">
        <v>7</v>
      </c>
      <c r="T902">
        <v>6</v>
      </c>
      <c r="U902">
        <v>4</v>
      </c>
      <c r="V902" t="s">
        <v>37</v>
      </c>
      <c r="W902" s="2">
        <v>41948</v>
      </c>
      <c r="Y902" t="s">
        <v>63</v>
      </c>
      <c r="Z902" t="s">
        <v>47</v>
      </c>
      <c r="AA902">
        <v>2</v>
      </c>
      <c r="AB902">
        <v>0</v>
      </c>
      <c r="AC902" t="s">
        <v>31</v>
      </c>
      <c r="AD902" t="s">
        <v>67</v>
      </c>
      <c r="AE902" t="s">
        <v>60</v>
      </c>
      <c r="AF902" s="3">
        <v>1257</v>
      </c>
      <c r="AG902" s="3">
        <v>46</v>
      </c>
      <c r="AH902">
        <v>80</v>
      </c>
      <c r="AI902">
        <v>10</v>
      </c>
      <c r="AJ902">
        <v>0</v>
      </c>
      <c r="AL902">
        <v>0</v>
      </c>
      <c r="AM902">
        <v>1</v>
      </c>
      <c r="AN902" t="s">
        <v>768</v>
      </c>
      <c r="AO902" t="s">
        <v>41</v>
      </c>
    </row>
    <row r="903" spans="1:41" x14ac:dyDescent="0.25">
      <c r="A903">
        <v>53</v>
      </c>
      <c r="B903" t="s">
        <v>32</v>
      </c>
      <c r="C903" t="s">
        <v>33</v>
      </c>
      <c r="D903">
        <v>7</v>
      </c>
      <c r="E903" t="s">
        <v>61</v>
      </c>
      <c r="F903">
        <v>3</v>
      </c>
      <c r="G903">
        <v>5</v>
      </c>
      <c r="H903" t="s">
        <v>75</v>
      </c>
      <c r="I903">
        <v>3</v>
      </c>
      <c r="J903" t="s">
        <v>57</v>
      </c>
      <c r="K903">
        <v>18606</v>
      </c>
      <c r="L903">
        <v>3</v>
      </c>
      <c r="M903" t="s">
        <v>41</v>
      </c>
      <c r="N903">
        <v>18</v>
      </c>
      <c r="O903">
        <v>3</v>
      </c>
      <c r="P903">
        <v>1</v>
      </c>
      <c r="Q903">
        <v>26</v>
      </c>
      <c r="R903">
        <v>6</v>
      </c>
      <c r="S903">
        <v>7</v>
      </c>
      <c r="T903">
        <v>4</v>
      </c>
      <c r="U903">
        <v>7</v>
      </c>
      <c r="V903" t="s">
        <v>37</v>
      </c>
      <c r="W903" s="1" t="s">
        <v>458</v>
      </c>
      <c r="Y903" t="s">
        <v>39</v>
      </c>
      <c r="Z903" t="s">
        <v>47</v>
      </c>
      <c r="AA903">
        <v>2</v>
      </c>
      <c r="AB903">
        <v>2</v>
      </c>
      <c r="AC903" t="s">
        <v>41</v>
      </c>
      <c r="AD903" t="s">
        <v>42</v>
      </c>
      <c r="AE903" t="s">
        <v>43</v>
      </c>
      <c r="AF903" s="3">
        <v>1258</v>
      </c>
      <c r="AG903" s="3">
        <v>76</v>
      </c>
      <c r="AH903">
        <v>80</v>
      </c>
      <c r="AI903">
        <v>0</v>
      </c>
      <c r="AJ903">
        <v>0</v>
      </c>
      <c r="AL903">
        <v>0</v>
      </c>
      <c r="AM903">
        <v>1</v>
      </c>
      <c r="AN903" t="s">
        <v>768</v>
      </c>
      <c r="AO903" t="s">
        <v>41</v>
      </c>
    </row>
    <row r="904" spans="1:41" x14ac:dyDescent="0.25">
      <c r="A904">
        <v>35</v>
      </c>
      <c r="B904" t="s">
        <v>32</v>
      </c>
      <c r="C904" t="s">
        <v>55</v>
      </c>
      <c r="D904">
        <v>17</v>
      </c>
      <c r="E904" t="s">
        <v>34</v>
      </c>
      <c r="F904">
        <v>3</v>
      </c>
      <c r="G904">
        <v>2</v>
      </c>
      <c r="H904" t="s">
        <v>70</v>
      </c>
      <c r="I904">
        <v>1</v>
      </c>
      <c r="J904" t="s">
        <v>51</v>
      </c>
      <c r="K904">
        <v>8966</v>
      </c>
      <c r="L904">
        <v>3</v>
      </c>
      <c r="M904" t="s">
        <v>31</v>
      </c>
      <c r="N904">
        <v>15</v>
      </c>
      <c r="O904">
        <v>3</v>
      </c>
      <c r="P904">
        <v>3</v>
      </c>
      <c r="Q904">
        <v>15</v>
      </c>
      <c r="R904">
        <v>2</v>
      </c>
      <c r="S904">
        <v>7</v>
      </c>
      <c r="T904">
        <v>1</v>
      </c>
      <c r="U904">
        <v>7</v>
      </c>
      <c r="V904" t="s">
        <v>72</v>
      </c>
      <c r="W904" s="1" t="s">
        <v>431</v>
      </c>
      <c r="Y904" t="s">
        <v>54</v>
      </c>
      <c r="Z904" t="s">
        <v>40</v>
      </c>
      <c r="AA904">
        <v>4</v>
      </c>
      <c r="AB904">
        <v>0</v>
      </c>
      <c r="AC904" t="s">
        <v>31</v>
      </c>
      <c r="AD904" t="s">
        <v>42</v>
      </c>
      <c r="AE904" t="s">
        <v>43</v>
      </c>
      <c r="AF904" s="3">
        <v>1259</v>
      </c>
      <c r="AG904" s="3">
        <v>76</v>
      </c>
      <c r="AH904">
        <v>80</v>
      </c>
      <c r="AI904">
        <v>3</v>
      </c>
      <c r="AJ904">
        <v>0</v>
      </c>
      <c r="AL904">
        <v>0</v>
      </c>
      <c r="AM904">
        <v>1</v>
      </c>
      <c r="AN904" t="s">
        <v>768</v>
      </c>
      <c r="AO904" t="s">
        <v>41</v>
      </c>
    </row>
    <row r="905" spans="1:41" x14ac:dyDescent="0.25">
      <c r="A905">
        <v>36</v>
      </c>
      <c r="B905" t="s">
        <v>32</v>
      </c>
      <c r="C905" t="s">
        <v>33</v>
      </c>
      <c r="D905">
        <v>6</v>
      </c>
      <c r="E905" t="s">
        <v>34</v>
      </c>
      <c r="F905">
        <v>1</v>
      </c>
      <c r="G905">
        <v>1</v>
      </c>
      <c r="H905" t="s">
        <v>35</v>
      </c>
      <c r="I905">
        <v>3</v>
      </c>
      <c r="J905" t="s">
        <v>57</v>
      </c>
      <c r="K905">
        <v>2741</v>
      </c>
      <c r="L905">
        <v>1</v>
      </c>
      <c r="M905" t="s">
        <v>41</v>
      </c>
      <c r="N905">
        <v>14</v>
      </c>
      <c r="O905">
        <v>3</v>
      </c>
      <c r="P905">
        <v>1</v>
      </c>
      <c r="Q905">
        <v>7</v>
      </c>
      <c r="R905">
        <v>4</v>
      </c>
      <c r="S905">
        <v>7</v>
      </c>
      <c r="T905">
        <v>1</v>
      </c>
      <c r="U905">
        <v>7</v>
      </c>
      <c r="V905" t="s">
        <v>52</v>
      </c>
      <c r="W905" s="2">
        <v>41854</v>
      </c>
      <c r="Y905" t="s">
        <v>69</v>
      </c>
      <c r="Z905" t="s">
        <v>40</v>
      </c>
      <c r="AA905">
        <v>2</v>
      </c>
      <c r="AB905">
        <v>0</v>
      </c>
      <c r="AC905" t="s">
        <v>41</v>
      </c>
      <c r="AD905" t="s">
        <v>48</v>
      </c>
      <c r="AE905" t="s">
        <v>49</v>
      </c>
      <c r="AF905" s="3">
        <v>1260</v>
      </c>
      <c r="AG905" s="3">
        <v>82</v>
      </c>
      <c r="AH905">
        <v>80</v>
      </c>
      <c r="AI905">
        <v>0</v>
      </c>
      <c r="AJ905">
        <v>0</v>
      </c>
      <c r="AL905">
        <v>0</v>
      </c>
      <c r="AM905">
        <v>1</v>
      </c>
      <c r="AN905" t="s">
        <v>768</v>
      </c>
      <c r="AO905" t="s">
        <v>41</v>
      </c>
    </row>
    <row r="906" spans="1:41" x14ac:dyDescent="0.25">
      <c r="A906">
        <v>36</v>
      </c>
      <c r="B906" t="s">
        <v>32</v>
      </c>
      <c r="C906" t="s">
        <v>33</v>
      </c>
      <c r="D906">
        <v>1</v>
      </c>
      <c r="E906" t="s">
        <v>61</v>
      </c>
      <c r="F906">
        <v>1</v>
      </c>
      <c r="G906">
        <v>3</v>
      </c>
      <c r="H906" t="s">
        <v>78</v>
      </c>
      <c r="I906">
        <v>1</v>
      </c>
      <c r="J906" t="s">
        <v>57</v>
      </c>
      <c r="K906">
        <v>10252</v>
      </c>
      <c r="L906">
        <v>2</v>
      </c>
      <c r="M906" t="s">
        <v>31</v>
      </c>
      <c r="N906">
        <v>21</v>
      </c>
      <c r="O906">
        <v>4</v>
      </c>
      <c r="P906">
        <v>1</v>
      </c>
      <c r="Q906">
        <v>17</v>
      </c>
      <c r="R906">
        <v>2</v>
      </c>
      <c r="S906">
        <v>7</v>
      </c>
      <c r="T906">
        <v>7</v>
      </c>
      <c r="U906">
        <v>7</v>
      </c>
      <c r="V906" t="s">
        <v>58</v>
      </c>
      <c r="W906" s="1" t="s">
        <v>459</v>
      </c>
      <c r="Y906" t="s">
        <v>54</v>
      </c>
      <c r="Z906" t="s">
        <v>40</v>
      </c>
      <c r="AA906">
        <v>5</v>
      </c>
      <c r="AB906">
        <v>1</v>
      </c>
      <c r="AC906" t="s">
        <v>41</v>
      </c>
      <c r="AD906" t="s">
        <v>48</v>
      </c>
      <c r="AE906" t="s">
        <v>60</v>
      </c>
      <c r="AF906" s="3">
        <v>1263</v>
      </c>
      <c r="AG906" s="3">
        <v>76</v>
      </c>
      <c r="AH906">
        <v>80</v>
      </c>
      <c r="AI906">
        <v>0</v>
      </c>
      <c r="AJ906">
        <v>0</v>
      </c>
      <c r="AL906">
        <v>0</v>
      </c>
      <c r="AM906">
        <v>1</v>
      </c>
      <c r="AN906" t="s">
        <v>768</v>
      </c>
      <c r="AO906" t="s">
        <v>41</v>
      </c>
    </row>
    <row r="907" spans="1:41" x14ac:dyDescent="0.25">
      <c r="A907">
        <v>29</v>
      </c>
      <c r="B907" t="s">
        <v>32</v>
      </c>
      <c r="C907" t="s">
        <v>33</v>
      </c>
      <c r="D907">
        <v>1</v>
      </c>
      <c r="E907" t="s">
        <v>61</v>
      </c>
      <c r="F907">
        <v>2</v>
      </c>
      <c r="G907">
        <v>4</v>
      </c>
      <c r="H907" t="s">
        <v>50</v>
      </c>
      <c r="I907">
        <v>4</v>
      </c>
      <c r="J907" t="s">
        <v>57</v>
      </c>
      <c r="K907">
        <v>16124</v>
      </c>
      <c r="L907">
        <v>3</v>
      </c>
      <c r="M907" t="s">
        <v>41</v>
      </c>
      <c r="N907">
        <v>14</v>
      </c>
      <c r="O907">
        <v>3</v>
      </c>
      <c r="P907">
        <v>2</v>
      </c>
      <c r="Q907">
        <v>9</v>
      </c>
      <c r="R907">
        <v>2</v>
      </c>
      <c r="S907">
        <v>7</v>
      </c>
      <c r="T907">
        <v>1</v>
      </c>
      <c r="U907">
        <v>7</v>
      </c>
      <c r="V907" t="s">
        <v>72</v>
      </c>
      <c r="W907" s="2">
        <v>41642</v>
      </c>
      <c r="Y907" t="s">
        <v>54</v>
      </c>
      <c r="Z907" t="s">
        <v>40</v>
      </c>
      <c r="AA907">
        <v>0</v>
      </c>
      <c r="AB907">
        <v>3</v>
      </c>
      <c r="AC907" t="s">
        <v>41</v>
      </c>
      <c r="AD907" t="s">
        <v>67</v>
      </c>
      <c r="AE907" t="s">
        <v>43</v>
      </c>
      <c r="AF907" s="3">
        <v>1264</v>
      </c>
      <c r="AG907" s="3">
        <v>87</v>
      </c>
      <c r="AH907">
        <v>80</v>
      </c>
      <c r="AI907">
        <v>7</v>
      </c>
      <c r="AJ907">
        <v>0</v>
      </c>
      <c r="AL907">
        <v>0</v>
      </c>
      <c r="AM907">
        <v>1</v>
      </c>
      <c r="AN907" t="s">
        <v>768</v>
      </c>
      <c r="AO907" t="s">
        <v>41</v>
      </c>
    </row>
    <row r="908" spans="1:41" x14ac:dyDescent="0.25">
      <c r="A908">
        <v>51</v>
      </c>
      <c r="B908" t="s">
        <v>66</v>
      </c>
      <c r="C908" t="s">
        <v>33</v>
      </c>
      <c r="D908">
        <v>6</v>
      </c>
      <c r="E908" t="s">
        <v>61</v>
      </c>
      <c r="F908">
        <v>2</v>
      </c>
      <c r="G908">
        <v>1</v>
      </c>
      <c r="H908" t="s">
        <v>35</v>
      </c>
      <c r="I908">
        <v>3</v>
      </c>
      <c r="J908" t="s">
        <v>36</v>
      </c>
      <c r="K908">
        <v>2838</v>
      </c>
      <c r="L908">
        <v>0</v>
      </c>
      <c r="M908" t="s">
        <v>41</v>
      </c>
      <c r="N908">
        <v>14</v>
      </c>
      <c r="O908">
        <v>3</v>
      </c>
      <c r="P908">
        <v>0</v>
      </c>
      <c r="Q908">
        <v>8</v>
      </c>
      <c r="R908">
        <v>6</v>
      </c>
      <c r="S908">
        <v>7</v>
      </c>
      <c r="T908">
        <v>7</v>
      </c>
      <c r="U908">
        <v>7</v>
      </c>
      <c r="V908" t="s">
        <v>72</v>
      </c>
      <c r="W908" s="2">
        <v>41671</v>
      </c>
      <c r="Y908" t="s">
        <v>63</v>
      </c>
      <c r="Z908" t="s">
        <v>47</v>
      </c>
      <c r="AA908">
        <v>1</v>
      </c>
      <c r="AB908">
        <v>3</v>
      </c>
      <c r="AC908" t="s">
        <v>31</v>
      </c>
      <c r="AD908" t="s">
        <v>65</v>
      </c>
      <c r="AE908" t="s">
        <v>43</v>
      </c>
      <c r="AF908" s="3">
        <v>1265</v>
      </c>
      <c r="AG908" s="3">
        <v>89</v>
      </c>
      <c r="AH908">
        <v>80</v>
      </c>
      <c r="AI908">
        <v>0</v>
      </c>
      <c r="AJ908">
        <v>0</v>
      </c>
      <c r="AL908">
        <v>0</v>
      </c>
      <c r="AM908">
        <v>1</v>
      </c>
      <c r="AN908" t="s">
        <v>768</v>
      </c>
      <c r="AO908" t="s">
        <v>41</v>
      </c>
    </row>
    <row r="909" spans="1:41" x14ac:dyDescent="0.25">
      <c r="A909">
        <v>29</v>
      </c>
      <c r="B909" t="s">
        <v>32</v>
      </c>
      <c r="C909" t="s">
        <v>33</v>
      </c>
      <c r="D909">
        <v>7</v>
      </c>
      <c r="E909" t="s">
        <v>61</v>
      </c>
      <c r="F909">
        <v>3</v>
      </c>
      <c r="G909">
        <v>1</v>
      </c>
      <c r="H909" t="s">
        <v>35</v>
      </c>
      <c r="I909">
        <v>3</v>
      </c>
      <c r="J909" t="s">
        <v>57</v>
      </c>
      <c r="K909">
        <v>3339</v>
      </c>
      <c r="L909">
        <v>3</v>
      </c>
      <c r="M909" t="s">
        <v>31</v>
      </c>
      <c r="N909">
        <v>13</v>
      </c>
      <c r="O909">
        <v>3</v>
      </c>
      <c r="P909">
        <v>2</v>
      </c>
      <c r="Q909">
        <v>10</v>
      </c>
      <c r="R909">
        <v>2</v>
      </c>
      <c r="S909">
        <v>7</v>
      </c>
      <c r="T909">
        <v>7</v>
      </c>
      <c r="U909">
        <v>7</v>
      </c>
      <c r="V909" t="s">
        <v>58</v>
      </c>
      <c r="W909" s="1" t="s">
        <v>460</v>
      </c>
      <c r="Y909" t="s">
        <v>63</v>
      </c>
      <c r="Z909" t="s">
        <v>47</v>
      </c>
      <c r="AA909">
        <v>1</v>
      </c>
      <c r="AB909">
        <v>2</v>
      </c>
      <c r="AC909" t="s">
        <v>31</v>
      </c>
      <c r="AD909" t="s">
        <v>65</v>
      </c>
      <c r="AE909" t="s">
        <v>49</v>
      </c>
      <c r="AF909" s="3">
        <v>1267</v>
      </c>
      <c r="AG909" s="3">
        <v>88</v>
      </c>
      <c r="AH909">
        <v>80</v>
      </c>
      <c r="AI909">
        <v>9</v>
      </c>
      <c r="AJ909">
        <v>0</v>
      </c>
      <c r="AL909">
        <v>0</v>
      </c>
      <c r="AM909">
        <v>1</v>
      </c>
      <c r="AN909" t="s">
        <v>768</v>
      </c>
      <c r="AO909" t="s">
        <v>41</v>
      </c>
    </row>
    <row r="910" spans="1:41" x14ac:dyDescent="0.25">
      <c r="A910">
        <v>36</v>
      </c>
      <c r="B910" t="s">
        <v>32</v>
      </c>
      <c r="C910" t="s">
        <v>33</v>
      </c>
      <c r="D910">
        <v>10</v>
      </c>
      <c r="E910" t="s">
        <v>61</v>
      </c>
      <c r="F910">
        <v>3</v>
      </c>
      <c r="G910">
        <v>3</v>
      </c>
      <c r="H910" t="s">
        <v>89</v>
      </c>
      <c r="I910">
        <v>3</v>
      </c>
      <c r="J910" t="s">
        <v>51</v>
      </c>
      <c r="K910">
        <v>7094</v>
      </c>
      <c r="L910">
        <v>3</v>
      </c>
      <c r="M910" t="s">
        <v>41</v>
      </c>
      <c r="N910">
        <v>12</v>
      </c>
      <c r="O910">
        <v>3</v>
      </c>
      <c r="P910">
        <v>0</v>
      </c>
      <c r="Q910">
        <v>10</v>
      </c>
      <c r="R910">
        <v>0</v>
      </c>
      <c r="S910">
        <v>7</v>
      </c>
      <c r="T910">
        <v>1</v>
      </c>
      <c r="U910">
        <v>7</v>
      </c>
      <c r="V910" t="s">
        <v>58</v>
      </c>
      <c r="W910" s="1" t="s">
        <v>461</v>
      </c>
      <c r="Y910" t="s">
        <v>39</v>
      </c>
      <c r="Z910" t="s">
        <v>47</v>
      </c>
      <c r="AA910">
        <v>1</v>
      </c>
      <c r="AB910">
        <v>0</v>
      </c>
      <c r="AC910" t="s">
        <v>31</v>
      </c>
      <c r="AD910" t="s">
        <v>48</v>
      </c>
      <c r="AE910" t="s">
        <v>43</v>
      </c>
      <c r="AF910" s="3">
        <v>1268</v>
      </c>
      <c r="AG910" s="3">
        <v>82</v>
      </c>
      <c r="AH910">
        <v>80</v>
      </c>
      <c r="AI910">
        <v>8</v>
      </c>
      <c r="AJ910">
        <v>0</v>
      </c>
      <c r="AL910">
        <v>0</v>
      </c>
      <c r="AM910">
        <v>1</v>
      </c>
      <c r="AN910" t="s">
        <v>768</v>
      </c>
      <c r="AO910" t="s">
        <v>41</v>
      </c>
    </row>
    <row r="911" spans="1:41" x14ac:dyDescent="0.25">
      <c r="A911">
        <v>46</v>
      </c>
      <c r="B911" t="s">
        <v>32</v>
      </c>
      <c r="C911" t="s">
        <v>120</v>
      </c>
      <c r="D911">
        <v>1</v>
      </c>
      <c r="E911" t="s">
        <v>61</v>
      </c>
      <c r="F911">
        <v>3</v>
      </c>
      <c r="G911">
        <v>1</v>
      </c>
      <c r="H911" t="s">
        <v>120</v>
      </c>
      <c r="I911">
        <v>1</v>
      </c>
      <c r="J911" t="s">
        <v>36</v>
      </c>
      <c r="K911">
        <v>3423</v>
      </c>
      <c r="L911">
        <v>6</v>
      </c>
      <c r="M911" t="s">
        <v>41</v>
      </c>
      <c r="N911">
        <v>12</v>
      </c>
      <c r="O911">
        <v>3</v>
      </c>
      <c r="P911">
        <v>0</v>
      </c>
      <c r="Q911">
        <v>10</v>
      </c>
      <c r="R911">
        <v>3</v>
      </c>
      <c r="S911">
        <v>7</v>
      </c>
      <c r="T911">
        <v>5</v>
      </c>
      <c r="U911">
        <v>7</v>
      </c>
      <c r="V911" t="s">
        <v>37</v>
      </c>
      <c r="W911" s="1" t="s">
        <v>462</v>
      </c>
      <c r="Y911" t="s">
        <v>54</v>
      </c>
      <c r="Z911" t="s">
        <v>40</v>
      </c>
      <c r="AA911">
        <v>5</v>
      </c>
      <c r="AB911">
        <v>3</v>
      </c>
      <c r="AC911" t="s">
        <v>31</v>
      </c>
      <c r="AD911" t="s">
        <v>48</v>
      </c>
      <c r="AE911" t="s">
        <v>49</v>
      </c>
      <c r="AF911" s="3">
        <v>1269</v>
      </c>
      <c r="AG911" s="3">
        <v>57</v>
      </c>
      <c r="AH911">
        <v>80</v>
      </c>
      <c r="AI911">
        <v>0</v>
      </c>
      <c r="AJ911">
        <v>0</v>
      </c>
      <c r="AL911">
        <v>0</v>
      </c>
      <c r="AM911">
        <v>1</v>
      </c>
      <c r="AN911" t="s">
        <v>768</v>
      </c>
      <c r="AO911" t="s">
        <v>41</v>
      </c>
    </row>
    <row r="912" spans="1:41" x14ac:dyDescent="0.25">
      <c r="A912">
        <v>56</v>
      </c>
      <c r="B912" t="s">
        <v>32</v>
      </c>
      <c r="C912" t="s">
        <v>120</v>
      </c>
      <c r="D912">
        <v>8</v>
      </c>
      <c r="E912" t="s">
        <v>34</v>
      </c>
      <c r="F912">
        <v>3</v>
      </c>
      <c r="G912">
        <v>5</v>
      </c>
      <c r="H912" t="s">
        <v>75</v>
      </c>
      <c r="I912">
        <v>2</v>
      </c>
      <c r="J912" t="s">
        <v>36</v>
      </c>
      <c r="K912">
        <v>19717</v>
      </c>
      <c r="L912">
        <v>6</v>
      </c>
      <c r="M912" t="s">
        <v>41</v>
      </c>
      <c r="N912">
        <v>14</v>
      </c>
      <c r="O912">
        <v>3</v>
      </c>
      <c r="P912">
        <v>0</v>
      </c>
      <c r="Q912">
        <v>36</v>
      </c>
      <c r="R912">
        <v>4</v>
      </c>
      <c r="S912">
        <v>7</v>
      </c>
      <c r="T912">
        <v>7</v>
      </c>
      <c r="U912">
        <v>7</v>
      </c>
      <c r="V912" t="s">
        <v>72</v>
      </c>
      <c r="W912" s="2">
        <v>41949</v>
      </c>
      <c r="Y912" t="s">
        <v>46</v>
      </c>
      <c r="Z912" t="s">
        <v>40</v>
      </c>
      <c r="AA912">
        <v>3</v>
      </c>
      <c r="AB912">
        <v>2</v>
      </c>
      <c r="AC912" t="s">
        <v>31</v>
      </c>
      <c r="AD912" t="s">
        <v>42</v>
      </c>
      <c r="AE912" t="s">
        <v>49</v>
      </c>
      <c r="AF912" s="3">
        <v>1270</v>
      </c>
      <c r="AG912" s="3">
        <v>47</v>
      </c>
      <c r="AH912">
        <v>80</v>
      </c>
      <c r="AI912">
        <v>0</v>
      </c>
      <c r="AJ912">
        <v>0</v>
      </c>
      <c r="AL912">
        <v>0</v>
      </c>
      <c r="AM912">
        <v>1</v>
      </c>
      <c r="AN912" t="s">
        <v>768</v>
      </c>
      <c r="AO912" t="s">
        <v>41</v>
      </c>
    </row>
    <row r="913" spans="1:41" x14ac:dyDescent="0.25">
      <c r="A913">
        <v>38</v>
      </c>
      <c r="B913" t="s">
        <v>32</v>
      </c>
      <c r="C913" t="s">
        <v>55</v>
      </c>
      <c r="D913">
        <v>2</v>
      </c>
      <c r="E913" t="s">
        <v>61</v>
      </c>
      <c r="F913">
        <v>3</v>
      </c>
      <c r="G913">
        <v>2</v>
      </c>
      <c r="H913" t="s">
        <v>70</v>
      </c>
      <c r="I913">
        <v>1</v>
      </c>
      <c r="J913" t="s">
        <v>57</v>
      </c>
      <c r="K913">
        <v>6893</v>
      </c>
      <c r="L913">
        <v>3</v>
      </c>
      <c r="M913" t="s">
        <v>41</v>
      </c>
      <c r="N913">
        <v>15</v>
      </c>
      <c r="O913">
        <v>3</v>
      </c>
      <c r="P913">
        <v>1</v>
      </c>
      <c r="Q913">
        <v>11</v>
      </c>
      <c r="R913">
        <v>3</v>
      </c>
      <c r="S913">
        <v>7</v>
      </c>
      <c r="T913">
        <v>1</v>
      </c>
      <c r="U913">
        <v>7</v>
      </c>
      <c r="V913" t="s">
        <v>58</v>
      </c>
      <c r="W913" s="2">
        <v>41823</v>
      </c>
      <c r="Y913" t="s">
        <v>54</v>
      </c>
      <c r="Z913" t="s">
        <v>40</v>
      </c>
      <c r="AA913">
        <v>0</v>
      </c>
      <c r="AB913">
        <v>3</v>
      </c>
      <c r="AC913" t="s">
        <v>41</v>
      </c>
      <c r="AD913" t="s">
        <v>48</v>
      </c>
      <c r="AE913" t="s">
        <v>43</v>
      </c>
      <c r="AF913" s="3">
        <v>1273</v>
      </c>
      <c r="AG913" s="3">
        <v>73</v>
      </c>
      <c r="AH913">
        <v>80</v>
      </c>
      <c r="AI913">
        <v>0</v>
      </c>
      <c r="AJ913">
        <v>1</v>
      </c>
      <c r="AK913">
        <v>1</v>
      </c>
      <c r="AL913">
        <v>1</v>
      </c>
      <c r="AM913">
        <v>0</v>
      </c>
      <c r="AN913" t="s">
        <v>767</v>
      </c>
      <c r="AO913" t="s">
        <v>31</v>
      </c>
    </row>
    <row r="914" spans="1:41" x14ac:dyDescent="0.25">
      <c r="A914">
        <v>26</v>
      </c>
      <c r="B914" t="s">
        <v>32</v>
      </c>
      <c r="C914" t="s">
        <v>33</v>
      </c>
      <c r="D914">
        <v>7</v>
      </c>
      <c r="E914" t="s">
        <v>34</v>
      </c>
      <c r="F914">
        <v>4</v>
      </c>
      <c r="G914">
        <v>1</v>
      </c>
      <c r="H914" t="s">
        <v>35</v>
      </c>
      <c r="I914">
        <v>1</v>
      </c>
      <c r="J914" t="s">
        <v>36</v>
      </c>
      <c r="K914">
        <v>3578</v>
      </c>
      <c r="L914">
        <v>0</v>
      </c>
      <c r="M914" t="s">
        <v>41</v>
      </c>
      <c r="N914">
        <v>12</v>
      </c>
      <c r="O914">
        <v>3</v>
      </c>
      <c r="P914">
        <v>0</v>
      </c>
      <c r="Q914">
        <v>8</v>
      </c>
      <c r="R914">
        <v>2</v>
      </c>
      <c r="S914">
        <v>7</v>
      </c>
      <c r="T914">
        <v>0</v>
      </c>
      <c r="U914">
        <v>7</v>
      </c>
      <c r="V914" t="s">
        <v>58</v>
      </c>
      <c r="W914" s="2">
        <v>41704</v>
      </c>
      <c r="Y914" t="s">
        <v>54</v>
      </c>
      <c r="Z914" t="s">
        <v>47</v>
      </c>
      <c r="AA914">
        <v>3</v>
      </c>
      <c r="AB914">
        <v>0</v>
      </c>
      <c r="AC914" t="s">
        <v>31</v>
      </c>
      <c r="AD914" t="s">
        <v>67</v>
      </c>
      <c r="AE914" t="s">
        <v>49</v>
      </c>
      <c r="AF914" s="3">
        <v>1275</v>
      </c>
      <c r="AG914" s="3">
        <v>53</v>
      </c>
      <c r="AH914">
        <v>80</v>
      </c>
      <c r="AI914">
        <v>5</v>
      </c>
      <c r="AJ914">
        <v>0</v>
      </c>
      <c r="AL914">
        <v>0</v>
      </c>
      <c r="AM914">
        <v>1</v>
      </c>
      <c r="AN914" t="s">
        <v>768</v>
      </c>
      <c r="AO914" t="s">
        <v>41</v>
      </c>
    </row>
    <row r="915" spans="1:41" x14ac:dyDescent="0.25">
      <c r="A915">
        <v>55</v>
      </c>
      <c r="B915" t="s">
        <v>32</v>
      </c>
      <c r="C915" t="s">
        <v>33</v>
      </c>
      <c r="D915">
        <v>1</v>
      </c>
      <c r="E915" t="s">
        <v>34</v>
      </c>
      <c r="F915">
        <v>4</v>
      </c>
      <c r="G915">
        <v>4</v>
      </c>
      <c r="H915" t="s">
        <v>50</v>
      </c>
      <c r="I915">
        <v>4</v>
      </c>
      <c r="J915" t="s">
        <v>57</v>
      </c>
      <c r="K915">
        <v>14732</v>
      </c>
      <c r="L915">
        <v>2</v>
      </c>
      <c r="M915" t="s">
        <v>41</v>
      </c>
      <c r="N915">
        <v>13</v>
      </c>
      <c r="O915">
        <v>3</v>
      </c>
      <c r="P915">
        <v>2</v>
      </c>
      <c r="Q915">
        <v>31</v>
      </c>
      <c r="R915">
        <v>4</v>
      </c>
      <c r="S915">
        <v>7</v>
      </c>
      <c r="T915">
        <v>0</v>
      </c>
      <c r="U915">
        <v>0</v>
      </c>
      <c r="V915" t="s">
        <v>52</v>
      </c>
      <c r="W915" s="1" t="s">
        <v>432</v>
      </c>
      <c r="Y915" t="s">
        <v>69</v>
      </c>
      <c r="Z915" t="s">
        <v>40</v>
      </c>
      <c r="AA915">
        <v>3</v>
      </c>
      <c r="AB915">
        <v>0</v>
      </c>
      <c r="AC915" t="s">
        <v>41</v>
      </c>
      <c r="AD915" t="s">
        <v>65</v>
      </c>
      <c r="AE915" t="s">
        <v>43</v>
      </c>
      <c r="AF915" s="3">
        <v>1277</v>
      </c>
      <c r="AG915" s="3">
        <v>94</v>
      </c>
      <c r="AH915">
        <v>80</v>
      </c>
      <c r="AI915">
        <v>10</v>
      </c>
      <c r="AJ915">
        <v>1</v>
      </c>
      <c r="AK915">
        <v>1</v>
      </c>
      <c r="AL915">
        <v>1</v>
      </c>
      <c r="AM915">
        <v>0</v>
      </c>
      <c r="AN915" t="s">
        <v>767</v>
      </c>
      <c r="AO915" t="s">
        <v>31</v>
      </c>
    </row>
    <row r="916" spans="1:41" x14ac:dyDescent="0.25">
      <c r="A916">
        <v>46</v>
      </c>
      <c r="B916" t="s">
        <v>32</v>
      </c>
      <c r="C916" t="s">
        <v>55</v>
      </c>
      <c r="D916">
        <v>9</v>
      </c>
      <c r="E916" t="s">
        <v>34</v>
      </c>
      <c r="F916">
        <v>3</v>
      </c>
      <c r="G916">
        <v>3</v>
      </c>
      <c r="H916" t="s">
        <v>70</v>
      </c>
      <c r="I916">
        <v>4</v>
      </c>
      <c r="J916" t="s">
        <v>57</v>
      </c>
      <c r="K916">
        <v>10096</v>
      </c>
      <c r="L916">
        <v>4</v>
      </c>
      <c r="M916" t="s">
        <v>41</v>
      </c>
      <c r="N916">
        <v>11</v>
      </c>
      <c r="O916">
        <v>3</v>
      </c>
      <c r="P916">
        <v>1</v>
      </c>
      <c r="Q916">
        <v>28</v>
      </c>
      <c r="R916">
        <v>1</v>
      </c>
      <c r="S916">
        <v>7</v>
      </c>
      <c r="T916">
        <v>4</v>
      </c>
      <c r="U916">
        <v>3</v>
      </c>
      <c r="V916" t="s">
        <v>72</v>
      </c>
      <c r="W916" s="1" t="s">
        <v>439</v>
      </c>
      <c r="Y916" t="s">
        <v>39</v>
      </c>
      <c r="Z916" t="s">
        <v>40</v>
      </c>
      <c r="AA916">
        <v>4</v>
      </c>
      <c r="AB916">
        <v>0</v>
      </c>
      <c r="AC916" t="s">
        <v>31</v>
      </c>
      <c r="AD916" t="s">
        <v>67</v>
      </c>
      <c r="AE916" t="s">
        <v>60</v>
      </c>
      <c r="AF916" s="3">
        <v>1278</v>
      </c>
      <c r="AG916" s="3">
        <v>37</v>
      </c>
      <c r="AH916">
        <v>80</v>
      </c>
      <c r="AI916">
        <v>9</v>
      </c>
      <c r="AJ916">
        <v>0</v>
      </c>
      <c r="AL916">
        <v>0</v>
      </c>
      <c r="AM916">
        <v>1</v>
      </c>
      <c r="AN916" t="s">
        <v>768</v>
      </c>
      <c r="AO916" t="s">
        <v>41</v>
      </c>
    </row>
    <row r="917" spans="1:41" x14ac:dyDescent="0.25">
      <c r="A917">
        <v>45</v>
      </c>
      <c r="B917" t="s">
        <v>32</v>
      </c>
      <c r="C917" t="s">
        <v>33</v>
      </c>
      <c r="D917">
        <v>20</v>
      </c>
      <c r="E917" t="s">
        <v>34</v>
      </c>
      <c r="F917">
        <v>1</v>
      </c>
      <c r="G917">
        <v>3</v>
      </c>
      <c r="H917" t="s">
        <v>89</v>
      </c>
      <c r="I917">
        <v>1</v>
      </c>
      <c r="J917" t="s">
        <v>57</v>
      </c>
      <c r="K917">
        <v>10851</v>
      </c>
      <c r="L917">
        <v>2</v>
      </c>
      <c r="M917" t="s">
        <v>31</v>
      </c>
      <c r="N917">
        <v>18</v>
      </c>
      <c r="O917">
        <v>3</v>
      </c>
      <c r="P917">
        <v>1</v>
      </c>
      <c r="Q917">
        <v>24</v>
      </c>
      <c r="R917">
        <v>2</v>
      </c>
      <c r="S917">
        <v>7</v>
      </c>
      <c r="T917">
        <v>0</v>
      </c>
      <c r="U917">
        <v>7</v>
      </c>
      <c r="V917" t="s">
        <v>58</v>
      </c>
      <c r="W917" s="1" t="s">
        <v>463</v>
      </c>
      <c r="Y917" t="s">
        <v>54</v>
      </c>
      <c r="Z917" t="s">
        <v>47</v>
      </c>
      <c r="AA917">
        <v>2</v>
      </c>
      <c r="AB917">
        <v>0</v>
      </c>
      <c r="AC917" t="s">
        <v>41</v>
      </c>
      <c r="AD917" t="s">
        <v>48</v>
      </c>
      <c r="AE917" t="s">
        <v>43</v>
      </c>
      <c r="AF917" s="3">
        <v>1279</v>
      </c>
      <c r="AG917" s="3">
        <v>45</v>
      </c>
      <c r="AH917">
        <v>80</v>
      </c>
      <c r="AI917">
        <v>2</v>
      </c>
      <c r="AJ917">
        <v>1</v>
      </c>
      <c r="AK917">
        <v>1</v>
      </c>
      <c r="AL917">
        <v>1</v>
      </c>
      <c r="AM917">
        <v>0</v>
      </c>
      <c r="AN917" t="s">
        <v>767</v>
      </c>
      <c r="AO917" t="s">
        <v>31</v>
      </c>
    </row>
    <row r="918" spans="1:41" x14ac:dyDescent="0.25">
      <c r="A918">
        <v>31</v>
      </c>
      <c r="B918" t="s">
        <v>66</v>
      </c>
      <c r="C918" t="s">
        <v>33</v>
      </c>
      <c r="D918">
        <v>3</v>
      </c>
      <c r="E918" t="s">
        <v>61</v>
      </c>
      <c r="F918">
        <v>3</v>
      </c>
      <c r="G918">
        <v>1</v>
      </c>
      <c r="H918" t="s">
        <v>44</v>
      </c>
      <c r="I918">
        <v>3</v>
      </c>
      <c r="J918" t="s">
        <v>36</v>
      </c>
      <c r="K918">
        <v>4084</v>
      </c>
      <c r="L918">
        <v>1</v>
      </c>
      <c r="M918" t="s">
        <v>41</v>
      </c>
      <c r="N918">
        <v>12</v>
      </c>
      <c r="O918">
        <v>3</v>
      </c>
      <c r="P918">
        <v>0</v>
      </c>
      <c r="Q918">
        <v>7</v>
      </c>
      <c r="R918">
        <v>2</v>
      </c>
      <c r="S918">
        <v>7</v>
      </c>
      <c r="T918">
        <v>7</v>
      </c>
      <c r="U918">
        <v>7</v>
      </c>
      <c r="V918" t="s">
        <v>52</v>
      </c>
      <c r="W918" s="2">
        <v>41918</v>
      </c>
      <c r="Y918" t="s">
        <v>39</v>
      </c>
      <c r="Z918" t="s">
        <v>40</v>
      </c>
      <c r="AA918">
        <v>1</v>
      </c>
      <c r="AB918">
        <v>2</v>
      </c>
      <c r="AC918" t="s">
        <v>41</v>
      </c>
      <c r="AD918" t="s">
        <v>48</v>
      </c>
      <c r="AE918" t="s">
        <v>49</v>
      </c>
      <c r="AF918" s="3">
        <v>1280</v>
      </c>
      <c r="AG918" s="3">
        <v>33</v>
      </c>
      <c r="AH918">
        <v>80</v>
      </c>
      <c r="AI918">
        <v>4</v>
      </c>
      <c r="AJ918">
        <v>0</v>
      </c>
      <c r="AL918">
        <v>0</v>
      </c>
      <c r="AM918">
        <v>1</v>
      </c>
      <c r="AN918" t="s">
        <v>768</v>
      </c>
      <c r="AO918" t="s">
        <v>41</v>
      </c>
    </row>
    <row r="919" spans="1:41" x14ac:dyDescent="0.25">
      <c r="A919">
        <v>29</v>
      </c>
      <c r="B919" t="s">
        <v>32</v>
      </c>
      <c r="C919" t="s">
        <v>33</v>
      </c>
      <c r="D919">
        <v>8</v>
      </c>
      <c r="E919" t="s">
        <v>61</v>
      </c>
      <c r="F919">
        <v>1</v>
      </c>
      <c r="G919">
        <v>2</v>
      </c>
      <c r="H919" t="s">
        <v>89</v>
      </c>
      <c r="I919">
        <v>1</v>
      </c>
      <c r="J919" t="s">
        <v>51</v>
      </c>
      <c r="K919">
        <v>9715</v>
      </c>
      <c r="L919">
        <v>3</v>
      </c>
      <c r="M919" t="s">
        <v>41</v>
      </c>
      <c r="N919">
        <v>13</v>
      </c>
      <c r="O919">
        <v>3</v>
      </c>
      <c r="P919">
        <v>1</v>
      </c>
      <c r="Q919">
        <v>9</v>
      </c>
      <c r="R919">
        <v>3</v>
      </c>
      <c r="S919">
        <v>7</v>
      </c>
      <c r="T919">
        <v>0</v>
      </c>
      <c r="U919">
        <v>7</v>
      </c>
      <c r="V919" t="s">
        <v>58</v>
      </c>
      <c r="W919" s="2">
        <v>41948</v>
      </c>
      <c r="Y919" t="s">
        <v>69</v>
      </c>
      <c r="Z919" t="s">
        <v>47</v>
      </c>
      <c r="AA919">
        <v>5</v>
      </c>
      <c r="AB919">
        <v>0</v>
      </c>
      <c r="AC919" t="s">
        <v>31</v>
      </c>
      <c r="AD919" t="s">
        <v>67</v>
      </c>
      <c r="AE919" t="s">
        <v>49</v>
      </c>
      <c r="AF919" s="3">
        <v>1281</v>
      </c>
      <c r="AG919" s="3">
        <v>86</v>
      </c>
      <c r="AH919">
        <v>80</v>
      </c>
      <c r="AI919">
        <v>2</v>
      </c>
      <c r="AJ919">
        <v>0</v>
      </c>
      <c r="AL919">
        <v>0</v>
      </c>
      <c r="AM919">
        <v>1</v>
      </c>
      <c r="AN919" t="s">
        <v>768</v>
      </c>
      <c r="AO919" t="s">
        <v>41</v>
      </c>
    </row>
    <row r="920" spans="1:41" x14ac:dyDescent="0.25">
      <c r="A920">
        <v>32</v>
      </c>
      <c r="B920" t="s">
        <v>32</v>
      </c>
      <c r="C920" t="s">
        <v>33</v>
      </c>
      <c r="D920">
        <v>5</v>
      </c>
      <c r="E920" t="s">
        <v>61</v>
      </c>
      <c r="F920">
        <v>2</v>
      </c>
      <c r="G920">
        <v>2</v>
      </c>
      <c r="H920" t="s">
        <v>44</v>
      </c>
      <c r="I920">
        <v>2</v>
      </c>
      <c r="J920" t="s">
        <v>51</v>
      </c>
      <c r="K920">
        <v>5878</v>
      </c>
      <c r="L920">
        <v>3</v>
      </c>
      <c r="M920" t="s">
        <v>41</v>
      </c>
      <c r="N920">
        <v>12</v>
      </c>
      <c r="O920">
        <v>3</v>
      </c>
      <c r="P920">
        <v>1</v>
      </c>
      <c r="Q920">
        <v>12</v>
      </c>
      <c r="R920">
        <v>2</v>
      </c>
      <c r="S920">
        <v>7</v>
      </c>
      <c r="T920">
        <v>2</v>
      </c>
      <c r="U920">
        <v>5</v>
      </c>
      <c r="V920" t="s">
        <v>52</v>
      </c>
      <c r="W920" s="1" t="s">
        <v>430</v>
      </c>
      <c r="Y920" t="s">
        <v>69</v>
      </c>
      <c r="Z920" t="s">
        <v>40</v>
      </c>
      <c r="AA920">
        <v>3</v>
      </c>
      <c r="AB920">
        <v>1</v>
      </c>
      <c r="AC920" t="s">
        <v>31</v>
      </c>
      <c r="AD920" t="s">
        <v>65</v>
      </c>
      <c r="AE920" t="s">
        <v>49</v>
      </c>
      <c r="AF920" s="3">
        <v>1282</v>
      </c>
      <c r="AG920" s="3">
        <v>83</v>
      </c>
      <c r="AH920">
        <v>80</v>
      </c>
      <c r="AI920">
        <v>10</v>
      </c>
      <c r="AJ920">
        <v>0</v>
      </c>
      <c r="AL920">
        <v>0</v>
      </c>
      <c r="AM920">
        <v>1</v>
      </c>
      <c r="AN920" t="s">
        <v>768</v>
      </c>
      <c r="AO920" t="s">
        <v>41</v>
      </c>
    </row>
    <row r="921" spans="1:41" x14ac:dyDescent="0.25">
      <c r="A921">
        <v>39</v>
      </c>
      <c r="B921" t="s">
        <v>32</v>
      </c>
      <c r="C921" t="s">
        <v>55</v>
      </c>
      <c r="D921">
        <v>6</v>
      </c>
      <c r="E921" t="s">
        <v>34</v>
      </c>
      <c r="F921">
        <v>4</v>
      </c>
      <c r="G921">
        <v>3</v>
      </c>
      <c r="H921" t="s">
        <v>70</v>
      </c>
      <c r="I921">
        <v>3</v>
      </c>
      <c r="J921" t="s">
        <v>51</v>
      </c>
      <c r="K921">
        <v>8237</v>
      </c>
      <c r="L921">
        <v>2</v>
      </c>
      <c r="M921" t="s">
        <v>41</v>
      </c>
      <c r="N921">
        <v>11</v>
      </c>
      <c r="O921">
        <v>3</v>
      </c>
      <c r="P921">
        <v>1</v>
      </c>
      <c r="Q921">
        <v>11</v>
      </c>
      <c r="R921">
        <v>3</v>
      </c>
      <c r="S921">
        <v>7</v>
      </c>
      <c r="T921">
        <v>7</v>
      </c>
      <c r="U921">
        <v>6</v>
      </c>
      <c r="V921" t="s">
        <v>37</v>
      </c>
      <c r="W921" s="2">
        <v>41885</v>
      </c>
      <c r="Y921" t="s">
        <v>54</v>
      </c>
      <c r="Z921" t="s">
        <v>40</v>
      </c>
      <c r="AA921">
        <v>2</v>
      </c>
      <c r="AB921">
        <v>0</v>
      </c>
      <c r="AC921" t="s">
        <v>31</v>
      </c>
      <c r="AD921" t="s">
        <v>48</v>
      </c>
      <c r="AE921" t="s">
        <v>49</v>
      </c>
      <c r="AF921" s="3">
        <v>1283</v>
      </c>
      <c r="AG921" s="3">
        <v>67</v>
      </c>
      <c r="AH921">
        <v>80</v>
      </c>
      <c r="AI921">
        <v>7</v>
      </c>
      <c r="AJ921">
        <v>0</v>
      </c>
      <c r="AL921">
        <v>0</v>
      </c>
      <c r="AM921">
        <v>1</v>
      </c>
      <c r="AN921" t="s">
        <v>768</v>
      </c>
      <c r="AO921" t="s">
        <v>41</v>
      </c>
    </row>
    <row r="922" spans="1:41" x14ac:dyDescent="0.25">
      <c r="A922">
        <v>39</v>
      </c>
      <c r="B922" t="s">
        <v>32</v>
      </c>
      <c r="C922" t="s">
        <v>33</v>
      </c>
      <c r="D922">
        <v>10</v>
      </c>
      <c r="E922" t="s">
        <v>34</v>
      </c>
      <c r="F922">
        <v>3</v>
      </c>
      <c r="G922">
        <v>2</v>
      </c>
      <c r="H922" t="s">
        <v>78</v>
      </c>
      <c r="I922">
        <v>1</v>
      </c>
      <c r="J922" t="s">
        <v>51</v>
      </c>
      <c r="K922">
        <v>5377</v>
      </c>
      <c r="L922">
        <v>2</v>
      </c>
      <c r="M922" t="s">
        <v>41</v>
      </c>
      <c r="N922">
        <v>13</v>
      </c>
      <c r="O922">
        <v>3</v>
      </c>
      <c r="P922">
        <v>3</v>
      </c>
      <c r="Q922">
        <v>10</v>
      </c>
      <c r="R922">
        <v>3</v>
      </c>
      <c r="S922">
        <v>7</v>
      </c>
      <c r="T922">
        <v>7</v>
      </c>
      <c r="U922">
        <v>7</v>
      </c>
      <c r="V922" t="s">
        <v>58</v>
      </c>
      <c r="W922" s="1" t="s">
        <v>464</v>
      </c>
      <c r="Y922" t="s">
        <v>63</v>
      </c>
      <c r="Z922" t="s">
        <v>47</v>
      </c>
      <c r="AA922">
        <v>5</v>
      </c>
      <c r="AB922">
        <v>3</v>
      </c>
      <c r="AC922" t="s">
        <v>31</v>
      </c>
      <c r="AD922" t="s">
        <v>65</v>
      </c>
      <c r="AE922" t="s">
        <v>49</v>
      </c>
      <c r="AF922" s="3">
        <v>1285</v>
      </c>
      <c r="AG922" s="3">
        <v>46</v>
      </c>
      <c r="AH922">
        <v>80</v>
      </c>
      <c r="AI922">
        <v>8</v>
      </c>
      <c r="AJ922">
        <v>0</v>
      </c>
      <c r="AL922">
        <v>0</v>
      </c>
      <c r="AM922">
        <v>1</v>
      </c>
      <c r="AN922" t="s">
        <v>768</v>
      </c>
      <c r="AO922" t="s">
        <v>41</v>
      </c>
    </row>
    <row r="923" spans="1:41" x14ac:dyDescent="0.25">
      <c r="A923">
        <v>27</v>
      </c>
      <c r="B923" t="s">
        <v>32</v>
      </c>
      <c r="C923" t="s">
        <v>33</v>
      </c>
      <c r="D923">
        <v>19</v>
      </c>
      <c r="E923" t="s">
        <v>34</v>
      </c>
      <c r="F923">
        <v>2</v>
      </c>
      <c r="G923">
        <v>1</v>
      </c>
      <c r="H923" t="s">
        <v>35</v>
      </c>
      <c r="I923">
        <v>1</v>
      </c>
      <c r="J923" t="s">
        <v>57</v>
      </c>
      <c r="K923">
        <v>4066</v>
      </c>
      <c r="L923">
        <v>1</v>
      </c>
      <c r="M923" t="s">
        <v>41</v>
      </c>
      <c r="N923">
        <v>11</v>
      </c>
      <c r="O923">
        <v>3</v>
      </c>
      <c r="P923">
        <v>2</v>
      </c>
      <c r="Q923">
        <v>7</v>
      </c>
      <c r="R923">
        <v>3</v>
      </c>
      <c r="S923">
        <v>7</v>
      </c>
      <c r="T923">
        <v>0</v>
      </c>
      <c r="U923">
        <v>7</v>
      </c>
      <c r="V923" t="s">
        <v>72</v>
      </c>
      <c r="W923" s="2">
        <v>41976</v>
      </c>
      <c r="Y923" t="s">
        <v>39</v>
      </c>
      <c r="Z923" t="s">
        <v>40</v>
      </c>
      <c r="AA923">
        <v>3</v>
      </c>
      <c r="AB923">
        <v>2</v>
      </c>
      <c r="AC923" t="s">
        <v>41</v>
      </c>
      <c r="AD923" t="s">
        <v>42</v>
      </c>
      <c r="AE923" t="s">
        <v>60</v>
      </c>
      <c r="AF923" s="3">
        <v>1286</v>
      </c>
      <c r="AG923" s="3">
        <v>44</v>
      </c>
      <c r="AH923">
        <v>80</v>
      </c>
      <c r="AI923">
        <v>2</v>
      </c>
      <c r="AJ923">
        <v>0</v>
      </c>
      <c r="AL923">
        <v>0</v>
      </c>
      <c r="AM923">
        <v>1</v>
      </c>
      <c r="AN923" t="s">
        <v>768</v>
      </c>
      <c r="AO923" t="s">
        <v>41</v>
      </c>
    </row>
    <row r="924" spans="1:41" x14ac:dyDescent="0.25">
      <c r="A924">
        <v>25</v>
      </c>
      <c r="B924" t="s">
        <v>66</v>
      </c>
      <c r="C924" t="s">
        <v>33</v>
      </c>
      <c r="D924">
        <v>2</v>
      </c>
      <c r="E924" t="s">
        <v>34</v>
      </c>
      <c r="F924">
        <v>4</v>
      </c>
      <c r="G924">
        <v>2</v>
      </c>
      <c r="H924" t="s">
        <v>78</v>
      </c>
      <c r="I924">
        <v>3</v>
      </c>
      <c r="J924" t="s">
        <v>57</v>
      </c>
      <c r="K924">
        <v>5206</v>
      </c>
      <c r="L924">
        <v>1</v>
      </c>
      <c r="M924" t="s">
        <v>41</v>
      </c>
      <c r="N924">
        <v>17</v>
      </c>
      <c r="O924">
        <v>3</v>
      </c>
      <c r="P924">
        <v>2</v>
      </c>
      <c r="Q924">
        <v>7</v>
      </c>
      <c r="R924">
        <v>6</v>
      </c>
      <c r="S924">
        <v>7</v>
      </c>
      <c r="T924">
        <v>0</v>
      </c>
      <c r="U924">
        <v>7</v>
      </c>
      <c r="V924" t="s">
        <v>58</v>
      </c>
      <c r="W924" s="2">
        <v>41765</v>
      </c>
      <c r="Y924" t="s">
        <v>63</v>
      </c>
      <c r="Z924" t="s">
        <v>40</v>
      </c>
      <c r="AA924">
        <v>5</v>
      </c>
      <c r="AB924">
        <v>3</v>
      </c>
      <c r="AC924" t="s">
        <v>41</v>
      </c>
      <c r="AD924" t="s">
        <v>65</v>
      </c>
      <c r="AE924" t="s">
        <v>49</v>
      </c>
      <c r="AF924" s="3">
        <v>1288</v>
      </c>
      <c r="AG924" s="3">
        <v>92</v>
      </c>
      <c r="AH924">
        <v>80</v>
      </c>
      <c r="AI924">
        <v>9</v>
      </c>
      <c r="AJ924">
        <v>0</v>
      </c>
      <c r="AL924">
        <v>0</v>
      </c>
      <c r="AM924">
        <v>1</v>
      </c>
      <c r="AN924" t="s">
        <v>768</v>
      </c>
      <c r="AO924" t="s">
        <v>41</v>
      </c>
    </row>
    <row r="925" spans="1:41" x14ac:dyDescent="0.25">
      <c r="A925">
        <v>26</v>
      </c>
      <c r="B925" t="s">
        <v>81</v>
      </c>
      <c r="C925" t="s">
        <v>33</v>
      </c>
      <c r="D925">
        <v>7</v>
      </c>
      <c r="E925" t="s">
        <v>34</v>
      </c>
      <c r="F925">
        <v>3</v>
      </c>
      <c r="G925">
        <v>1</v>
      </c>
      <c r="H925" t="s">
        <v>35</v>
      </c>
      <c r="I925">
        <v>4</v>
      </c>
      <c r="J925" t="s">
        <v>36</v>
      </c>
      <c r="K925">
        <v>2570</v>
      </c>
      <c r="L925">
        <v>1</v>
      </c>
      <c r="M925" t="s">
        <v>41</v>
      </c>
      <c r="N925">
        <v>20</v>
      </c>
      <c r="O925">
        <v>4</v>
      </c>
      <c r="P925">
        <v>0</v>
      </c>
      <c r="Q925">
        <v>7</v>
      </c>
      <c r="R925">
        <v>5</v>
      </c>
      <c r="S925">
        <v>7</v>
      </c>
      <c r="T925">
        <v>5</v>
      </c>
      <c r="U925">
        <v>7</v>
      </c>
      <c r="V925" t="s">
        <v>58</v>
      </c>
      <c r="W925" s="2">
        <v>41945</v>
      </c>
      <c r="Y925" t="s">
        <v>39</v>
      </c>
      <c r="Z925" t="s">
        <v>40</v>
      </c>
      <c r="AA925">
        <v>3</v>
      </c>
      <c r="AB925">
        <v>1</v>
      </c>
      <c r="AC925" t="s">
        <v>31</v>
      </c>
      <c r="AD925" t="s">
        <v>42</v>
      </c>
      <c r="AE925" t="s">
        <v>49</v>
      </c>
      <c r="AF925" s="3">
        <v>1289</v>
      </c>
      <c r="AG925" s="3">
        <v>56</v>
      </c>
      <c r="AH925">
        <v>80</v>
      </c>
      <c r="AI925">
        <v>9</v>
      </c>
      <c r="AJ925">
        <v>0</v>
      </c>
      <c r="AL925">
        <v>0</v>
      </c>
      <c r="AM925">
        <v>1</v>
      </c>
      <c r="AN925" t="s">
        <v>768</v>
      </c>
      <c r="AO925" t="s">
        <v>41</v>
      </c>
    </row>
    <row r="926" spans="1:41" x14ac:dyDescent="0.25">
      <c r="A926">
        <v>35</v>
      </c>
      <c r="B926" t="s">
        <v>32</v>
      </c>
      <c r="C926" t="s">
        <v>33</v>
      </c>
      <c r="D926">
        <v>27</v>
      </c>
      <c r="E926" t="s">
        <v>34</v>
      </c>
      <c r="F926">
        <v>3</v>
      </c>
      <c r="G926">
        <v>2</v>
      </c>
      <c r="H926" t="s">
        <v>78</v>
      </c>
      <c r="I926">
        <v>3</v>
      </c>
      <c r="J926" t="s">
        <v>51</v>
      </c>
      <c r="K926">
        <v>6883</v>
      </c>
      <c r="L926">
        <v>2</v>
      </c>
      <c r="M926" t="s">
        <v>41</v>
      </c>
      <c r="N926">
        <v>16</v>
      </c>
      <c r="O926">
        <v>3</v>
      </c>
      <c r="P926">
        <v>1</v>
      </c>
      <c r="Q926">
        <v>17</v>
      </c>
      <c r="R926">
        <v>3</v>
      </c>
      <c r="S926">
        <v>7</v>
      </c>
      <c r="T926">
        <v>0</v>
      </c>
      <c r="U926">
        <v>7</v>
      </c>
      <c r="V926" t="s">
        <v>37</v>
      </c>
      <c r="W926" s="1" t="s">
        <v>465</v>
      </c>
      <c r="Y926" t="s">
        <v>39</v>
      </c>
      <c r="Z926" t="s">
        <v>40</v>
      </c>
      <c r="AA926">
        <v>2</v>
      </c>
      <c r="AB926">
        <v>3</v>
      </c>
      <c r="AC926" t="s">
        <v>31</v>
      </c>
      <c r="AD926" t="s">
        <v>48</v>
      </c>
      <c r="AE926" t="s">
        <v>43</v>
      </c>
      <c r="AF926" s="3">
        <v>1291</v>
      </c>
      <c r="AG926" s="3">
        <v>66</v>
      </c>
      <c r="AH926">
        <v>80</v>
      </c>
      <c r="AI926">
        <v>2</v>
      </c>
      <c r="AJ926">
        <v>0</v>
      </c>
      <c r="AL926">
        <v>0</v>
      </c>
      <c r="AM926">
        <v>1</v>
      </c>
      <c r="AN926" t="s">
        <v>768</v>
      </c>
      <c r="AO926" t="s">
        <v>41</v>
      </c>
    </row>
    <row r="927" spans="1:41" x14ac:dyDescent="0.25">
      <c r="A927">
        <v>30</v>
      </c>
      <c r="B927" t="s">
        <v>32</v>
      </c>
      <c r="C927" t="s">
        <v>55</v>
      </c>
      <c r="D927">
        <v>15</v>
      </c>
      <c r="E927" t="s">
        <v>34</v>
      </c>
      <c r="F927">
        <v>2</v>
      </c>
      <c r="G927">
        <v>3</v>
      </c>
      <c r="H927" t="s">
        <v>70</v>
      </c>
      <c r="I927">
        <v>1</v>
      </c>
      <c r="J927" t="s">
        <v>57</v>
      </c>
      <c r="K927">
        <v>7140</v>
      </c>
      <c r="L927">
        <v>2</v>
      </c>
      <c r="M927" t="s">
        <v>41</v>
      </c>
      <c r="N927">
        <v>11</v>
      </c>
      <c r="O927">
        <v>3</v>
      </c>
      <c r="P927">
        <v>1</v>
      </c>
      <c r="Q927">
        <v>12</v>
      </c>
      <c r="R927">
        <v>2</v>
      </c>
      <c r="S927">
        <v>7</v>
      </c>
      <c r="T927">
        <v>1</v>
      </c>
      <c r="U927">
        <v>7</v>
      </c>
      <c r="V927" t="s">
        <v>37</v>
      </c>
      <c r="W927" s="1" t="s">
        <v>466</v>
      </c>
      <c r="Y927" t="s">
        <v>46</v>
      </c>
      <c r="Z927" t="s">
        <v>40</v>
      </c>
      <c r="AA927">
        <v>3</v>
      </c>
      <c r="AB927">
        <v>3</v>
      </c>
      <c r="AC927" t="s">
        <v>41</v>
      </c>
      <c r="AD927" t="s">
        <v>65</v>
      </c>
      <c r="AE927" t="s">
        <v>60</v>
      </c>
      <c r="AF927" s="3">
        <v>1292</v>
      </c>
      <c r="AG927" s="3">
        <v>78</v>
      </c>
      <c r="AH927">
        <v>80</v>
      </c>
      <c r="AI927">
        <v>0</v>
      </c>
      <c r="AJ927">
        <v>0</v>
      </c>
      <c r="AL927">
        <v>0</v>
      </c>
      <c r="AM927">
        <v>1</v>
      </c>
      <c r="AN927" t="s">
        <v>768</v>
      </c>
      <c r="AO927" t="s">
        <v>41</v>
      </c>
    </row>
    <row r="928" spans="1:41" x14ac:dyDescent="0.25">
      <c r="A928">
        <v>30</v>
      </c>
      <c r="B928" t="s">
        <v>32</v>
      </c>
      <c r="C928" t="s">
        <v>33</v>
      </c>
      <c r="D928">
        <v>16</v>
      </c>
      <c r="E928" t="s">
        <v>34</v>
      </c>
      <c r="F928">
        <v>4</v>
      </c>
      <c r="G928">
        <v>2</v>
      </c>
      <c r="H928" t="s">
        <v>89</v>
      </c>
      <c r="I928">
        <v>3</v>
      </c>
      <c r="J928" t="s">
        <v>51</v>
      </c>
      <c r="K928">
        <v>5294</v>
      </c>
      <c r="L928">
        <v>3</v>
      </c>
      <c r="M928" t="s">
        <v>41</v>
      </c>
      <c r="N928">
        <v>16</v>
      </c>
      <c r="O928">
        <v>3</v>
      </c>
      <c r="P928">
        <v>1</v>
      </c>
      <c r="Q928">
        <v>10</v>
      </c>
      <c r="R928">
        <v>3</v>
      </c>
      <c r="S928">
        <v>7</v>
      </c>
      <c r="T928">
        <v>1</v>
      </c>
      <c r="U928">
        <v>7</v>
      </c>
      <c r="V928" t="s">
        <v>37</v>
      </c>
      <c r="W928" s="1" t="s">
        <v>466</v>
      </c>
      <c r="Y928" t="s">
        <v>46</v>
      </c>
      <c r="Z928" t="s">
        <v>40</v>
      </c>
      <c r="AA928">
        <v>4</v>
      </c>
      <c r="AB928">
        <v>1</v>
      </c>
      <c r="AC928" t="s">
        <v>31</v>
      </c>
      <c r="AD928" t="s">
        <v>42</v>
      </c>
      <c r="AE928" t="s">
        <v>49</v>
      </c>
      <c r="AF928" s="3">
        <v>1293</v>
      </c>
      <c r="AG928" s="3">
        <v>56</v>
      </c>
      <c r="AH928">
        <v>80</v>
      </c>
      <c r="AI928">
        <v>7</v>
      </c>
      <c r="AJ928">
        <v>0</v>
      </c>
      <c r="AL928">
        <v>0</v>
      </c>
      <c r="AM928">
        <v>1</v>
      </c>
      <c r="AN928" t="s">
        <v>768</v>
      </c>
      <c r="AO928" t="s">
        <v>41</v>
      </c>
    </row>
    <row r="929" spans="1:41" x14ac:dyDescent="0.25">
      <c r="A929">
        <v>32</v>
      </c>
      <c r="B929" t="s">
        <v>81</v>
      </c>
      <c r="C929" t="s">
        <v>33</v>
      </c>
      <c r="D929">
        <v>5</v>
      </c>
      <c r="E929" t="s">
        <v>34</v>
      </c>
      <c r="F929">
        <v>3</v>
      </c>
      <c r="G929">
        <v>1</v>
      </c>
      <c r="H929" t="s">
        <v>44</v>
      </c>
      <c r="I929">
        <v>2</v>
      </c>
      <c r="J929" t="s">
        <v>36</v>
      </c>
      <c r="K929">
        <v>2718</v>
      </c>
      <c r="L929">
        <v>2</v>
      </c>
      <c r="M929" t="s">
        <v>41</v>
      </c>
      <c r="N929">
        <v>14</v>
      </c>
      <c r="O929">
        <v>3</v>
      </c>
      <c r="P929">
        <v>0</v>
      </c>
      <c r="Q929">
        <v>12</v>
      </c>
      <c r="R929">
        <v>3</v>
      </c>
      <c r="S929">
        <v>7</v>
      </c>
      <c r="T929">
        <v>0</v>
      </c>
      <c r="U929">
        <v>7</v>
      </c>
      <c r="V929" t="s">
        <v>52</v>
      </c>
      <c r="W929" s="1" t="s">
        <v>438</v>
      </c>
      <c r="Y929" t="s">
        <v>69</v>
      </c>
      <c r="Z929" t="s">
        <v>47</v>
      </c>
      <c r="AA929">
        <v>4</v>
      </c>
      <c r="AB929">
        <v>1</v>
      </c>
      <c r="AC929" t="s">
        <v>31</v>
      </c>
      <c r="AD929" t="s">
        <v>48</v>
      </c>
      <c r="AE929" t="s">
        <v>60</v>
      </c>
      <c r="AF929" s="3">
        <v>1294</v>
      </c>
      <c r="AG929" s="3">
        <v>53</v>
      </c>
      <c r="AH929">
        <v>80</v>
      </c>
      <c r="AI929">
        <v>14</v>
      </c>
      <c r="AJ929">
        <v>0</v>
      </c>
      <c r="AL929">
        <v>0</v>
      </c>
      <c r="AM929">
        <v>1</v>
      </c>
      <c r="AN929" t="s">
        <v>768</v>
      </c>
      <c r="AO929" t="s">
        <v>41</v>
      </c>
    </row>
    <row r="930" spans="1:41" x14ac:dyDescent="0.25">
      <c r="A930">
        <v>35</v>
      </c>
      <c r="B930" t="s">
        <v>81</v>
      </c>
      <c r="C930" t="s">
        <v>33</v>
      </c>
      <c r="D930">
        <v>2</v>
      </c>
      <c r="E930" t="s">
        <v>34</v>
      </c>
      <c r="F930">
        <v>3</v>
      </c>
      <c r="G930">
        <v>2</v>
      </c>
      <c r="H930" t="s">
        <v>78</v>
      </c>
      <c r="I930">
        <v>4</v>
      </c>
      <c r="J930" t="s">
        <v>57</v>
      </c>
      <c r="K930">
        <v>5762</v>
      </c>
      <c r="L930">
        <v>2</v>
      </c>
      <c r="M930" t="s">
        <v>41</v>
      </c>
      <c r="N930">
        <v>14</v>
      </c>
      <c r="O930">
        <v>3</v>
      </c>
      <c r="P930">
        <v>1</v>
      </c>
      <c r="Q930">
        <v>15</v>
      </c>
      <c r="R930">
        <v>6</v>
      </c>
      <c r="S930">
        <v>7</v>
      </c>
      <c r="T930">
        <v>1</v>
      </c>
      <c r="U930">
        <v>7</v>
      </c>
      <c r="V930" t="s">
        <v>58</v>
      </c>
      <c r="W930" s="1" t="s">
        <v>467</v>
      </c>
      <c r="Y930" t="s">
        <v>54</v>
      </c>
      <c r="Z930" t="s">
        <v>47</v>
      </c>
      <c r="AA930">
        <v>3</v>
      </c>
      <c r="AB930">
        <v>1</v>
      </c>
      <c r="AC930" t="s">
        <v>31</v>
      </c>
      <c r="AD930" t="s">
        <v>48</v>
      </c>
      <c r="AE930" t="s">
        <v>49</v>
      </c>
      <c r="AF930" s="3">
        <v>1295</v>
      </c>
      <c r="AG930" s="3">
        <v>73</v>
      </c>
      <c r="AH930">
        <v>80</v>
      </c>
      <c r="AI930">
        <v>7</v>
      </c>
      <c r="AJ930">
        <v>1</v>
      </c>
      <c r="AK930">
        <v>1</v>
      </c>
      <c r="AL930">
        <v>1</v>
      </c>
      <c r="AM930">
        <v>0</v>
      </c>
      <c r="AN930" t="s">
        <v>767</v>
      </c>
      <c r="AO930" t="s">
        <v>31</v>
      </c>
    </row>
    <row r="931" spans="1:41" x14ac:dyDescent="0.25">
      <c r="A931">
        <v>34</v>
      </c>
      <c r="B931" t="s">
        <v>66</v>
      </c>
      <c r="C931" t="s">
        <v>33</v>
      </c>
      <c r="D931">
        <v>9</v>
      </c>
      <c r="E931" t="s">
        <v>34</v>
      </c>
      <c r="F931">
        <v>3</v>
      </c>
      <c r="G931">
        <v>2</v>
      </c>
      <c r="H931" t="s">
        <v>35</v>
      </c>
      <c r="I931">
        <v>1</v>
      </c>
      <c r="J931" t="s">
        <v>51</v>
      </c>
      <c r="K931">
        <v>5346</v>
      </c>
      <c r="L931">
        <v>4</v>
      </c>
      <c r="M931" t="s">
        <v>41</v>
      </c>
      <c r="N931">
        <v>17</v>
      </c>
      <c r="O931">
        <v>3</v>
      </c>
      <c r="P931">
        <v>1</v>
      </c>
      <c r="Q931">
        <v>11</v>
      </c>
      <c r="R931">
        <v>3</v>
      </c>
      <c r="S931">
        <v>7</v>
      </c>
      <c r="T931">
        <v>0</v>
      </c>
      <c r="U931">
        <v>7</v>
      </c>
      <c r="V931" t="s">
        <v>72</v>
      </c>
      <c r="W931" s="2">
        <v>41676</v>
      </c>
      <c r="Y931" t="s">
        <v>46</v>
      </c>
      <c r="Z931" t="s">
        <v>47</v>
      </c>
      <c r="AA931">
        <v>2</v>
      </c>
      <c r="AB931">
        <v>3</v>
      </c>
      <c r="AC931" t="s">
        <v>31</v>
      </c>
      <c r="AD931" t="s">
        <v>42</v>
      </c>
      <c r="AE931" t="s">
        <v>43</v>
      </c>
      <c r="AF931" s="3">
        <v>1296</v>
      </c>
      <c r="AG931" s="3">
        <v>52</v>
      </c>
      <c r="AH931">
        <v>80</v>
      </c>
      <c r="AI931">
        <v>2</v>
      </c>
      <c r="AJ931">
        <v>0</v>
      </c>
      <c r="AL931">
        <v>0</v>
      </c>
      <c r="AM931">
        <v>1</v>
      </c>
      <c r="AN931" t="s">
        <v>768</v>
      </c>
      <c r="AO931" t="s">
        <v>41</v>
      </c>
    </row>
    <row r="932" spans="1:41" x14ac:dyDescent="0.25">
      <c r="A932">
        <v>30</v>
      </c>
      <c r="B932" t="s">
        <v>32</v>
      </c>
      <c r="C932" t="s">
        <v>33</v>
      </c>
      <c r="D932">
        <v>10</v>
      </c>
      <c r="E932" t="s">
        <v>61</v>
      </c>
      <c r="F932">
        <v>3</v>
      </c>
      <c r="G932">
        <v>3</v>
      </c>
      <c r="H932" t="s">
        <v>78</v>
      </c>
      <c r="I932">
        <v>3</v>
      </c>
      <c r="J932" t="s">
        <v>36</v>
      </c>
      <c r="K932">
        <v>9667</v>
      </c>
      <c r="L932">
        <v>9</v>
      </c>
      <c r="M932" t="s">
        <v>41</v>
      </c>
      <c r="N932">
        <v>14</v>
      </c>
      <c r="O932">
        <v>3</v>
      </c>
      <c r="P932">
        <v>0</v>
      </c>
      <c r="Q932">
        <v>9</v>
      </c>
      <c r="R932">
        <v>3</v>
      </c>
      <c r="S932">
        <v>7</v>
      </c>
      <c r="T932">
        <v>0</v>
      </c>
      <c r="U932">
        <v>2</v>
      </c>
      <c r="V932" t="s">
        <v>72</v>
      </c>
      <c r="W932" s="1" t="s">
        <v>461</v>
      </c>
      <c r="Y932" t="s">
        <v>63</v>
      </c>
      <c r="Z932" t="s">
        <v>47</v>
      </c>
      <c r="AA932">
        <v>3</v>
      </c>
      <c r="AB932">
        <v>3</v>
      </c>
      <c r="AC932" t="s">
        <v>31</v>
      </c>
      <c r="AD932" t="s">
        <v>48</v>
      </c>
      <c r="AE932" t="s">
        <v>49</v>
      </c>
      <c r="AF932" s="3">
        <v>1297</v>
      </c>
      <c r="AG932" s="3">
        <v>40</v>
      </c>
      <c r="AH932">
        <v>80</v>
      </c>
      <c r="AI932">
        <v>0</v>
      </c>
      <c r="AJ932">
        <v>0</v>
      </c>
      <c r="AL932">
        <v>0</v>
      </c>
      <c r="AM932">
        <v>1</v>
      </c>
      <c r="AN932" t="s">
        <v>768</v>
      </c>
      <c r="AO932" t="s">
        <v>41</v>
      </c>
    </row>
    <row r="933" spans="1:41" x14ac:dyDescent="0.25">
      <c r="A933">
        <v>40</v>
      </c>
      <c r="B933" t="s">
        <v>32</v>
      </c>
      <c r="C933" t="s">
        <v>33</v>
      </c>
      <c r="D933">
        <v>12</v>
      </c>
      <c r="E933" t="s">
        <v>61</v>
      </c>
      <c r="F933">
        <v>3</v>
      </c>
      <c r="G933">
        <v>2</v>
      </c>
      <c r="H933" t="s">
        <v>89</v>
      </c>
      <c r="I933">
        <v>1</v>
      </c>
      <c r="J933" t="s">
        <v>57</v>
      </c>
      <c r="K933">
        <v>4448</v>
      </c>
      <c r="L933">
        <v>2</v>
      </c>
      <c r="M933" t="s">
        <v>41</v>
      </c>
      <c r="N933">
        <v>12</v>
      </c>
      <c r="O933">
        <v>3</v>
      </c>
      <c r="P933">
        <v>1</v>
      </c>
      <c r="Q933">
        <v>15</v>
      </c>
      <c r="R933">
        <v>3</v>
      </c>
      <c r="S933">
        <v>7</v>
      </c>
      <c r="T933">
        <v>7</v>
      </c>
      <c r="U933">
        <v>7</v>
      </c>
      <c r="V933" t="s">
        <v>72</v>
      </c>
      <c r="W933" s="2">
        <v>41794</v>
      </c>
      <c r="Y933" t="s">
        <v>69</v>
      </c>
      <c r="Z933" t="s">
        <v>47</v>
      </c>
      <c r="AA933">
        <v>3</v>
      </c>
      <c r="AB933">
        <v>3</v>
      </c>
      <c r="AC933" t="s">
        <v>31</v>
      </c>
      <c r="AD933" t="s">
        <v>67</v>
      </c>
      <c r="AE933" t="s">
        <v>43</v>
      </c>
      <c r="AF933" s="3">
        <v>1298</v>
      </c>
      <c r="AG933" s="3">
        <v>72</v>
      </c>
      <c r="AH933">
        <v>80</v>
      </c>
      <c r="AI933">
        <v>4</v>
      </c>
      <c r="AJ933">
        <v>0</v>
      </c>
      <c r="AL933">
        <v>0</v>
      </c>
      <c r="AM933">
        <v>1</v>
      </c>
      <c r="AN933" t="s">
        <v>768</v>
      </c>
      <c r="AO933" t="s">
        <v>41</v>
      </c>
    </row>
    <row r="934" spans="1:41" x14ac:dyDescent="0.25">
      <c r="A934">
        <v>54</v>
      </c>
      <c r="B934" t="s">
        <v>32</v>
      </c>
      <c r="C934" t="s">
        <v>33</v>
      </c>
      <c r="D934">
        <v>7</v>
      </c>
      <c r="E934" t="s">
        <v>61</v>
      </c>
      <c r="F934">
        <v>3</v>
      </c>
      <c r="G934">
        <v>2</v>
      </c>
      <c r="H934" t="s">
        <v>44</v>
      </c>
      <c r="I934">
        <v>4</v>
      </c>
      <c r="J934" t="s">
        <v>51</v>
      </c>
      <c r="K934">
        <v>6854</v>
      </c>
      <c r="L934">
        <v>4</v>
      </c>
      <c r="M934" t="s">
        <v>41</v>
      </c>
      <c r="N934">
        <v>15</v>
      </c>
      <c r="O934">
        <v>3</v>
      </c>
      <c r="P934">
        <v>1</v>
      </c>
      <c r="Q934">
        <v>14</v>
      </c>
      <c r="R934">
        <v>2</v>
      </c>
      <c r="S934">
        <v>7</v>
      </c>
      <c r="T934">
        <v>1</v>
      </c>
      <c r="U934">
        <v>7</v>
      </c>
      <c r="V934" t="s">
        <v>37</v>
      </c>
      <c r="W934" s="1" t="s">
        <v>446</v>
      </c>
      <c r="Y934" t="s">
        <v>39</v>
      </c>
      <c r="Z934" t="s">
        <v>47</v>
      </c>
      <c r="AA934">
        <v>1</v>
      </c>
      <c r="AB934">
        <v>3</v>
      </c>
      <c r="AC934" t="s">
        <v>41</v>
      </c>
      <c r="AD934" t="s">
        <v>65</v>
      </c>
      <c r="AE934" t="s">
        <v>49</v>
      </c>
      <c r="AF934" s="3">
        <v>1299</v>
      </c>
      <c r="AG934" s="3">
        <v>39</v>
      </c>
      <c r="AH934">
        <v>80</v>
      </c>
      <c r="AI934">
        <v>7</v>
      </c>
      <c r="AJ934">
        <v>1</v>
      </c>
      <c r="AK934">
        <v>1</v>
      </c>
      <c r="AL934">
        <v>1</v>
      </c>
      <c r="AM934">
        <v>0</v>
      </c>
      <c r="AN934" t="s">
        <v>767</v>
      </c>
      <c r="AO934" t="s">
        <v>31</v>
      </c>
    </row>
    <row r="935" spans="1:41" x14ac:dyDescent="0.25">
      <c r="A935">
        <v>43</v>
      </c>
      <c r="B935" t="s">
        <v>66</v>
      </c>
      <c r="C935" t="s">
        <v>55</v>
      </c>
      <c r="D935">
        <v>2</v>
      </c>
      <c r="E935" t="s">
        <v>34</v>
      </c>
      <c r="F935">
        <v>3</v>
      </c>
      <c r="G935">
        <v>2</v>
      </c>
      <c r="H935" t="s">
        <v>70</v>
      </c>
      <c r="I935">
        <v>4</v>
      </c>
      <c r="J935" t="s">
        <v>51</v>
      </c>
      <c r="K935">
        <v>5675</v>
      </c>
      <c r="L935">
        <v>1</v>
      </c>
      <c r="M935" t="s">
        <v>41</v>
      </c>
      <c r="N935">
        <v>20</v>
      </c>
      <c r="O935">
        <v>4</v>
      </c>
      <c r="P935">
        <v>1</v>
      </c>
      <c r="Q935">
        <v>7</v>
      </c>
      <c r="R935">
        <v>5</v>
      </c>
      <c r="S935">
        <v>7</v>
      </c>
      <c r="T935">
        <v>7</v>
      </c>
      <c r="U935">
        <v>7</v>
      </c>
      <c r="V935" t="s">
        <v>58</v>
      </c>
      <c r="W935" s="1" t="s">
        <v>468</v>
      </c>
      <c r="Y935" t="s">
        <v>69</v>
      </c>
      <c r="Z935" t="s">
        <v>40</v>
      </c>
      <c r="AA935">
        <v>2</v>
      </c>
      <c r="AB935">
        <v>3</v>
      </c>
      <c r="AC935" t="s">
        <v>41</v>
      </c>
      <c r="AD935" t="s">
        <v>65</v>
      </c>
      <c r="AE935" t="s">
        <v>43</v>
      </c>
      <c r="AF935" s="3">
        <v>1301</v>
      </c>
      <c r="AG935" s="3">
        <v>84</v>
      </c>
      <c r="AH935">
        <v>80</v>
      </c>
      <c r="AI935">
        <v>2</v>
      </c>
      <c r="AJ935">
        <v>0</v>
      </c>
      <c r="AL935">
        <v>0</v>
      </c>
      <c r="AM935">
        <v>1</v>
      </c>
      <c r="AN935" t="s">
        <v>768</v>
      </c>
      <c r="AO935" t="s">
        <v>41</v>
      </c>
    </row>
    <row r="936" spans="1:41" x14ac:dyDescent="0.25">
      <c r="A936">
        <v>29</v>
      </c>
      <c r="B936" t="s">
        <v>32</v>
      </c>
      <c r="C936" t="s">
        <v>33</v>
      </c>
      <c r="D936">
        <v>29</v>
      </c>
      <c r="E936" t="s">
        <v>34</v>
      </c>
      <c r="F936">
        <v>1</v>
      </c>
      <c r="G936">
        <v>2</v>
      </c>
      <c r="H936" t="s">
        <v>89</v>
      </c>
      <c r="I936">
        <v>3</v>
      </c>
      <c r="J936" t="s">
        <v>57</v>
      </c>
      <c r="K936">
        <v>6384</v>
      </c>
      <c r="L936">
        <v>8</v>
      </c>
      <c r="M936" t="s">
        <v>41</v>
      </c>
      <c r="N936">
        <v>17</v>
      </c>
      <c r="O936">
        <v>3</v>
      </c>
      <c r="P936">
        <v>2</v>
      </c>
      <c r="Q936">
        <v>11</v>
      </c>
      <c r="R936">
        <v>3</v>
      </c>
      <c r="S936">
        <v>7</v>
      </c>
      <c r="T936">
        <v>1</v>
      </c>
      <c r="U936">
        <v>6</v>
      </c>
      <c r="V936" t="s">
        <v>52</v>
      </c>
      <c r="W936" s="1" t="s">
        <v>433</v>
      </c>
      <c r="Y936" t="s">
        <v>46</v>
      </c>
      <c r="Z936" t="s">
        <v>47</v>
      </c>
      <c r="AA936">
        <v>0</v>
      </c>
      <c r="AB936">
        <v>1</v>
      </c>
      <c r="AC936" t="s">
        <v>31</v>
      </c>
      <c r="AD936" t="s">
        <v>67</v>
      </c>
      <c r="AE936" t="s">
        <v>43</v>
      </c>
      <c r="AF936" s="3">
        <v>1303</v>
      </c>
      <c r="AG936" s="3">
        <v>40</v>
      </c>
      <c r="AH936">
        <v>80</v>
      </c>
      <c r="AI936">
        <v>2</v>
      </c>
      <c r="AJ936">
        <v>0</v>
      </c>
      <c r="AL936">
        <v>0</v>
      </c>
      <c r="AM936">
        <v>1</v>
      </c>
      <c r="AN936" t="s">
        <v>768</v>
      </c>
      <c r="AO936" t="s">
        <v>41</v>
      </c>
    </row>
    <row r="937" spans="1:41" x14ac:dyDescent="0.25">
      <c r="A937">
        <v>27</v>
      </c>
      <c r="B937" t="s">
        <v>66</v>
      </c>
      <c r="C937" t="s">
        <v>33</v>
      </c>
      <c r="D937">
        <v>15</v>
      </c>
      <c r="E937" t="s">
        <v>61</v>
      </c>
      <c r="F937">
        <v>2</v>
      </c>
      <c r="G937">
        <v>1</v>
      </c>
      <c r="H937" t="s">
        <v>44</v>
      </c>
      <c r="I937">
        <v>1</v>
      </c>
      <c r="J937" t="s">
        <v>51</v>
      </c>
      <c r="K937">
        <v>4774</v>
      </c>
      <c r="L937">
        <v>0</v>
      </c>
      <c r="M937" t="s">
        <v>41</v>
      </c>
      <c r="N937">
        <v>19</v>
      </c>
      <c r="O937">
        <v>3</v>
      </c>
      <c r="P937">
        <v>1</v>
      </c>
      <c r="Q937">
        <v>8</v>
      </c>
      <c r="R937">
        <v>2</v>
      </c>
      <c r="S937">
        <v>7</v>
      </c>
      <c r="T937">
        <v>7</v>
      </c>
      <c r="U937">
        <v>3</v>
      </c>
      <c r="V937" t="s">
        <v>52</v>
      </c>
      <c r="W937" s="1" t="s">
        <v>440</v>
      </c>
      <c r="Y937" t="s">
        <v>54</v>
      </c>
      <c r="Z937" t="s">
        <v>47</v>
      </c>
      <c r="AA937">
        <v>2</v>
      </c>
      <c r="AB937">
        <v>1</v>
      </c>
      <c r="AC937" t="s">
        <v>31</v>
      </c>
      <c r="AD937" t="s">
        <v>65</v>
      </c>
      <c r="AE937" t="s">
        <v>49</v>
      </c>
      <c r="AF937" s="3">
        <v>1304</v>
      </c>
      <c r="AG937" s="3">
        <v>56</v>
      </c>
      <c r="AH937">
        <v>80</v>
      </c>
      <c r="AI937">
        <v>7</v>
      </c>
      <c r="AJ937">
        <v>0</v>
      </c>
      <c r="AL937">
        <v>0</v>
      </c>
      <c r="AM937">
        <v>1</v>
      </c>
      <c r="AN937" t="s">
        <v>768</v>
      </c>
      <c r="AO937" t="s">
        <v>41</v>
      </c>
    </row>
    <row r="938" spans="1:41" x14ac:dyDescent="0.25">
      <c r="A938">
        <v>26</v>
      </c>
      <c r="B938" t="s">
        <v>66</v>
      </c>
      <c r="C938" t="s">
        <v>33</v>
      </c>
      <c r="D938">
        <v>6</v>
      </c>
      <c r="E938" t="s">
        <v>34</v>
      </c>
      <c r="F938">
        <v>4</v>
      </c>
      <c r="G938">
        <v>1</v>
      </c>
      <c r="H938" t="s">
        <v>35</v>
      </c>
      <c r="I938">
        <v>4</v>
      </c>
      <c r="J938" t="s">
        <v>51</v>
      </c>
      <c r="K938">
        <v>2544</v>
      </c>
      <c r="L938">
        <v>0</v>
      </c>
      <c r="M938" t="s">
        <v>41</v>
      </c>
      <c r="N938">
        <v>18</v>
      </c>
      <c r="O938">
        <v>3</v>
      </c>
      <c r="P938">
        <v>1</v>
      </c>
      <c r="Q938">
        <v>8</v>
      </c>
      <c r="R938">
        <v>3</v>
      </c>
      <c r="S938">
        <v>7</v>
      </c>
      <c r="T938">
        <v>7</v>
      </c>
      <c r="U938">
        <v>7</v>
      </c>
      <c r="V938" t="s">
        <v>37</v>
      </c>
      <c r="W938" s="1" t="s">
        <v>449</v>
      </c>
      <c r="Y938" t="s">
        <v>39</v>
      </c>
      <c r="Z938" t="s">
        <v>47</v>
      </c>
      <c r="AA938">
        <v>5</v>
      </c>
      <c r="AB938">
        <v>0</v>
      </c>
      <c r="AC938" t="s">
        <v>41</v>
      </c>
      <c r="AD938" t="s">
        <v>42</v>
      </c>
      <c r="AE938" t="s">
        <v>60</v>
      </c>
      <c r="AF938" s="3">
        <v>1306</v>
      </c>
      <c r="AG938" s="3">
        <v>83</v>
      </c>
      <c r="AH938">
        <v>80</v>
      </c>
      <c r="AI938">
        <v>0</v>
      </c>
      <c r="AJ938">
        <v>0</v>
      </c>
      <c r="AL938">
        <v>0</v>
      </c>
      <c r="AM938">
        <v>1</v>
      </c>
      <c r="AN938" t="s">
        <v>768</v>
      </c>
      <c r="AO938" t="s">
        <v>41</v>
      </c>
    </row>
    <row r="939" spans="1:41" x14ac:dyDescent="0.25">
      <c r="A939">
        <v>28</v>
      </c>
      <c r="B939" t="s">
        <v>66</v>
      </c>
      <c r="C939" t="s">
        <v>55</v>
      </c>
      <c r="D939">
        <v>1</v>
      </c>
      <c r="E939" t="s">
        <v>34</v>
      </c>
      <c r="F939">
        <v>2</v>
      </c>
      <c r="G939">
        <v>2</v>
      </c>
      <c r="H939" t="s">
        <v>70</v>
      </c>
      <c r="I939">
        <v>4</v>
      </c>
      <c r="J939" t="s">
        <v>51</v>
      </c>
      <c r="K939">
        <v>6834</v>
      </c>
      <c r="L939">
        <v>1</v>
      </c>
      <c r="M939" t="s">
        <v>31</v>
      </c>
      <c r="N939">
        <v>12</v>
      </c>
      <c r="O939">
        <v>3</v>
      </c>
      <c r="P939">
        <v>1</v>
      </c>
      <c r="Q939">
        <v>7</v>
      </c>
      <c r="R939">
        <v>2</v>
      </c>
      <c r="S939">
        <v>7</v>
      </c>
      <c r="T939">
        <v>0</v>
      </c>
      <c r="U939">
        <v>7</v>
      </c>
      <c r="V939" t="s">
        <v>52</v>
      </c>
      <c r="W939" s="1" t="s">
        <v>469</v>
      </c>
      <c r="Y939" t="s">
        <v>69</v>
      </c>
      <c r="Z939" t="s">
        <v>47</v>
      </c>
      <c r="AA939">
        <v>2</v>
      </c>
      <c r="AB939">
        <v>0</v>
      </c>
      <c r="AC939" t="s">
        <v>41</v>
      </c>
      <c r="AD939" t="s">
        <v>42</v>
      </c>
      <c r="AE939" t="s">
        <v>49</v>
      </c>
      <c r="AF939" s="3">
        <v>1307</v>
      </c>
      <c r="AG939" s="3">
        <v>94</v>
      </c>
      <c r="AH939">
        <v>80</v>
      </c>
      <c r="AI939">
        <v>9</v>
      </c>
      <c r="AJ939">
        <v>0</v>
      </c>
      <c r="AL939">
        <v>0</v>
      </c>
      <c r="AM939">
        <v>1</v>
      </c>
      <c r="AN939" t="s">
        <v>768</v>
      </c>
      <c r="AO939" t="s">
        <v>41</v>
      </c>
    </row>
    <row r="940" spans="1:41" x14ac:dyDescent="0.25">
      <c r="A940">
        <v>26</v>
      </c>
      <c r="B940" t="s">
        <v>32</v>
      </c>
      <c r="C940" t="s">
        <v>33</v>
      </c>
      <c r="D940">
        <v>1</v>
      </c>
      <c r="E940" t="s">
        <v>34</v>
      </c>
      <c r="F940">
        <v>3</v>
      </c>
      <c r="G940">
        <v>1</v>
      </c>
      <c r="H940" t="s">
        <v>35</v>
      </c>
      <c r="I940">
        <v>1</v>
      </c>
      <c r="J940" t="s">
        <v>36</v>
      </c>
      <c r="K940">
        <v>2867</v>
      </c>
      <c r="L940">
        <v>0</v>
      </c>
      <c r="M940" t="s">
        <v>41</v>
      </c>
      <c r="N940">
        <v>13</v>
      </c>
      <c r="O940">
        <v>3</v>
      </c>
      <c r="P940">
        <v>0</v>
      </c>
      <c r="Q940">
        <v>8</v>
      </c>
      <c r="R940">
        <v>6</v>
      </c>
      <c r="S940">
        <v>7</v>
      </c>
      <c r="T940">
        <v>7</v>
      </c>
      <c r="U940">
        <v>6</v>
      </c>
      <c r="V940" t="s">
        <v>37</v>
      </c>
      <c r="W940" s="1" t="s">
        <v>470</v>
      </c>
      <c r="Y940" t="s">
        <v>46</v>
      </c>
      <c r="Z940" t="s">
        <v>40</v>
      </c>
      <c r="AA940">
        <v>1</v>
      </c>
      <c r="AB940">
        <v>0</v>
      </c>
      <c r="AC940" t="s">
        <v>41</v>
      </c>
      <c r="AD940" t="s">
        <v>65</v>
      </c>
      <c r="AE940" t="s">
        <v>60</v>
      </c>
      <c r="AF940" s="3">
        <v>1308</v>
      </c>
      <c r="AG940" s="3">
        <v>88</v>
      </c>
      <c r="AH940">
        <v>80</v>
      </c>
      <c r="AI940">
        <v>2</v>
      </c>
      <c r="AJ940">
        <v>0</v>
      </c>
      <c r="AL940">
        <v>0</v>
      </c>
      <c r="AM940">
        <v>1</v>
      </c>
      <c r="AN940" t="s">
        <v>768</v>
      </c>
      <c r="AO940" t="s">
        <v>41</v>
      </c>
    </row>
    <row r="941" spans="1:41" x14ac:dyDescent="0.25">
      <c r="A941">
        <v>27</v>
      </c>
      <c r="B941" t="s">
        <v>32</v>
      </c>
      <c r="C941" t="s">
        <v>55</v>
      </c>
      <c r="D941">
        <v>9</v>
      </c>
      <c r="E941" t="s">
        <v>34</v>
      </c>
      <c r="F941">
        <v>3</v>
      </c>
      <c r="G941">
        <v>2</v>
      </c>
      <c r="H941" t="s">
        <v>70</v>
      </c>
      <c r="I941">
        <v>4</v>
      </c>
      <c r="J941" t="s">
        <v>36</v>
      </c>
      <c r="K941">
        <v>4105</v>
      </c>
      <c r="L941">
        <v>1</v>
      </c>
      <c r="M941" t="s">
        <v>41</v>
      </c>
      <c r="N941">
        <v>14</v>
      </c>
      <c r="O941">
        <v>3</v>
      </c>
      <c r="P941">
        <v>0</v>
      </c>
      <c r="Q941">
        <v>7</v>
      </c>
      <c r="R941">
        <v>5</v>
      </c>
      <c r="S941">
        <v>7</v>
      </c>
      <c r="T941">
        <v>0</v>
      </c>
      <c r="U941">
        <v>7</v>
      </c>
      <c r="V941" t="s">
        <v>72</v>
      </c>
      <c r="W941" s="1" t="s">
        <v>471</v>
      </c>
      <c r="Y941" t="s">
        <v>54</v>
      </c>
      <c r="Z941" t="s">
        <v>40</v>
      </c>
      <c r="AA941">
        <v>4</v>
      </c>
      <c r="AB941">
        <v>1</v>
      </c>
      <c r="AC941" t="s">
        <v>41</v>
      </c>
      <c r="AD941" t="s">
        <v>42</v>
      </c>
      <c r="AE941" t="s">
        <v>60</v>
      </c>
      <c r="AF941" s="3">
        <v>1309</v>
      </c>
      <c r="AG941" s="3">
        <v>79</v>
      </c>
      <c r="AH941">
        <v>80</v>
      </c>
      <c r="AI941">
        <v>4</v>
      </c>
      <c r="AJ941">
        <v>1</v>
      </c>
      <c r="AK941">
        <v>1</v>
      </c>
      <c r="AL941">
        <v>1</v>
      </c>
      <c r="AM941">
        <v>0</v>
      </c>
      <c r="AN941" t="s">
        <v>767</v>
      </c>
      <c r="AO941" t="s">
        <v>31</v>
      </c>
    </row>
    <row r="942" spans="1:41" x14ac:dyDescent="0.25">
      <c r="A942">
        <v>39</v>
      </c>
      <c r="B942" t="s">
        <v>32</v>
      </c>
      <c r="C942" t="s">
        <v>33</v>
      </c>
      <c r="D942">
        <v>24</v>
      </c>
      <c r="E942" t="s">
        <v>34</v>
      </c>
      <c r="F942">
        <v>3</v>
      </c>
      <c r="G942">
        <v>2</v>
      </c>
      <c r="H942" t="s">
        <v>44</v>
      </c>
      <c r="I942">
        <v>4</v>
      </c>
      <c r="J942" t="s">
        <v>36</v>
      </c>
      <c r="K942">
        <v>4108</v>
      </c>
      <c r="L942">
        <v>7</v>
      </c>
      <c r="M942" t="s">
        <v>41</v>
      </c>
      <c r="N942">
        <v>13</v>
      </c>
      <c r="O942">
        <v>3</v>
      </c>
      <c r="P942">
        <v>0</v>
      </c>
      <c r="Q942">
        <v>18</v>
      </c>
      <c r="R942">
        <v>2</v>
      </c>
      <c r="S942">
        <v>7</v>
      </c>
      <c r="T942">
        <v>1</v>
      </c>
      <c r="U942">
        <v>7</v>
      </c>
      <c r="V942" t="s">
        <v>37</v>
      </c>
      <c r="W942" s="1" t="s">
        <v>454</v>
      </c>
      <c r="Y942" t="s">
        <v>39</v>
      </c>
      <c r="Z942" t="s">
        <v>40</v>
      </c>
      <c r="AA942">
        <v>2</v>
      </c>
      <c r="AB942">
        <v>0</v>
      </c>
      <c r="AC942" t="s">
        <v>31</v>
      </c>
      <c r="AD942" t="s">
        <v>48</v>
      </c>
      <c r="AE942" t="s">
        <v>43</v>
      </c>
      <c r="AF942" s="3">
        <v>1310</v>
      </c>
      <c r="AG942" s="3">
        <v>93</v>
      </c>
      <c r="AH942">
        <v>80</v>
      </c>
      <c r="AI942">
        <v>2</v>
      </c>
      <c r="AJ942">
        <v>1</v>
      </c>
      <c r="AK942">
        <v>1</v>
      </c>
      <c r="AL942">
        <v>1</v>
      </c>
      <c r="AM942">
        <v>0</v>
      </c>
      <c r="AN942" t="s">
        <v>767</v>
      </c>
      <c r="AO942" t="s">
        <v>31</v>
      </c>
    </row>
    <row r="943" spans="1:41" x14ac:dyDescent="0.25">
      <c r="A943">
        <v>39</v>
      </c>
      <c r="B943" t="s">
        <v>32</v>
      </c>
      <c r="C943" t="s">
        <v>33</v>
      </c>
      <c r="D943">
        <v>6</v>
      </c>
      <c r="E943" t="s">
        <v>34</v>
      </c>
      <c r="F943">
        <v>2</v>
      </c>
      <c r="G943">
        <v>3</v>
      </c>
      <c r="H943" t="s">
        <v>89</v>
      </c>
      <c r="I943">
        <v>1</v>
      </c>
      <c r="J943" t="s">
        <v>51</v>
      </c>
      <c r="K943">
        <v>9991</v>
      </c>
      <c r="L943">
        <v>4</v>
      </c>
      <c r="M943" t="s">
        <v>41</v>
      </c>
      <c r="N943">
        <v>15</v>
      </c>
      <c r="O943">
        <v>3</v>
      </c>
      <c r="P943">
        <v>1</v>
      </c>
      <c r="Q943">
        <v>9</v>
      </c>
      <c r="R943">
        <v>5</v>
      </c>
      <c r="S943">
        <v>7</v>
      </c>
      <c r="T943">
        <v>1</v>
      </c>
      <c r="U943">
        <v>7</v>
      </c>
      <c r="V943" t="s">
        <v>52</v>
      </c>
      <c r="W943" s="1" t="s">
        <v>467</v>
      </c>
      <c r="Y943" t="s">
        <v>46</v>
      </c>
      <c r="Z943" t="s">
        <v>40</v>
      </c>
      <c r="AA943">
        <v>5</v>
      </c>
      <c r="AB943">
        <v>2</v>
      </c>
      <c r="AC943" t="s">
        <v>31</v>
      </c>
      <c r="AD943" t="s">
        <v>65</v>
      </c>
      <c r="AE943" t="s">
        <v>60</v>
      </c>
      <c r="AF943" s="3">
        <v>1311</v>
      </c>
      <c r="AG943" s="3">
        <v>48</v>
      </c>
      <c r="AH943">
        <v>80</v>
      </c>
      <c r="AI943">
        <v>2</v>
      </c>
      <c r="AJ943">
        <v>0</v>
      </c>
      <c r="AL943">
        <v>0</v>
      </c>
      <c r="AM943">
        <v>1</v>
      </c>
      <c r="AN943" t="s">
        <v>768</v>
      </c>
      <c r="AO943" t="s">
        <v>41</v>
      </c>
    </row>
    <row r="944" spans="1:41" x14ac:dyDescent="0.25">
      <c r="A944">
        <v>33</v>
      </c>
      <c r="B944" t="s">
        <v>66</v>
      </c>
      <c r="C944" t="s">
        <v>33</v>
      </c>
      <c r="D944">
        <v>3</v>
      </c>
      <c r="E944" t="s">
        <v>61</v>
      </c>
      <c r="F944">
        <v>3</v>
      </c>
      <c r="G944">
        <v>1</v>
      </c>
      <c r="H944" t="s">
        <v>44</v>
      </c>
      <c r="I944">
        <v>3</v>
      </c>
      <c r="J944" t="s">
        <v>51</v>
      </c>
      <c r="K944">
        <v>2909</v>
      </c>
      <c r="L944">
        <v>1</v>
      </c>
      <c r="M944" t="s">
        <v>31</v>
      </c>
      <c r="N944">
        <v>11</v>
      </c>
      <c r="O944">
        <v>3</v>
      </c>
      <c r="P944">
        <v>0</v>
      </c>
      <c r="Q944">
        <v>8</v>
      </c>
      <c r="R944">
        <v>3</v>
      </c>
      <c r="S944">
        <v>8</v>
      </c>
      <c r="T944">
        <v>3</v>
      </c>
      <c r="U944">
        <v>0</v>
      </c>
      <c r="V944" t="s">
        <v>37</v>
      </c>
      <c r="W944" s="1" t="s">
        <v>472</v>
      </c>
      <c r="Y944" t="s">
        <v>54</v>
      </c>
      <c r="Z944" t="s">
        <v>47</v>
      </c>
      <c r="AA944">
        <v>2</v>
      </c>
      <c r="AB944">
        <v>0</v>
      </c>
      <c r="AC944" t="s">
        <v>41</v>
      </c>
      <c r="AD944" t="s">
        <v>67</v>
      </c>
      <c r="AE944" t="s">
        <v>43</v>
      </c>
      <c r="AF944" s="3">
        <v>1312</v>
      </c>
      <c r="AG944" s="3">
        <v>63</v>
      </c>
      <c r="AH944">
        <v>80</v>
      </c>
      <c r="AI944">
        <v>7</v>
      </c>
      <c r="AJ944">
        <v>0</v>
      </c>
      <c r="AL944">
        <v>0</v>
      </c>
      <c r="AM944">
        <v>1</v>
      </c>
      <c r="AN944" t="s">
        <v>768</v>
      </c>
      <c r="AO944" t="s">
        <v>41</v>
      </c>
    </row>
    <row r="945" spans="1:41" x14ac:dyDescent="0.25">
      <c r="A945">
        <v>50</v>
      </c>
      <c r="B945" t="s">
        <v>66</v>
      </c>
      <c r="C945" t="s">
        <v>33</v>
      </c>
      <c r="D945">
        <v>1</v>
      </c>
      <c r="E945" t="s">
        <v>61</v>
      </c>
      <c r="F945">
        <v>3</v>
      </c>
      <c r="G945">
        <v>5</v>
      </c>
      <c r="H945" t="s">
        <v>50</v>
      </c>
      <c r="I945">
        <v>2</v>
      </c>
      <c r="J945" t="s">
        <v>51</v>
      </c>
      <c r="K945">
        <v>18172</v>
      </c>
      <c r="L945">
        <v>3</v>
      </c>
      <c r="M945" t="s">
        <v>31</v>
      </c>
      <c r="N945">
        <v>19</v>
      </c>
      <c r="O945">
        <v>3</v>
      </c>
      <c r="P945">
        <v>0</v>
      </c>
      <c r="Q945">
        <v>28</v>
      </c>
      <c r="R945">
        <v>1</v>
      </c>
      <c r="S945">
        <v>8</v>
      </c>
      <c r="T945">
        <v>0</v>
      </c>
      <c r="U945">
        <v>7</v>
      </c>
      <c r="V945" t="s">
        <v>52</v>
      </c>
      <c r="W945" s="1" t="s">
        <v>473</v>
      </c>
      <c r="Y945" t="s">
        <v>46</v>
      </c>
      <c r="Z945" t="s">
        <v>47</v>
      </c>
      <c r="AA945">
        <v>5</v>
      </c>
      <c r="AB945">
        <v>3</v>
      </c>
      <c r="AC945" t="s">
        <v>31</v>
      </c>
      <c r="AD945" t="s">
        <v>67</v>
      </c>
      <c r="AE945" t="s">
        <v>60</v>
      </c>
      <c r="AF945" s="3">
        <v>1314</v>
      </c>
      <c r="AG945" s="3">
        <v>44</v>
      </c>
      <c r="AH945">
        <v>80</v>
      </c>
      <c r="AI945">
        <v>6</v>
      </c>
      <c r="AJ945">
        <v>0</v>
      </c>
      <c r="AL945">
        <v>0</v>
      </c>
      <c r="AM945">
        <v>1</v>
      </c>
      <c r="AN945" t="s">
        <v>768</v>
      </c>
      <c r="AO945" t="s">
        <v>41</v>
      </c>
    </row>
    <row r="946" spans="1:41" x14ac:dyDescent="0.25">
      <c r="A946">
        <v>26</v>
      </c>
      <c r="B946" t="s">
        <v>32</v>
      </c>
      <c r="C946" t="s">
        <v>120</v>
      </c>
      <c r="D946">
        <v>25</v>
      </c>
      <c r="E946" t="s">
        <v>61</v>
      </c>
      <c r="F946">
        <v>3</v>
      </c>
      <c r="G946">
        <v>1</v>
      </c>
      <c r="H946" t="s">
        <v>120</v>
      </c>
      <c r="I946">
        <v>3</v>
      </c>
      <c r="J946" t="s">
        <v>51</v>
      </c>
      <c r="K946">
        <v>2942</v>
      </c>
      <c r="L946">
        <v>1</v>
      </c>
      <c r="M946" t="s">
        <v>41</v>
      </c>
      <c r="N946">
        <v>23</v>
      </c>
      <c r="O946">
        <v>4</v>
      </c>
      <c r="P946">
        <v>1</v>
      </c>
      <c r="Q946">
        <v>8</v>
      </c>
      <c r="R946">
        <v>3</v>
      </c>
      <c r="S946">
        <v>8</v>
      </c>
      <c r="T946">
        <v>5</v>
      </c>
      <c r="U946">
        <v>7</v>
      </c>
      <c r="V946" t="s">
        <v>72</v>
      </c>
      <c r="W946" s="1" t="s">
        <v>474</v>
      </c>
      <c r="Y946" t="s">
        <v>39</v>
      </c>
      <c r="Z946" t="s">
        <v>40</v>
      </c>
      <c r="AA946">
        <v>0</v>
      </c>
      <c r="AB946">
        <v>2</v>
      </c>
      <c r="AC946" t="s">
        <v>41</v>
      </c>
      <c r="AD946" t="s">
        <v>67</v>
      </c>
      <c r="AE946" t="s">
        <v>49</v>
      </c>
      <c r="AF946" s="3">
        <v>1315</v>
      </c>
      <c r="AG946" s="3">
        <v>55</v>
      </c>
      <c r="AH946">
        <v>80</v>
      </c>
      <c r="AI946">
        <v>8</v>
      </c>
      <c r="AJ946">
        <v>0</v>
      </c>
      <c r="AL946">
        <v>0</v>
      </c>
      <c r="AM946">
        <v>1</v>
      </c>
      <c r="AN946" t="s">
        <v>768</v>
      </c>
      <c r="AO946" t="s">
        <v>41</v>
      </c>
    </row>
    <row r="947" spans="1:41" x14ac:dyDescent="0.25">
      <c r="A947">
        <v>32</v>
      </c>
      <c r="B947" t="s">
        <v>66</v>
      </c>
      <c r="C947" t="s">
        <v>55</v>
      </c>
      <c r="D947">
        <v>9</v>
      </c>
      <c r="E947" t="s">
        <v>34</v>
      </c>
      <c r="F947">
        <v>1</v>
      </c>
      <c r="G947">
        <v>2</v>
      </c>
      <c r="H947" t="s">
        <v>70</v>
      </c>
      <c r="I947">
        <v>4</v>
      </c>
      <c r="J947" t="s">
        <v>57</v>
      </c>
      <c r="K947">
        <v>4668</v>
      </c>
      <c r="L947">
        <v>0</v>
      </c>
      <c r="M947" t="s">
        <v>41</v>
      </c>
      <c r="N947">
        <v>17</v>
      </c>
      <c r="O947">
        <v>3</v>
      </c>
      <c r="P947">
        <v>3</v>
      </c>
      <c r="Q947">
        <v>9</v>
      </c>
      <c r="R947">
        <v>2</v>
      </c>
      <c r="S947">
        <v>8</v>
      </c>
      <c r="T947">
        <v>0</v>
      </c>
      <c r="U947">
        <v>7</v>
      </c>
      <c r="V947" t="s">
        <v>72</v>
      </c>
      <c r="W947" s="1" t="s">
        <v>475</v>
      </c>
      <c r="Y947" t="s">
        <v>69</v>
      </c>
      <c r="Z947" t="s">
        <v>40</v>
      </c>
      <c r="AA947">
        <v>5</v>
      </c>
      <c r="AB947">
        <v>3</v>
      </c>
      <c r="AC947" t="s">
        <v>31</v>
      </c>
      <c r="AD947" t="s">
        <v>42</v>
      </c>
      <c r="AE947" t="s">
        <v>60</v>
      </c>
      <c r="AF947" s="3">
        <v>1317</v>
      </c>
      <c r="AG947" s="3">
        <v>43</v>
      </c>
      <c r="AH947">
        <v>80</v>
      </c>
      <c r="AI947">
        <v>2</v>
      </c>
      <c r="AJ947">
        <v>0</v>
      </c>
      <c r="AL947">
        <v>0</v>
      </c>
      <c r="AM947">
        <v>1</v>
      </c>
      <c r="AN947" t="s">
        <v>768</v>
      </c>
      <c r="AO947" t="s">
        <v>41</v>
      </c>
    </row>
    <row r="948" spans="1:41" x14ac:dyDescent="0.25">
      <c r="A948">
        <v>38</v>
      </c>
      <c r="B948" t="s">
        <v>32</v>
      </c>
      <c r="C948" t="s">
        <v>55</v>
      </c>
      <c r="D948">
        <v>1</v>
      </c>
      <c r="E948" t="s">
        <v>61</v>
      </c>
      <c r="F948">
        <v>2</v>
      </c>
      <c r="G948">
        <v>2</v>
      </c>
      <c r="H948" t="s">
        <v>70</v>
      </c>
      <c r="I948">
        <v>4</v>
      </c>
      <c r="J948" t="s">
        <v>36</v>
      </c>
      <c r="K948">
        <v>8686</v>
      </c>
      <c r="L948">
        <v>4</v>
      </c>
      <c r="M948" t="s">
        <v>41</v>
      </c>
      <c r="N948">
        <v>22</v>
      </c>
      <c r="O948">
        <v>4</v>
      </c>
      <c r="P948">
        <v>0</v>
      </c>
      <c r="Q948">
        <v>12</v>
      </c>
      <c r="R948">
        <v>2</v>
      </c>
      <c r="S948">
        <v>8</v>
      </c>
      <c r="T948">
        <v>0</v>
      </c>
      <c r="U948">
        <v>7</v>
      </c>
      <c r="V948" t="s">
        <v>72</v>
      </c>
      <c r="W948" s="1" t="s">
        <v>476</v>
      </c>
      <c r="Y948" t="s">
        <v>63</v>
      </c>
      <c r="Z948" t="s">
        <v>47</v>
      </c>
      <c r="AA948">
        <v>0</v>
      </c>
      <c r="AB948">
        <v>1</v>
      </c>
      <c r="AC948" t="s">
        <v>41</v>
      </c>
      <c r="AD948" t="s">
        <v>42</v>
      </c>
      <c r="AE948" t="s">
        <v>43</v>
      </c>
      <c r="AF948" s="3">
        <v>1318</v>
      </c>
      <c r="AG948" s="3">
        <v>57</v>
      </c>
      <c r="AH948">
        <v>80</v>
      </c>
      <c r="AI948">
        <v>4</v>
      </c>
      <c r="AJ948">
        <v>1</v>
      </c>
      <c r="AK948">
        <v>1</v>
      </c>
      <c r="AL948">
        <v>1</v>
      </c>
      <c r="AM948">
        <v>0</v>
      </c>
      <c r="AN948" t="s">
        <v>767</v>
      </c>
      <c r="AO948" t="s">
        <v>31</v>
      </c>
    </row>
    <row r="949" spans="1:41" x14ac:dyDescent="0.25">
      <c r="A949">
        <v>36</v>
      </c>
      <c r="B949" t="s">
        <v>66</v>
      </c>
      <c r="C949" t="s">
        <v>33</v>
      </c>
      <c r="D949">
        <v>3</v>
      </c>
      <c r="E949" t="s">
        <v>34</v>
      </c>
      <c r="F949">
        <v>3</v>
      </c>
      <c r="G949">
        <v>1</v>
      </c>
      <c r="H949" t="s">
        <v>35</v>
      </c>
      <c r="I949">
        <v>2</v>
      </c>
      <c r="J949" t="s">
        <v>36</v>
      </c>
      <c r="K949">
        <v>2088</v>
      </c>
      <c r="L949">
        <v>4</v>
      </c>
      <c r="M949" t="s">
        <v>41</v>
      </c>
      <c r="N949">
        <v>12</v>
      </c>
      <c r="O949">
        <v>3</v>
      </c>
      <c r="P949">
        <v>0</v>
      </c>
      <c r="Q949">
        <v>13</v>
      </c>
      <c r="R949">
        <v>3</v>
      </c>
      <c r="S949">
        <v>8</v>
      </c>
      <c r="T949">
        <v>7</v>
      </c>
      <c r="U949">
        <v>2</v>
      </c>
      <c r="V949" t="s">
        <v>37</v>
      </c>
      <c r="W949" s="1" t="s">
        <v>477</v>
      </c>
      <c r="Y949" t="s">
        <v>54</v>
      </c>
      <c r="Z949" t="s">
        <v>47</v>
      </c>
      <c r="AA949">
        <v>5</v>
      </c>
      <c r="AB949">
        <v>1</v>
      </c>
      <c r="AC949" t="s">
        <v>31</v>
      </c>
      <c r="AD949" t="s">
        <v>42</v>
      </c>
      <c r="AE949" t="s">
        <v>60</v>
      </c>
      <c r="AF949" s="3">
        <v>1319</v>
      </c>
      <c r="AG949" s="3">
        <v>64</v>
      </c>
      <c r="AH949">
        <v>80</v>
      </c>
      <c r="AI949">
        <v>7</v>
      </c>
      <c r="AJ949">
        <v>1</v>
      </c>
      <c r="AK949">
        <v>1</v>
      </c>
      <c r="AL949">
        <v>1</v>
      </c>
      <c r="AM949">
        <v>0</v>
      </c>
      <c r="AN949" t="s">
        <v>767</v>
      </c>
      <c r="AO949" t="s">
        <v>31</v>
      </c>
    </row>
    <row r="950" spans="1:41" x14ac:dyDescent="0.25">
      <c r="A950">
        <v>33</v>
      </c>
      <c r="B950" t="s">
        <v>32</v>
      </c>
      <c r="C950" t="s">
        <v>33</v>
      </c>
      <c r="D950">
        <v>14</v>
      </c>
      <c r="E950" t="s">
        <v>61</v>
      </c>
      <c r="F950">
        <v>3</v>
      </c>
      <c r="G950">
        <v>1</v>
      </c>
      <c r="H950" t="s">
        <v>44</v>
      </c>
      <c r="I950">
        <v>2</v>
      </c>
      <c r="J950" t="s">
        <v>51</v>
      </c>
      <c r="K950">
        <v>2756</v>
      </c>
      <c r="L950">
        <v>1</v>
      </c>
      <c r="M950" t="s">
        <v>41</v>
      </c>
      <c r="N950">
        <v>13</v>
      </c>
      <c r="O950">
        <v>3</v>
      </c>
      <c r="P950">
        <v>1</v>
      </c>
      <c r="Q950">
        <v>8</v>
      </c>
      <c r="R950">
        <v>5</v>
      </c>
      <c r="S950">
        <v>8</v>
      </c>
      <c r="T950">
        <v>1</v>
      </c>
      <c r="U950">
        <v>6</v>
      </c>
      <c r="V950" t="s">
        <v>58</v>
      </c>
      <c r="W950" s="1" t="s">
        <v>478</v>
      </c>
      <c r="Y950" t="s">
        <v>69</v>
      </c>
      <c r="Z950" t="s">
        <v>40</v>
      </c>
      <c r="AA950">
        <v>4</v>
      </c>
      <c r="AB950">
        <v>1</v>
      </c>
      <c r="AC950" t="s">
        <v>41</v>
      </c>
      <c r="AD950" t="s">
        <v>48</v>
      </c>
      <c r="AE950" t="s">
        <v>43</v>
      </c>
      <c r="AF950" s="3">
        <v>1321</v>
      </c>
      <c r="AG950" s="3">
        <v>95</v>
      </c>
      <c r="AH950">
        <v>80</v>
      </c>
      <c r="AI950">
        <v>1</v>
      </c>
      <c r="AJ950">
        <v>0</v>
      </c>
      <c r="AL950">
        <v>0</v>
      </c>
      <c r="AM950">
        <v>1</v>
      </c>
      <c r="AN950" t="s">
        <v>768</v>
      </c>
      <c r="AO950" t="s">
        <v>41</v>
      </c>
    </row>
    <row r="951" spans="1:41" x14ac:dyDescent="0.25">
      <c r="A951">
        <v>37</v>
      </c>
      <c r="B951" t="s">
        <v>32</v>
      </c>
      <c r="C951" t="s">
        <v>33</v>
      </c>
      <c r="D951">
        <v>21</v>
      </c>
      <c r="E951" t="s">
        <v>34</v>
      </c>
      <c r="F951">
        <v>4</v>
      </c>
      <c r="G951">
        <v>1</v>
      </c>
      <c r="H951" t="s">
        <v>44</v>
      </c>
      <c r="I951">
        <v>1</v>
      </c>
      <c r="J951" t="s">
        <v>51</v>
      </c>
      <c r="K951">
        <v>3564</v>
      </c>
      <c r="L951">
        <v>1</v>
      </c>
      <c r="M951" t="s">
        <v>31</v>
      </c>
      <c r="N951">
        <v>12</v>
      </c>
      <c r="O951">
        <v>3</v>
      </c>
      <c r="P951">
        <v>1</v>
      </c>
      <c r="Q951">
        <v>8</v>
      </c>
      <c r="R951">
        <v>3</v>
      </c>
      <c r="S951">
        <v>8</v>
      </c>
      <c r="T951">
        <v>1</v>
      </c>
      <c r="U951">
        <v>7</v>
      </c>
      <c r="V951" t="s">
        <v>58</v>
      </c>
      <c r="W951" s="2">
        <v>41583</v>
      </c>
      <c r="Y951" t="s">
        <v>54</v>
      </c>
      <c r="Z951" t="s">
        <v>40</v>
      </c>
      <c r="AA951">
        <v>3</v>
      </c>
      <c r="AB951">
        <v>0</v>
      </c>
      <c r="AC951" t="s">
        <v>31</v>
      </c>
      <c r="AD951" t="s">
        <v>67</v>
      </c>
      <c r="AE951" t="s">
        <v>60</v>
      </c>
      <c r="AF951" s="3">
        <v>1322</v>
      </c>
      <c r="AG951" s="3">
        <v>32</v>
      </c>
      <c r="AH951">
        <v>80</v>
      </c>
      <c r="AI951">
        <v>7</v>
      </c>
      <c r="AJ951">
        <v>0</v>
      </c>
      <c r="AL951">
        <v>0</v>
      </c>
      <c r="AM951">
        <v>1</v>
      </c>
      <c r="AN951" t="s">
        <v>768</v>
      </c>
      <c r="AO951" t="s">
        <v>41</v>
      </c>
    </row>
    <row r="952" spans="1:41" x14ac:dyDescent="0.25">
      <c r="A952">
        <v>36</v>
      </c>
      <c r="B952" t="s">
        <v>66</v>
      </c>
      <c r="C952" t="s">
        <v>33</v>
      </c>
      <c r="D952">
        <v>18</v>
      </c>
      <c r="E952" t="s">
        <v>61</v>
      </c>
      <c r="F952">
        <v>3</v>
      </c>
      <c r="G952">
        <v>1</v>
      </c>
      <c r="H952" t="s">
        <v>35</v>
      </c>
      <c r="I952">
        <v>4</v>
      </c>
      <c r="J952" t="s">
        <v>36</v>
      </c>
      <c r="K952">
        <v>2153</v>
      </c>
      <c r="L952">
        <v>1</v>
      </c>
      <c r="M952" t="s">
        <v>41</v>
      </c>
      <c r="N952">
        <v>13</v>
      </c>
      <c r="O952">
        <v>3</v>
      </c>
      <c r="P952">
        <v>0</v>
      </c>
      <c r="Q952">
        <v>8</v>
      </c>
      <c r="R952">
        <v>2</v>
      </c>
      <c r="S952">
        <v>8</v>
      </c>
      <c r="T952">
        <v>1</v>
      </c>
      <c r="U952">
        <v>7</v>
      </c>
      <c r="V952" t="s">
        <v>52</v>
      </c>
      <c r="W952" s="1" t="s">
        <v>479</v>
      </c>
      <c r="Y952" t="s">
        <v>69</v>
      </c>
      <c r="Z952" t="s">
        <v>40</v>
      </c>
      <c r="AA952">
        <v>4</v>
      </c>
      <c r="AB952">
        <v>3</v>
      </c>
      <c r="AC952" t="s">
        <v>31</v>
      </c>
      <c r="AD952" t="s">
        <v>48</v>
      </c>
      <c r="AE952" t="s">
        <v>49</v>
      </c>
      <c r="AF952" s="3">
        <v>1324</v>
      </c>
      <c r="AG952" s="3">
        <v>57</v>
      </c>
      <c r="AH952">
        <v>80</v>
      </c>
      <c r="AI952">
        <v>8</v>
      </c>
      <c r="AJ952">
        <v>0</v>
      </c>
      <c r="AL952">
        <v>0</v>
      </c>
      <c r="AM952">
        <v>1</v>
      </c>
      <c r="AN952" t="s">
        <v>768</v>
      </c>
      <c r="AO952" t="s">
        <v>41</v>
      </c>
    </row>
    <row r="953" spans="1:41" x14ac:dyDescent="0.25">
      <c r="A953">
        <v>38</v>
      </c>
      <c r="B953" t="s">
        <v>81</v>
      </c>
      <c r="C953" t="s">
        <v>55</v>
      </c>
      <c r="D953">
        <v>2</v>
      </c>
      <c r="E953" t="s">
        <v>34</v>
      </c>
      <c r="F953">
        <v>2</v>
      </c>
      <c r="G953">
        <v>2</v>
      </c>
      <c r="H953" t="s">
        <v>70</v>
      </c>
      <c r="I953">
        <v>4</v>
      </c>
      <c r="J953" t="s">
        <v>51</v>
      </c>
      <c r="K953">
        <v>5249</v>
      </c>
      <c r="L953">
        <v>3</v>
      </c>
      <c r="M953" t="s">
        <v>41</v>
      </c>
      <c r="N953">
        <v>18</v>
      </c>
      <c r="O953">
        <v>3</v>
      </c>
      <c r="P953">
        <v>1</v>
      </c>
      <c r="Q953">
        <v>13</v>
      </c>
      <c r="R953">
        <v>0</v>
      </c>
      <c r="S953">
        <v>8</v>
      </c>
      <c r="T953">
        <v>7</v>
      </c>
      <c r="U953">
        <v>5</v>
      </c>
      <c r="V953" t="s">
        <v>58</v>
      </c>
      <c r="W953" s="1" t="s">
        <v>480</v>
      </c>
      <c r="Y953" t="s">
        <v>39</v>
      </c>
      <c r="Z953" t="s">
        <v>47</v>
      </c>
      <c r="AA953">
        <v>1</v>
      </c>
      <c r="AB953">
        <v>0</v>
      </c>
      <c r="AC953" t="s">
        <v>31</v>
      </c>
      <c r="AD953" t="s">
        <v>67</v>
      </c>
      <c r="AE953" t="s">
        <v>49</v>
      </c>
      <c r="AF953" s="3">
        <v>1329</v>
      </c>
      <c r="AG953" s="3">
        <v>40</v>
      </c>
      <c r="AH953">
        <v>80</v>
      </c>
      <c r="AI953">
        <v>2</v>
      </c>
      <c r="AJ953">
        <v>0</v>
      </c>
      <c r="AL953">
        <v>0</v>
      </c>
      <c r="AM953">
        <v>1</v>
      </c>
      <c r="AN953" t="s">
        <v>768</v>
      </c>
      <c r="AO953" t="s">
        <v>41</v>
      </c>
    </row>
    <row r="954" spans="1:41" x14ac:dyDescent="0.25">
      <c r="A954">
        <v>38</v>
      </c>
      <c r="B954" t="s">
        <v>32</v>
      </c>
      <c r="C954" t="s">
        <v>55</v>
      </c>
      <c r="D954">
        <v>7</v>
      </c>
      <c r="E954" t="s">
        <v>61</v>
      </c>
      <c r="F954">
        <v>4</v>
      </c>
      <c r="G954">
        <v>2</v>
      </c>
      <c r="H954" t="s">
        <v>70</v>
      </c>
      <c r="I954">
        <v>1</v>
      </c>
      <c r="J954" t="s">
        <v>57</v>
      </c>
      <c r="K954">
        <v>5605</v>
      </c>
      <c r="L954">
        <v>1</v>
      </c>
      <c r="M954" t="s">
        <v>31</v>
      </c>
      <c r="N954">
        <v>24</v>
      </c>
      <c r="O954">
        <v>4</v>
      </c>
      <c r="P954">
        <v>1</v>
      </c>
      <c r="Q954">
        <v>8</v>
      </c>
      <c r="R954">
        <v>3</v>
      </c>
      <c r="S954">
        <v>8</v>
      </c>
      <c r="T954">
        <v>7</v>
      </c>
      <c r="U954">
        <v>7</v>
      </c>
      <c r="V954" t="s">
        <v>72</v>
      </c>
      <c r="W954" s="2">
        <v>41518</v>
      </c>
      <c r="Y954" t="s">
        <v>54</v>
      </c>
      <c r="Z954" t="s">
        <v>47</v>
      </c>
      <c r="AA954">
        <v>5</v>
      </c>
      <c r="AB954">
        <v>3</v>
      </c>
      <c r="AC954" t="s">
        <v>41</v>
      </c>
      <c r="AD954" t="s">
        <v>67</v>
      </c>
      <c r="AE954" t="s">
        <v>43</v>
      </c>
      <c r="AF954" s="3">
        <v>1331</v>
      </c>
      <c r="AG954" s="3">
        <v>54</v>
      </c>
      <c r="AH954">
        <v>80</v>
      </c>
      <c r="AI954">
        <v>2</v>
      </c>
      <c r="AJ954">
        <v>1</v>
      </c>
      <c r="AK954">
        <v>1</v>
      </c>
      <c r="AL954">
        <v>1</v>
      </c>
      <c r="AM954">
        <v>0</v>
      </c>
      <c r="AN954" t="s">
        <v>767</v>
      </c>
      <c r="AO954" t="s">
        <v>31</v>
      </c>
    </row>
    <row r="955" spans="1:41" x14ac:dyDescent="0.25">
      <c r="A955">
        <v>36</v>
      </c>
      <c r="B955" t="s">
        <v>32</v>
      </c>
      <c r="C955" t="s">
        <v>33</v>
      </c>
      <c r="D955">
        <v>3</v>
      </c>
      <c r="E955" t="s">
        <v>34</v>
      </c>
      <c r="F955">
        <v>3</v>
      </c>
      <c r="G955">
        <v>2</v>
      </c>
      <c r="H955" t="s">
        <v>44</v>
      </c>
      <c r="I955">
        <v>2</v>
      </c>
      <c r="J955" t="s">
        <v>36</v>
      </c>
      <c r="K955">
        <v>4485</v>
      </c>
      <c r="L955">
        <v>4</v>
      </c>
      <c r="M955" t="s">
        <v>41</v>
      </c>
      <c r="N955">
        <v>12</v>
      </c>
      <c r="O955">
        <v>3</v>
      </c>
      <c r="P955">
        <v>0</v>
      </c>
      <c r="Q955">
        <v>10</v>
      </c>
      <c r="R955">
        <v>2</v>
      </c>
      <c r="S955">
        <v>8</v>
      </c>
      <c r="T955">
        <v>7</v>
      </c>
      <c r="U955">
        <v>7</v>
      </c>
      <c r="V955" t="s">
        <v>72</v>
      </c>
      <c r="W955" s="1" t="s">
        <v>481</v>
      </c>
      <c r="Y955" t="s">
        <v>54</v>
      </c>
      <c r="Z955" t="s">
        <v>47</v>
      </c>
      <c r="AA955">
        <v>5</v>
      </c>
      <c r="AB955">
        <v>2</v>
      </c>
      <c r="AC955" t="s">
        <v>41</v>
      </c>
      <c r="AD955" t="s">
        <v>48</v>
      </c>
      <c r="AE955" t="s">
        <v>60</v>
      </c>
      <c r="AF955" s="3">
        <v>1333</v>
      </c>
      <c r="AG955" s="3">
        <v>89</v>
      </c>
      <c r="AH955">
        <v>80</v>
      </c>
      <c r="AI955">
        <v>2</v>
      </c>
      <c r="AJ955">
        <v>1</v>
      </c>
      <c r="AK955">
        <v>1</v>
      </c>
      <c r="AL955">
        <v>1</v>
      </c>
      <c r="AM955">
        <v>0</v>
      </c>
      <c r="AN955" t="s">
        <v>767</v>
      </c>
      <c r="AO955" t="s">
        <v>31</v>
      </c>
    </row>
    <row r="956" spans="1:41" x14ac:dyDescent="0.25">
      <c r="A956">
        <v>26</v>
      </c>
      <c r="B956" t="s">
        <v>32</v>
      </c>
      <c r="C956" t="s">
        <v>55</v>
      </c>
      <c r="D956">
        <v>4</v>
      </c>
      <c r="E956" t="s">
        <v>34</v>
      </c>
      <c r="F956">
        <v>2</v>
      </c>
      <c r="G956">
        <v>2</v>
      </c>
      <c r="H956" t="s">
        <v>70</v>
      </c>
      <c r="I956">
        <v>4</v>
      </c>
      <c r="J956" t="s">
        <v>36</v>
      </c>
      <c r="K956">
        <v>5828</v>
      </c>
      <c r="L956">
        <v>1</v>
      </c>
      <c r="M956" t="s">
        <v>31</v>
      </c>
      <c r="N956">
        <v>12</v>
      </c>
      <c r="O956">
        <v>3</v>
      </c>
      <c r="P956">
        <v>0</v>
      </c>
      <c r="Q956">
        <v>8</v>
      </c>
      <c r="R956">
        <v>0</v>
      </c>
      <c r="S956">
        <v>8</v>
      </c>
      <c r="T956">
        <v>7</v>
      </c>
      <c r="U956">
        <v>4</v>
      </c>
      <c r="V956" t="s">
        <v>72</v>
      </c>
      <c r="W956" s="1" t="s">
        <v>482</v>
      </c>
      <c r="Y956" t="s">
        <v>46</v>
      </c>
      <c r="Z956" t="s">
        <v>47</v>
      </c>
      <c r="AA956">
        <v>3</v>
      </c>
      <c r="AB956">
        <v>3</v>
      </c>
      <c r="AC956" t="s">
        <v>31</v>
      </c>
      <c r="AD956" t="s">
        <v>48</v>
      </c>
      <c r="AE956" t="s">
        <v>49</v>
      </c>
      <c r="AF956" s="3">
        <v>1334</v>
      </c>
      <c r="AG956" s="3">
        <v>37</v>
      </c>
      <c r="AH956">
        <v>80</v>
      </c>
      <c r="AI956">
        <v>8</v>
      </c>
      <c r="AJ956">
        <v>0</v>
      </c>
      <c r="AL956">
        <v>0</v>
      </c>
      <c r="AM956">
        <v>1</v>
      </c>
      <c r="AN956" t="s">
        <v>768</v>
      </c>
      <c r="AO956" t="s">
        <v>41</v>
      </c>
    </row>
    <row r="957" spans="1:41" x14ac:dyDescent="0.25">
      <c r="A957">
        <v>28</v>
      </c>
      <c r="B957" t="s">
        <v>32</v>
      </c>
      <c r="C957" t="s">
        <v>33</v>
      </c>
      <c r="D957">
        <v>16</v>
      </c>
      <c r="E957" t="s">
        <v>34</v>
      </c>
      <c r="F957">
        <v>4</v>
      </c>
      <c r="G957">
        <v>2</v>
      </c>
      <c r="H957" t="s">
        <v>89</v>
      </c>
      <c r="I957">
        <v>1</v>
      </c>
      <c r="J957" t="s">
        <v>36</v>
      </c>
      <c r="K957">
        <v>5661</v>
      </c>
      <c r="L957">
        <v>0</v>
      </c>
      <c r="M957" t="s">
        <v>41</v>
      </c>
      <c r="N957">
        <v>19</v>
      </c>
      <c r="O957">
        <v>3</v>
      </c>
      <c r="P957">
        <v>0</v>
      </c>
      <c r="Q957">
        <v>9</v>
      </c>
      <c r="R957">
        <v>2</v>
      </c>
      <c r="S957">
        <v>8</v>
      </c>
      <c r="T957">
        <v>0</v>
      </c>
      <c r="U957">
        <v>7</v>
      </c>
      <c r="V957" t="s">
        <v>72</v>
      </c>
      <c r="W957" s="1" t="s">
        <v>483</v>
      </c>
      <c r="Y957" t="s">
        <v>63</v>
      </c>
      <c r="Z957" t="s">
        <v>40</v>
      </c>
      <c r="AA957">
        <v>2</v>
      </c>
      <c r="AB957">
        <v>2</v>
      </c>
      <c r="AC957" t="s">
        <v>41</v>
      </c>
      <c r="AD957" t="s">
        <v>42</v>
      </c>
      <c r="AE957" t="s">
        <v>49</v>
      </c>
      <c r="AF957" s="3">
        <v>1336</v>
      </c>
      <c r="AG957" s="3">
        <v>58</v>
      </c>
      <c r="AH957">
        <v>80</v>
      </c>
      <c r="AI957">
        <v>9</v>
      </c>
      <c r="AJ957">
        <v>0</v>
      </c>
      <c r="AL957">
        <v>0</v>
      </c>
      <c r="AM957">
        <v>1</v>
      </c>
      <c r="AN957" t="s">
        <v>768</v>
      </c>
      <c r="AO957" t="s">
        <v>41</v>
      </c>
    </row>
    <row r="958" spans="1:41" x14ac:dyDescent="0.25">
      <c r="A958">
        <v>31</v>
      </c>
      <c r="B958" t="s">
        <v>32</v>
      </c>
      <c r="C958" t="s">
        <v>55</v>
      </c>
      <c r="D958">
        <v>7</v>
      </c>
      <c r="E958" t="s">
        <v>34</v>
      </c>
      <c r="F958">
        <v>4</v>
      </c>
      <c r="G958">
        <v>2</v>
      </c>
      <c r="H958" t="s">
        <v>70</v>
      </c>
      <c r="I958">
        <v>4</v>
      </c>
      <c r="J958" t="s">
        <v>51</v>
      </c>
      <c r="K958">
        <v>6929</v>
      </c>
      <c r="L958">
        <v>4</v>
      </c>
      <c r="M958" t="s">
        <v>41</v>
      </c>
      <c r="N958">
        <v>11</v>
      </c>
      <c r="O958">
        <v>3</v>
      </c>
      <c r="P958">
        <v>1</v>
      </c>
      <c r="Q958">
        <v>10</v>
      </c>
      <c r="R958">
        <v>3</v>
      </c>
      <c r="S958">
        <v>8</v>
      </c>
      <c r="T958">
        <v>7</v>
      </c>
      <c r="U958">
        <v>7</v>
      </c>
      <c r="V958" t="s">
        <v>52</v>
      </c>
      <c r="W958" s="2">
        <v>41490</v>
      </c>
      <c r="Y958" t="s">
        <v>46</v>
      </c>
      <c r="Z958" t="s">
        <v>47</v>
      </c>
      <c r="AA958">
        <v>2</v>
      </c>
      <c r="AB958">
        <v>2</v>
      </c>
      <c r="AC958" t="s">
        <v>31</v>
      </c>
      <c r="AD958" t="s">
        <v>67</v>
      </c>
      <c r="AE958" t="s">
        <v>60</v>
      </c>
      <c r="AF958" s="3">
        <v>1338</v>
      </c>
      <c r="AG958" s="3">
        <v>99</v>
      </c>
      <c r="AH958">
        <v>80</v>
      </c>
      <c r="AI958">
        <v>3</v>
      </c>
      <c r="AJ958">
        <v>0</v>
      </c>
      <c r="AL958">
        <v>0</v>
      </c>
      <c r="AM958">
        <v>1</v>
      </c>
      <c r="AN958" t="s">
        <v>768</v>
      </c>
      <c r="AO958" t="s">
        <v>41</v>
      </c>
    </row>
    <row r="959" spans="1:41" x14ac:dyDescent="0.25">
      <c r="A959">
        <v>43</v>
      </c>
      <c r="B959" t="s">
        <v>66</v>
      </c>
      <c r="C959" t="s">
        <v>33</v>
      </c>
      <c r="D959">
        <v>10</v>
      </c>
      <c r="E959" t="s">
        <v>61</v>
      </c>
      <c r="F959">
        <v>3</v>
      </c>
      <c r="G959">
        <v>1</v>
      </c>
      <c r="H959" t="s">
        <v>35</v>
      </c>
      <c r="I959">
        <v>4</v>
      </c>
      <c r="J959" t="s">
        <v>36</v>
      </c>
      <c r="K959">
        <v>2455</v>
      </c>
      <c r="L959">
        <v>0</v>
      </c>
      <c r="M959" t="s">
        <v>41</v>
      </c>
      <c r="N959">
        <v>19</v>
      </c>
      <c r="O959">
        <v>3</v>
      </c>
      <c r="P959">
        <v>0</v>
      </c>
      <c r="Q959">
        <v>9</v>
      </c>
      <c r="R959">
        <v>5</v>
      </c>
      <c r="S959">
        <v>8</v>
      </c>
      <c r="T959">
        <v>1</v>
      </c>
      <c r="U959">
        <v>7</v>
      </c>
      <c r="V959" t="s">
        <v>72</v>
      </c>
      <c r="W959" s="1" t="s">
        <v>484</v>
      </c>
      <c r="Y959" t="s">
        <v>63</v>
      </c>
      <c r="Z959" t="s">
        <v>47</v>
      </c>
      <c r="AA959">
        <v>0</v>
      </c>
      <c r="AB959">
        <v>1</v>
      </c>
      <c r="AC959" t="s">
        <v>41</v>
      </c>
      <c r="AD959" t="s">
        <v>42</v>
      </c>
      <c r="AE959" t="s">
        <v>49</v>
      </c>
      <c r="AF959" s="3">
        <v>1340</v>
      </c>
      <c r="AG959" s="3">
        <v>74</v>
      </c>
      <c r="AH959">
        <v>80</v>
      </c>
      <c r="AI959">
        <v>2</v>
      </c>
      <c r="AJ959">
        <v>0</v>
      </c>
      <c r="AL959">
        <v>0</v>
      </c>
      <c r="AM959">
        <v>1</v>
      </c>
      <c r="AN959" t="s">
        <v>768</v>
      </c>
      <c r="AO959" t="s">
        <v>41</v>
      </c>
    </row>
    <row r="960" spans="1:41" x14ac:dyDescent="0.25">
      <c r="A960">
        <v>52</v>
      </c>
      <c r="B960" t="s">
        <v>32</v>
      </c>
      <c r="C960" t="s">
        <v>33</v>
      </c>
      <c r="D960">
        <v>8</v>
      </c>
      <c r="E960" t="s">
        <v>34</v>
      </c>
      <c r="F960">
        <v>2</v>
      </c>
      <c r="G960">
        <v>2</v>
      </c>
      <c r="H960" t="s">
        <v>44</v>
      </c>
      <c r="I960">
        <v>2</v>
      </c>
      <c r="J960" t="s">
        <v>51</v>
      </c>
      <c r="K960">
        <v>4941</v>
      </c>
      <c r="L960">
        <v>2</v>
      </c>
      <c r="M960" t="s">
        <v>41</v>
      </c>
      <c r="N960">
        <v>15</v>
      </c>
      <c r="O960">
        <v>3</v>
      </c>
      <c r="P960">
        <v>0</v>
      </c>
      <c r="Q960">
        <v>11</v>
      </c>
      <c r="R960">
        <v>3</v>
      </c>
      <c r="S960">
        <v>8</v>
      </c>
      <c r="T960">
        <v>7</v>
      </c>
      <c r="U960">
        <v>7</v>
      </c>
      <c r="V960" t="s">
        <v>72</v>
      </c>
      <c r="W960" s="1" t="s">
        <v>485</v>
      </c>
      <c r="Y960" t="s">
        <v>54</v>
      </c>
      <c r="Z960" t="s">
        <v>40</v>
      </c>
      <c r="AA960">
        <v>5</v>
      </c>
      <c r="AB960">
        <v>2</v>
      </c>
      <c r="AC960" t="s">
        <v>41</v>
      </c>
      <c r="AD960" t="s">
        <v>42</v>
      </c>
      <c r="AE960" t="s">
        <v>43</v>
      </c>
      <c r="AF960" s="3">
        <v>1344</v>
      </c>
      <c r="AG960" s="3">
        <v>86</v>
      </c>
      <c r="AH960">
        <v>80</v>
      </c>
      <c r="AI960">
        <v>7</v>
      </c>
      <c r="AJ960">
        <v>0</v>
      </c>
      <c r="AL960">
        <v>0</v>
      </c>
      <c r="AM960">
        <v>1</v>
      </c>
      <c r="AN960" t="s">
        <v>768</v>
      </c>
      <c r="AO960" t="s">
        <v>41</v>
      </c>
    </row>
    <row r="961" spans="1:41" x14ac:dyDescent="0.25">
      <c r="A961">
        <v>27</v>
      </c>
      <c r="B961" t="s">
        <v>32</v>
      </c>
      <c r="C961" t="s">
        <v>55</v>
      </c>
      <c r="D961">
        <v>8</v>
      </c>
      <c r="E961" t="s">
        <v>61</v>
      </c>
      <c r="F961">
        <v>3</v>
      </c>
      <c r="G961">
        <v>2</v>
      </c>
      <c r="H961" t="s">
        <v>70</v>
      </c>
      <c r="I961">
        <v>2</v>
      </c>
      <c r="J961" t="s">
        <v>51</v>
      </c>
      <c r="K961">
        <v>6214</v>
      </c>
      <c r="L961">
        <v>1</v>
      </c>
      <c r="M961" t="s">
        <v>41</v>
      </c>
      <c r="N961">
        <v>18</v>
      </c>
      <c r="O961">
        <v>3</v>
      </c>
      <c r="P961">
        <v>1</v>
      </c>
      <c r="Q961">
        <v>8</v>
      </c>
      <c r="R961">
        <v>3</v>
      </c>
      <c r="S961">
        <v>8</v>
      </c>
      <c r="T961">
        <v>0</v>
      </c>
      <c r="U961">
        <v>7</v>
      </c>
      <c r="V961" t="s">
        <v>58</v>
      </c>
      <c r="W961" s="2">
        <v>41368</v>
      </c>
      <c r="Y961" t="s">
        <v>69</v>
      </c>
      <c r="Z961" t="s">
        <v>40</v>
      </c>
      <c r="AA961">
        <v>5</v>
      </c>
      <c r="AB961">
        <v>2</v>
      </c>
      <c r="AC961" t="s">
        <v>31</v>
      </c>
      <c r="AD961" t="s">
        <v>67</v>
      </c>
      <c r="AE961" t="s">
        <v>49</v>
      </c>
      <c r="AF961" s="3">
        <v>1346</v>
      </c>
      <c r="AG961" s="3">
        <v>98</v>
      </c>
      <c r="AH961">
        <v>80</v>
      </c>
      <c r="AI961">
        <v>8</v>
      </c>
      <c r="AJ961">
        <v>0</v>
      </c>
      <c r="AL961">
        <v>0</v>
      </c>
      <c r="AM961">
        <v>1</v>
      </c>
      <c r="AN961" t="s">
        <v>768</v>
      </c>
      <c r="AO961" t="s">
        <v>41</v>
      </c>
    </row>
    <row r="962" spans="1:41" x14ac:dyDescent="0.25">
      <c r="A962">
        <v>32</v>
      </c>
      <c r="B962" t="s">
        <v>32</v>
      </c>
      <c r="C962" t="s">
        <v>33</v>
      </c>
      <c r="D962">
        <v>2</v>
      </c>
      <c r="E962" t="s">
        <v>61</v>
      </c>
      <c r="F962">
        <v>3</v>
      </c>
      <c r="G962">
        <v>1</v>
      </c>
      <c r="H962" t="s">
        <v>35</v>
      </c>
      <c r="I962">
        <v>2</v>
      </c>
      <c r="J962" t="s">
        <v>51</v>
      </c>
      <c r="K962">
        <v>2370</v>
      </c>
      <c r="L962">
        <v>1</v>
      </c>
      <c r="M962" t="s">
        <v>41</v>
      </c>
      <c r="N962">
        <v>13</v>
      </c>
      <c r="O962">
        <v>3</v>
      </c>
      <c r="P962">
        <v>1</v>
      </c>
      <c r="Q962">
        <v>8</v>
      </c>
      <c r="R962">
        <v>4</v>
      </c>
      <c r="S962">
        <v>8</v>
      </c>
      <c r="T962">
        <v>0</v>
      </c>
      <c r="U962">
        <v>7</v>
      </c>
      <c r="V962" t="s">
        <v>58</v>
      </c>
      <c r="W962" s="1" t="s">
        <v>486</v>
      </c>
      <c r="Y962" t="s">
        <v>69</v>
      </c>
      <c r="Z962" t="s">
        <v>40</v>
      </c>
      <c r="AA962">
        <v>3</v>
      </c>
      <c r="AB962">
        <v>1</v>
      </c>
      <c r="AC962" t="s">
        <v>31</v>
      </c>
      <c r="AD962" t="s">
        <v>65</v>
      </c>
      <c r="AE962" t="s">
        <v>49</v>
      </c>
      <c r="AF962" s="3">
        <v>1349</v>
      </c>
      <c r="AG962" s="3">
        <v>66</v>
      </c>
      <c r="AH962">
        <v>80</v>
      </c>
      <c r="AI962">
        <v>3</v>
      </c>
      <c r="AJ962">
        <v>0</v>
      </c>
      <c r="AL962">
        <v>0</v>
      </c>
      <c r="AM962">
        <v>1</v>
      </c>
      <c r="AN962" t="s">
        <v>768</v>
      </c>
      <c r="AO962" t="s">
        <v>41</v>
      </c>
    </row>
    <row r="963" spans="1:41" x14ac:dyDescent="0.25">
      <c r="A963">
        <v>26</v>
      </c>
      <c r="B963" t="s">
        <v>32</v>
      </c>
      <c r="C963" t="s">
        <v>55</v>
      </c>
      <c r="D963">
        <v>1</v>
      </c>
      <c r="E963" t="s">
        <v>34</v>
      </c>
      <c r="F963">
        <v>3</v>
      </c>
      <c r="G963">
        <v>2</v>
      </c>
      <c r="H963" t="s">
        <v>70</v>
      </c>
      <c r="I963">
        <v>3</v>
      </c>
      <c r="J963" t="s">
        <v>51</v>
      </c>
      <c r="K963">
        <v>5296</v>
      </c>
      <c r="L963">
        <v>1</v>
      </c>
      <c r="M963" t="s">
        <v>41</v>
      </c>
      <c r="N963">
        <v>17</v>
      </c>
      <c r="O963">
        <v>3</v>
      </c>
      <c r="P963">
        <v>1</v>
      </c>
      <c r="Q963">
        <v>8</v>
      </c>
      <c r="R963">
        <v>3</v>
      </c>
      <c r="S963">
        <v>8</v>
      </c>
      <c r="T963">
        <v>7</v>
      </c>
      <c r="U963">
        <v>7</v>
      </c>
      <c r="V963" t="s">
        <v>58</v>
      </c>
      <c r="W963" s="1" t="s">
        <v>487</v>
      </c>
      <c r="Y963" t="s">
        <v>54</v>
      </c>
      <c r="Z963" t="s">
        <v>47</v>
      </c>
      <c r="AA963">
        <v>0</v>
      </c>
      <c r="AB963">
        <v>2</v>
      </c>
      <c r="AC963" t="s">
        <v>31</v>
      </c>
      <c r="AD963" t="s">
        <v>67</v>
      </c>
      <c r="AE963" t="s">
        <v>43</v>
      </c>
      <c r="AF963" s="3">
        <v>1350</v>
      </c>
      <c r="AG963" s="3">
        <v>87</v>
      </c>
      <c r="AH963">
        <v>80</v>
      </c>
      <c r="AI963">
        <v>6</v>
      </c>
      <c r="AJ963">
        <v>0</v>
      </c>
      <c r="AL963">
        <v>0</v>
      </c>
      <c r="AM963">
        <v>1</v>
      </c>
      <c r="AN963" t="s">
        <v>768</v>
      </c>
      <c r="AO963" t="s">
        <v>41</v>
      </c>
    </row>
    <row r="964" spans="1:41" x14ac:dyDescent="0.25">
      <c r="A964">
        <v>41</v>
      </c>
      <c r="B964" t="s">
        <v>66</v>
      </c>
      <c r="C964" t="s">
        <v>55</v>
      </c>
      <c r="D964">
        <v>4</v>
      </c>
      <c r="E964" t="s">
        <v>34</v>
      </c>
      <c r="F964">
        <v>3</v>
      </c>
      <c r="G964">
        <v>2</v>
      </c>
      <c r="H964" t="s">
        <v>70</v>
      </c>
      <c r="I964">
        <v>2</v>
      </c>
      <c r="J964" t="s">
        <v>36</v>
      </c>
      <c r="K964">
        <v>9355</v>
      </c>
      <c r="L964">
        <v>1</v>
      </c>
      <c r="M964" t="s">
        <v>41</v>
      </c>
      <c r="N964">
        <v>18</v>
      </c>
      <c r="O964">
        <v>3</v>
      </c>
      <c r="P964">
        <v>0</v>
      </c>
      <c r="Q964">
        <v>8</v>
      </c>
      <c r="R964">
        <v>5</v>
      </c>
      <c r="S964">
        <v>8</v>
      </c>
      <c r="T964">
        <v>7</v>
      </c>
      <c r="U964">
        <v>7</v>
      </c>
      <c r="V964" t="s">
        <v>58</v>
      </c>
      <c r="W964" s="1" t="s">
        <v>488</v>
      </c>
      <c r="Y964" t="s">
        <v>46</v>
      </c>
      <c r="Z964" t="s">
        <v>47</v>
      </c>
      <c r="AA964">
        <v>1</v>
      </c>
      <c r="AB964">
        <v>1</v>
      </c>
      <c r="AC964" t="s">
        <v>31</v>
      </c>
      <c r="AD964" t="s">
        <v>42</v>
      </c>
      <c r="AE964" t="s">
        <v>49</v>
      </c>
      <c r="AF964" s="3">
        <v>1352</v>
      </c>
      <c r="AG964" s="3">
        <v>84</v>
      </c>
      <c r="AH964">
        <v>80</v>
      </c>
      <c r="AI964">
        <v>9</v>
      </c>
      <c r="AJ964">
        <v>0</v>
      </c>
      <c r="AL964">
        <v>0</v>
      </c>
      <c r="AM964">
        <v>1</v>
      </c>
      <c r="AN964" t="s">
        <v>768</v>
      </c>
      <c r="AO964" t="s">
        <v>41</v>
      </c>
    </row>
    <row r="965" spans="1:41" x14ac:dyDescent="0.25">
      <c r="A965">
        <v>35</v>
      </c>
      <c r="B965" t="s">
        <v>32</v>
      </c>
      <c r="C965" t="s">
        <v>33</v>
      </c>
      <c r="D965">
        <v>16</v>
      </c>
      <c r="E965" t="s">
        <v>34</v>
      </c>
      <c r="F965">
        <v>3</v>
      </c>
      <c r="G965">
        <v>3</v>
      </c>
      <c r="H965" t="s">
        <v>89</v>
      </c>
      <c r="I965">
        <v>3</v>
      </c>
      <c r="J965" t="s">
        <v>51</v>
      </c>
      <c r="K965">
        <v>7632</v>
      </c>
      <c r="L965">
        <v>4</v>
      </c>
      <c r="M965" t="s">
        <v>31</v>
      </c>
      <c r="N965">
        <v>12</v>
      </c>
      <c r="O965">
        <v>3</v>
      </c>
      <c r="P965">
        <v>0</v>
      </c>
      <c r="Q965">
        <v>10</v>
      </c>
      <c r="R965">
        <v>2</v>
      </c>
      <c r="S965">
        <v>8</v>
      </c>
      <c r="T965">
        <v>0</v>
      </c>
      <c r="U965">
        <v>0</v>
      </c>
      <c r="V965" t="s">
        <v>37</v>
      </c>
      <c r="W965" s="1" t="s">
        <v>489</v>
      </c>
      <c r="Y965" t="s">
        <v>39</v>
      </c>
      <c r="Z965" t="s">
        <v>47</v>
      </c>
      <c r="AA965">
        <v>2</v>
      </c>
      <c r="AB965">
        <v>1</v>
      </c>
      <c r="AC965" t="s">
        <v>31</v>
      </c>
      <c r="AD965" t="s">
        <v>67</v>
      </c>
      <c r="AE965" t="s">
        <v>49</v>
      </c>
      <c r="AF965" s="3">
        <v>1355</v>
      </c>
      <c r="AG965" s="3">
        <v>31</v>
      </c>
      <c r="AH965">
        <v>80</v>
      </c>
      <c r="AI965">
        <v>7</v>
      </c>
      <c r="AJ965">
        <v>0</v>
      </c>
      <c r="AL965">
        <v>0</v>
      </c>
      <c r="AM965">
        <v>1</v>
      </c>
      <c r="AN965" t="s">
        <v>768</v>
      </c>
      <c r="AO965" t="s">
        <v>41</v>
      </c>
    </row>
    <row r="966" spans="1:41" x14ac:dyDescent="0.25">
      <c r="A966">
        <v>39</v>
      </c>
      <c r="B966" t="s">
        <v>66</v>
      </c>
      <c r="C966" t="s">
        <v>33</v>
      </c>
      <c r="D966">
        <v>8</v>
      </c>
      <c r="E966" t="s">
        <v>61</v>
      </c>
      <c r="F966">
        <v>3</v>
      </c>
      <c r="G966">
        <v>1</v>
      </c>
      <c r="H966" t="s">
        <v>35</v>
      </c>
      <c r="I966">
        <v>3</v>
      </c>
      <c r="J966" t="s">
        <v>51</v>
      </c>
      <c r="K966">
        <v>3755</v>
      </c>
      <c r="L966">
        <v>1</v>
      </c>
      <c r="M966" t="s">
        <v>41</v>
      </c>
      <c r="N966">
        <v>11</v>
      </c>
      <c r="O966">
        <v>3</v>
      </c>
      <c r="P966">
        <v>1</v>
      </c>
      <c r="Q966">
        <v>8</v>
      </c>
      <c r="R966">
        <v>3</v>
      </c>
      <c r="S966">
        <v>8</v>
      </c>
      <c r="T966">
        <v>0</v>
      </c>
      <c r="U966">
        <v>7</v>
      </c>
      <c r="V966" t="s">
        <v>52</v>
      </c>
      <c r="W966" s="1" t="s">
        <v>485</v>
      </c>
      <c r="Y966" t="s">
        <v>63</v>
      </c>
      <c r="Z966" t="s">
        <v>40</v>
      </c>
      <c r="AA966">
        <v>1</v>
      </c>
      <c r="AB966">
        <v>3</v>
      </c>
      <c r="AC966" t="s">
        <v>31</v>
      </c>
      <c r="AD966" t="s">
        <v>67</v>
      </c>
      <c r="AE966" t="s">
        <v>60</v>
      </c>
      <c r="AF966" s="3">
        <v>1356</v>
      </c>
      <c r="AG966" s="3">
        <v>66</v>
      </c>
      <c r="AH966">
        <v>80</v>
      </c>
      <c r="AI966">
        <v>8</v>
      </c>
      <c r="AJ966">
        <v>0</v>
      </c>
      <c r="AL966">
        <v>0</v>
      </c>
      <c r="AM966">
        <v>1</v>
      </c>
      <c r="AN966" t="s">
        <v>768</v>
      </c>
      <c r="AO966" t="s">
        <v>41</v>
      </c>
    </row>
    <row r="967" spans="1:41" x14ac:dyDescent="0.25">
      <c r="A967">
        <v>45</v>
      </c>
      <c r="B967" t="s">
        <v>32</v>
      </c>
      <c r="C967" t="s">
        <v>55</v>
      </c>
      <c r="D967">
        <v>2</v>
      </c>
      <c r="E967" t="s">
        <v>34</v>
      </c>
      <c r="F967">
        <v>3</v>
      </c>
      <c r="G967">
        <v>2</v>
      </c>
      <c r="H967" t="s">
        <v>70</v>
      </c>
      <c r="I967">
        <v>2</v>
      </c>
      <c r="J967" t="s">
        <v>51</v>
      </c>
      <c r="K967">
        <v>4805</v>
      </c>
      <c r="L967">
        <v>0</v>
      </c>
      <c r="M967" t="s">
        <v>41</v>
      </c>
      <c r="N967">
        <v>19</v>
      </c>
      <c r="O967">
        <v>3</v>
      </c>
      <c r="P967">
        <v>1</v>
      </c>
      <c r="Q967">
        <v>9</v>
      </c>
      <c r="R967">
        <v>3</v>
      </c>
      <c r="S967">
        <v>8</v>
      </c>
      <c r="T967">
        <v>3</v>
      </c>
      <c r="U967">
        <v>7</v>
      </c>
      <c r="V967" t="s">
        <v>52</v>
      </c>
      <c r="W967" s="1" t="s">
        <v>490</v>
      </c>
      <c r="Y967" t="s">
        <v>69</v>
      </c>
      <c r="Z967" t="s">
        <v>47</v>
      </c>
      <c r="AA967">
        <v>5</v>
      </c>
      <c r="AB967">
        <v>3</v>
      </c>
      <c r="AC967" t="s">
        <v>31</v>
      </c>
      <c r="AD967" t="s">
        <v>42</v>
      </c>
      <c r="AE967" t="s">
        <v>60</v>
      </c>
      <c r="AF967" s="3">
        <v>1358</v>
      </c>
      <c r="AG967" s="3">
        <v>67</v>
      </c>
      <c r="AH967">
        <v>80</v>
      </c>
      <c r="AI967">
        <v>2</v>
      </c>
      <c r="AJ967">
        <v>0</v>
      </c>
      <c r="AL967">
        <v>0</v>
      </c>
      <c r="AM967">
        <v>1</v>
      </c>
      <c r="AN967" t="s">
        <v>768</v>
      </c>
      <c r="AO967" t="s">
        <v>41</v>
      </c>
    </row>
    <row r="968" spans="1:41" x14ac:dyDescent="0.25">
      <c r="A968">
        <v>41</v>
      </c>
      <c r="B968" t="s">
        <v>81</v>
      </c>
      <c r="C968" t="s">
        <v>33</v>
      </c>
      <c r="D968">
        <v>2</v>
      </c>
      <c r="E968" t="s">
        <v>61</v>
      </c>
      <c r="F968">
        <v>2</v>
      </c>
      <c r="G968">
        <v>2</v>
      </c>
      <c r="H968" t="s">
        <v>89</v>
      </c>
      <c r="I968">
        <v>3</v>
      </c>
      <c r="J968" t="s">
        <v>36</v>
      </c>
      <c r="K968">
        <v>6811</v>
      </c>
      <c r="L968">
        <v>2</v>
      </c>
      <c r="M968" t="s">
        <v>31</v>
      </c>
      <c r="N968">
        <v>17</v>
      </c>
      <c r="O968">
        <v>3</v>
      </c>
      <c r="P968">
        <v>0</v>
      </c>
      <c r="Q968">
        <v>10</v>
      </c>
      <c r="R968">
        <v>3</v>
      </c>
      <c r="S968">
        <v>8</v>
      </c>
      <c r="T968">
        <v>0</v>
      </c>
      <c r="U968">
        <v>7</v>
      </c>
      <c r="V968" t="s">
        <v>37</v>
      </c>
      <c r="W968" s="1" t="s">
        <v>474</v>
      </c>
      <c r="Y968" t="s">
        <v>69</v>
      </c>
      <c r="Z968" t="s">
        <v>40</v>
      </c>
      <c r="AA968">
        <v>3</v>
      </c>
      <c r="AB968">
        <v>0</v>
      </c>
      <c r="AC968" t="s">
        <v>41</v>
      </c>
      <c r="AD968" t="s">
        <v>42</v>
      </c>
      <c r="AE968" t="s">
        <v>60</v>
      </c>
      <c r="AF968" s="3">
        <v>1360</v>
      </c>
      <c r="AG968" s="3">
        <v>53</v>
      </c>
      <c r="AH968">
        <v>80</v>
      </c>
      <c r="AI968">
        <v>9</v>
      </c>
      <c r="AJ968">
        <v>1</v>
      </c>
      <c r="AK968">
        <v>1</v>
      </c>
      <c r="AL968">
        <v>1</v>
      </c>
      <c r="AM968">
        <v>0</v>
      </c>
      <c r="AN968" t="s">
        <v>767</v>
      </c>
      <c r="AO968" t="s">
        <v>31</v>
      </c>
    </row>
    <row r="969" spans="1:41" x14ac:dyDescent="0.25">
      <c r="A969">
        <v>43</v>
      </c>
      <c r="B969" t="s">
        <v>66</v>
      </c>
      <c r="C969" t="s">
        <v>33</v>
      </c>
      <c r="D969">
        <v>9</v>
      </c>
      <c r="E969" t="s">
        <v>34</v>
      </c>
      <c r="F969">
        <v>3</v>
      </c>
      <c r="G969">
        <v>2</v>
      </c>
      <c r="H969" t="s">
        <v>35</v>
      </c>
      <c r="I969">
        <v>3</v>
      </c>
      <c r="J969" t="s">
        <v>57</v>
      </c>
      <c r="K969">
        <v>5679</v>
      </c>
      <c r="L969">
        <v>3</v>
      </c>
      <c r="M969" t="s">
        <v>31</v>
      </c>
      <c r="N969">
        <v>13</v>
      </c>
      <c r="O969">
        <v>3</v>
      </c>
      <c r="P969">
        <v>1</v>
      </c>
      <c r="Q969">
        <v>10</v>
      </c>
      <c r="R969">
        <v>3</v>
      </c>
      <c r="S969">
        <v>8</v>
      </c>
      <c r="T969">
        <v>4</v>
      </c>
      <c r="U969">
        <v>7</v>
      </c>
      <c r="V969" t="s">
        <v>58</v>
      </c>
      <c r="W969" s="1" t="s">
        <v>491</v>
      </c>
      <c r="Y969" t="s">
        <v>39</v>
      </c>
      <c r="Z969" t="s">
        <v>47</v>
      </c>
      <c r="AA969">
        <v>4</v>
      </c>
      <c r="AB969">
        <v>2</v>
      </c>
      <c r="AC969" t="s">
        <v>41</v>
      </c>
      <c r="AD969" t="s">
        <v>65</v>
      </c>
      <c r="AE969" t="s">
        <v>49</v>
      </c>
      <c r="AF969" s="3">
        <v>1361</v>
      </c>
      <c r="AG969" s="3">
        <v>88</v>
      </c>
      <c r="AH969">
        <v>80</v>
      </c>
      <c r="AI969">
        <v>2</v>
      </c>
      <c r="AJ969">
        <v>0</v>
      </c>
      <c r="AL969">
        <v>0</v>
      </c>
      <c r="AM969">
        <v>1</v>
      </c>
      <c r="AN969" t="s">
        <v>768</v>
      </c>
      <c r="AO969" t="s">
        <v>41</v>
      </c>
    </row>
    <row r="970" spans="1:41" x14ac:dyDescent="0.25">
      <c r="A970">
        <v>34</v>
      </c>
      <c r="B970" t="s">
        <v>32</v>
      </c>
      <c r="C970" t="s">
        <v>55</v>
      </c>
      <c r="D970">
        <v>14</v>
      </c>
      <c r="E970" t="s">
        <v>61</v>
      </c>
      <c r="F970">
        <v>3</v>
      </c>
      <c r="G970">
        <v>1</v>
      </c>
      <c r="H970" t="s">
        <v>56</v>
      </c>
      <c r="I970">
        <v>3</v>
      </c>
      <c r="J970" t="s">
        <v>57</v>
      </c>
      <c r="K970">
        <v>2579</v>
      </c>
      <c r="L970">
        <v>1</v>
      </c>
      <c r="M970" t="s">
        <v>31</v>
      </c>
      <c r="N970">
        <v>18</v>
      </c>
      <c r="O970">
        <v>3</v>
      </c>
      <c r="P970">
        <v>2</v>
      </c>
      <c r="Q970">
        <v>8</v>
      </c>
      <c r="R970">
        <v>3</v>
      </c>
      <c r="S970">
        <v>8</v>
      </c>
      <c r="T970">
        <v>0</v>
      </c>
      <c r="U970">
        <v>6</v>
      </c>
      <c r="V970" t="s">
        <v>58</v>
      </c>
      <c r="W970" s="1" t="s">
        <v>492</v>
      </c>
      <c r="Y970" t="s">
        <v>63</v>
      </c>
      <c r="Z970" t="s">
        <v>47</v>
      </c>
      <c r="AA970">
        <v>3</v>
      </c>
      <c r="AB970">
        <v>0</v>
      </c>
      <c r="AC970" t="s">
        <v>31</v>
      </c>
      <c r="AD970" t="s">
        <v>67</v>
      </c>
      <c r="AE970" t="s">
        <v>49</v>
      </c>
      <c r="AF970" s="3">
        <v>1362</v>
      </c>
      <c r="AG970" s="3">
        <v>83</v>
      </c>
      <c r="AH970">
        <v>80</v>
      </c>
      <c r="AI970">
        <v>7</v>
      </c>
      <c r="AJ970">
        <v>0</v>
      </c>
      <c r="AL970">
        <v>0</v>
      </c>
      <c r="AM970">
        <v>1</v>
      </c>
      <c r="AN970" t="s">
        <v>768</v>
      </c>
      <c r="AO970" t="s">
        <v>41</v>
      </c>
    </row>
    <row r="971" spans="1:41" x14ac:dyDescent="0.25">
      <c r="A971">
        <v>34</v>
      </c>
      <c r="B971" t="s">
        <v>32</v>
      </c>
      <c r="C971" t="s">
        <v>33</v>
      </c>
      <c r="D971">
        <v>9</v>
      </c>
      <c r="E971" t="s">
        <v>61</v>
      </c>
      <c r="F971">
        <v>2</v>
      </c>
      <c r="G971">
        <v>3</v>
      </c>
      <c r="H971" t="s">
        <v>89</v>
      </c>
      <c r="I971">
        <v>2</v>
      </c>
      <c r="J971" t="s">
        <v>36</v>
      </c>
      <c r="K971">
        <v>8621</v>
      </c>
      <c r="L971">
        <v>1</v>
      </c>
      <c r="M971" t="s">
        <v>41</v>
      </c>
      <c r="N971">
        <v>14</v>
      </c>
      <c r="O971">
        <v>3</v>
      </c>
      <c r="P971">
        <v>0</v>
      </c>
      <c r="Q971">
        <v>9</v>
      </c>
      <c r="R971">
        <v>3</v>
      </c>
      <c r="S971">
        <v>8</v>
      </c>
      <c r="T971">
        <v>7</v>
      </c>
      <c r="U971">
        <v>7</v>
      </c>
      <c r="V971" t="s">
        <v>37</v>
      </c>
      <c r="W971" s="2">
        <v>41310</v>
      </c>
      <c r="Y971" t="s">
        <v>69</v>
      </c>
      <c r="Z971" t="s">
        <v>47</v>
      </c>
      <c r="AA971">
        <v>0</v>
      </c>
      <c r="AB971">
        <v>2</v>
      </c>
      <c r="AC971" t="s">
        <v>31</v>
      </c>
      <c r="AD971" t="s">
        <v>48</v>
      </c>
      <c r="AE971" t="s">
        <v>43</v>
      </c>
      <c r="AF971" s="3">
        <v>1363</v>
      </c>
      <c r="AG971" s="3">
        <v>54</v>
      </c>
      <c r="AH971">
        <v>80</v>
      </c>
      <c r="AI971">
        <v>9</v>
      </c>
      <c r="AJ971">
        <v>0</v>
      </c>
      <c r="AL971">
        <v>0</v>
      </c>
      <c r="AM971">
        <v>1</v>
      </c>
      <c r="AN971" t="s">
        <v>768</v>
      </c>
      <c r="AO971" t="s">
        <v>41</v>
      </c>
    </row>
    <row r="972" spans="1:41" x14ac:dyDescent="0.25">
      <c r="A972">
        <v>36</v>
      </c>
      <c r="B972" t="s">
        <v>81</v>
      </c>
      <c r="C972" t="s">
        <v>33</v>
      </c>
      <c r="D972">
        <v>8</v>
      </c>
      <c r="E972" t="s">
        <v>61</v>
      </c>
      <c r="F972">
        <v>4</v>
      </c>
      <c r="G972">
        <v>3</v>
      </c>
      <c r="H972" t="s">
        <v>50</v>
      </c>
      <c r="I972">
        <v>1</v>
      </c>
      <c r="J972" t="s">
        <v>51</v>
      </c>
      <c r="K972">
        <v>11713</v>
      </c>
      <c r="L972">
        <v>9</v>
      </c>
      <c r="M972" t="s">
        <v>41</v>
      </c>
      <c r="N972">
        <v>14</v>
      </c>
      <c r="O972">
        <v>3</v>
      </c>
      <c r="P972">
        <v>1</v>
      </c>
      <c r="Q972">
        <v>10</v>
      </c>
      <c r="R972">
        <v>2</v>
      </c>
      <c r="S972">
        <v>8</v>
      </c>
      <c r="T972">
        <v>0</v>
      </c>
      <c r="U972">
        <v>5</v>
      </c>
      <c r="V972" t="s">
        <v>37</v>
      </c>
      <c r="W972" s="1" t="s">
        <v>493</v>
      </c>
      <c r="Y972" t="s">
        <v>54</v>
      </c>
      <c r="Z972" t="s">
        <v>40</v>
      </c>
      <c r="AA972">
        <v>1</v>
      </c>
      <c r="AB972">
        <v>0</v>
      </c>
      <c r="AC972" t="s">
        <v>31</v>
      </c>
      <c r="AD972" t="s">
        <v>48</v>
      </c>
      <c r="AE972" t="s">
        <v>43</v>
      </c>
      <c r="AF972" s="3">
        <v>1364</v>
      </c>
      <c r="AG972" s="3">
        <v>98</v>
      </c>
      <c r="AH972">
        <v>80</v>
      </c>
      <c r="AI972">
        <v>0</v>
      </c>
      <c r="AJ972">
        <v>0</v>
      </c>
      <c r="AL972">
        <v>0</v>
      </c>
      <c r="AM972">
        <v>1</v>
      </c>
      <c r="AN972" t="s">
        <v>768</v>
      </c>
      <c r="AO972" t="s">
        <v>41</v>
      </c>
    </row>
    <row r="973" spans="1:41" x14ac:dyDescent="0.25">
      <c r="A973">
        <v>30</v>
      </c>
      <c r="B973" t="s">
        <v>32</v>
      </c>
      <c r="C973" t="s">
        <v>55</v>
      </c>
      <c r="D973">
        <v>27</v>
      </c>
      <c r="E973" t="s">
        <v>34</v>
      </c>
      <c r="F973">
        <v>3</v>
      </c>
      <c r="G973">
        <v>2</v>
      </c>
      <c r="H973" t="s">
        <v>70</v>
      </c>
      <c r="I973">
        <v>4</v>
      </c>
      <c r="J973" t="s">
        <v>57</v>
      </c>
      <c r="K973">
        <v>5304</v>
      </c>
      <c r="L973">
        <v>7</v>
      </c>
      <c r="M973" t="s">
        <v>41</v>
      </c>
      <c r="N973">
        <v>23</v>
      </c>
      <c r="O973">
        <v>4</v>
      </c>
      <c r="P973">
        <v>1</v>
      </c>
      <c r="Q973">
        <v>10</v>
      </c>
      <c r="R973">
        <v>2</v>
      </c>
      <c r="S973">
        <v>8</v>
      </c>
      <c r="T973">
        <v>7</v>
      </c>
      <c r="U973">
        <v>7</v>
      </c>
      <c r="V973" t="s">
        <v>37</v>
      </c>
      <c r="W973" s="1" t="s">
        <v>494</v>
      </c>
      <c r="Y973" t="s">
        <v>54</v>
      </c>
      <c r="Z973" t="s">
        <v>40</v>
      </c>
      <c r="AA973">
        <v>2</v>
      </c>
      <c r="AB973">
        <v>2</v>
      </c>
      <c r="AC973" t="s">
        <v>41</v>
      </c>
      <c r="AD973" t="s">
        <v>65</v>
      </c>
      <c r="AE973" t="s">
        <v>43</v>
      </c>
      <c r="AF973" s="3">
        <v>1367</v>
      </c>
      <c r="AG973" s="3">
        <v>82</v>
      </c>
      <c r="AH973">
        <v>80</v>
      </c>
      <c r="AI973">
        <v>2</v>
      </c>
      <c r="AJ973">
        <v>0</v>
      </c>
      <c r="AL973">
        <v>0</v>
      </c>
      <c r="AM973">
        <v>1</v>
      </c>
      <c r="AN973" t="s">
        <v>768</v>
      </c>
      <c r="AO973" t="s">
        <v>41</v>
      </c>
    </row>
    <row r="974" spans="1:41" x14ac:dyDescent="0.25">
      <c r="A974">
        <v>39</v>
      </c>
      <c r="B974" t="s">
        <v>32</v>
      </c>
      <c r="C974" t="s">
        <v>120</v>
      </c>
      <c r="D974">
        <v>3</v>
      </c>
      <c r="E974" t="s">
        <v>61</v>
      </c>
      <c r="F974">
        <v>4</v>
      </c>
      <c r="G974">
        <v>2</v>
      </c>
      <c r="H974" t="s">
        <v>120</v>
      </c>
      <c r="I974">
        <v>2</v>
      </c>
      <c r="J974" t="s">
        <v>51</v>
      </c>
      <c r="K974">
        <v>6389</v>
      </c>
      <c r="L974">
        <v>9</v>
      </c>
      <c r="M974" t="s">
        <v>41</v>
      </c>
      <c r="N974">
        <v>15</v>
      </c>
      <c r="O974">
        <v>3</v>
      </c>
      <c r="P974">
        <v>1</v>
      </c>
      <c r="Q974">
        <v>12</v>
      </c>
      <c r="R974">
        <v>3</v>
      </c>
      <c r="S974">
        <v>8</v>
      </c>
      <c r="T974">
        <v>3</v>
      </c>
      <c r="U974">
        <v>6</v>
      </c>
      <c r="V974" t="s">
        <v>37</v>
      </c>
      <c r="W974" s="1" t="s">
        <v>495</v>
      </c>
      <c r="Y974" t="s">
        <v>39</v>
      </c>
      <c r="Z974" t="s">
        <v>47</v>
      </c>
      <c r="AA974">
        <v>3</v>
      </c>
      <c r="AB974">
        <v>3</v>
      </c>
      <c r="AC974" t="s">
        <v>41</v>
      </c>
      <c r="AD974" t="s">
        <v>48</v>
      </c>
      <c r="AE974" t="s">
        <v>43</v>
      </c>
      <c r="AF974" s="3">
        <v>1368</v>
      </c>
      <c r="AG974" s="3">
        <v>97</v>
      </c>
      <c r="AH974">
        <v>80</v>
      </c>
      <c r="AI974">
        <v>0</v>
      </c>
      <c r="AJ974">
        <v>0</v>
      </c>
      <c r="AL974">
        <v>0</v>
      </c>
      <c r="AM974">
        <v>1</v>
      </c>
      <c r="AN974" t="s">
        <v>768</v>
      </c>
      <c r="AO974" t="s">
        <v>41</v>
      </c>
    </row>
    <row r="975" spans="1:41" x14ac:dyDescent="0.25">
      <c r="A975">
        <v>45</v>
      </c>
      <c r="B975" t="s">
        <v>32</v>
      </c>
      <c r="C975" t="s">
        <v>55</v>
      </c>
      <c r="D975">
        <v>2</v>
      </c>
      <c r="E975" t="s">
        <v>34</v>
      </c>
      <c r="F975">
        <v>1</v>
      </c>
      <c r="G975">
        <v>2</v>
      </c>
      <c r="H975" t="s">
        <v>56</v>
      </c>
      <c r="I975">
        <v>3</v>
      </c>
      <c r="J975" t="s">
        <v>36</v>
      </c>
      <c r="K975">
        <v>6632</v>
      </c>
      <c r="L975">
        <v>0</v>
      </c>
      <c r="M975" t="s">
        <v>41</v>
      </c>
      <c r="N975">
        <v>13</v>
      </c>
      <c r="O975">
        <v>3</v>
      </c>
      <c r="P975">
        <v>0</v>
      </c>
      <c r="Q975">
        <v>9</v>
      </c>
      <c r="R975">
        <v>3</v>
      </c>
      <c r="S975">
        <v>8</v>
      </c>
      <c r="T975">
        <v>3</v>
      </c>
      <c r="U975">
        <v>1</v>
      </c>
      <c r="V975" t="s">
        <v>72</v>
      </c>
      <c r="W975" s="1" t="s">
        <v>496</v>
      </c>
      <c r="Y975" t="s">
        <v>39</v>
      </c>
      <c r="Z975" t="s">
        <v>47</v>
      </c>
      <c r="AA975">
        <v>4</v>
      </c>
      <c r="AB975">
        <v>0</v>
      </c>
      <c r="AC975" t="s">
        <v>41</v>
      </c>
      <c r="AD975" t="s">
        <v>67</v>
      </c>
      <c r="AE975" t="s">
        <v>60</v>
      </c>
      <c r="AF975" s="3">
        <v>1369</v>
      </c>
      <c r="AG975" s="3">
        <v>60</v>
      </c>
      <c r="AH975">
        <v>80</v>
      </c>
      <c r="AI975">
        <v>7</v>
      </c>
      <c r="AJ975">
        <v>0</v>
      </c>
      <c r="AL975">
        <v>0</v>
      </c>
      <c r="AM975">
        <v>1</v>
      </c>
      <c r="AN975" t="s">
        <v>768</v>
      </c>
      <c r="AO975" t="s">
        <v>41</v>
      </c>
    </row>
    <row r="976" spans="1:41" x14ac:dyDescent="0.25">
      <c r="A976">
        <v>29</v>
      </c>
      <c r="B976" t="s">
        <v>32</v>
      </c>
      <c r="C976" t="s">
        <v>33</v>
      </c>
      <c r="D976">
        <v>27</v>
      </c>
      <c r="E976" t="s">
        <v>61</v>
      </c>
      <c r="F976">
        <v>3</v>
      </c>
      <c r="G976">
        <v>2</v>
      </c>
      <c r="H976" t="s">
        <v>89</v>
      </c>
      <c r="I976">
        <v>3</v>
      </c>
      <c r="J976" t="s">
        <v>51</v>
      </c>
      <c r="K976">
        <v>4335</v>
      </c>
      <c r="L976">
        <v>4</v>
      </c>
      <c r="M976" t="s">
        <v>41</v>
      </c>
      <c r="N976">
        <v>12</v>
      </c>
      <c r="O976">
        <v>3</v>
      </c>
      <c r="P976">
        <v>1</v>
      </c>
      <c r="Q976">
        <v>11</v>
      </c>
      <c r="R976">
        <v>3</v>
      </c>
      <c r="S976">
        <v>8</v>
      </c>
      <c r="T976">
        <v>1</v>
      </c>
      <c r="U976">
        <v>1</v>
      </c>
      <c r="V976" t="s">
        <v>58</v>
      </c>
      <c r="W976" s="1" t="s">
        <v>494</v>
      </c>
      <c r="Y976" t="s">
        <v>39</v>
      </c>
      <c r="Z976" t="s">
        <v>47</v>
      </c>
      <c r="AA976">
        <v>5</v>
      </c>
      <c r="AB976">
        <v>1</v>
      </c>
      <c r="AC976" t="s">
        <v>41</v>
      </c>
      <c r="AD976" t="s">
        <v>42</v>
      </c>
      <c r="AE976" t="s">
        <v>49</v>
      </c>
      <c r="AF976" s="3">
        <v>1371</v>
      </c>
      <c r="AG976" s="3">
        <v>43</v>
      </c>
      <c r="AH976">
        <v>80</v>
      </c>
      <c r="AI976">
        <v>2</v>
      </c>
      <c r="AJ976">
        <v>0</v>
      </c>
      <c r="AL976">
        <v>0</v>
      </c>
      <c r="AM976">
        <v>1</v>
      </c>
      <c r="AN976" t="s">
        <v>768</v>
      </c>
      <c r="AO976" t="s">
        <v>41</v>
      </c>
    </row>
    <row r="977" spans="1:41" x14ac:dyDescent="0.25">
      <c r="A977">
        <v>40</v>
      </c>
      <c r="B977" t="s">
        <v>66</v>
      </c>
      <c r="C977" t="s">
        <v>33</v>
      </c>
      <c r="D977">
        <v>2</v>
      </c>
      <c r="E977" t="s">
        <v>61</v>
      </c>
      <c r="F977">
        <v>4</v>
      </c>
      <c r="G977">
        <v>2</v>
      </c>
      <c r="H977" t="s">
        <v>89</v>
      </c>
      <c r="I977">
        <v>2</v>
      </c>
      <c r="J977" t="s">
        <v>51</v>
      </c>
      <c r="K977">
        <v>4244</v>
      </c>
      <c r="L977">
        <v>1</v>
      </c>
      <c r="M977" t="s">
        <v>41</v>
      </c>
      <c r="N977">
        <v>24</v>
      </c>
      <c r="O977">
        <v>4</v>
      </c>
      <c r="P977">
        <v>1</v>
      </c>
      <c r="Q977">
        <v>8</v>
      </c>
      <c r="R977">
        <v>2</v>
      </c>
      <c r="S977">
        <v>8</v>
      </c>
      <c r="T977">
        <v>3</v>
      </c>
      <c r="U977">
        <v>7</v>
      </c>
      <c r="V977" t="s">
        <v>52</v>
      </c>
      <c r="W977" s="1" t="s">
        <v>497</v>
      </c>
      <c r="Y977" t="s">
        <v>39</v>
      </c>
      <c r="Z977" t="s">
        <v>47</v>
      </c>
      <c r="AA977">
        <v>5</v>
      </c>
      <c r="AB977">
        <v>1</v>
      </c>
      <c r="AC977" t="s">
        <v>31</v>
      </c>
      <c r="AD977" t="s">
        <v>42</v>
      </c>
      <c r="AE977" t="s">
        <v>49</v>
      </c>
      <c r="AF977" s="3">
        <v>1372</v>
      </c>
      <c r="AG977" s="3">
        <v>85</v>
      </c>
      <c r="AH977">
        <v>80</v>
      </c>
      <c r="AI977">
        <v>7</v>
      </c>
      <c r="AJ977">
        <v>1</v>
      </c>
      <c r="AK977">
        <v>1</v>
      </c>
      <c r="AL977">
        <v>1</v>
      </c>
      <c r="AM977">
        <v>0</v>
      </c>
      <c r="AN977" t="s">
        <v>767</v>
      </c>
      <c r="AO977" t="s">
        <v>31</v>
      </c>
    </row>
    <row r="978" spans="1:41" x14ac:dyDescent="0.25">
      <c r="A978">
        <v>35</v>
      </c>
      <c r="B978" t="s">
        <v>32</v>
      </c>
      <c r="C978" t="s">
        <v>33</v>
      </c>
      <c r="D978">
        <v>7</v>
      </c>
      <c r="E978" t="s">
        <v>34</v>
      </c>
      <c r="F978">
        <v>3</v>
      </c>
      <c r="G978">
        <v>3</v>
      </c>
      <c r="H978" t="s">
        <v>78</v>
      </c>
      <c r="I978">
        <v>3</v>
      </c>
      <c r="J978" t="s">
        <v>36</v>
      </c>
      <c r="K978">
        <v>10221</v>
      </c>
      <c r="L978">
        <v>3</v>
      </c>
      <c r="M978" t="s">
        <v>41</v>
      </c>
      <c r="N978">
        <v>21</v>
      </c>
      <c r="O978">
        <v>4</v>
      </c>
      <c r="P978">
        <v>0</v>
      </c>
      <c r="Q978">
        <v>17</v>
      </c>
      <c r="R978">
        <v>3</v>
      </c>
      <c r="S978">
        <v>8</v>
      </c>
      <c r="T978">
        <v>1</v>
      </c>
      <c r="U978">
        <v>6</v>
      </c>
      <c r="V978" t="s">
        <v>58</v>
      </c>
      <c r="W978" s="1" t="s">
        <v>498</v>
      </c>
      <c r="Y978" t="s">
        <v>39</v>
      </c>
      <c r="Z978" t="s">
        <v>47</v>
      </c>
      <c r="AA978">
        <v>1</v>
      </c>
      <c r="AB978">
        <v>1</v>
      </c>
      <c r="AC978" t="s">
        <v>41</v>
      </c>
      <c r="AD978" t="s">
        <v>42</v>
      </c>
      <c r="AE978" t="s">
        <v>49</v>
      </c>
      <c r="AF978" s="3">
        <v>1373</v>
      </c>
      <c r="AG978" s="3">
        <v>68</v>
      </c>
      <c r="AH978">
        <v>80</v>
      </c>
      <c r="AI978">
        <v>16</v>
      </c>
      <c r="AJ978">
        <v>0</v>
      </c>
      <c r="AL978">
        <v>0</v>
      </c>
      <c r="AM978">
        <v>1</v>
      </c>
      <c r="AN978" t="s">
        <v>768</v>
      </c>
      <c r="AO978" t="s">
        <v>41</v>
      </c>
    </row>
    <row r="979" spans="1:41" x14ac:dyDescent="0.25">
      <c r="A979">
        <v>28</v>
      </c>
      <c r="B979" t="s">
        <v>32</v>
      </c>
      <c r="C979" t="s">
        <v>55</v>
      </c>
      <c r="D979">
        <v>2</v>
      </c>
      <c r="E979" t="s">
        <v>61</v>
      </c>
      <c r="F979">
        <v>3</v>
      </c>
      <c r="G979">
        <v>2</v>
      </c>
      <c r="H979" t="s">
        <v>70</v>
      </c>
      <c r="I979">
        <v>2</v>
      </c>
      <c r="J979" t="s">
        <v>51</v>
      </c>
      <c r="K979">
        <v>4779</v>
      </c>
      <c r="L979">
        <v>1</v>
      </c>
      <c r="M979" t="s">
        <v>31</v>
      </c>
      <c r="N979">
        <v>20</v>
      </c>
      <c r="O979">
        <v>4</v>
      </c>
      <c r="P979">
        <v>0</v>
      </c>
      <c r="Q979">
        <v>8</v>
      </c>
      <c r="R979">
        <v>2</v>
      </c>
      <c r="S979">
        <v>8</v>
      </c>
      <c r="T979">
        <v>7</v>
      </c>
      <c r="U979">
        <v>5</v>
      </c>
      <c r="V979" t="s">
        <v>37</v>
      </c>
      <c r="W979" s="1" t="s">
        <v>474</v>
      </c>
      <c r="Y979" t="s">
        <v>39</v>
      </c>
      <c r="Z979" t="s">
        <v>40</v>
      </c>
      <c r="AA979">
        <v>0</v>
      </c>
      <c r="AB979">
        <v>1</v>
      </c>
      <c r="AC979" t="s">
        <v>41</v>
      </c>
      <c r="AD979" t="s">
        <v>65</v>
      </c>
      <c r="AE979" t="s">
        <v>43</v>
      </c>
      <c r="AF979" s="3">
        <v>1374</v>
      </c>
      <c r="AG979" s="3">
        <v>92</v>
      </c>
      <c r="AH979">
        <v>80</v>
      </c>
      <c r="AI979">
        <v>4</v>
      </c>
      <c r="AJ979">
        <v>0</v>
      </c>
      <c r="AL979">
        <v>0</v>
      </c>
      <c r="AM979">
        <v>1</v>
      </c>
      <c r="AN979" t="s">
        <v>768</v>
      </c>
      <c r="AO979" t="s">
        <v>41</v>
      </c>
    </row>
    <row r="980" spans="1:41" x14ac:dyDescent="0.25">
      <c r="A980">
        <v>26</v>
      </c>
      <c r="B980" t="s">
        <v>66</v>
      </c>
      <c r="C980" t="s">
        <v>33</v>
      </c>
      <c r="D980">
        <v>5</v>
      </c>
      <c r="E980" t="s">
        <v>61</v>
      </c>
      <c r="F980">
        <v>2</v>
      </c>
      <c r="G980">
        <v>1</v>
      </c>
      <c r="H980" t="s">
        <v>44</v>
      </c>
      <c r="I980">
        <v>3</v>
      </c>
      <c r="J980" t="s">
        <v>51</v>
      </c>
      <c r="K980">
        <v>2366</v>
      </c>
      <c r="L980">
        <v>1</v>
      </c>
      <c r="M980" t="s">
        <v>31</v>
      </c>
      <c r="N980">
        <v>14</v>
      </c>
      <c r="O980">
        <v>3</v>
      </c>
      <c r="P980">
        <v>1</v>
      </c>
      <c r="Q980">
        <v>8</v>
      </c>
      <c r="R980">
        <v>2</v>
      </c>
      <c r="S980">
        <v>8</v>
      </c>
      <c r="T980">
        <v>1</v>
      </c>
      <c r="U980">
        <v>7</v>
      </c>
      <c r="V980" t="s">
        <v>37</v>
      </c>
      <c r="W980" s="1" t="s">
        <v>499</v>
      </c>
      <c r="Y980" t="s">
        <v>63</v>
      </c>
      <c r="Z980" t="s">
        <v>40</v>
      </c>
      <c r="AA980">
        <v>5</v>
      </c>
      <c r="AB980">
        <v>0</v>
      </c>
      <c r="AC980" t="s">
        <v>31</v>
      </c>
      <c r="AD980" t="s">
        <v>48</v>
      </c>
      <c r="AE980" t="s">
        <v>49</v>
      </c>
      <c r="AF980" s="3">
        <v>1375</v>
      </c>
      <c r="AG980" s="3">
        <v>89</v>
      </c>
      <c r="AH980">
        <v>80</v>
      </c>
      <c r="AI980">
        <v>11</v>
      </c>
      <c r="AJ980">
        <v>0</v>
      </c>
      <c r="AL980">
        <v>0</v>
      </c>
      <c r="AM980">
        <v>1</v>
      </c>
      <c r="AN980" t="s">
        <v>768</v>
      </c>
      <c r="AO980" t="s">
        <v>41</v>
      </c>
    </row>
    <row r="981" spans="1:41" x14ac:dyDescent="0.25">
      <c r="A981">
        <v>44</v>
      </c>
      <c r="B981" t="s">
        <v>32</v>
      </c>
      <c r="C981" t="s">
        <v>33</v>
      </c>
      <c r="D981">
        <v>9</v>
      </c>
      <c r="E981" t="s">
        <v>34</v>
      </c>
      <c r="F981">
        <v>3</v>
      </c>
      <c r="G981">
        <v>1</v>
      </c>
      <c r="H981" t="s">
        <v>44</v>
      </c>
      <c r="I981">
        <v>1</v>
      </c>
      <c r="J981" t="s">
        <v>51</v>
      </c>
      <c r="K981">
        <v>2559</v>
      </c>
      <c r="L981">
        <v>1</v>
      </c>
      <c r="M981" t="s">
        <v>31</v>
      </c>
      <c r="N981">
        <v>13</v>
      </c>
      <c r="O981">
        <v>3</v>
      </c>
      <c r="P981">
        <v>0</v>
      </c>
      <c r="Q981">
        <v>8</v>
      </c>
      <c r="R981">
        <v>0</v>
      </c>
      <c r="S981">
        <v>8</v>
      </c>
      <c r="T981">
        <v>7</v>
      </c>
      <c r="U981">
        <v>1</v>
      </c>
      <c r="V981" t="s">
        <v>58</v>
      </c>
      <c r="W981" s="1" t="s">
        <v>472</v>
      </c>
      <c r="Y981" t="s">
        <v>69</v>
      </c>
      <c r="Z981" t="s">
        <v>47</v>
      </c>
      <c r="AA981">
        <v>3</v>
      </c>
      <c r="AB981">
        <v>1</v>
      </c>
      <c r="AC981" t="s">
        <v>31</v>
      </c>
      <c r="AD981" t="s">
        <v>48</v>
      </c>
      <c r="AE981" t="s">
        <v>49</v>
      </c>
      <c r="AF981" s="3">
        <v>1377</v>
      </c>
      <c r="AG981" s="3">
        <v>86</v>
      </c>
      <c r="AH981">
        <v>80</v>
      </c>
      <c r="AI981">
        <v>7</v>
      </c>
      <c r="AJ981">
        <v>0</v>
      </c>
      <c r="AL981">
        <v>0</v>
      </c>
      <c r="AM981">
        <v>1</v>
      </c>
      <c r="AN981" t="s">
        <v>768</v>
      </c>
      <c r="AO981" t="s">
        <v>41</v>
      </c>
    </row>
    <row r="982" spans="1:41" x14ac:dyDescent="0.25">
      <c r="A982">
        <v>32</v>
      </c>
      <c r="B982" t="s">
        <v>32</v>
      </c>
      <c r="C982" t="s">
        <v>33</v>
      </c>
      <c r="D982">
        <v>3</v>
      </c>
      <c r="E982" t="s">
        <v>61</v>
      </c>
      <c r="F982">
        <v>3</v>
      </c>
      <c r="G982">
        <v>2</v>
      </c>
      <c r="H982" t="s">
        <v>78</v>
      </c>
      <c r="I982">
        <v>1</v>
      </c>
      <c r="J982" t="s">
        <v>51</v>
      </c>
      <c r="K982">
        <v>6725</v>
      </c>
      <c r="L982">
        <v>1</v>
      </c>
      <c r="M982" t="s">
        <v>41</v>
      </c>
      <c r="N982">
        <v>12</v>
      </c>
      <c r="O982">
        <v>3</v>
      </c>
      <c r="P982">
        <v>1</v>
      </c>
      <c r="Q982">
        <v>8</v>
      </c>
      <c r="R982">
        <v>2</v>
      </c>
      <c r="S982">
        <v>8</v>
      </c>
      <c r="T982">
        <v>6</v>
      </c>
      <c r="U982">
        <v>3</v>
      </c>
      <c r="V982" t="s">
        <v>52</v>
      </c>
      <c r="W982" s="1" t="s">
        <v>500</v>
      </c>
      <c r="Y982" t="s">
        <v>63</v>
      </c>
      <c r="Z982" t="s">
        <v>47</v>
      </c>
      <c r="AA982">
        <v>3</v>
      </c>
      <c r="AB982">
        <v>0</v>
      </c>
      <c r="AC982" t="s">
        <v>31</v>
      </c>
      <c r="AD982" t="s">
        <v>42</v>
      </c>
      <c r="AE982" t="s">
        <v>60</v>
      </c>
      <c r="AF982" s="3">
        <v>1379</v>
      </c>
      <c r="AG982" s="3">
        <v>90</v>
      </c>
      <c r="AH982">
        <v>80</v>
      </c>
      <c r="AI982">
        <v>0</v>
      </c>
      <c r="AJ982">
        <v>1</v>
      </c>
      <c r="AK982">
        <v>1</v>
      </c>
      <c r="AL982">
        <v>1</v>
      </c>
      <c r="AM982">
        <v>0</v>
      </c>
      <c r="AN982" t="s">
        <v>767</v>
      </c>
      <c r="AO982" t="s">
        <v>31</v>
      </c>
    </row>
    <row r="983" spans="1:41" x14ac:dyDescent="0.25">
      <c r="A983">
        <v>30</v>
      </c>
      <c r="B983" t="s">
        <v>32</v>
      </c>
      <c r="C983" t="s">
        <v>55</v>
      </c>
      <c r="D983">
        <v>8</v>
      </c>
      <c r="E983" t="s">
        <v>34</v>
      </c>
      <c r="F983">
        <v>3</v>
      </c>
      <c r="G983">
        <v>3</v>
      </c>
      <c r="H983" t="s">
        <v>70</v>
      </c>
      <c r="I983">
        <v>3</v>
      </c>
      <c r="J983" t="s">
        <v>57</v>
      </c>
      <c r="K983">
        <v>7264</v>
      </c>
      <c r="L983">
        <v>5</v>
      </c>
      <c r="M983" t="s">
        <v>41</v>
      </c>
      <c r="N983">
        <v>11</v>
      </c>
      <c r="O983">
        <v>3</v>
      </c>
      <c r="P983">
        <v>1</v>
      </c>
      <c r="Q983">
        <v>10</v>
      </c>
      <c r="R983">
        <v>2</v>
      </c>
      <c r="S983">
        <v>8</v>
      </c>
      <c r="T983">
        <v>7</v>
      </c>
      <c r="U983">
        <v>7</v>
      </c>
      <c r="V983" t="s">
        <v>58</v>
      </c>
      <c r="W983" s="1" t="s">
        <v>501</v>
      </c>
      <c r="Y983" t="s">
        <v>39</v>
      </c>
      <c r="Z983" t="s">
        <v>47</v>
      </c>
      <c r="AA983">
        <v>5</v>
      </c>
      <c r="AB983">
        <v>2</v>
      </c>
      <c r="AC983" t="s">
        <v>31</v>
      </c>
      <c r="AD983" t="s">
        <v>48</v>
      </c>
      <c r="AE983" t="s">
        <v>49</v>
      </c>
      <c r="AF983" s="3">
        <v>1380</v>
      </c>
      <c r="AG983" s="3">
        <v>67</v>
      </c>
      <c r="AH983">
        <v>80</v>
      </c>
      <c r="AI983">
        <v>2</v>
      </c>
      <c r="AJ983">
        <v>1</v>
      </c>
      <c r="AK983">
        <v>1</v>
      </c>
      <c r="AL983">
        <v>1</v>
      </c>
      <c r="AM983">
        <v>0</v>
      </c>
      <c r="AN983" t="s">
        <v>767</v>
      </c>
      <c r="AO983" t="s">
        <v>31</v>
      </c>
    </row>
    <row r="984" spans="1:41" x14ac:dyDescent="0.25">
      <c r="A984">
        <v>39</v>
      </c>
      <c r="B984" t="s">
        <v>32</v>
      </c>
      <c r="C984" t="s">
        <v>55</v>
      </c>
      <c r="D984">
        <v>2</v>
      </c>
      <c r="E984" t="s">
        <v>34</v>
      </c>
      <c r="F984">
        <v>4</v>
      </c>
      <c r="G984">
        <v>3</v>
      </c>
      <c r="H984" t="s">
        <v>70</v>
      </c>
      <c r="I984">
        <v>3</v>
      </c>
      <c r="J984" t="s">
        <v>36</v>
      </c>
      <c r="K984">
        <v>7880</v>
      </c>
      <c r="L984">
        <v>0</v>
      </c>
      <c r="M984" t="s">
        <v>41</v>
      </c>
      <c r="N984">
        <v>18</v>
      </c>
      <c r="O984">
        <v>3</v>
      </c>
      <c r="P984">
        <v>0</v>
      </c>
      <c r="Q984">
        <v>9</v>
      </c>
      <c r="R984">
        <v>3</v>
      </c>
      <c r="S984">
        <v>8</v>
      </c>
      <c r="T984">
        <v>0</v>
      </c>
      <c r="U984">
        <v>7</v>
      </c>
      <c r="V984" t="s">
        <v>72</v>
      </c>
      <c r="W984" s="1" t="s">
        <v>481</v>
      </c>
      <c r="Y984" t="s">
        <v>54</v>
      </c>
      <c r="Z984" t="s">
        <v>40</v>
      </c>
      <c r="AA984">
        <v>1</v>
      </c>
      <c r="AB984">
        <v>1</v>
      </c>
      <c r="AC984" t="s">
        <v>31</v>
      </c>
      <c r="AD984" t="s">
        <v>67</v>
      </c>
      <c r="AE984" t="s">
        <v>60</v>
      </c>
      <c r="AF984" s="3">
        <v>1382</v>
      </c>
      <c r="AG984" s="3">
        <v>57</v>
      </c>
      <c r="AH984">
        <v>80</v>
      </c>
      <c r="AI984">
        <v>2</v>
      </c>
      <c r="AJ984">
        <v>0</v>
      </c>
      <c r="AL984">
        <v>0</v>
      </c>
      <c r="AM984">
        <v>1</v>
      </c>
      <c r="AN984" t="s">
        <v>768</v>
      </c>
      <c r="AO984" t="s">
        <v>41</v>
      </c>
    </row>
    <row r="985" spans="1:41" x14ac:dyDescent="0.25">
      <c r="A985">
        <v>46</v>
      </c>
      <c r="B985" t="s">
        <v>32</v>
      </c>
      <c r="C985" t="s">
        <v>33</v>
      </c>
      <c r="D985">
        <v>7</v>
      </c>
      <c r="E985" t="s">
        <v>34</v>
      </c>
      <c r="F985">
        <v>3</v>
      </c>
      <c r="G985">
        <v>3</v>
      </c>
      <c r="H985" t="s">
        <v>78</v>
      </c>
      <c r="I985">
        <v>3</v>
      </c>
      <c r="J985" t="s">
        <v>57</v>
      </c>
      <c r="K985">
        <v>10845</v>
      </c>
      <c r="L985">
        <v>6</v>
      </c>
      <c r="M985" t="s">
        <v>41</v>
      </c>
      <c r="N985">
        <v>13</v>
      </c>
      <c r="O985">
        <v>3</v>
      </c>
      <c r="P985">
        <v>1</v>
      </c>
      <c r="Q985">
        <v>13</v>
      </c>
      <c r="R985">
        <v>3</v>
      </c>
      <c r="S985">
        <v>8</v>
      </c>
      <c r="T985">
        <v>0</v>
      </c>
      <c r="U985">
        <v>7</v>
      </c>
      <c r="V985" t="s">
        <v>52</v>
      </c>
      <c r="W985" s="1" t="s">
        <v>472</v>
      </c>
      <c r="Y985" t="s">
        <v>46</v>
      </c>
      <c r="Z985" t="s">
        <v>47</v>
      </c>
      <c r="AA985">
        <v>2</v>
      </c>
      <c r="AB985">
        <v>0</v>
      </c>
      <c r="AC985" t="s">
        <v>41</v>
      </c>
      <c r="AD985" t="s">
        <v>42</v>
      </c>
      <c r="AE985" t="s">
        <v>43</v>
      </c>
      <c r="AF985" s="3">
        <v>1383</v>
      </c>
      <c r="AG985" s="3">
        <v>98</v>
      </c>
      <c r="AH985">
        <v>80</v>
      </c>
      <c r="AI985">
        <v>11</v>
      </c>
      <c r="AJ985">
        <v>0</v>
      </c>
      <c r="AL985">
        <v>0</v>
      </c>
      <c r="AM985">
        <v>1</v>
      </c>
      <c r="AN985" t="s">
        <v>768</v>
      </c>
      <c r="AO985" t="s">
        <v>41</v>
      </c>
    </row>
    <row r="986" spans="1:41" x14ac:dyDescent="0.25">
      <c r="A986">
        <v>30</v>
      </c>
      <c r="B986" t="s">
        <v>32</v>
      </c>
      <c r="C986" t="s">
        <v>33</v>
      </c>
      <c r="D986">
        <v>8</v>
      </c>
      <c r="E986" t="s">
        <v>61</v>
      </c>
      <c r="F986">
        <v>4</v>
      </c>
      <c r="G986">
        <v>3</v>
      </c>
      <c r="H986" t="s">
        <v>50</v>
      </c>
      <c r="I986">
        <v>1</v>
      </c>
      <c r="J986" t="s">
        <v>51</v>
      </c>
      <c r="K986">
        <v>11416</v>
      </c>
      <c r="L986">
        <v>0</v>
      </c>
      <c r="M986" t="s">
        <v>31</v>
      </c>
      <c r="N986">
        <v>12</v>
      </c>
      <c r="O986">
        <v>3</v>
      </c>
      <c r="P986">
        <v>3</v>
      </c>
      <c r="Q986">
        <v>9</v>
      </c>
      <c r="R986">
        <v>4</v>
      </c>
      <c r="S986">
        <v>8</v>
      </c>
      <c r="T986">
        <v>1</v>
      </c>
      <c r="U986">
        <v>7</v>
      </c>
      <c r="V986" t="s">
        <v>52</v>
      </c>
      <c r="W986" s="1" t="s">
        <v>502</v>
      </c>
      <c r="Y986" t="s">
        <v>54</v>
      </c>
      <c r="Z986" t="s">
        <v>47</v>
      </c>
      <c r="AA986">
        <v>2</v>
      </c>
      <c r="AB986">
        <v>2</v>
      </c>
      <c r="AC986" t="s">
        <v>41</v>
      </c>
      <c r="AD986" t="s">
        <v>67</v>
      </c>
      <c r="AE986" t="s">
        <v>49</v>
      </c>
      <c r="AF986" s="3">
        <v>1387</v>
      </c>
      <c r="AG986" s="3">
        <v>48</v>
      </c>
      <c r="AH986">
        <v>80</v>
      </c>
      <c r="AI986">
        <v>3</v>
      </c>
      <c r="AJ986">
        <v>0</v>
      </c>
      <c r="AL986">
        <v>0</v>
      </c>
      <c r="AM986">
        <v>1</v>
      </c>
      <c r="AN986" t="s">
        <v>768</v>
      </c>
      <c r="AO986" t="s">
        <v>41</v>
      </c>
    </row>
    <row r="987" spans="1:41" x14ac:dyDescent="0.25">
      <c r="A987">
        <v>26</v>
      </c>
      <c r="B987" t="s">
        <v>32</v>
      </c>
      <c r="C987" t="s">
        <v>33</v>
      </c>
      <c r="D987">
        <v>2</v>
      </c>
      <c r="E987" t="s">
        <v>34</v>
      </c>
      <c r="F987">
        <v>4</v>
      </c>
      <c r="G987">
        <v>2</v>
      </c>
      <c r="H987" t="s">
        <v>78</v>
      </c>
      <c r="I987">
        <v>4</v>
      </c>
      <c r="J987" t="s">
        <v>51</v>
      </c>
      <c r="K987">
        <v>5472</v>
      </c>
      <c r="L987">
        <v>1</v>
      </c>
      <c r="M987" t="s">
        <v>41</v>
      </c>
      <c r="N987">
        <v>12</v>
      </c>
      <c r="O987">
        <v>3</v>
      </c>
      <c r="P987">
        <v>0</v>
      </c>
      <c r="Q987">
        <v>8</v>
      </c>
      <c r="R987">
        <v>2</v>
      </c>
      <c r="S987">
        <v>8</v>
      </c>
      <c r="T987">
        <v>1</v>
      </c>
      <c r="U987">
        <v>3</v>
      </c>
      <c r="V987" t="s">
        <v>58</v>
      </c>
      <c r="W987" s="1" t="s">
        <v>503</v>
      </c>
      <c r="Y987" t="s">
        <v>63</v>
      </c>
      <c r="Z987" t="s">
        <v>47</v>
      </c>
      <c r="AA987">
        <v>5</v>
      </c>
      <c r="AB987">
        <v>0</v>
      </c>
      <c r="AC987" t="s">
        <v>41</v>
      </c>
      <c r="AD987" t="s">
        <v>48</v>
      </c>
      <c r="AE987" t="s">
        <v>60</v>
      </c>
      <c r="AF987" s="3">
        <v>1389</v>
      </c>
      <c r="AG987" s="3">
        <v>98</v>
      </c>
      <c r="AH987">
        <v>80</v>
      </c>
      <c r="AI987">
        <v>2</v>
      </c>
      <c r="AJ987">
        <v>1</v>
      </c>
      <c r="AK987">
        <v>1</v>
      </c>
      <c r="AL987">
        <v>1</v>
      </c>
      <c r="AM987">
        <v>0</v>
      </c>
      <c r="AN987" t="s">
        <v>767</v>
      </c>
      <c r="AO987" t="s">
        <v>31</v>
      </c>
    </row>
    <row r="988" spans="1:41" x14ac:dyDescent="0.25">
      <c r="A988">
        <v>55</v>
      </c>
      <c r="B988" t="s">
        <v>66</v>
      </c>
      <c r="C988" t="s">
        <v>33</v>
      </c>
      <c r="D988">
        <v>18</v>
      </c>
      <c r="E988" t="s">
        <v>34</v>
      </c>
      <c r="F988">
        <v>3</v>
      </c>
      <c r="G988">
        <v>2</v>
      </c>
      <c r="H988" t="s">
        <v>89</v>
      </c>
      <c r="I988">
        <v>2</v>
      </c>
      <c r="J988" t="s">
        <v>51</v>
      </c>
      <c r="K988">
        <v>6385</v>
      </c>
      <c r="L988">
        <v>3</v>
      </c>
      <c r="M988" t="s">
        <v>31</v>
      </c>
      <c r="N988">
        <v>14</v>
      </c>
      <c r="O988">
        <v>3</v>
      </c>
      <c r="P988">
        <v>2</v>
      </c>
      <c r="Q988">
        <v>17</v>
      </c>
      <c r="R988">
        <v>3</v>
      </c>
      <c r="S988">
        <v>8</v>
      </c>
      <c r="T988">
        <v>6</v>
      </c>
      <c r="U988">
        <v>7</v>
      </c>
      <c r="V988" t="s">
        <v>37</v>
      </c>
      <c r="W988" s="1" t="s">
        <v>504</v>
      </c>
      <c r="Y988" t="s">
        <v>63</v>
      </c>
      <c r="Z988" t="s">
        <v>47</v>
      </c>
      <c r="AA988">
        <v>1</v>
      </c>
      <c r="AB988">
        <v>2</v>
      </c>
      <c r="AC988" t="s">
        <v>41</v>
      </c>
      <c r="AD988" t="s">
        <v>42</v>
      </c>
      <c r="AE988" t="s">
        <v>60</v>
      </c>
      <c r="AF988" s="3">
        <v>1390</v>
      </c>
      <c r="AG988" s="3">
        <v>44</v>
      </c>
      <c r="AH988">
        <v>80</v>
      </c>
      <c r="AI988">
        <v>4</v>
      </c>
      <c r="AJ988">
        <v>0</v>
      </c>
      <c r="AL988">
        <v>0</v>
      </c>
      <c r="AM988">
        <v>1</v>
      </c>
      <c r="AN988" t="s">
        <v>768</v>
      </c>
      <c r="AO988" t="s">
        <v>41</v>
      </c>
    </row>
    <row r="989" spans="1:41" x14ac:dyDescent="0.25">
      <c r="A989">
        <v>32</v>
      </c>
      <c r="B989" t="s">
        <v>81</v>
      </c>
      <c r="C989" t="s">
        <v>33</v>
      </c>
      <c r="D989">
        <v>29</v>
      </c>
      <c r="E989" t="s">
        <v>61</v>
      </c>
      <c r="F989">
        <v>3</v>
      </c>
      <c r="G989">
        <v>1</v>
      </c>
      <c r="H989" t="s">
        <v>35</v>
      </c>
      <c r="I989">
        <v>3</v>
      </c>
      <c r="J989" t="s">
        <v>36</v>
      </c>
      <c r="K989">
        <v>4025</v>
      </c>
      <c r="L989">
        <v>9</v>
      </c>
      <c r="M989" t="s">
        <v>41</v>
      </c>
      <c r="N989">
        <v>12</v>
      </c>
      <c r="O989">
        <v>3</v>
      </c>
      <c r="P989">
        <v>0</v>
      </c>
      <c r="Q989">
        <v>10</v>
      </c>
      <c r="R989">
        <v>2</v>
      </c>
      <c r="S989">
        <v>8</v>
      </c>
      <c r="T989">
        <v>7</v>
      </c>
      <c r="U989">
        <v>7</v>
      </c>
      <c r="V989" t="s">
        <v>58</v>
      </c>
      <c r="W989" s="1" t="s">
        <v>505</v>
      </c>
      <c r="Y989" t="s">
        <v>54</v>
      </c>
      <c r="Z989" t="s">
        <v>47</v>
      </c>
      <c r="AA989">
        <v>2</v>
      </c>
      <c r="AB989">
        <v>3</v>
      </c>
      <c r="AC989" t="s">
        <v>41</v>
      </c>
      <c r="AD989" t="s">
        <v>42</v>
      </c>
      <c r="AE989" t="s">
        <v>60</v>
      </c>
      <c r="AF989" s="3">
        <v>1391</v>
      </c>
      <c r="AG989" s="3">
        <v>52</v>
      </c>
      <c r="AH989">
        <v>80</v>
      </c>
      <c r="AI989">
        <v>2</v>
      </c>
      <c r="AJ989">
        <v>0</v>
      </c>
      <c r="AL989">
        <v>0</v>
      </c>
      <c r="AM989">
        <v>1</v>
      </c>
      <c r="AN989" t="s">
        <v>768</v>
      </c>
      <c r="AO989" t="s">
        <v>41</v>
      </c>
    </row>
    <row r="990" spans="1:41" x14ac:dyDescent="0.25">
      <c r="A990">
        <v>50</v>
      </c>
      <c r="B990" t="s">
        <v>32</v>
      </c>
      <c r="C990" t="s">
        <v>33</v>
      </c>
      <c r="D990">
        <v>2</v>
      </c>
      <c r="E990" t="s">
        <v>34</v>
      </c>
      <c r="F990">
        <v>3</v>
      </c>
      <c r="G990">
        <v>5</v>
      </c>
      <c r="H990" t="s">
        <v>50</v>
      </c>
      <c r="I990">
        <v>3</v>
      </c>
      <c r="J990" t="s">
        <v>51</v>
      </c>
      <c r="K990">
        <v>19237</v>
      </c>
      <c r="L990">
        <v>2</v>
      </c>
      <c r="M990" t="s">
        <v>31</v>
      </c>
      <c r="N990">
        <v>11</v>
      </c>
      <c r="O990">
        <v>3</v>
      </c>
      <c r="P990">
        <v>1</v>
      </c>
      <c r="Q990">
        <v>29</v>
      </c>
      <c r="R990">
        <v>2</v>
      </c>
      <c r="S990">
        <v>8</v>
      </c>
      <c r="T990">
        <v>7</v>
      </c>
      <c r="U990">
        <v>7</v>
      </c>
      <c r="V990" t="s">
        <v>58</v>
      </c>
      <c r="W990" s="2">
        <v>41613</v>
      </c>
      <c r="Y990" t="s">
        <v>46</v>
      </c>
      <c r="Z990" t="s">
        <v>40</v>
      </c>
      <c r="AA990">
        <v>4</v>
      </c>
      <c r="AB990">
        <v>1</v>
      </c>
      <c r="AC990" t="s">
        <v>41</v>
      </c>
      <c r="AD990" t="s">
        <v>48</v>
      </c>
      <c r="AE990" t="s">
        <v>60</v>
      </c>
      <c r="AF990" s="3">
        <v>1392</v>
      </c>
      <c r="AG990" s="3">
        <v>75</v>
      </c>
      <c r="AH990">
        <v>80</v>
      </c>
      <c r="AI990">
        <v>2</v>
      </c>
      <c r="AJ990">
        <v>0</v>
      </c>
      <c r="AL990">
        <v>0</v>
      </c>
      <c r="AM990">
        <v>1</v>
      </c>
      <c r="AN990" t="s">
        <v>768</v>
      </c>
      <c r="AO990" t="s">
        <v>41</v>
      </c>
    </row>
    <row r="991" spans="1:41" x14ac:dyDescent="0.25">
      <c r="A991">
        <v>28</v>
      </c>
      <c r="B991" t="s">
        <v>32</v>
      </c>
      <c r="C991" t="s">
        <v>33</v>
      </c>
      <c r="D991">
        <v>10</v>
      </c>
      <c r="E991" t="s">
        <v>61</v>
      </c>
      <c r="F991">
        <v>3</v>
      </c>
      <c r="G991">
        <v>2</v>
      </c>
      <c r="H991" t="s">
        <v>44</v>
      </c>
      <c r="I991">
        <v>3</v>
      </c>
      <c r="J991" t="s">
        <v>36</v>
      </c>
      <c r="K991">
        <v>3660</v>
      </c>
      <c r="L991">
        <v>3</v>
      </c>
      <c r="M991" t="s">
        <v>41</v>
      </c>
      <c r="N991">
        <v>13</v>
      </c>
      <c r="O991">
        <v>3</v>
      </c>
      <c r="P991">
        <v>0</v>
      </c>
      <c r="Q991">
        <v>10</v>
      </c>
      <c r="R991">
        <v>4</v>
      </c>
      <c r="S991">
        <v>8</v>
      </c>
      <c r="T991">
        <v>1</v>
      </c>
      <c r="U991">
        <v>7</v>
      </c>
      <c r="V991" t="s">
        <v>52</v>
      </c>
      <c r="W991" s="2">
        <v>41397</v>
      </c>
      <c r="Y991" t="s">
        <v>63</v>
      </c>
      <c r="Z991" t="s">
        <v>47</v>
      </c>
      <c r="AA991">
        <v>0</v>
      </c>
      <c r="AB991">
        <v>2</v>
      </c>
      <c r="AC991" t="s">
        <v>31</v>
      </c>
      <c r="AD991" t="s">
        <v>48</v>
      </c>
      <c r="AE991" t="s">
        <v>49</v>
      </c>
      <c r="AF991" s="3">
        <v>1394</v>
      </c>
      <c r="AG991" s="3">
        <v>54</v>
      </c>
      <c r="AH991">
        <v>80</v>
      </c>
      <c r="AI991">
        <v>4</v>
      </c>
      <c r="AJ991">
        <v>0</v>
      </c>
      <c r="AL991">
        <v>0</v>
      </c>
      <c r="AM991">
        <v>1</v>
      </c>
      <c r="AN991" t="s">
        <v>768</v>
      </c>
      <c r="AO991" t="s">
        <v>41</v>
      </c>
    </row>
    <row r="992" spans="1:41" x14ac:dyDescent="0.25">
      <c r="A992">
        <v>35</v>
      </c>
      <c r="B992" t="s">
        <v>32</v>
      </c>
      <c r="C992" t="s">
        <v>55</v>
      </c>
      <c r="D992">
        <v>4</v>
      </c>
      <c r="E992" t="s">
        <v>34</v>
      </c>
      <c r="F992">
        <v>3</v>
      </c>
      <c r="G992">
        <v>3</v>
      </c>
      <c r="H992" t="s">
        <v>70</v>
      </c>
      <c r="I992">
        <v>1</v>
      </c>
      <c r="J992" t="s">
        <v>36</v>
      </c>
      <c r="K992">
        <v>9582</v>
      </c>
      <c r="L992">
        <v>0</v>
      </c>
      <c r="M992" t="s">
        <v>31</v>
      </c>
      <c r="N992">
        <v>22</v>
      </c>
      <c r="O992">
        <v>4</v>
      </c>
      <c r="P992">
        <v>0</v>
      </c>
      <c r="Q992">
        <v>9</v>
      </c>
      <c r="R992">
        <v>2</v>
      </c>
      <c r="S992">
        <v>8</v>
      </c>
      <c r="T992">
        <v>4</v>
      </c>
      <c r="U992">
        <v>7</v>
      </c>
      <c r="V992" t="s">
        <v>52</v>
      </c>
      <c r="W992" s="1" t="s">
        <v>506</v>
      </c>
      <c r="Y992" t="s">
        <v>54</v>
      </c>
      <c r="Z992" t="s">
        <v>47</v>
      </c>
      <c r="AA992">
        <v>5</v>
      </c>
      <c r="AB992">
        <v>0</v>
      </c>
      <c r="AC992" t="s">
        <v>31</v>
      </c>
      <c r="AD992" t="s">
        <v>42</v>
      </c>
      <c r="AE992" t="s">
        <v>43</v>
      </c>
      <c r="AF992" s="3">
        <v>1395</v>
      </c>
      <c r="AG992" s="3">
        <v>61</v>
      </c>
      <c r="AH992">
        <v>80</v>
      </c>
      <c r="AI992">
        <v>4</v>
      </c>
      <c r="AJ992">
        <v>0</v>
      </c>
      <c r="AL992">
        <v>0</v>
      </c>
      <c r="AM992">
        <v>1</v>
      </c>
      <c r="AN992" t="s">
        <v>768</v>
      </c>
      <c r="AO992" t="s">
        <v>41</v>
      </c>
    </row>
    <row r="993" spans="1:41" x14ac:dyDescent="0.25">
      <c r="A993">
        <v>52</v>
      </c>
      <c r="B993" t="s">
        <v>32</v>
      </c>
      <c r="C993" t="s">
        <v>33</v>
      </c>
      <c r="D993">
        <v>7</v>
      </c>
      <c r="E993" t="s">
        <v>34</v>
      </c>
      <c r="F993">
        <v>3</v>
      </c>
      <c r="G993">
        <v>3</v>
      </c>
      <c r="H993" t="s">
        <v>89</v>
      </c>
      <c r="I993">
        <v>2</v>
      </c>
      <c r="J993" t="s">
        <v>36</v>
      </c>
      <c r="K993">
        <v>10445</v>
      </c>
      <c r="L993">
        <v>7</v>
      </c>
      <c r="M993" t="s">
        <v>41</v>
      </c>
      <c r="N993">
        <v>19</v>
      </c>
      <c r="O993">
        <v>3</v>
      </c>
      <c r="P993">
        <v>0</v>
      </c>
      <c r="Q993">
        <v>18</v>
      </c>
      <c r="R993">
        <v>4</v>
      </c>
      <c r="S993">
        <v>8</v>
      </c>
      <c r="T993">
        <v>4</v>
      </c>
      <c r="U993">
        <v>0</v>
      </c>
      <c r="V993" t="s">
        <v>52</v>
      </c>
      <c r="W993" s="2">
        <v>41308</v>
      </c>
      <c r="Y993" t="s">
        <v>39</v>
      </c>
      <c r="Z993" t="s">
        <v>40</v>
      </c>
      <c r="AA993">
        <v>0</v>
      </c>
      <c r="AB993">
        <v>3</v>
      </c>
      <c r="AC993" t="s">
        <v>31</v>
      </c>
      <c r="AD993" t="s">
        <v>67</v>
      </c>
      <c r="AE993" t="s">
        <v>60</v>
      </c>
      <c r="AF993" s="3">
        <v>1396</v>
      </c>
      <c r="AG993" s="3">
        <v>36</v>
      </c>
      <c r="AH993">
        <v>80</v>
      </c>
      <c r="AI993">
        <v>2</v>
      </c>
      <c r="AJ993">
        <v>0</v>
      </c>
      <c r="AL993">
        <v>0</v>
      </c>
      <c r="AM993">
        <v>1</v>
      </c>
      <c r="AN993" t="s">
        <v>768</v>
      </c>
      <c r="AO993" t="s">
        <v>41</v>
      </c>
    </row>
    <row r="994" spans="1:41" x14ac:dyDescent="0.25">
      <c r="A994">
        <v>38</v>
      </c>
      <c r="B994" t="s">
        <v>32</v>
      </c>
      <c r="C994" t="s">
        <v>55</v>
      </c>
      <c r="D994">
        <v>10</v>
      </c>
      <c r="E994" t="s">
        <v>34</v>
      </c>
      <c r="F994">
        <v>2</v>
      </c>
      <c r="G994">
        <v>3</v>
      </c>
      <c r="H994" t="s">
        <v>70</v>
      </c>
      <c r="I994">
        <v>3</v>
      </c>
      <c r="J994" t="s">
        <v>57</v>
      </c>
      <c r="K994">
        <v>8740</v>
      </c>
      <c r="L994">
        <v>0</v>
      </c>
      <c r="M994" t="s">
        <v>31</v>
      </c>
      <c r="N994">
        <v>14</v>
      </c>
      <c r="O994">
        <v>3</v>
      </c>
      <c r="P994">
        <v>2</v>
      </c>
      <c r="Q994">
        <v>9</v>
      </c>
      <c r="R994">
        <v>2</v>
      </c>
      <c r="S994">
        <v>8</v>
      </c>
      <c r="T994">
        <v>2</v>
      </c>
      <c r="U994">
        <v>7</v>
      </c>
      <c r="V994" t="s">
        <v>52</v>
      </c>
      <c r="W994" s="2">
        <v>41276</v>
      </c>
      <c r="Y994" t="s">
        <v>69</v>
      </c>
      <c r="Z994" t="s">
        <v>47</v>
      </c>
      <c r="AA994">
        <v>4</v>
      </c>
      <c r="AB994">
        <v>2</v>
      </c>
      <c r="AC994" t="s">
        <v>41</v>
      </c>
      <c r="AD994" t="s">
        <v>42</v>
      </c>
      <c r="AE994" t="s">
        <v>49</v>
      </c>
      <c r="AF994" s="3">
        <v>1397</v>
      </c>
      <c r="AG994" s="3">
        <v>71</v>
      </c>
      <c r="AH994">
        <v>80</v>
      </c>
      <c r="AI994">
        <v>4</v>
      </c>
      <c r="AJ994">
        <v>0</v>
      </c>
      <c r="AL994">
        <v>0</v>
      </c>
      <c r="AM994">
        <v>1</v>
      </c>
      <c r="AN994" t="s">
        <v>768</v>
      </c>
      <c r="AO994" t="s">
        <v>41</v>
      </c>
    </row>
    <row r="995" spans="1:41" x14ac:dyDescent="0.25">
      <c r="A995">
        <v>43</v>
      </c>
      <c r="B995" t="s">
        <v>66</v>
      </c>
      <c r="C995" t="s">
        <v>33</v>
      </c>
      <c r="D995">
        <v>27</v>
      </c>
      <c r="E995" t="s">
        <v>61</v>
      </c>
      <c r="F995">
        <v>3</v>
      </c>
      <c r="G995">
        <v>3</v>
      </c>
      <c r="H995" t="s">
        <v>78</v>
      </c>
      <c r="I995">
        <v>1</v>
      </c>
      <c r="J995" t="s">
        <v>51</v>
      </c>
      <c r="K995">
        <v>10820</v>
      </c>
      <c r="L995">
        <v>8</v>
      </c>
      <c r="M995" t="s">
        <v>41</v>
      </c>
      <c r="N995">
        <v>11</v>
      </c>
      <c r="O995">
        <v>3</v>
      </c>
      <c r="P995">
        <v>1</v>
      </c>
      <c r="Q995">
        <v>18</v>
      </c>
      <c r="R995">
        <v>1</v>
      </c>
      <c r="S995">
        <v>8</v>
      </c>
      <c r="T995">
        <v>0</v>
      </c>
      <c r="U995">
        <v>1</v>
      </c>
      <c r="V995" t="s">
        <v>72</v>
      </c>
      <c r="W995" s="1" t="s">
        <v>507</v>
      </c>
      <c r="Y995" t="s">
        <v>39</v>
      </c>
      <c r="Z995" t="s">
        <v>40</v>
      </c>
      <c r="AA995">
        <v>1</v>
      </c>
      <c r="AB995">
        <v>1</v>
      </c>
      <c r="AC995" t="s">
        <v>31</v>
      </c>
      <c r="AD995" t="s">
        <v>67</v>
      </c>
      <c r="AE995" t="s">
        <v>60</v>
      </c>
      <c r="AF995" s="3">
        <v>1399</v>
      </c>
      <c r="AG995" s="3">
        <v>93</v>
      </c>
      <c r="AH995">
        <v>80</v>
      </c>
      <c r="AI995">
        <v>2</v>
      </c>
      <c r="AJ995">
        <v>0</v>
      </c>
      <c r="AL995">
        <v>0</v>
      </c>
      <c r="AM995">
        <v>1</v>
      </c>
      <c r="AN995" t="s">
        <v>768</v>
      </c>
      <c r="AO995" t="s">
        <v>41</v>
      </c>
    </row>
    <row r="996" spans="1:41" x14ac:dyDescent="0.25">
      <c r="A996">
        <v>35</v>
      </c>
      <c r="B996" t="s">
        <v>32</v>
      </c>
      <c r="C996" t="s">
        <v>33</v>
      </c>
      <c r="D996">
        <v>1</v>
      </c>
      <c r="E996" t="s">
        <v>34</v>
      </c>
      <c r="F996">
        <v>2</v>
      </c>
      <c r="G996">
        <v>1</v>
      </c>
      <c r="H996" t="s">
        <v>35</v>
      </c>
      <c r="I996">
        <v>3</v>
      </c>
      <c r="J996" t="s">
        <v>51</v>
      </c>
      <c r="K996">
        <v>2258</v>
      </c>
      <c r="L996">
        <v>6</v>
      </c>
      <c r="M996" t="s">
        <v>41</v>
      </c>
      <c r="N996">
        <v>12</v>
      </c>
      <c r="O996">
        <v>3</v>
      </c>
      <c r="P996">
        <v>1</v>
      </c>
      <c r="Q996">
        <v>10</v>
      </c>
      <c r="R996">
        <v>2</v>
      </c>
      <c r="S996">
        <v>8</v>
      </c>
      <c r="T996">
        <v>1</v>
      </c>
      <c r="U996">
        <v>7</v>
      </c>
      <c r="V996" t="s">
        <v>52</v>
      </c>
      <c r="W996" s="1" t="s">
        <v>508</v>
      </c>
      <c r="Y996" t="s">
        <v>46</v>
      </c>
      <c r="Z996" t="s">
        <v>47</v>
      </c>
      <c r="AA996">
        <v>0</v>
      </c>
      <c r="AB996">
        <v>3</v>
      </c>
      <c r="AC996" t="s">
        <v>31</v>
      </c>
      <c r="AD996" t="s">
        <v>67</v>
      </c>
      <c r="AE996" t="s">
        <v>43</v>
      </c>
      <c r="AF996" s="3">
        <v>1401</v>
      </c>
      <c r="AG996" s="3">
        <v>59</v>
      </c>
      <c r="AH996">
        <v>80</v>
      </c>
      <c r="AI996">
        <v>3</v>
      </c>
      <c r="AJ996">
        <v>0</v>
      </c>
      <c r="AL996">
        <v>0</v>
      </c>
      <c r="AM996">
        <v>1</v>
      </c>
      <c r="AN996" t="s">
        <v>768</v>
      </c>
      <c r="AO996" t="s">
        <v>41</v>
      </c>
    </row>
    <row r="997" spans="1:41" x14ac:dyDescent="0.25">
      <c r="A997">
        <v>26</v>
      </c>
      <c r="B997" t="s">
        <v>32</v>
      </c>
      <c r="C997" t="s">
        <v>33</v>
      </c>
      <c r="D997">
        <v>3</v>
      </c>
      <c r="E997" t="s">
        <v>34</v>
      </c>
      <c r="F997">
        <v>4</v>
      </c>
      <c r="G997">
        <v>1</v>
      </c>
      <c r="H997" t="s">
        <v>35</v>
      </c>
      <c r="I997">
        <v>4</v>
      </c>
      <c r="J997" t="s">
        <v>51</v>
      </c>
      <c r="K997">
        <v>4420</v>
      </c>
      <c r="L997">
        <v>1</v>
      </c>
      <c r="M997" t="s">
        <v>41</v>
      </c>
      <c r="N997">
        <v>22</v>
      </c>
      <c r="O997">
        <v>4</v>
      </c>
      <c r="P997">
        <v>1</v>
      </c>
      <c r="Q997">
        <v>8</v>
      </c>
      <c r="R997">
        <v>2</v>
      </c>
      <c r="S997">
        <v>8</v>
      </c>
      <c r="T997">
        <v>0</v>
      </c>
      <c r="U997">
        <v>7</v>
      </c>
      <c r="V997" t="s">
        <v>58</v>
      </c>
      <c r="W997" s="1" t="s">
        <v>503</v>
      </c>
      <c r="Y997" t="s">
        <v>69</v>
      </c>
      <c r="Z997" t="s">
        <v>40</v>
      </c>
      <c r="AA997">
        <v>0</v>
      </c>
      <c r="AB997">
        <v>0</v>
      </c>
      <c r="AC997" t="s">
        <v>31</v>
      </c>
      <c r="AD997" t="s">
        <v>48</v>
      </c>
      <c r="AE997" t="s">
        <v>43</v>
      </c>
      <c r="AF997" s="3">
        <v>1402</v>
      </c>
      <c r="AG997" s="3">
        <v>73</v>
      </c>
      <c r="AH997">
        <v>80</v>
      </c>
      <c r="AI997">
        <v>7</v>
      </c>
      <c r="AJ997">
        <v>0</v>
      </c>
      <c r="AL997">
        <v>0</v>
      </c>
      <c r="AM997">
        <v>1</v>
      </c>
      <c r="AN997" t="s">
        <v>768</v>
      </c>
      <c r="AO997" t="s">
        <v>41</v>
      </c>
    </row>
    <row r="998" spans="1:41" x14ac:dyDescent="0.25">
      <c r="A998">
        <v>32</v>
      </c>
      <c r="B998" t="s">
        <v>66</v>
      </c>
      <c r="C998" t="s">
        <v>33</v>
      </c>
      <c r="D998">
        <v>2</v>
      </c>
      <c r="E998" t="s">
        <v>61</v>
      </c>
      <c r="F998">
        <v>3</v>
      </c>
      <c r="G998">
        <v>2</v>
      </c>
      <c r="H998" t="s">
        <v>44</v>
      </c>
      <c r="I998">
        <v>3</v>
      </c>
      <c r="J998" t="s">
        <v>36</v>
      </c>
      <c r="K998">
        <v>4998</v>
      </c>
      <c r="L998">
        <v>4</v>
      </c>
      <c r="M998" t="s">
        <v>31</v>
      </c>
      <c r="N998">
        <v>14</v>
      </c>
      <c r="O998">
        <v>3</v>
      </c>
      <c r="P998">
        <v>0</v>
      </c>
      <c r="Q998">
        <v>10</v>
      </c>
      <c r="R998">
        <v>2</v>
      </c>
      <c r="S998">
        <v>8</v>
      </c>
      <c r="T998">
        <v>0</v>
      </c>
      <c r="U998">
        <v>7</v>
      </c>
      <c r="V998" t="s">
        <v>52</v>
      </c>
      <c r="W998" s="2">
        <v>41522</v>
      </c>
      <c r="Y998" t="s">
        <v>39</v>
      </c>
      <c r="Z998" t="s">
        <v>40</v>
      </c>
      <c r="AA998">
        <v>1</v>
      </c>
      <c r="AB998">
        <v>3</v>
      </c>
      <c r="AC998" t="s">
        <v>31</v>
      </c>
      <c r="AD998" t="s">
        <v>48</v>
      </c>
      <c r="AE998" t="s">
        <v>43</v>
      </c>
      <c r="AF998" s="3">
        <v>1403</v>
      </c>
      <c r="AG998" s="3">
        <v>98</v>
      </c>
      <c r="AH998">
        <v>80</v>
      </c>
      <c r="AI998">
        <v>2</v>
      </c>
      <c r="AJ998">
        <v>0</v>
      </c>
      <c r="AL998">
        <v>0</v>
      </c>
      <c r="AM998">
        <v>1</v>
      </c>
      <c r="AN998" t="s">
        <v>768</v>
      </c>
      <c r="AO998" t="s">
        <v>41</v>
      </c>
    </row>
    <row r="999" spans="1:41" x14ac:dyDescent="0.25">
      <c r="A999">
        <v>43</v>
      </c>
      <c r="B999" t="s">
        <v>32</v>
      </c>
      <c r="C999" t="s">
        <v>33</v>
      </c>
      <c r="D999">
        <v>3</v>
      </c>
      <c r="E999" t="s">
        <v>34</v>
      </c>
      <c r="F999">
        <v>1</v>
      </c>
      <c r="G999">
        <v>5</v>
      </c>
      <c r="H999" t="s">
        <v>50</v>
      </c>
      <c r="I999">
        <v>4</v>
      </c>
      <c r="J999" t="s">
        <v>51</v>
      </c>
      <c r="K999">
        <v>19740</v>
      </c>
      <c r="L999">
        <v>3</v>
      </c>
      <c r="M999" t="s">
        <v>41</v>
      </c>
      <c r="N999">
        <v>14</v>
      </c>
      <c r="O999">
        <v>3</v>
      </c>
      <c r="P999">
        <v>1</v>
      </c>
      <c r="Q999">
        <v>25</v>
      </c>
      <c r="R999">
        <v>2</v>
      </c>
      <c r="S999">
        <v>8</v>
      </c>
      <c r="T999">
        <v>0</v>
      </c>
      <c r="U999">
        <v>7</v>
      </c>
      <c r="V999" t="s">
        <v>52</v>
      </c>
      <c r="W999" s="2">
        <v>41550</v>
      </c>
      <c r="Y999" t="s">
        <v>63</v>
      </c>
      <c r="Z999" t="s">
        <v>40</v>
      </c>
      <c r="AA999">
        <v>2</v>
      </c>
      <c r="AB999">
        <v>0</v>
      </c>
      <c r="AC999" t="s">
        <v>31</v>
      </c>
      <c r="AD999" t="s">
        <v>48</v>
      </c>
      <c r="AE999" t="s">
        <v>49</v>
      </c>
      <c r="AF999" s="3">
        <v>1405</v>
      </c>
      <c r="AG999" s="3">
        <v>51</v>
      </c>
      <c r="AH999">
        <v>80</v>
      </c>
      <c r="AI999">
        <v>2</v>
      </c>
      <c r="AJ999">
        <v>1</v>
      </c>
      <c r="AK999">
        <v>1</v>
      </c>
      <c r="AL999">
        <v>1</v>
      </c>
      <c r="AM999">
        <v>0</v>
      </c>
      <c r="AN999" t="s">
        <v>767</v>
      </c>
      <c r="AO999" t="s">
        <v>31</v>
      </c>
    </row>
    <row r="1000" spans="1:41" x14ac:dyDescent="0.25">
      <c r="A1000">
        <v>26</v>
      </c>
      <c r="B1000" t="s">
        <v>32</v>
      </c>
      <c r="C1000" t="s">
        <v>33</v>
      </c>
      <c r="D1000">
        <v>4</v>
      </c>
      <c r="E1000" t="s">
        <v>34</v>
      </c>
      <c r="F1000">
        <v>3</v>
      </c>
      <c r="G1000">
        <v>1</v>
      </c>
      <c r="H1000" t="s">
        <v>44</v>
      </c>
      <c r="I1000">
        <v>4</v>
      </c>
      <c r="J1000" t="s">
        <v>36</v>
      </c>
      <c r="K1000">
        <v>2875</v>
      </c>
      <c r="L1000">
        <v>1</v>
      </c>
      <c r="M1000" t="s">
        <v>31</v>
      </c>
      <c r="N1000">
        <v>20</v>
      </c>
      <c r="O1000">
        <v>4</v>
      </c>
      <c r="P1000">
        <v>0</v>
      </c>
      <c r="Q1000">
        <v>8</v>
      </c>
      <c r="R1000">
        <v>2</v>
      </c>
      <c r="S1000">
        <v>8</v>
      </c>
      <c r="T1000">
        <v>2</v>
      </c>
      <c r="U1000">
        <v>2</v>
      </c>
      <c r="V1000" t="s">
        <v>37</v>
      </c>
      <c r="W1000" s="1" t="s">
        <v>509</v>
      </c>
      <c r="Y1000" t="s">
        <v>63</v>
      </c>
      <c r="Z1000" t="s">
        <v>47</v>
      </c>
      <c r="AA1000">
        <v>0</v>
      </c>
      <c r="AB1000">
        <v>3</v>
      </c>
      <c r="AC1000" t="s">
        <v>31</v>
      </c>
      <c r="AD1000" t="s">
        <v>48</v>
      </c>
      <c r="AE1000" t="s">
        <v>43</v>
      </c>
      <c r="AF1000" s="3">
        <v>1407</v>
      </c>
      <c r="AG1000" s="3">
        <v>36</v>
      </c>
      <c r="AH1000">
        <v>80</v>
      </c>
      <c r="AI1000">
        <v>3</v>
      </c>
      <c r="AJ1000">
        <v>0</v>
      </c>
      <c r="AL1000">
        <v>0</v>
      </c>
      <c r="AM1000">
        <v>1</v>
      </c>
      <c r="AN1000" t="s">
        <v>768</v>
      </c>
      <c r="AO1000" t="s">
        <v>41</v>
      </c>
    </row>
    <row r="1001" spans="1:41" x14ac:dyDescent="0.25">
      <c r="A1001">
        <v>30</v>
      </c>
      <c r="B1001" t="s">
        <v>81</v>
      </c>
      <c r="C1001" t="s">
        <v>33</v>
      </c>
      <c r="D1001">
        <v>9</v>
      </c>
      <c r="E1001" t="s">
        <v>61</v>
      </c>
      <c r="F1001">
        <v>3</v>
      </c>
      <c r="G1001">
        <v>2</v>
      </c>
      <c r="H1001" t="s">
        <v>78</v>
      </c>
      <c r="I1001">
        <v>3</v>
      </c>
      <c r="J1001" t="s">
        <v>36</v>
      </c>
      <c r="K1001">
        <v>4695</v>
      </c>
      <c r="L1001">
        <v>7</v>
      </c>
      <c r="M1001" t="s">
        <v>31</v>
      </c>
      <c r="N1001">
        <v>18</v>
      </c>
      <c r="O1001">
        <v>3</v>
      </c>
      <c r="P1001">
        <v>0</v>
      </c>
      <c r="Q1001">
        <v>10</v>
      </c>
      <c r="R1001">
        <v>3</v>
      </c>
      <c r="S1001">
        <v>8</v>
      </c>
      <c r="T1001">
        <v>1</v>
      </c>
      <c r="U1001">
        <v>7</v>
      </c>
      <c r="V1001" t="s">
        <v>58</v>
      </c>
      <c r="W1001" s="2">
        <v>41522</v>
      </c>
      <c r="Y1001" t="s">
        <v>46</v>
      </c>
      <c r="Z1001" t="s">
        <v>40</v>
      </c>
      <c r="AA1001">
        <v>4</v>
      </c>
      <c r="AB1001">
        <v>1</v>
      </c>
      <c r="AC1001" t="s">
        <v>41</v>
      </c>
      <c r="AD1001" t="s">
        <v>42</v>
      </c>
      <c r="AE1001" t="s">
        <v>60</v>
      </c>
      <c r="AF1001" s="3">
        <v>1408</v>
      </c>
      <c r="AG1001" s="3">
        <v>31</v>
      </c>
      <c r="AH1001">
        <v>80</v>
      </c>
      <c r="AI1001">
        <v>7</v>
      </c>
      <c r="AJ1001">
        <v>0</v>
      </c>
      <c r="AL1001">
        <v>0</v>
      </c>
      <c r="AM1001">
        <v>1</v>
      </c>
      <c r="AN1001" t="s">
        <v>768</v>
      </c>
      <c r="AO1001" t="s">
        <v>41</v>
      </c>
    </row>
    <row r="1002" spans="1:41" x14ac:dyDescent="0.25">
      <c r="A1002">
        <v>52</v>
      </c>
      <c r="B1002" t="s">
        <v>32</v>
      </c>
      <c r="C1002" t="s">
        <v>55</v>
      </c>
      <c r="D1002">
        <v>5</v>
      </c>
      <c r="E1002" t="s">
        <v>34</v>
      </c>
      <c r="F1002">
        <v>3</v>
      </c>
      <c r="G1002">
        <v>3</v>
      </c>
      <c r="H1002" t="s">
        <v>70</v>
      </c>
      <c r="I1002">
        <v>2</v>
      </c>
      <c r="J1002" t="s">
        <v>36</v>
      </c>
      <c r="K1002">
        <v>8446</v>
      </c>
      <c r="L1002">
        <v>9</v>
      </c>
      <c r="M1002" t="s">
        <v>31</v>
      </c>
      <c r="N1002">
        <v>19</v>
      </c>
      <c r="O1002">
        <v>3</v>
      </c>
      <c r="P1002">
        <v>0</v>
      </c>
      <c r="Q1002">
        <v>10</v>
      </c>
      <c r="R1002">
        <v>2</v>
      </c>
      <c r="S1002">
        <v>8</v>
      </c>
      <c r="T1002">
        <v>7</v>
      </c>
      <c r="U1002">
        <v>7</v>
      </c>
      <c r="V1002" t="s">
        <v>58</v>
      </c>
      <c r="W1002" s="1" t="s">
        <v>474</v>
      </c>
      <c r="Y1002" t="s">
        <v>39</v>
      </c>
      <c r="Z1002" t="s">
        <v>40</v>
      </c>
      <c r="AA1002">
        <v>4</v>
      </c>
      <c r="AB1002">
        <v>0</v>
      </c>
      <c r="AC1002" t="s">
        <v>31</v>
      </c>
      <c r="AD1002" t="s">
        <v>42</v>
      </c>
      <c r="AE1002" t="s">
        <v>60</v>
      </c>
      <c r="AF1002" s="3">
        <v>1955</v>
      </c>
      <c r="AG1002" s="3">
        <v>34</v>
      </c>
      <c r="AH1002">
        <v>80</v>
      </c>
      <c r="AI1002">
        <v>1</v>
      </c>
      <c r="AJ1002">
        <v>0</v>
      </c>
      <c r="AL1002">
        <v>0</v>
      </c>
      <c r="AM1002">
        <v>1</v>
      </c>
      <c r="AN1002" t="s">
        <v>768</v>
      </c>
      <c r="AO1002" t="s">
        <v>41</v>
      </c>
    </row>
    <row r="1003" spans="1:41" x14ac:dyDescent="0.25">
      <c r="A1003">
        <v>39</v>
      </c>
      <c r="B1003" t="s">
        <v>32</v>
      </c>
      <c r="C1003" t="s">
        <v>33</v>
      </c>
      <c r="D1003">
        <v>18</v>
      </c>
      <c r="E1003" t="s">
        <v>34</v>
      </c>
      <c r="F1003">
        <v>3</v>
      </c>
      <c r="G1003">
        <v>2</v>
      </c>
      <c r="H1003" t="s">
        <v>78</v>
      </c>
      <c r="I1003">
        <v>3</v>
      </c>
      <c r="J1003" t="s">
        <v>36</v>
      </c>
      <c r="K1003">
        <v>4534</v>
      </c>
      <c r="L1003">
        <v>0</v>
      </c>
      <c r="M1003" t="s">
        <v>41</v>
      </c>
      <c r="N1003">
        <v>11</v>
      </c>
      <c r="O1003">
        <v>3</v>
      </c>
      <c r="P1003">
        <v>0</v>
      </c>
      <c r="Q1003">
        <v>9</v>
      </c>
      <c r="R1003">
        <v>6</v>
      </c>
      <c r="S1003">
        <v>8</v>
      </c>
      <c r="T1003">
        <v>1</v>
      </c>
      <c r="U1003">
        <v>7</v>
      </c>
      <c r="V1003" t="s">
        <v>37</v>
      </c>
      <c r="W1003" s="2">
        <v>41334</v>
      </c>
      <c r="Y1003" t="s">
        <v>54</v>
      </c>
      <c r="Z1003" t="s">
        <v>40</v>
      </c>
      <c r="AA1003">
        <v>3</v>
      </c>
      <c r="AB1003">
        <v>0</v>
      </c>
      <c r="AC1003" t="s">
        <v>31</v>
      </c>
      <c r="AD1003" t="s">
        <v>42</v>
      </c>
      <c r="AE1003" t="s">
        <v>43</v>
      </c>
      <c r="AF1003" s="3">
        <v>1662</v>
      </c>
      <c r="AG1003" s="3">
        <v>33</v>
      </c>
      <c r="AH1003">
        <v>80</v>
      </c>
      <c r="AI1003">
        <v>2</v>
      </c>
      <c r="AJ1003">
        <v>0</v>
      </c>
      <c r="AL1003">
        <v>0</v>
      </c>
      <c r="AM1003">
        <v>1</v>
      </c>
      <c r="AN1003" t="s">
        <v>768</v>
      </c>
      <c r="AO1003" t="s">
        <v>41</v>
      </c>
    </row>
    <row r="1004" spans="1:41" x14ac:dyDescent="0.25">
      <c r="A1004">
        <v>34</v>
      </c>
      <c r="B1004" t="s">
        <v>32</v>
      </c>
      <c r="C1004" t="s">
        <v>33</v>
      </c>
      <c r="D1004">
        <v>29</v>
      </c>
      <c r="E1004" t="s">
        <v>34</v>
      </c>
      <c r="F1004">
        <v>3</v>
      </c>
      <c r="G1004">
        <v>2</v>
      </c>
      <c r="H1004" t="s">
        <v>35</v>
      </c>
      <c r="I1004">
        <v>3</v>
      </c>
      <c r="J1004" t="s">
        <v>51</v>
      </c>
      <c r="K1004">
        <v>5429</v>
      </c>
      <c r="L1004">
        <v>4</v>
      </c>
      <c r="M1004" t="s">
        <v>41</v>
      </c>
      <c r="N1004">
        <v>13</v>
      </c>
      <c r="O1004">
        <v>3</v>
      </c>
      <c r="P1004">
        <v>2</v>
      </c>
      <c r="Q1004">
        <v>10</v>
      </c>
      <c r="R1004">
        <v>1</v>
      </c>
      <c r="S1004">
        <v>8</v>
      </c>
      <c r="T1004">
        <v>7</v>
      </c>
      <c r="U1004">
        <v>7</v>
      </c>
      <c r="V1004" t="s">
        <v>37</v>
      </c>
      <c r="W1004" s="2">
        <v>41279</v>
      </c>
      <c r="Y1004" t="s">
        <v>63</v>
      </c>
      <c r="Z1004" t="s">
        <v>40</v>
      </c>
      <c r="AA1004">
        <v>3</v>
      </c>
      <c r="AB1004">
        <v>1</v>
      </c>
      <c r="AC1004" t="s">
        <v>41</v>
      </c>
      <c r="AD1004" t="s">
        <v>48</v>
      </c>
      <c r="AE1004" t="s">
        <v>60</v>
      </c>
      <c r="AF1004" s="3">
        <v>1630</v>
      </c>
      <c r="AG1004" s="3">
        <v>52</v>
      </c>
      <c r="AH1004">
        <v>80</v>
      </c>
      <c r="AI1004">
        <v>11</v>
      </c>
      <c r="AJ1004">
        <v>0</v>
      </c>
      <c r="AL1004">
        <v>0</v>
      </c>
      <c r="AM1004">
        <v>1</v>
      </c>
      <c r="AN1004" t="s">
        <v>768</v>
      </c>
      <c r="AO1004" t="s">
        <v>41</v>
      </c>
    </row>
    <row r="1005" spans="1:41" x14ac:dyDescent="0.25">
      <c r="A1005">
        <v>27</v>
      </c>
      <c r="B1005" t="s">
        <v>32</v>
      </c>
      <c r="C1005" t="s">
        <v>33</v>
      </c>
      <c r="D1005">
        <v>17</v>
      </c>
      <c r="E1005" t="s">
        <v>61</v>
      </c>
      <c r="F1005">
        <v>3</v>
      </c>
      <c r="G1005">
        <v>1</v>
      </c>
      <c r="H1005" t="s">
        <v>44</v>
      </c>
      <c r="I1005">
        <v>3</v>
      </c>
      <c r="J1005" t="s">
        <v>36</v>
      </c>
      <c r="K1005">
        <v>2394</v>
      </c>
      <c r="L1005">
        <v>1</v>
      </c>
      <c r="M1005" t="s">
        <v>31</v>
      </c>
      <c r="N1005">
        <v>13</v>
      </c>
      <c r="O1005">
        <v>3</v>
      </c>
      <c r="P1005">
        <v>0</v>
      </c>
      <c r="Q1005">
        <v>8</v>
      </c>
      <c r="R1005">
        <v>2</v>
      </c>
      <c r="S1005">
        <v>8</v>
      </c>
      <c r="T1005">
        <v>7</v>
      </c>
      <c r="U1005">
        <v>7</v>
      </c>
      <c r="V1005" t="s">
        <v>72</v>
      </c>
      <c r="W1005" s="2">
        <v>41366</v>
      </c>
      <c r="Y1005" t="s">
        <v>63</v>
      </c>
      <c r="Z1005" t="s">
        <v>47</v>
      </c>
      <c r="AA1005">
        <v>1</v>
      </c>
      <c r="AB1005">
        <v>0</v>
      </c>
      <c r="AC1005" t="s">
        <v>31</v>
      </c>
      <c r="AD1005" t="s">
        <v>67</v>
      </c>
      <c r="AE1005" t="s">
        <v>43</v>
      </c>
      <c r="AF1005" s="3">
        <v>2000</v>
      </c>
      <c r="AG1005" s="3">
        <v>98</v>
      </c>
      <c r="AH1005">
        <v>80</v>
      </c>
      <c r="AI1005">
        <v>8</v>
      </c>
      <c r="AJ1005">
        <v>0</v>
      </c>
      <c r="AL1005">
        <v>0</v>
      </c>
      <c r="AM1005">
        <v>1</v>
      </c>
      <c r="AN1005" t="s">
        <v>768</v>
      </c>
      <c r="AO1005" t="s">
        <v>41</v>
      </c>
    </row>
    <row r="1006" spans="1:41" x14ac:dyDescent="0.25">
      <c r="A1006">
        <v>29</v>
      </c>
      <c r="B1006" t="s">
        <v>66</v>
      </c>
      <c r="C1006" t="s">
        <v>33</v>
      </c>
      <c r="D1006">
        <v>14</v>
      </c>
      <c r="E1006" t="s">
        <v>61</v>
      </c>
      <c r="F1006">
        <v>3</v>
      </c>
      <c r="G1006">
        <v>3</v>
      </c>
      <c r="H1006" t="s">
        <v>89</v>
      </c>
      <c r="I1006">
        <v>4</v>
      </c>
      <c r="J1006" t="s">
        <v>36</v>
      </c>
      <c r="K1006">
        <v>7553</v>
      </c>
      <c r="L1006">
        <v>0</v>
      </c>
      <c r="M1006" t="s">
        <v>31</v>
      </c>
      <c r="N1006">
        <v>12</v>
      </c>
      <c r="O1006">
        <v>3</v>
      </c>
      <c r="P1006">
        <v>0</v>
      </c>
      <c r="Q1006">
        <v>9</v>
      </c>
      <c r="R1006">
        <v>1</v>
      </c>
      <c r="S1006">
        <v>8</v>
      </c>
      <c r="T1006">
        <v>7</v>
      </c>
      <c r="U1006">
        <v>7</v>
      </c>
      <c r="V1006" t="s">
        <v>52</v>
      </c>
      <c r="W1006" s="1" t="s">
        <v>492</v>
      </c>
      <c r="Y1006" t="s">
        <v>46</v>
      </c>
      <c r="Z1006" t="s">
        <v>47</v>
      </c>
      <c r="AA1006">
        <v>1</v>
      </c>
      <c r="AB1006">
        <v>2</v>
      </c>
      <c r="AC1006" t="s">
        <v>31</v>
      </c>
      <c r="AD1006" t="s">
        <v>67</v>
      </c>
      <c r="AE1006" t="s">
        <v>60</v>
      </c>
      <c r="AF1006" s="3">
        <v>1839</v>
      </c>
      <c r="AG1006" s="3">
        <v>33</v>
      </c>
      <c r="AH1006">
        <v>80</v>
      </c>
      <c r="AI1006">
        <v>0</v>
      </c>
      <c r="AJ1006">
        <v>0</v>
      </c>
      <c r="AL1006">
        <v>0</v>
      </c>
      <c r="AM1006">
        <v>1</v>
      </c>
      <c r="AN1006" t="s">
        <v>768</v>
      </c>
      <c r="AO1006" t="s">
        <v>41</v>
      </c>
    </row>
    <row r="1007" spans="1:41" x14ac:dyDescent="0.25">
      <c r="A1007">
        <v>40</v>
      </c>
      <c r="B1007" t="s">
        <v>81</v>
      </c>
      <c r="C1007" t="s">
        <v>33</v>
      </c>
      <c r="D1007">
        <v>9</v>
      </c>
      <c r="E1007" t="s">
        <v>34</v>
      </c>
      <c r="F1007">
        <v>3</v>
      </c>
      <c r="G1007">
        <v>2</v>
      </c>
      <c r="H1007" t="s">
        <v>35</v>
      </c>
      <c r="I1007">
        <v>3</v>
      </c>
      <c r="J1007" t="s">
        <v>57</v>
      </c>
      <c r="K1007">
        <v>3975</v>
      </c>
      <c r="L1007">
        <v>3</v>
      </c>
      <c r="M1007" t="s">
        <v>41</v>
      </c>
      <c r="N1007">
        <v>11</v>
      </c>
      <c r="O1007">
        <v>3</v>
      </c>
      <c r="P1007">
        <v>2</v>
      </c>
      <c r="Q1007">
        <v>11</v>
      </c>
      <c r="R1007">
        <v>2</v>
      </c>
      <c r="S1007">
        <v>8</v>
      </c>
      <c r="T1007">
        <v>0</v>
      </c>
      <c r="U1007">
        <v>7</v>
      </c>
      <c r="V1007" t="s">
        <v>58</v>
      </c>
      <c r="W1007" s="2">
        <v>41459</v>
      </c>
      <c r="Y1007" t="s">
        <v>46</v>
      </c>
      <c r="Z1007" t="s">
        <v>40</v>
      </c>
      <c r="AA1007">
        <v>4</v>
      </c>
      <c r="AB1007">
        <v>3</v>
      </c>
      <c r="AC1007" t="s">
        <v>31</v>
      </c>
      <c r="AD1007" t="s">
        <v>67</v>
      </c>
      <c r="AE1007" t="s">
        <v>60</v>
      </c>
      <c r="AF1007" s="3">
        <v>1929</v>
      </c>
      <c r="AG1007" s="3">
        <v>32</v>
      </c>
      <c r="AH1007">
        <v>80</v>
      </c>
      <c r="AI1007">
        <v>2</v>
      </c>
      <c r="AJ1007">
        <v>0</v>
      </c>
      <c r="AL1007">
        <v>0</v>
      </c>
      <c r="AM1007">
        <v>1</v>
      </c>
      <c r="AN1007" t="s">
        <v>768</v>
      </c>
      <c r="AO1007" t="s">
        <v>41</v>
      </c>
    </row>
    <row r="1008" spans="1:41" x14ac:dyDescent="0.25">
      <c r="A1008">
        <v>49</v>
      </c>
      <c r="B1008" t="s">
        <v>32</v>
      </c>
      <c r="C1008" t="s">
        <v>33</v>
      </c>
      <c r="D1008">
        <v>7</v>
      </c>
      <c r="E1008" t="s">
        <v>34</v>
      </c>
      <c r="F1008">
        <v>3</v>
      </c>
      <c r="G1008">
        <v>3</v>
      </c>
      <c r="H1008" t="s">
        <v>89</v>
      </c>
      <c r="I1008">
        <v>2</v>
      </c>
      <c r="J1008" t="s">
        <v>57</v>
      </c>
      <c r="K1008">
        <v>10466</v>
      </c>
      <c r="L1008">
        <v>3</v>
      </c>
      <c r="M1008" t="s">
        <v>41</v>
      </c>
      <c r="N1008">
        <v>14</v>
      </c>
      <c r="O1008">
        <v>3</v>
      </c>
      <c r="P1008">
        <v>2</v>
      </c>
      <c r="Q1008">
        <v>29</v>
      </c>
      <c r="R1008">
        <v>3</v>
      </c>
      <c r="S1008">
        <v>8</v>
      </c>
      <c r="T1008">
        <v>0</v>
      </c>
      <c r="U1008">
        <v>7</v>
      </c>
      <c r="V1008" t="s">
        <v>58</v>
      </c>
      <c r="W1008" s="2">
        <v>41611</v>
      </c>
      <c r="Y1008" t="s">
        <v>46</v>
      </c>
      <c r="Z1008" t="s">
        <v>40</v>
      </c>
      <c r="AA1008">
        <v>4</v>
      </c>
      <c r="AB1008">
        <v>0</v>
      </c>
      <c r="AC1008" t="s">
        <v>31</v>
      </c>
      <c r="AD1008" t="s">
        <v>48</v>
      </c>
      <c r="AE1008" t="s">
        <v>43</v>
      </c>
      <c r="AF1008" s="3">
        <v>1495</v>
      </c>
      <c r="AG1008" s="3">
        <v>78</v>
      </c>
      <c r="AH1008">
        <v>80</v>
      </c>
      <c r="AI1008">
        <v>0</v>
      </c>
      <c r="AJ1008">
        <v>0</v>
      </c>
      <c r="AL1008">
        <v>0</v>
      </c>
      <c r="AM1008">
        <v>1</v>
      </c>
      <c r="AN1008" t="s">
        <v>768</v>
      </c>
      <c r="AO1008" t="s">
        <v>41</v>
      </c>
    </row>
    <row r="1009" spans="1:41" x14ac:dyDescent="0.25">
      <c r="A1009">
        <v>28</v>
      </c>
      <c r="B1009" t="s">
        <v>32</v>
      </c>
      <c r="C1009" t="s">
        <v>33</v>
      </c>
      <c r="D1009">
        <v>29</v>
      </c>
      <c r="E1009" t="s">
        <v>34</v>
      </c>
      <c r="F1009">
        <v>1</v>
      </c>
      <c r="G1009">
        <v>2</v>
      </c>
      <c r="H1009" t="s">
        <v>78</v>
      </c>
      <c r="I1009">
        <v>2</v>
      </c>
      <c r="J1009" t="s">
        <v>51</v>
      </c>
      <c r="K1009">
        <v>6549</v>
      </c>
      <c r="L1009">
        <v>1</v>
      </c>
      <c r="M1009" t="s">
        <v>41</v>
      </c>
      <c r="N1009">
        <v>14</v>
      </c>
      <c r="O1009">
        <v>3</v>
      </c>
      <c r="P1009">
        <v>2</v>
      </c>
      <c r="Q1009">
        <v>8</v>
      </c>
      <c r="R1009">
        <v>2</v>
      </c>
      <c r="S1009">
        <v>8</v>
      </c>
      <c r="T1009">
        <v>1</v>
      </c>
      <c r="U1009">
        <v>7</v>
      </c>
      <c r="V1009" t="s">
        <v>58</v>
      </c>
      <c r="W1009" s="2">
        <v>41614</v>
      </c>
      <c r="Y1009" t="s">
        <v>39</v>
      </c>
      <c r="Z1009" t="s">
        <v>40</v>
      </c>
      <c r="AA1009">
        <v>3</v>
      </c>
      <c r="AB1009">
        <v>2</v>
      </c>
      <c r="AC1009" t="s">
        <v>31</v>
      </c>
      <c r="AD1009" t="s">
        <v>42</v>
      </c>
      <c r="AE1009" t="s">
        <v>60</v>
      </c>
      <c r="AF1009" s="3">
        <v>1756</v>
      </c>
      <c r="AG1009" s="3">
        <v>62</v>
      </c>
      <c r="AH1009">
        <v>80</v>
      </c>
      <c r="AI1009">
        <v>7</v>
      </c>
      <c r="AJ1009">
        <v>0</v>
      </c>
      <c r="AL1009">
        <v>0</v>
      </c>
      <c r="AM1009">
        <v>1</v>
      </c>
      <c r="AN1009" t="s">
        <v>768</v>
      </c>
      <c r="AO1009" t="s">
        <v>41</v>
      </c>
    </row>
    <row r="1010" spans="1:41" x14ac:dyDescent="0.25">
      <c r="A1010">
        <v>40</v>
      </c>
      <c r="B1010" t="s">
        <v>32</v>
      </c>
      <c r="C1010" t="s">
        <v>55</v>
      </c>
      <c r="D1010">
        <v>9</v>
      </c>
      <c r="E1010" t="s">
        <v>34</v>
      </c>
      <c r="F1010">
        <v>3</v>
      </c>
      <c r="G1010">
        <v>2</v>
      </c>
      <c r="H1010" t="s">
        <v>70</v>
      </c>
      <c r="I1010">
        <v>1</v>
      </c>
      <c r="J1010" t="s">
        <v>51</v>
      </c>
      <c r="K1010">
        <v>5473</v>
      </c>
      <c r="L1010">
        <v>0</v>
      </c>
      <c r="M1010" t="s">
        <v>41</v>
      </c>
      <c r="N1010">
        <v>12</v>
      </c>
      <c r="O1010">
        <v>3</v>
      </c>
      <c r="P1010">
        <v>0</v>
      </c>
      <c r="Q1010">
        <v>9</v>
      </c>
      <c r="R1010">
        <v>5</v>
      </c>
      <c r="S1010">
        <v>8</v>
      </c>
      <c r="T1010">
        <v>7</v>
      </c>
      <c r="U1010">
        <v>1</v>
      </c>
      <c r="V1010" t="s">
        <v>52</v>
      </c>
      <c r="W1010" s="1" t="s">
        <v>510</v>
      </c>
      <c r="Y1010" t="s">
        <v>54</v>
      </c>
      <c r="Z1010" t="s">
        <v>47</v>
      </c>
      <c r="AA1010">
        <v>4</v>
      </c>
      <c r="AB1010">
        <v>0</v>
      </c>
      <c r="AC1010" t="s">
        <v>31</v>
      </c>
      <c r="AD1010" t="s">
        <v>42</v>
      </c>
      <c r="AE1010" t="s">
        <v>49</v>
      </c>
      <c r="AF1010" s="3">
        <v>1900</v>
      </c>
      <c r="AG1010" s="3">
        <v>58</v>
      </c>
      <c r="AH1010">
        <v>80</v>
      </c>
      <c r="AI1010">
        <v>17</v>
      </c>
      <c r="AJ1010">
        <v>0</v>
      </c>
      <c r="AL1010">
        <v>0</v>
      </c>
      <c r="AM1010">
        <v>1</v>
      </c>
      <c r="AN1010" t="s">
        <v>768</v>
      </c>
      <c r="AO1010" t="s">
        <v>41</v>
      </c>
    </row>
    <row r="1011" spans="1:41" x14ac:dyDescent="0.25">
      <c r="A1011">
        <v>48</v>
      </c>
      <c r="B1011" t="s">
        <v>32</v>
      </c>
      <c r="C1011" t="s">
        <v>55</v>
      </c>
      <c r="D1011">
        <v>16</v>
      </c>
      <c r="E1011" t="s">
        <v>61</v>
      </c>
      <c r="F1011">
        <v>3</v>
      </c>
      <c r="G1011">
        <v>2</v>
      </c>
      <c r="H1011" t="s">
        <v>70</v>
      </c>
      <c r="I1011">
        <v>3</v>
      </c>
      <c r="J1011" t="s">
        <v>57</v>
      </c>
      <c r="K1011">
        <v>6439</v>
      </c>
      <c r="L1011">
        <v>8</v>
      </c>
      <c r="M1011" t="s">
        <v>41</v>
      </c>
      <c r="N1011">
        <v>14</v>
      </c>
      <c r="O1011">
        <v>3</v>
      </c>
      <c r="P1011">
        <v>1</v>
      </c>
      <c r="Q1011">
        <v>18</v>
      </c>
      <c r="R1011">
        <v>2</v>
      </c>
      <c r="S1011">
        <v>8</v>
      </c>
      <c r="T1011">
        <v>7</v>
      </c>
      <c r="U1011">
        <v>7</v>
      </c>
      <c r="V1011" t="s">
        <v>58</v>
      </c>
      <c r="W1011" s="1" t="s">
        <v>502</v>
      </c>
      <c r="Y1011" t="s">
        <v>69</v>
      </c>
      <c r="Z1011" t="s">
        <v>40</v>
      </c>
      <c r="AA1011">
        <v>5</v>
      </c>
      <c r="AB1011">
        <v>1</v>
      </c>
      <c r="AC1011" t="s">
        <v>41</v>
      </c>
      <c r="AD1011" t="s">
        <v>65</v>
      </c>
      <c r="AE1011" t="s">
        <v>49</v>
      </c>
      <c r="AF1011" s="3">
        <v>2025</v>
      </c>
      <c r="AG1011" s="3">
        <v>97</v>
      </c>
      <c r="AH1011">
        <v>80</v>
      </c>
      <c r="AI1011">
        <v>2</v>
      </c>
      <c r="AJ1011">
        <v>0</v>
      </c>
      <c r="AL1011">
        <v>0</v>
      </c>
      <c r="AM1011">
        <v>1</v>
      </c>
      <c r="AN1011" t="s">
        <v>768</v>
      </c>
      <c r="AO1011" t="s">
        <v>41</v>
      </c>
    </row>
    <row r="1012" spans="1:41" x14ac:dyDescent="0.25">
      <c r="A1012">
        <v>48</v>
      </c>
      <c r="B1012" t="s">
        <v>32</v>
      </c>
      <c r="C1012" t="s">
        <v>33</v>
      </c>
      <c r="D1012">
        <v>15</v>
      </c>
      <c r="E1012" t="s">
        <v>61</v>
      </c>
      <c r="F1012">
        <v>3</v>
      </c>
      <c r="G1012">
        <v>1</v>
      </c>
      <c r="H1012" t="s">
        <v>44</v>
      </c>
      <c r="I1012">
        <v>1</v>
      </c>
      <c r="J1012" t="s">
        <v>51</v>
      </c>
      <c r="K1012">
        <v>2367</v>
      </c>
      <c r="L1012">
        <v>8</v>
      </c>
      <c r="M1012" t="s">
        <v>41</v>
      </c>
      <c r="N1012">
        <v>12</v>
      </c>
      <c r="O1012">
        <v>3</v>
      </c>
      <c r="P1012">
        <v>1</v>
      </c>
      <c r="Q1012">
        <v>10</v>
      </c>
      <c r="R1012">
        <v>3</v>
      </c>
      <c r="S1012">
        <v>8</v>
      </c>
      <c r="T1012">
        <v>7</v>
      </c>
      <c r="U1012">
        <v>6</v>
      </c>
      <c r="V1012" t="s">
        <v>72</v>
      </c>
      <c r="W1012" s="1" t="s">
        <v>511</v>
      </c>
      <c r="Y1012" t="s">
        <v>39</v>
      </c>
      <c r="Z1012" t="s">
        <v>40</v>
      </c>
      <c r="AA1012">
        <v>0</v>
      </c>
      <c r="AB1012">
        <v>1</v>
      </c>
      <c r="AC1012" t="s">
        <v>31</v>
      </c>
      <c r="AD1012" t="s">
        <v>48</v>
      </c>
      <c r="AE1012" t="s">
        <v>49</v>
      </c>
      <c r="AF1012" s="3">
        <v>1760</v>
      </c>
      <c r="AG1012" s="3">
        <v>75</v>
      </c>
      <c r="AH1012">
        <v>80</v>
      </c>
      <c r="AI1012">
        <v>1</v>
      </c>
      <c r="AJ1012">
        <v>0</v>
      </c>
      <c r="AL1012">
        <v>0</v>
      </c>
      <c r="AM1012">
        <v>1</v>
      </c>
      <c r="AN1012" t="s">
        <v>768</v>
      </c>
      <c r="AO1012" t="s">
        <v>41</v>
      </c>
    </row>
    <row r="1013" spans="1:41" x14ac:dyDescent="0.25">
      <c r="A1013">
        <v>34</v>
      </c>
      <c r="B1013" t="s">
        <v>66</v>
      </c>
      <c r="C1013" t="s">
        <v>33</v>
      </c>
      <c r="D1013">
        <v>10</v>
      </c>
      <c r="E1013" t="s">
        <v>34</v>
      </c>
      <c r="F1013">
        <v>2</v>
      </c>
      <c r="G1013">
        <v>2</v>
      </c>
      <c r="H1013" t="s">
        <v>89</v>
      </c>
      <c r="I1013">
        <v>3</v>
      </c>
      <c r="J1013" t="s">
        <v>51</v>
      </c>
      <c r="K1013">
        <v>5063</v>
      </c>
      <c r="L1013">
        <v>1</v>
      </c>
      <c r="M1013" t="s">
        <v>41</v>
      </c>
      <c r="N1013">
        <v>14</v>
      </c>
      <c r="O1013">
        <v>3</v>
      </c>
      <c r="P1013">
        <v>1</v>
      </c>
      <c r="Q1013">
        <v>8</v>
      </c>
      <c r="R1013">
        <v>3</v>
      </c>
      <c r="S1013">
        <v>8</v>
      </c>
      <c r="T1013">
        <v>7</v>
      </c>
      <c r="U1013">
        <v>7</v>
      </c>
      <c r="V1013" t="s">
        <v>52</v>
      </c>
      <c r="W1013" s="2">
        <v>41335</v>
      </c>
      <c r="Y1013" t="s">
        <v>46</v>
      </c>
      <c r="Z1013" t="s">
        <v>40</v>
      </c>
      <c r="AA1013">
        <v>5</v>
      </c>
      <c r="AB1013">
        <v>0</v>
      </c>
      <c r="AC1013" t="s">
        <v>41</v>
      </c>
      <c r="AD1013" t="s">
        <v>48</v>
      </c>
      <c r="AE1013" t="s">
        <v>60</v>
      </c>
      <c r="AF1013" s="3">
        <v>1870</v>
      </c>
      <c r="AG1013" s="3">
        <v>77</v>
      </c>
      <c r="AH1013">
        <v>80</v>
      </c>
      <c r="AI1013">
        <v>6</v>
      </c>
      <c r="AJ1013">
        <v>0</v>
      </c>
      <c r="AL1013">
        <v>0</v>
      </c>
      <c r="AM1013">
        <v>1</v>
      </c>
      <c r="AN1013" t="s">
        <v>768</v>
      </c>
      <c r="AO1013" t="s">
        <v>41</v>
      </c>
    </row>
    <row r="1014" spans="1:41" x14ac:dyDescent="0.25">
      <c r="A1014">
        <v>37</v>
      </c>
      <c r="B1014" t="s">
        <v>32</v>
      </c>
      <c r="C1014" t="s">
        <v>33</v>
      </c>
      <c r="D1014">
        <v>10</v>
      </c>
      <c r="E1014" t="s">
        <v>61</v>
      </c>
      <c r="F1014">
        <v>3</v>
      </c>
      <c r="G1014">
        <v>1</v>
      </c>
      <c r="H1014" t="s">
        <v>44</v>
      </c>
      <c r="I1014">
        <v>2</v>
      </c>
      <c r="J1014" t="s">
        <v>51</v>
      </c>
      <c r="K1014">
        <v>3936</v>
      </c>
      <c r="L1014">
        <v>1</v>
      </c>
      <c r="M1014" t="s">
        <v>41</v>
      </c>
      <c r="N1014">
        <v>11</v>
      </c>
      <c r="O1014">
        <v>3</v>
      </c>
      <c r="P1014">
        <v>1</v>
      </c>
      <c r="Q1014">
        <v>8</v>
      </c>
      <c r="R1014">
        <v>2</v>
      </c>
      <c r="S1014">
        <v>8</v>
      </c>
      <c r="T1014">
        <v>7</v>
      </c>
      <c r="U1014">
        <v>7</v>
      </c>
      <c r="V1014" t="s">
        <v>52</v>
      </c>
      <c r="W1014" s="1" t="s">
        <v>473</v>
      </c>
      <c r="Y1014" t="s">
        <v>69</v>
      </c>
      <c r="Z1014" t="s">
        <v>47</v>
      </c>
      <c r="AA1014">
        <v>1</v>
      </c>
      <c r="AB1014">
        <v>1</v>
      </c>
      <c r="AC1014" t="s">
        <v>41</v>
      </c>
      <c r="AD1014" t="s">
        <v>67</v>
      </c>
      <c r="AE1014" t="s">
        <v>60</v>
      </c>
      <c r="AF1014" s="3">
        <v>1985</v>
      </c>
      <c r="AG1014" s="3">
        <v>73</v>
      </c>
      <c r="AH1014">
        <v>80</v>
      </c>
      <c r="AI1014">
        <v>9</v>
      </c>
      <c r="AJ1014">
        <v>0</v>
      </c>
      <c r="AL1014">
        <v>0</v>
      </c>
      <c r="AM1014">
        <v>1</v>
      </c>
      <c r="AN1014" t="s">
        <v>768</v>
      </c>
      <c r="AO1014" t="s">
        <v>41</v>
      </c>
    </row>
    <row r="1015" spans="1:41" x14ac:dyDescent="0.25">
      <c r="A1015">
        <v>49</v>
      </c>
      <c r="B1015" t="s">
        <v>32</v>
      </c>
      <c r="C1015" t="s">
        <v>33</v>
      </c>
      <c r="D1015">
        <v>1</v>
      </c>
      <c r="E1015" t="s">
        <v>34</v>
      </c>
      <c r="F1015">
        <v>3</v>
      </c>
      <c r="G1015">
        <v>4</v>
      </c>
      <c r="H1015" t="s">
        <v>75</v>
      </c>
      <c r="I1015">
        <v>3</v>
      </c>
      <c r="J1015" t="s">
        <v>36</v>
      </c>
      <c r="K1015">
        <v>15379</v>
      </c>
      <c r="L1015">
        <v>4</v>
      </c>
      <c r="M1015" t="s">
        <v>41</v>
      </c>
      <c r="N1015">
        <v>14</v>
      </c>
      <c r="O1015">
        <v>3</v>
      </c>
      <c r="P1015">
        <v>0</v>
      </c>
      <c r="Q1015">
        <v>23</v>
      </c>
      <c r="R1015">
        <v>2</v>
      </c>
      <c r="S1015">
        <v>8</v>
      </c>
      <c r="T1015">
        <v>0</v>
      </c>
      <c r="U1015">
        <v>0</v>
      </c>
      <c r="V1015" t="s">
        <v>58</v>
      </c>
      <c r="W1015" s="2">
        <v>41614</v>
      </c>
      <c r="Y1015" t="s">
        <v>54</v>
      </c>
      <c r="Z1015" t="s">
        <v>40</v>
      </c>
      <c r="AA1015">
        <v>3</v>
      </c>
      <c r="AB1015">
        <v>0</v>
      </c>
      <c r="AC1015" t="s">
        <v>31</v>
      </c>
      <c r="AD1015" t="s">
        <v>48</v>
      </c>
      <c r="AE1015" t="s">
        <v>43</v>
      </c>
      <c r="AF1015" s="3">
        <v>1513</v>
      </c>
      <c r="AG1015" s="3">
        <v>97</v>
      </c>
      <c r="AH1015">
        <v>80</v>
      </c>
      <c r="AI1015">
        <v>2</v>
      </c>
      <c r="AJ1015">
        <v>0</v>
      </c>
      <c r="AL1015">
        <v>0</v>
      </c>
      <c r="AM1015">
        <v>1</v>
      </c>
      <c r="AN1015" t="s">
        <v>768</v>
      </c>
      <c r="AO1015" t="s">
        <v>41</v>
      </c>
    </row>
    <row r="1016" spans="1:41" x14ac:dyDescent="0.25">
      <c r="A1016">
        <v>44</v>
      </c>
      <c r="B1016" t="s">
        <v>32</v>
      </c>
      <c r="C1016" t="s">
        <v>33</v>
      </c>
      <c r="D1016">
        <v>2</v>
      </c>
      <c r="E1016" t="s">
        <v>61</v>
      </c>
      <c r="F1016">
        <v>4</v>
      </c>
      <c r="G1016">
        <v>3</v>
      </c>
      <c r="H1016" t="s">
        <v>89</v>
      </c>
      <c r="I1016">
        <v>4</v>
      </c>
      <c r="J1016" t="s">
        <v>51</v>
      </c>
      <c r="K1016">
        <v>7879</v>
      </c>
      <c r="L1016">
        <v>1</v>
      </c>
      <c r="M1016" t="s">
        <v>31</v>
      </c>
      <c r="N1016">
        <v>19</v>
      </c>
      <c r="O1016">
        <v>3</v>
      </c>
      <c r="P1016">
        <v>1</v>
      </c>
      <c r="Q1016">
        <v>9</v>
      </c>
      <c r="R1016">
        <v>2</v>
      </c>
      <c r="S1016">
        <v>8</v>
      </c>
      <c r="T1016">
        <v>6</v>
      </c>
      <c r="U1016">
        <v>7</v>
      </c>
      <c r="V1016" t="s">
        <v>37</v>
      </c>
      <c r="W1016" s="1" t="s">
        <v>486</v>
      </c>
      <c r="Y1016" t="s">
        <v>63</v>
      </c>
      <c r="Z1016" t="s">
        <v>47</v>
      </c>
      <c r="AA1016">
        <v>3</v>
      </c>
      <c r="AB1016">
        <v>3</v>
      </c>
      <c r="AC1016" t="s">
        <v>41</v>
      </c>
      <c r="AD1016" t="s">
        <v>42</v>
      </c>
      <c r="AE1016" t="s">
        <v>49</v>
      </c>
      <c r="AF1016" s="3">
        <v>1633</v>
      </c>
      <c r="AG1016" s="3">
        <v>81</v>
      </c>
      <c r="AH1016">
        <v>80</v>
      </c>
      <c r="AI1016">
        <v>2</v>
      </c>
      <c r="AJ1016">
        <v>0</v>
      </c>
      <c r="AL1016">
        <v>0</v>
      </c>
      <c r="AM1016">
        <v>1</v>
      </c>
      <c r="AN1016" t="s">
        <v>768</v>
      </c>
      <c r="AO1016" t="s">
        <v>41</v>
      </c>
    </row>
    <row r="1017" spans="1:41" x14ac:dyDescent="0.25">
      <c r="A1017">
        <v>45</v>
      </c>
      <c r="B1017" t="s">
        <v>81</v>
      </c>
      <c r="C1017" t="s">
        <v>55</v>
      </c>
      <c r="D1017">
        <v>2</v>
      </c>
      <c r="E1017" t="s">
        <v>61</v>
      </c>
      <c r="F1017">
        <v>3</v>
      </c>
      <c r="G1017">
        <v>2</v>
      </c>
      <c r="H1017" t="s">
        <v>70</v>
      </c>
      <c r="I1017">
        <v>3</v>
      </c>
      <c r="J1017" t="s">
        <v>51</v>
      </c>
      <c r="K1017">
        <v>5154</v>
      </c>
      <c r="L1017">
        <v>4</v>
      </c>
      <c r="M1017" t="s">
        <v>41</v>
      </c>
      <c r="N1017">
        <v>22</v>
      </c>
      <c r="O1017">
        <v>4</v>
      </c>
      <c r="P1017">
        <v>2</v>
      </c>
      <c r="Q1017">
        <v>10</v>
      </c>
      <c r="R1017">
        <v>3</v>
      </c>
      <c r="S1017">
        <v>8</v>
      </c>
      <c r="T1017">
        <v>5</v>
      </c>
      <c r="U1017">
        <v>7</v>
      </c>
      <c r="V1017" t="s">
        <v>52</v>
      </c>
      <c r="W1017" s="1" t="s">
        <v>512</v>
      </c>
      <c r="Y1017" t="s">
        <v>39</v>
      </c>
      <c r="Z1017" t="s">
        <v>40</v>
      </c>
      <c r="AA1017">
        <v>4</v>
      </c>
      <c r="AB1017">
        <v>2</v>
      </c>
      <c r="AC1017" t="s">
        <v>31</v>
      </c>
      <c r="AD1017" t="s">
        <v>65</v>
      </c>
      <c r="AE1017" t="s">
        <v>49</v>
      </c>
      <c r="AF1017" s="3">
        <v>1480</v>
      </c>
      <c r="AG1017" s="3">
        <v>74</v>
      </c>
      <c r="AH1017">
        <v>80</v>
      </c>
      <c r="AI1017">
        <v>9</v>
      </c>
      <c r="AJ1017">
        <v>0</v>
      </c>
      <c r="AL1017">
        <v>0</v>
      </c>
      <c r="AM1017">
        <v>1</v>
      </c>
      <c r="AN1017" t="s">
        <v>768</v>
      </c>
      <c r="AO1017" t="s">
        <v>41</v>
      </c>
    </row>
    <row r="1018" spans="1:41" x14ac:dyDescent="0.25">
      <c r="A1018">
        <v>46</v>
      </c>
      <c r="B1018" t="s">
        <v>32</v>
      </c>
      <c r="C1018" t="s">
        <v>55</v>
      </c>
      <c r="D1018">
        <v>10</v>
      </c>
      <c r="E1018" t="s">
        <v>61</v>
      </c>
      <c r="F1018">
        <v>3</v>
      </c>
      <c r="G1018">
        <v>3</v>
      </c>
      <c r="H1018" t="s">
        <v>70</v>
      </c>
      <c r="I1018">
        <v>2</v>
      </c>
      <c r="J1018" t="s">
        <v>51</v>
      </c>
      <c r="K1018">
        <v>7314</v>
      </c>
      <c r="L1018">
        <v>5</v>
      </c>
      <c r="M1018" t="s">
        <v>41</v>
      </c>
      <c r="N1018">
        <v>21</v>
      </c>
      <c r="O1018">
        <v>4</v>
      </c>
      <c r="P1018">
        <v>3</v>
      </c>
      <c r="Q1018">
        <v>14</v>
      </c>
      <c r="R1018">
        <v>2</v>
      </c>
      <c r="S1018">
        <v>8</v>
      </c>
      <c r="T1018">
        <v>0</v>
      </c>
      <c r="U1018">
        <v>7</v>
      </c>
      <c r="V1018" t="s">
        <v>52</v>
      </c>
      <c r="W1018" s="1" t="s">
        <v>513</v>
      </c>
      <c r="Y1018" t="s">
        <v>39</v>
      </c>
      <c r="Z1018" t="s">
        <v>40</v>
      </c>
      <c r="AA1018">
        <v>5</v>
      </c>
      <c r="AB1018">
        <v>0</v>
      </c>
      <c r="AC1018" t="s">
        <v>31</v>
      </c>
      <c r="AD1018" t="s">
        <v>67</v>
      </c>
      <c r="AE1018" t="s">
        <v>49</v>
      </c>
      <c r="AF1018" s="3">
        <v>1745</v>
      </c>
      <c r="AG1018" s="3">
        <v>78</v>
      </c>
      <c r="AH1018">
        <v>80</v>
      </c>
      <c r="AI1018">
        <v>7</v>
      </c>
      <c r="AJ1018">
        <v>0</v>
      </c>
      <c r="AL1018">
        <v>0</v>
      </c>
      <c r="AM1018">
        <v>1</v>
      </c>
      <c r="AN1018" t="s">
        <v>768</v>
      </c>
      <c r="AO1018" t="s">
        <v>41</v>
      </c>
    </row>
    <row r="1019" spans="1:41" x14ac:dyDescent="0.25">
      <c r="A1019">
        <v>27</v>
      </c>
      <c r="B1019" t="s">
        <v>32</v>
      </c>
      <c r="C1019" t="s">
        <v>55</v>
      </c>
      <c r="D1019">
        <v>2</v>
      </c>
      <c r="E1019" t="s">
        <v>61</v>
      </c>
      <c r="F1019">
        <v>4</v>
      </c>
      <c r="G1019">
        <v>2</v>
      </c>
      <c r="H1019" t="s">
        <v>70</v>
      </c>
      <c r="I1019">
        <v>3</v>
      </c>
      <c r="J1019" t="s">
        <v>36</v>
      </c>
      <c r="K1019">
        <v>6500</v>
      </c>
      <c r="L1019">
        <v>0</v>
      </c>
      <c r="M1019" t="s">
        <v>41</v>
      </c>
      <c r="N1019">
        <v>14</v>
      </c>
      <c r="O1019">
        <v>3</v>
      </c>
      <c r="P1019">
        <v>0</v>
      </c>
      <c r="Q1019">
        <v>9</v>
      </c>
      <c r="R1019">
        <v>5</v>
      </c>
      <c r="S1019">
        <v>8</v>
      </c>
      <c r="T1019">
        <v>0</v>
      </c>
      <c r="U1019">
        <v>7</v>
      </c>
      <c r="V1019" t="s">
        <v>72</v>
      </c>
      <c r="W1019" s="1" t="s">
        <v>496</v>
      </c>
      <c r="Y1019" t="s">
        <v>54</v>
      </c>
      <c r="Z1019" t="s">
        <v>47</v>
      </c>
      <c r="AA1019">
        <v>1</v>
      </c>
      <c r="AB1019">
        <v>0</v>
      </c>
      <c r="AC1019" t="s">
        <v>31</v>
      </c>
      <c r="AD1019" t="s">
        <v>48</v>
      </c>
      <c r="AE1019" t="s">
        <v>43</v>
      </c>
      <c r="AF1019" s="3">
        <v>1481</v>
      </c>
      <c r="AG1019" s="3">
        <v>79</v>
      </c>
      <c r="AH1019">
        <v>80</v>
      </c>
      <c r="AI1019">
        <v>0</v>
      </c>
      <c r="AJ1019">
        <v>0</v>
      </c>
      <c r="AL1019">
        <v>0</v>
      </c>
      <c r="AM1019">
        <v>1</v>
      </c>
      <c r="AN1019" t="s">
        <v>768</v>
      </c>
      <c r="AO1019" t="s">
        <v>41</v>
      </c>
    </row>
    <row r="1020" spans="1:41" x14ac:dyDescent="0.25">
      <c r="A1020">
        <v>47</v>
      </c>
      <c r="B1020" t="s">
        <v>81</v>
      </c>
      <c r="C1020" t="s">
        <v>33</v>
      </c>
      <c r="D1020">
        <v>14</v>
      </c>
      <c r="E1020" t="s">
        <v>34</v>
      </c>
      <c r="F1020">
        <v>3</v>
      </c>
      <c r="G1020">
        <v>2</v>
      </c>
      <c r="H1020" t="s">
        <v>44</v>
      </c>
      <c r="I1020">
        <v>2</v>
      </c>
      <c r="J1020" t="s">
        <v>51</v>
      </c>
      <c r="K1020">
        <v>5467</v>
      </c>
      <c r="L1020">
        <v>8</v>
      </c>
      <c r="M1020" t="s">
        <v>41</v>
      </c>
      <c r="N1020">
        <v>18</v>
      </c>
      <c r="O1020">
        <v>3</v>
      </c>
      <c r="P1020">
        <v>1</v>
      </c>
      <c r="Q1020">
        <v>16</v>
      </c>
      <c r="R1020">
        <v>4</v>
      </c>
      <c r="S1020">
        <v>8</v>
      </c>
      <c r="T1020">
        <v>1</v>
      </c>
      <c r="U1020">
        <v>7</v>
      </c>
      <c r="V1020" t="s">
        <v>52</v>
      </c>
      <c r="W1020" s="1" t="s">
        <v>514</v>
      </c>
      <c r="Y1020" t="s">
        <v>69</v>
      </c>
      <c r="Z1020" t="s">
        <v>47</v>
      </c>
      <c r="AA1020">
        <v>0</v>
      </c>
      <c r="AB1020">
        <v>0</v>
      </c>
      <c r="AC1020" t="s">
        <v>41</v>
      </c>
      <c r="AD1020" t="s">
        <v>65</v>
      </c>
      <c r="AE1020" t="s">
        <v>49</v>
      </c>
      <c r="AF1020" s="3">
        <v>1833</v>
      </c>
      <c r="AG1020" s="3">
        <v>68</v>
      </c>
      <c r="AH1020">
        <v>80</v>
      </c>
      <c r="AI1020">
        <v>2</v>
      </c>
      <c r="AJ1020">
        <v>0</v>
      </c>
      <c r="AL1020">
        <v>0</v>
      </c>
      <c r="AM1020">
        <v>1</v>
      </c>
      <c r="AN1020" t="s">
        <v>768</v>
      </c>
      <c r="AO1020" t="s">
        <v>41</v>
      </c>
    </row>
    <row r="1021" spans="1:41" x14ac:dyDescent="0.25">
      <c r="A1021">
        <v>34</v>
      </c>
      <c r="B1021" t="s">
        <v>32</v>
      </c>
      <c r="C1021" t="s">
        <v>55</v>
      </c>
      <c r="D1021">
        <v>13</v>
      </c>
      <c r="E1021" t="s">
        <v>34</v>
      </c>
      <c r="F1021">
        <v>3</v>
      </c>
      <c r="G1021">
        <v>3</v>
      </c>
      <c r="H1021" t="s">
        <v>70</v>
      </c>
      <c r="I1021">
        <v>3</v>
      </c>
      <c r="J1021" t="s">
        <v>57</v>
      </c>
      <c r="K1021">
        <v>8628</v>
      </c>
      <c r="L1021">
        <v>1</v>
      </c>
      <c r="M1021" t="s">
        <v>41</v>
      </c>
      <c r="N1021">
        <v>18</v>
      </c>
      <c r="O1021">
        <v>3</v>
      </c>
      <c r="P1021">
        <v>1</v>
      </c>
      <c r="Q1021">
        <v>9</v>
      </c>
      <c r="R1021">
        <v>2</v>
      </c>
      <c r="S1021">
        <v>8</v>
      </c>
      <c r="T1021">
        <v>1</v>
      </c>
      <c r="U1021">
        <v>1</v>
      </c>
      <c r="V1021" t="s">
        <v>37</v>
      </c>
      <c r="W1021" s="2">
        <v>41311</v>
      </c>
      <c r="Y1021" t="s">
        <v>69</v>
      </c>
      <c r="Z1021" t="s">
        <v>40</v>
      </c>
      <c r="AA1021">
        <v>3</v>
      </c>
      <c r="AB1021">
        <v>1</v>
      </c>
      <c r="AC1021" t="s">
        <v>31</v>
      </c>
      <c r="AD1021" t="s">
        <v>48</v>
      </c>
      <c r="AE1021" t="s">
        <v>49</v>
      </c>
      <c r="AF1021" s="3">
        <v>1987</v>
      </c>
      <c r="AG1021" s="3">
        <v>82</v>
      </c>
      <c r="AH1021">
        <v>80</v>
      </c>
      <c r="AI1021">
        <v>0</v>
      </c>
      <c r="AJ1021">
        <v>0</v>
      </c>
      <c r="AL1021">
        <v>0</v>
      </c>
      <c r="AM1021">
        <v>1</v>
      </c>
      <c r="AN1021" t="s">
        <v>768</v>
      </c>
      <c r="AO1021" t="s">
        <v>41</v>
      </c>
    </row>
    <row r="1022" spans="1:41" x14ac:dyDescent="0.25">
      <c r="A1022">
        <v>38</v>
      </c>
      <c r="B1022" t="s">
        <v>66</v>
      </c>
      <c r="C1022" t="s">
        <v>33</v>
      </c>
      <c r="D1022">
        <v>6</v>
      </c>
      <c r="E1022" t="s">
        <v>34</v>
      </c>
      <c r="F1022">
        <v>2</v>
      </c>
      <c r="G1022">
        <v>2</v>
      </c>
      <c r="H1022" t="s">
        <v>78</v>
      </c>
      <c r="I1022">
        <v>3</v>
      </c>
      <c r="J1022" t="s">
        <v>51</v>
      </c>
      <c r="K1022">
        <v>5321</v>
      </c>
      <c r="L1022">
        <v>2</v>
      </c>
      <c r="M1022" t="s">
        <v>41</v>
      </c>
      <c r="N1022">
        <v>11</v>
      </c>
      <c r="O1022">
        <v>3</v>
      </c>
      <c r="P1022">
        <v>1</v>
      </c>
      <c r="Q1022">
        <v>10</v>
      </c>
      <c r="R1022">
        <v>1</v>
      </c>
      <c r="S1022">
        <v>8</v>
      </c>
      <c r="T1022">
        <v>7</v>
      </c>
      <c r="U1022">
        <v>7</v>
      </c>
      <c r="V1022" t="s">
        <v>52</v>
      </c>
      <c r="W1022" s="1" t="s">
        <v>503</v>
      </c>
      <c r="Y1022" t="s">
        <v>54</v>
      </c>
      <c r="Z1022" t="s">
        <v>40</v>
      </c>
      <c r="AA1022">
        <v>5</v>
      </c>
      <c r="AB1022">
        <v>0</v>
      </c>
      <c r="AC1022" t="s">
        <v>31</v>
      </c>
      <c r="AD1022" t="s">
        <v>67</v>
      </c>
      <c r="AE1022" t="s">
        <v>60</v>
      </c>
      <c r="AF1022" s="3">
        <v>1625</v>
      </c>
      <c r="AG1022" s="3">
        <v>98</v>
      </c>
      <c r="AH1022">
        <v>80</v>
      </c>
      <c r="AI1022">
        <v>2</v>
      </c>
      <c r="AJ1022">
        <v>0</v>
      </c>
      <c r="AL1022">
        <v>0</v>
      </c>
      <c r="AM1022">
        <v>1</v>
      </c>
      <c r="AN1022" t="s">
        <v>768</v>
      </c>
      <c r="AO1022" t="s">
        <v>41</v>
      </c>
    </row>
    <row r="1023" spans="1:41" x14ac:dyDescent="0.25">
      <c r="A1023">
        <v>34</v>
      </c>
      <c r="B1023" t="s">
        <v>32</v>
      </c>
      <c r="C1023" t="s">
        <v>55</v>
      </c>
      <c r="D1023">
        <v>28</v>
      </c>
      <c r="E1023" t="s">
        <v>61</v>
      </c>
      <c r="F1023">
        <v>2</v>
      </c>
      <c r="G1023">
        <v>2</v>
      </c>
      <c r="H1023" t="s">
        <v>70</v>
      </c>
      <c r="I1023">
        <v>3</v>
      </c>
      <c r="J1023" t="s">
        <v>51</v>
      </c>
      <c r="K1023">
        <v>6712</v>
      </c>
      <c r="L1023">
        <v>1</v>
      </c>
      <c r="M1023" t="s">
        <v>41</v>
      </c>
      <c r="N1023">
        <v>21</v>
      </c>
      <c r="O1023">
        <v>4</v>
      </c>
      <c r="P1023">
        <v>2</v>
      </c>
      <c r="Q1023">
        <v>8</v>
      </c>
      <c r="R1023">
        <v>2</v>
      </c>
      <c r="S1023">
        <v>8</v>
      </c>
      <c r="T1023">
        <v>1</v>
      </c>
      <c r="U1023">
        <v>7</v>
      </c>
      <c r="V1023" t="s">
        <v>52</v>
      </c>
      <c r="W1023" s="2">
        <v>41311</v>
      </c>
      <c r="Y1023" t="s">
        <v>63</v>
      </c>
      <c r="Z1023" t="s">
        <v>47</v>
      </c>
      <c r="AA1023">
        <v>0</v>
      </c>
      <c r="AB1023">
        <v>2</v>
      </c>
      <c r="AC1023" t="s">
        <v>31</v>
      </c>
      <c r="AD1023" t="s">
        <v>48</v>
      </c>
      <c r="AE1023" t="s">
        <v>43</v>
      </c>
      <c r="AF1023" s="3">
        <v>1461</v>
      </c>
      <c r="AG1023" s="3">
        <v>96</v>
      </c>
      <c r="AH1023">
        <v>80</v>
      </c>
      <c r="AI1023">
        <v>2</v>
      </c>
      <c r="AJ1023">
        <v>0</v>
      </c>
      <c r="AL1023">
        <v>0</v>
      </c>
      <c r="AM1023">
        <v>1</v>
      </c>
      <c r="AN1023" t="s">
        <v>768</v>
      </c>
      <c r="AO1023" t="s">
        <v>41</v>
      </c>
    </row>
    <row r="1024" spans="1:41" x14ac:dyDescent="0.25">
      <c r="A1024">
        <v>38</v>
      </c>
      <c r="B1024" t="s">
        <v>66</v>
      </c>
      <c r="C1024" t="s">
        <v>33</v>
      </c>
      <c r="D1024">
        <v>23</v>
      </c>
      <c r="E1024" t="s">
        <v>34</v>
      </c>
      <c r="F1024">
        <v>2</v>
      </c>
      <c r="G1024">
        <v>3</v>
      </c>
      <c r="H1024" t="s">
        <v>78</v>
      </c>
      <c r="I1024">
        <v>3</v>
      </c>
      <c r="J1024" t="s">
        <v>36</v>
      </c>
      <c r="K1024">
        <v>9526</v>
      </c>
      <c r="L1024">
        <v>0</v>
      </c>
      <c r="M1024" t="s">
        <v>41</v>
      </c>
      <c r="N1024">
        <v>21</v>
      </c>
      <c r="O1024">
        <v>4</v>
      </c>
      <c r="P1024">
        <v>0</v>
      </c>
      <c r="Q1024">
        <v>10</v>
      </c>
      <c r="R1024">
        <v>2</v>
      </c>
      <c r="S1024">
        <v>9</v>
      </c>
      <c r="T1024">
        <v>1</v>
      </c>
      <c r="U1024">
        <v>8</v>
      </c>
      <c r="V1024" t="s">
        <v>52</v>
      </c>
      <c r="W1024" s="1" t="s">
        <v>515</v>
      </c>
      <c r="Y1024" t="s">
        <v>46</v>
      </c>
      <c r="Z1024" t="s">
        <v>47</v>
      </c>
      <c r="AA1024">
        <v>2</v>
      </c>
      <c r="AB1024">
        <v>1</v>
      </c>
      <c r="AC1024" t="s">
        <v>41</v>
      </c>
      <c r="AD1024" t="s">
        <v>65</v>
      </c>
      <c r="AE1024" t="s">
        <v>43</v>
      </c>
      <c r="AF1024" s="3">
        <v>1916</v>
      </c>
      <c r="AG1024" s="3">
        <v>62</v>
      </c>
      <c r="AH1024">
        <v>80</v>
      </c>
      <c r="AI1024">
        <v>2</v>
      </c>
      <c r="AJ1024">
        <v>0</v>
      </c>
      <c r="AL1024">
        <v>0</v>
      </c>
      <c r="AM1024">
        <v>1</v>
      </c>
      <c r="AN1024" t="s">
        <v>768</v>
      </c>
      <c r="AO1024" t="s">
        <v>41</v>
      </c>
    </row>
    <row r="1025" spans="1:41" x14ac:dyDescent="0.25">
      <c r="A1025">
        <v>29</v>
      </c>
      <c r="B1025" t="s">
        <v>32</v>
      </c>
      <c r="C1025" t="s">
        <v>33</v>
      </c>
      <c r="D1025">
        <v>15</v>
      </c>
      <c r="E1025" t="s">
        <v>61</v>
      </c>
      <c r="F1025">
        <v>2</v>
      </c>
      <c r="G1025">
        <v>2</v>
      </c>
      <c r="H1025" t="s">
        <v>35</v>
      </c>
      <c r="I1025">
        <v>3</v>
      </c>
      <c r="J1025" t="s">
        <v>36</v>
      </c>
      <c r="K1025">
        <v>4193</v>
      </c>
      <c r="L1025">
        <v>0</v>
      </c>
      <c r="M1025" t="s">
        <v>31</v>
      </c>
      <c r="N1025">
        <v>12</v>
      </c>
      <c r="O1025">
        <v>3</v>
      </c>
      <c r="P1025">
        <v>0</v>
      </c>
      <c r="Q1025">
        <v>10</v>
      </c>
      <c r="R1025">
        <v>3</v>
      </c>
      <c r="S1025">
        <v>9</v>
      </c>
      <c r="T1025">
        <v>0</v>
      </c>
      <c r="U1025">
        <v>8</v>
      </c>
      <c r="V1025" t="s">
        <v>58</v>
      </c>
      <c r="W1025" s="1" t="s">
        <v>516</v>
      </c>
      <c r="Y1025" t="s">
        <v>46</v>
      </c>
      <c r="Z1025" t="s">
        <v>47</v>
      </c>
      <c r="AA1025">
        <v>5</v>
      </c>
      <c r="AB1025">
        <v>1</v>
      </c>
      <c r="AC1025" t="s">
        <v>31</v>
      </c>
      <c r="AD1025" t="s">
        <v>65</v>
      </c>
      <c r="AE1025" t="s">
        <v>60</v>
      </c>
      <c r="AF1025" s="3">
        <v>1829</v>
      </c>
      <c r="AG1025" s="3">
        <v>47</v>
      </c>
      <c r="AH1025">
        <v>80</v>
      </c>
      <c r="AI1025">
        <v>4</v>
      </c>
      <c r="AJ1025">
        <v>0</v>
      </c>
      <c r="AL1025">
        <v>0</v>
      </c>
      <c r="AM1025">
        <v>1</v>
      </c>
      <c r="AN1025" t="s">
        <v>768</v>
      </c>
      <c r="AO1025" t="s">
        <v>41</v>
      </c>
    </row>
    <row r="1026" spans="1:41" x14ac:dyDescent="0.25">
      <c r="A1026">
        <v>42</v>
      </c>
      <c r="B1026" t="s">
        <v>32</v>
      </c>
      <c r="C1026" t="s">
        <v>55</v>
      </c>
      <c r="D1026">
        <v>8</v>
      </c>
      <c r="E1026" t="s">
        <v>34</v>
      </c>
      <c r="F1026">
        <v>3</v>
      </c>
      <c r="G1026">
        <v>2</v>
      </c>
      <c r="H1026" t="s">
        <v>70</v>
      </c>
      <c r="I1026">
        <v>2</v>
      </c>
      <c r="J1026" t="s">
        <v>51</v>
      </c>
      <c r="K1026">
        <v>6825</v>
      </c>
      <c r="L1026">
        <v>0</v>
      </c>
      <c r="M1026" t="s">
        <v>41</v>
      </c>
      <c r="N1026">
        <v>11</v>
      </c>
      <c r="O1026">
        <v>3</v>
      </c>
      <c r="P1026">
        <v>1</v>
      </c>
      <c r="Q1026">
        <v>10</v>
      </c>
      <c r="R1026">
        <v>2</v>
      </c>
      <c r="S1026">
        <v>9</v>
      </c>
      <c r="T1026">
        <v>4</v>
      </c>
      <c r="U1026">
        <v>2</v>
      </c>
      <c r="V1026" t="s">
        <v>37</v>
      </c>
      <c r="W1026" s="1" t="s">
        <v>517</v>
      </c>
      <c r="Y1026" t="s">
        <v>69</v>
      </c>
      <c r="Z1026" t="s">
        <v>40</v>
      </c>
      <c r="AA1026">
        <v>0</v>
      </c>
      <c r="AB1026">
        <v>0</v>
      </c>
      <c r="AC1026" t="s">
        <v>41</v>
      </c>
      <c r="AD1026" t="s">
        <v>65</v>
      </c>
      <c r="AE1026" t="s">
        <v>60</v>
      </c>
      <c r="AF1026" s="3">
        <v>1822</v>
      </c>
      <c r="AG1026" s="3">
        <v>52</v>
      </c>
      <c r="AH1026">
        <v>80</v>
      </c>
      <c r="AI1026">
        <v>3</v>
      </c>
      <c r="AJ1026">
        <v>0</v>
      </c>
      <c r="AL1026">
        <v>0</v>
      </c>
      <c r="AM1026">
        <v>1</v>
      </c>
      <c r="AN1026" t="s">
        <v>768</v>
      </c>
      <c r="AO1026" t="s">
        <v>41</v>
      </c>
    </row>
    <row r="1027" spans="1:41" x14ac:dyDescent="0.25">
      <c r="A1027">
        <v>27</v>
      </c>
      <c r="B1027" t="s">
        <v>66</v>
      </c>
      <c r="C1027" t="s">
        <v>55</v>
      </c>
      <c r="D1027">
        <v>8</v>
      </c>
      <c r="E1027" t="s">
        <v>34</v>
      </c>
      <c r="F1027">
        <v>3</v>
      </c>
      <c r="G1027">
        <v>3</v>
      </c>
      <c r="H1027" t="s">
        <v>70</v>
      </c>
      <c r="I1027">
        <v>3</v>
      </c>
      <c r="J1027" t="s">
        <v>36</v>
      </c>
      <c r="K1027">
        <v>8726</v>
      </c>
      <c r="L1027">
        <v>1</v>
      </c>
      <c r="M1027" t="s">
        <v>41</v>
      </c>
      <c r="N1027">
        <v>15</v>
      </c>
      <c r="O1027">
        <v>3</v>
      </c>
      <c r="P1027">
        <v>0</v>
      </c>
      <c r="Q1027">
        <v>9</v>
      </c>
      <c r="R1027">
        <v>0</v>
      </c>
      <c r="S1027">
        <v>9</v>
      </c>
      <c r="T1027">
        <v>1</v>
      </c>
      <c r="U1027">
        <v>7</v>
      </c>
      <c r="V1027" t="s">
        <v>52</v>
      </c>
      <c r="W1027" s="2">
        <v>41185</v>
      </c>
      <c r="Y1027" t="s">
        <v>54</v>
      </c>
      <c r="Z1027" t="s">
        <v>47</v>
      </c>
      <c r="AA1027">
        <v>5</v>
      </c>
      <c r="AB1027">
        <v>1</v>
      </c>
      <c r="AC1027" t="s">
        <v>41</v>
      </c>
      <c r="AD1027" t="s">
        <v>48</v>
      </c>
      <c r="AE1027" t="s">
        <v>60</v>
      </c>
      <c r="AF1027" s="3">
        <v>1762</v>
      </c>
      <c r="AG1027" s="3">
        <v>91</v>
      </c>
      <c r="AH1027">
        <v>80</v>
      </c>
      <c r="AI1027">
        <v>0</v>
      </c>
      <c r="AJ1027">
        <v>0</v>
      </c>
      <c r="AL1027">
        <v>0</v>
      </c>
      <c r="AM1027">
        <v>1</v>
      </c>
      <c r="AN1027" t="s">
        <v>768</v>
      </c>
      <c r="AO1027" t="s">
        <v>41</v>
      </c>
    </row>
    <row r="1028" spans="1:41" x14ac:dyDescent="0.25">
      <c r="A1028">
        <v>34</v>
      </c>
      <c r="B1028" t="s">
        <v>81</v>
      </c>
      <c r="C1028" t="s">
        <v>55</v>
      </c>
      <c r="D1028">
        <v>23</v>
      </c>
      <c r="E1028" t="s">
        <v>34</v>
      </c>
      <c r="F1028">
        <v>3</v>
      </c>
      <c r="G1028">
        <v>2</v>
      </c>
      <c r="H1028" t="s">
        <v>70</v>
      </c>
      <c r="I1028">
        <v>3</v>
      </c>
      <c r="J1028" t="s">
        <v>36</v>
      </c>
      <c r="K1028">
        <v>4568</v>
      </c>
      <c r="L1028">
        <v>0</v>
      </c>
      <c r="M1028" t="s">
        <v>41</v>
      </c>
      <c r="N1028">
        <v>20</v>
      </c>
      <c r="O1028">
        <v>4</v>
      </c>
      <c r="P1028">
        <v>0</v>
      </c>
      <c r="Q1028">
        <v>10</v>
      </c>
      <c r="R1028">
        <v>2</v>
      </c>
      <c r="S1028">
        <v>9</v>
      </c>
      <c r="T1028">
        <v>8</v>
      </c>
      <c r="U1028">
        <v>7</v>
      </c>
      <c r="V1028" t="s">
        <v>72</v>
      </c>
      <c r="W1028" s="1" t="s">
        <v>518</v>
      </c>
      <c r="Y1028" t="s">
        <v>54</v>
      </c>
      <c r="Z1028" t="s">
        <v>47</v>
      </c>
      <c r="AA1028">
        <v>5</v>
      </c>
      <c r="AB1028">
        <v>3</v>
      </c>
      <c r="AC1028" t="s">
        <v>31</v>
      </c>
      <c r="AD1028" t="s">
        <v>67</v>
      </c>
      <c r="AE1028" t="s">
        <v>49</v>
      </c>
      <c r="AF1028" s="3">
        <v>1658</v>
      </c>
      <c r="AG1028" s="3">
        <v>66</v>
      </c>
      <c r="AH1028">
        <v>80</v>
      </c>
      <c r="AI1028">
        <v>8</v>
      </c>
      <c r="AJ1028">
        <v>0</v>
      </c>
      <c r="AL1028">
        <v>0</v>
      </c>
      <c r="AM1028">
        <v>1</v>
      </c>
      <c r="AN1028" t="s">
        <v>768</v>
      </c>
      <c r="AO1028" t="s">
        <v>41</v>
      </c>
    </row>
    <row r="1029" spans="1:41" x14ac:dyDescent="0.25">
      <c r="A1029">
        <v>46</v>
      </c>
      <c r="B1029" t="s">
        <v>66</v>
      </c>
      <c r="C1029" t="s">
        <v>55</v>
      </c>
      <c r="D1029">
        <v>5</v>
      </c>
      <c r="E1029" t="s">
        <v>34</v>
      </c>
      <c r="F1029">
        <v>3</v>
      </c>
      <c r="G1029">
        <v>2</v>
      </c>
      <c r="H1029" t="s">
        <v>70</v>
      </c>
      <c r="I1029">
        <v>4</v>
      </c>
      <c r="J1029" t="s">
        <v>36</v>
      </c>
      <c r="K1029">
        <v>5772</v>
      </c>
      <c r="L1029">
        <v>4</v>
      </c>
      <c r="M1029" t="s">
        <v>31</v>
      </c>
      <c r="N1029">
        <v>21</v>
      </c>
      <c r="O1029">
        <v>4</v>
      </c>
      <c r="P1029">
        <v>0</v>
      </c>
      <c r="Q1029">
        <v>14</v>
      </c>
      <c r="R1029">
        <v>4</v>
      </c>
      <c r="S1029">
        <v>9</v>
      </c>
      <c r="T1029">
        <v>0</v>
      </c>
      <c r="U1029">
        <v>8</v>
      </c>
      <c r="V1029" t="s">
        <v>72</v>
      </c>
      <c r="W1029" s="2">
        <v>40970</v>
      </c>
      <c r="Y1029" t="s">
        <v>54</v>
      </c>
      <c r="Z1029" t="s">
        <v>40</v>
      </c>
      <c r="AA1029">
        <v>4</v>
      </c>
      <c r="AB1029">
        <v>1</v>
      </c>
      <c r="AC1029" t="s">
        <v>31</v>
      </c>
      <c r="AD1029" t="s">
        <v>65</v>
      </c>
      <c r="AE1029" t="s">
        <v>43</v>
      </c>
      <c r="AF1029" s="3">
        <v>1635</v>
      </c>
      <c r="AG1029" s="3">
        <v>59</v>
      </c>
      <c r="AH1029">
        <v>80</v>
      </c>
      <c r="AI1029">
        <v>7</v>
      </c>
      <c r="AJ1029">
        <v>0</v>
      </c>
      <c r="AL1029">
        <v>0</v>
      </c>
      <c r="AM1029">
        <v>1</v>
      </c>
      <c r="AN1029" t="s">
        <v>768</v>
      </c>
      <c r="AO1029" t="s">
        <v>41</v>
      </c>
    </row>
    <row r="1030" spans="1:41" x14ac:dyDescent="0.25">
      <c r="A1030">
        <v>35</v>
      </c>
      <c r="B1030" t="s">
        <v>66</v>
      </c>
      <c r="C1030" t="s">
        <v>55</v>
      </c>
      <c r="D1030">
        <v>18</v>
      </c>
      <c r="E1030" t="s">
        <v>34</v>
      </c>
      <c r="F1030">
        <v>3</v>
      </c>
      <c r="G1030">
        <v>3</v>
      </c>
      <c r="H1030" t="s">
        <v>70</v>
      </c>
      <c r="I1030">
        <v>1</v>
      </c>
      <c r="J1030" t="s">
        <v>51</v>
      </c>
      <c r="K1030">
        <v>9069</v>
      </c>
      <c r="L1030">
        <v>1</v>
      </c>
      <c r="M1030" t="s">
        <v>41</v>
      </c>
      <c r="N1030">
        <v>22</v>
      </c>
      <c r="O1030">
        <v>4</v>
      </c>
      <c r="P1030">
        <v>1</v>
      </c>
      <c r="Q1030">
        <v>9</v>
      </c>
      <c r="R1030">
        <v>3</v>
      </c>
      <c r="S1030">
        <v>9</v>
      </c>
      <c r="T1030">
        <v>1</v>
      </c>
      <c r="U1030">
        <v>8</v>
      </c>
      <c r="V1030" t="s">
        <v>52</v>
      </c>
      <c r="W1030" s="2">
        <v>41218</v>
      </c>
      <c r="Y1030" t="s">
        <v>54</v>
      </c>
      <c r="Z1030" t="s">
        <v>40</v>
      </c>
      <c r="AA1030">
        <v>4</v>
      </c>
      <c r="AB1030">
        <v>0</v>
      </c>
      <c r="AC1030" t="s">
        <v>41</v>
      </c>
      <c r="AD1030" t="s">
        <v>42</v>
      </c>
      <c r="AE1030" t="s">
        <v>60</v>
      </c>
      <c r="AF1030" s="3">
        <v>1656</v>
      </c>
      <c r="AG1030" s="3">
        <v>50</v>
      </c>
      <c r="AH1030">
        <v>80</v>
      </c>
      <c r="AI1030">
        <v>11</v>
      </c>
      <c r="AJ1030">
        <v>0</v>
      </c>
      <c r="AL1030">
        <v>0</v>
      </c>
      <c r="AM1030">
        <v>1</v>
      </c>
      <c r="AN1030" t="s">
        <v>768</v>
      </c>
      <c r="AO1030" t="s">
        <v>41</v>
      </c>
    </row>
    <row r="1031" spans="1:41" x14ac:dyDescent="0.25">
      <c r="A1031">
        <v>32</v>
      </c>
      <c r="B1031" t="s">
        <v>32</v>
      </c>
      <c r="C1031" t="s">
        <v>33</v>
      </c>
      <c r="D1031">
        <v>1</v>
      </c>
      <c r="E1031" t="s">
        <v>34</v>
      </c>
      <c r="F1031">
        <v>3</v>
      </c>
      <c r="G1031">
        <v>2</v>
      </c>
      <c r="H1031" t="s">
        <v>78</v>
      </c>
      <c r="I1031">
        <v>4</v>
      </c>
      <c r="J1031" t="s">
        <v>51</v>
      </c>
      <c r="K1031">
        <v>6162</v>
      </c>
      <c r="L1031">
        <v>1</v>
      </c>
      <c r="M1031" t="s">
        <v>31</v>
      </c>
      <c r="N1031">
        <v>22</v>
      </c>
      <c r="O1031">
        <v>4</v>
      </c>
      <c r="P1031">
        <v>1</v>
      </c>
      <c r="Q1031">
        <v>9</v>
      </c>
      <c r="R1031">
        <v>3</v>
      </c>
      <c r="S1031">
        <v>9</v>
      </c>
      <c r="T1031">
        <v>7</v>
      </c>
      <c r="U1031">
        <v>8</v>
      </c>
      <c r="V1031" t="s">
        <v>37</v>
      </c>
      <c r="W1031" s="2">
        <v>41035</v>
      </c>
      <c r="Y1031" t="s">
        <v>69</v>
      </c>
      <c r="Z1031" t="s">
        <v>47</v>
      </c>
      <c r="AA1031">
        <v>0</v>
      </c>
      <c r="AB1031">
        <v>0</v>
      </c>
      <c r="AC1031" t="s">
        <v>31</v>
      </c>
      <c r="AD1031" t="s">
        <v>42</v>
      </c>
      <c r="AE1031" t="s">
        <v>60</v>
      </c>
      <c r="AF1031" s="3">
        <v>1502</v>
      </c>
      <c r="AG1031" s="3">
        <v>82</v>
      </c>
      <c r="AH1031">
        <v>80</v>
      </c>
      <c r="AI1031">
        <v>4</v>
      </c>
      <c r="AJ1031">
        <v>0</v>
      </c>
      <c r="AL1031">
        <v>0</v>
      </c>
      <c r="AM1031">
        <v>1</v>
      </c>
      <c r="AN1031" t="s">
        <v>768</v>
      </c>
      <c r="AO1031" t="s">
        <v>41</v>
      </c>
    </row>
    <row r="1032" spans="1:41" x14ac:dyDescent="0.25">
      <c r="A1032">
        <v>46</v>
      </c>
      <c r="B1032" t="s">
        <v>32</v>
      </c>
      <c r="C1032" t="s">
        <v>55</v>
      </c>
      <c r="D1032">
        <v>9</v>
      </c>
      <c r="E1032" t="s">
        <v>34</v>
      </c>
      <c r="F1032">
        <v>2</v>
      </c>
      <c r="G1032">
        <v>3</v>
      </c>
      <c r="H1032" t="s">
        <v>70</v>
      </c>
      <c r="I1032">
        <v>4</v>
      </c>
      <c r="J1032" t="s">
        <v>36</v>
      </c>
      <c r="K1032">
        <v>9619</v>
      </c>
      <c r="L1032">
        <v>1</v>
      </c>
      <c r="M1032" t="s">
        <v>41</v>
      </c>
      <c r="N1032">
        <v>16</v>
      </c>
      <c r="O1032">
        <v>3</v>
      </c>
      <c r="P1032">
        <v>0</v>
      </c>
      <c r="Q1032">
        <v>9</v>
      </c>
      <c r="R1032">
        <v>3</v>
      </c>
      <c r="S1032">
        <v>9</v>
      </c>
      <c r="T1032">
        <v>4</v>
      </c>
      <c r="U1032">
        <v>7</v>
      </c>
      <c r="V1032" t="s">
        <v>52</v>
      </c>
      <c r="W1032" s="1" t="s">
        <v>519</v>
      </c>
      <c r="Y1032" t="s">
        <v>63</v>
      </c>
      <c r="Z1032" t="s">
        <v>47</v>
      </c>
      <c r="AA1032">
        <v>2</v>
      </c>
      <c r="AB1032">
        <v>3</v>
      </c>
      <c r="AC1032" t="s">
        <v>41</v>
      </c>
      <c r="AD1032" t="s">
        <v>65</v>
      </c>
      <c r="AE1032" t="s">
        <v>60</v>
      </c>
      <c r="AF1032" s="3">
        <v>1866</v>
      </c>
      <c r="AG1032" s="3">
        <v>81</v>
      </c>
      <c r="AH1032">
        <v>80</v>
      </c>
      <c r="AI1032">
        <v>12</v>
      </c>
      <c r="AJ1032">
        <v>0</v>
      </c>
      <c r="AL1032">
        <v>0</v>
      </c>
      <c r="AM1032">
        <v>1</v>
      </c>
      <c r="AN1032" t="s">
        <v>768</v>
      </c>
      <c r="AO1032" t="s">
        <v>41</v>
      </c>
    </row>
    <row r="1033" spans="1:41" x14ac:dyDescent="0.25">
      <c r="A1033">
        <v>34</v>
      </c>
      <c r="B1033" t="s">
        <v>66</v>
      </c>
      <c r="C1033" t="s">
        <v>33</v>
      </c>
      <c r="D1033">
        <v>7</v>
      </c>
      <c r="E1033" t="s">
        <v>34</v>
      </c>
      <c r="F1033">
        <v>1</v>
      </c>
      <c r="G1033">
        <v>2</v>
      </c>
      <c r="H1033" t="s">
        <v>35</v>
      </c>
      <c r="I1033">
        <v>3</v>
      </c>
      <c r="J1033" t="s">
        <v>36</v>
      </c>
      <c r="K1033">
        <v>6074</v>
      </c>
      <c r="L1033">
        <v>1</v>
      </c>
      <c r="M1033" t="s">
        <v>31</v>
      </c>
      <c r="N1033">
        <v>24</v>
      </c>
      <c r="O1033">
        <v>4</v>
      </c>
      <c r="P1033">
        <v>0</v>
      </c>
      <c r="Q1033">
        <v>9</v>
      </c>
      <c r="R1033">
        <v>3</v>
      </c>
      <c r="S1033">
        <v>9</v>
      </c>
      <c r="T1033">
        <v>0</v>
      </c>
      <c r="U1033">
        <v>6</v>
      </c>
      <c r="V1033" t="s">
        <v>37</v>
      </c>
      <c r="W1033" s="2">
        <v>41035</v>
      </c>
      <c r="Y1033" t="s">
        <v>39</v>
      </c>
      <c r="Z1033" t="s">
        <v>40</v>
      </c>
      <c r="AA1033">
        <v>4</v>
      </c>
      <c r="AB1033">
        <v>1</v>
      </c>
      <c r="AC1033" t="s">
        <v>31</v>
      </c>
      <c r="AD1033" t="s">
        <v>65</v>
      </c>
      <c r="AE1033" t="s">
        <v>49</v>
      </c>
      <c r="AF1033" s="3">
        <v>1786</v>
      </c>
      <c r="AG1033" s="3">
        <v>53</v>
      </c>
      <c r="AH1033">
        <v>80</v>
      </c>
      <c r="AI1033">
        <v>2</v>
      </c>
      <c r="AJ1033">
        <v>0</v>
      </c>
      <c r="AL1033">
        <v>0</v>
      </c>
      <c r="AM1033">
        <v>1</v>
      </c>
      <c r="AN1033" t="s">
        <v>768</v>
      </c>
      <c r="AO1033" t="s">
        <v>41</v>
      </c>
    </row>
    <row r="1034" spans="1:41" x14ac:dyDescent="0.25">
      <c r="A1034">
        <v>36</v>
      </c>
      <c r="B1034" t="s">
        <v>66</v>
      </c>
      <c r="C1034" t="s">
        <v>55</v>
      </c>
      <c r="D1034">
        <v>11</v>
      </c>
      <c r="E1034" t="s">
        <v>61</v>
      </c>
      <c r="F1034">
        <v>3</v>
      </c>
      <c r="G1034">
        <v>3</v>
      </c>
      <c r="H1034" t="s">
        <v>70</v>
      </c>
      <c r="I1034">
        <v>4</v>
      </c>
      <c r="J1034" t="s">
        <v>51</v>
      </c>
      <c r="K1034">
        <v>9738</v>
      </c>
      <c r="L1034">
        <v>0</v>
      </c>
      <c r="M1034" t="s">
        <v>41</v>
      </c>
      <c r="N1034">
        <v>14</v>
      </c>
      <c r="O1034">
        <v>3</v>
      </c>
      <c r="P1034">
        <v>1</v>
      </c>
      <c r="Q1034">
        <v>10</v>
      </c>
      <c r="R1034">
        <v>6</v>
      </c>
      <c r="S1034">
        <v>9</v>
      </c>
      <c r="T1034">
        <v>2</v>
      </c>
      <c r="U1034">
        <v>8</v>
      </c>
      <c r="V1034" t="s">
        <v>52</v>
      </c>
      <c r="W1034" s="2">
        <v>40910</v>
      </c>
      <c r="Y1034" t="s">
        <v>69</v>
      </c>
      <c r="Z1034" t="s">
        <v>47</v>
      </c>
      <c r="AA1034">
        <v>2</v>
      </c>
      <c r="AB1034">
        <v>0</v>
      </c>
      <c r="AC1034" t="s">
        <v>41</v>
      </c>
      <c r="AD1034" t="s">
        <v>67</v>
      </c>
      <c r="AE1034" t="s">
        <v>43</v>
      </c>
      <c r="AF1034" s="3">
        <v>1701</v>
      </c>
      <c r="AG1034" s="3">
        <v>35</v>
      </c>
      <c r="AH1034">
        <v>80</v>
      </c>
      <c r="AI1034">
        <v>9</v>
      </c>
      <c r="AJ1034">
        <v>0</v>
      </c>
      <c r="AL1034">
        <v>0</v>
      </c>
      <c r="AM1034">
        <v>1</v>
      </c>
      <c r="AN1034" t="s">
        <v>768</v>
      </c>
      <c r="AO1034" t="s">
        <v>41</v>
      </c>
    </row>
    <row r="1035" spans="1:41" x14ac:dyDescent="0.25">
      <c r="A1035">
        <v>41</v>
      </c>
      <c r="B1035" t="s">
        <v>32</v>
      </c>
      <c r="C1035" t="s">
        <v>55</v>
      </c>
      <c r="D1035">
        <v>9</v>
      </c>
      <c r="E1035" t="s">
        <v>34</v>
      </c>
      <c r="F1035">
        <v>3</v>
      </c>
      <c r="G1035">
        <v>3</v>
      </c>
      <c r="H1035" t="s">
        <v>70</v>
      </c>
      <c r="I1035">
        <v>3</v>
      </c>
      <c r="J1035" t="s">
        <v>57</v>
      </c>
      <c r="K1035">
        <v>8189</v>
      </c>
      <c r="L1035">
        <v>3</v>
      </c>
      <c r="M1035" t="s">
        <v>31</v>
      </c>
      <c r="N1035">
        <v>13</v>
      </c>
      <c r="O1035">
        <v>3</v>
      </c>
      <c r="P1035">
        <v>1</v>
      </c>
      <c r="Q1035">
        <v>12</v>
      </c>
      <c r="R1035">
        <v>2</v>
      </c>
      <c r="S1035">
        <v>9</v>
      </c>
      <c r="T1035">
        <v>0</v>
      </c>
      <c r="U1035">
        <v>7</v>
      </c>
      <c r="V1035" t="s">
        <v>52</v>
      </c>
      <c r="W1035" s="2">
        <v>41155</v>
      </c>
      <c r="Y1035" t="s">
        <v>46</v>
      </c>
      <c r="Z1035" t="s">
        <v>40</v>
      </c>
      <c r="AA1035">
        <v>3</v>
      </c>
      <c r="AB1035">
        <v>1</v>
      </c>
      <c r="AC1035" t="s">
        <v>31</v>
      </c>
      <c r="AD1035" t="s">
        <v>67</v>
      </c>
      <c r="AE1035" t="s">
        <v>49</v>
      </c>
      <c r="AF1035" s="3">
        <v>1647</v>
      </c>
      <c r="AG1035" s="3">
        <v>86</v>
      </c>
      <c r="AH1035">
        <v>80</v>
      </c>
      <c r="AI1035">
        <v>2</v>
      </c>
      <c r="AJ1035">
        <v>0</v>
      </c>
      <c r="AL1035">
        <v>0</v>
      </c>
      <c r="AM1035">
        <v>1</v>
      </c>
      <c r="AN1035" t="s">
        <v>768</v>
      </c>
      <c r="AO1035" t="s">
        <v>41</v>
      </c>
    </row>
    <row r="1036" spans="1:41" x14ac:dyDescent="0.25">
      <c r="A1036">
        <v>32</v>
      </c>
      <c r="B1036" t="s">
        <v>66</v>
      </c>
      <c r="C1036" t="s">
        <v>55</v>
      </c>
      <c r="D1036">
        <v>8</v>
      </c>
      <c r="E1036" t="s">
        <v>61</v>
      </c>
      <c r="F1036">
        <v>3</v>
      </c>
      <c r="G1036">
        <v>3</v>
      </c>
      <c r="H1036" t="s">
        <v>70</v>
      </c>
      <c r="I1036">
        <v>4</v>
      </c>
      <c r="J1036" t="s">
        <v>36</v>
      </c>
      <c r="K1036">
        <v>8998</v>
      </c>
      <c r="L1036">
        <v>1</v>
      </c>
      <c r="M1036" t="s">
        <v>41</v>
      </c>
      <c r="N1036">
        <v>14</v>
      </c>
      <c r="O1036">
        <v>3</v>
      </c>
      <c r="P1036">
        <v>0</v>
      </c>
      <c r="Q1036">
        <v>9</v>
      </c>
      <c r="R1036">
        <v>2</v>
      </c>
      <c r="S1036">
        <v>9</v>
      </c>
      <c r="T1036">
        <v>3</v>
      </c>
      <c r="U1036">
        <v>7</v>
      </c>
      <c r="V1036" t="s">
        <v>37</v>
      </c>
      <c r="W1036" s="2">
        <v>40972</v>
      </c>
      <c r="Y1036" t="s">
        <v>39</v>
      </c>
      <c r="Z1036" t="s">
        <v>40</v>
      </c>
      <c r="AA1036">
        <v>5</v>
      </c>
      <c r="AB1036">
        <v>2</v>
      </c>
      <c r="AC1036" t="s">
        <v>31</v>
      </c>
      <c r="AD1036" t="s">
        <v>48</v>
      </c>
      <c r="AE1036" t="s">
        <v>60</v>
      </c>
      <c r="AF1036" s="3">
        <v>1409</v>
      </c>
      <c r="AG1036" s="3">
        <v>54</v>
      </c>
      <c r="AH1036">
        <v>80</v>
      </c>
      <c r="AI1036">
        <v>4</v>
      </c>
      <c r="AJ1036">
        <v>0</v>
      </c>
      <c r="AL1036">
        <v>0</v>
      </c>
      <c r="AM1036">
        <v>1</v>
      </c>
      <c r="AN1036" t="s">
        <v>768</v>
      </c>
      <c r="AO1036" t="s">
        <v>41</v>
      </c>
    </row>
    <row r="1037" spans="1:41" x14ac:dyDescent="0.25">
      <c r="A1037">
        <v>41</v>
      </c>
      <c r="B1037" t="s">
        <v>32</v>
      </c>
      <c r="C1037" t="s">
        <v>33</v>
      </c>
      <c r="D1037">
        <v>14</v>
      </c>
      <c r="E1037" t="s">
        <v>34</v>
      </c>
      <c r="F1037">
        <v>3</v>
      </c>
      <c r="G1037">
        <v>1</v>
      </c>
      <c r="H1037" t="s">
        <v>44</v>
      </c>
      <c r="I1037">
        <v>3</v>
      </c>
      <c r="J1037" t="s">
        <v>57</v>
      </c>
      <c r="K1037">
        <v>2451</v>
      </c>
      <c r="L1037">
        <v>4</v>
      </c>
      <c r="M1037" t="s">
        <v>41</v>
      </c>
      <c r="N1037">
        <v>12</v>
      </c>
      <c r="O1037">
        <v>3</v>
      </c>
      <c r="P1037">
        <v>1</v>
      </c>
      <c r="Q1037">
        <v>13</v>
      </c>
      <c r="R1037">
        <v>2</v>
      </c>
      <c r="S1037">
        <v>9</v>
      </c>
      <c r="T1037">
        <v>1</v>
      </c>
      <c r="U1037">
        <v>8</v>
      </c>
      <c r="V1037" t="s">
        <v>58</v>
      </c>
      <c r="W1037" s="1" t="s">
        <v>520</v>
      </c>
      <c r="Y1037" t="s">
        <v>54</v>
      </c>
      <c r="Z1037" t="s">
        <v>47</v>
      </c>
      <c r="AA1037">
        <v>4</v>
      </c>
      <c r="AB1037">
        <v>3</v>
      </c>
      <c r="AC1037" t="s">
        <v>31</v>
      </c>
      <c r="AD1037" t="s">
        <v>67</v>
      </c>
      <c r="AE1037" t="s">
        <v>43</v>
      </c>
      <c r="AF1037" s="3">
        <v>2015</v>
      </c>
      <c r="AG1037" s="3">
        <v>99</v>
      </c>
      <c r="AH1037">
        <v>80</v>
      </c>
      <c r="AI1037">
        <v>16</v>
      </c>
      <c r="AJ1037">
        <v>0</v>
      </c>
      <c r="AL1037">
        <v>0</v>
      </c>
      <c r="AM1037">
        <v>1</v>
      </c>
      <c r="AN1037" t="s">
        <v>768</v>
      </c>
      <c r="AO1037" t="s">
        <v>41</v>
      </c>
    </row>
    <row r="1038" spans="1:41" x14ac:dyDescent="0.25">
      <c r="A1038">
        <v>37</v>
      </c>
      <c r="B1038" t="s">
        <v>66</v>
      </c>
      <c r="C1038" t="s">
        <v>55</v>
      </c>
      <c r="D1038">
        <v>4</v>
      </c>
      <c r="E1038" t="s">
        <v>34</v>
      </c>
      <c r="F1038">
        <v>3</v>
      </c>
      <c r="G1038">
        <v>1</v>
      </c>
      <c r="H1038" t="s">
        <v>56</v>
      </c>
      <c r="I1038">
        <v>4</v>
      </c>
      <c r="J1038" t="s">
        <v>57</v>
      </c>
      <c r="K1038">
        <v>2793</v>
      </c>
      <c r="L1038">
        <v>4</v>
      </c>
      <c r="M1038" t="s">
        <v>41</v>
      </c>
      <c r="N1038">
        <v>17</v>
      </c>
      <c r="O1038">
        <v>3</v>
      </c>
      <c r="P1038">
        <v>1</v>
      </c>
      <c r="Q1038">
        <v>13</v>
      </c>
      <c r="R1038">
        <v>2</v>
      </c>
      <c r="S1038">
        <v>9</v>
      </c>
      <c r="T1038">
        <v>5</v>
      </c>
      <c r="U1038">
        <v>8</v>
      </c>
      <c r="V1038" t="s">
        <v>58</v>
      </c>
      <c r="W1038" s="1" t="s">
        <v>521</v>
      </c>
      <c r="Y1038" t="s">
        <v>63</v>
      </c>
      <c r="Z1038" t="s">
        <v>40</v>
      </c>
      <c r="AA1038">
        <v>2</v>
      </c>
      <c r="AB1038">
        <v>1</v>
      </c>
      <c r="AC1038" t="s">
        <v>31</v>
      </c>
      <c r="AD1038" t="s">
        <v>48</v>
      </c>
      <c r="AE1038" t="s">
        <v>43</v>
      </c>
      <c r="AF1038" s="3">
        <v>1640</v>
      </c>
      <c r="AG1038" s="3">
        <v>71</v>
      </c>
      <c r="AH1038">
        <v>80</v>
      </c>
      <c r="AI1038">
        <v>4</v>
      </c>
      <c r="AJ1038">
        <v>0</v>
      </c>
      <c r="AL1038">
        <v>0</v>
      </c>
      <c r="AM1038">
        <v>1</v>
      </c>
      <c r="AN1038" t="s">
        <v>768</v>
      </c>
      <c r="AO1038" t="s">
        <v>41</v>
      </c>
    </row>
    <row r="1039" spans="1:41" x14ac:dyDescent="0.25">
      <c r="A1039">
        <v>33</v>
      </c>
      <c r="B1039" t="s">
        <v>32</v>
      </c>
      <c r="C1039" t="s">
        <v>33</v>
      </c>
      <c r="D1039">
        <v>2</v>
      </c>
      <c r="E1039" t="s">
        <v>61</v>
      </c>
      <c r="F1039">
        <v>3</v>
      </c>
      <c r="G1039">
        <v>1</v>
      </c>
      <c r="H1039" t="s">
        <v>35</v>
      </c>
      <c r="I1039">
        <v>1</v>
      </c>
      <c r="J1039" t="s">
        <v>51</v>
      </c>
      <c r="K1039">
        <v>2707</v>
      </c>
      <c r="L1039">
        <v>7</v>
      </c>
      <c r="M1039" t="s">
        <v>41</v>
      </c>
      <c r="N1039">
        <v>20</v>
      </c>
      <c r="O1039">
        <v>4</v>
      </c>
      <c r="P1039">
        <v>0</v>
      </c>
      <c r="Q1039">
        <v>13</v>
      </c>
      <c r="R1039">
        <v>3</v>
      </c>
      <c r="S1039">
        <v>9</v>
      </c>
      <c r="T1039">
        <v>1</v>
      </c>
      <c r="U1039">
        <v>7</v>
      </c>
      <c r="V1039" t="s">
        <v>52</v>
      </c>
      <c r="W1039" s="1" t="s">
        <v>522</v>
      </c>
      <c r="Y1039" t="s">
        <v>46</v>
      </c>
      <c r="Z1039" t="s">
        <v>47</v>
      </c>
      <c r="AA1039">
        <v>0</v>
      </c>
      <c r="AB1039">
        <v>1</v>
      </c>
      <c r="AC1039" t="s">
        <v>31</v>
      </c>
      <c r="AD1039" t="s">
        <v>48</v>
      </c>
      <c r="AE1039" t="s">
        <v>60</v>
      </c>
      <c r="AF1039" s="3">
        <v>1544</v>
      </c>
      <c r="AG1039" s="3">
        <v>39</v>
      </c>
      <c r="AH1039">
        <v>80</v>
      </c>
      <c r="AI1039">
        <v>7</v>
      </c>
      <c r="AJ1039">
        <v>0</v>
      </c>
      <c r="AL1039">
        <v>0</v>
      </c>
      <c r="AM1039">
        <v>1</v>
      </c>
      <c r="AN1039" t="s">
        <v>768</v>
      </c>
      <c r="AO1039" t="s">
        <v>41</v>
      </c>
    </row>
    <row r="1040" spans="1:41" x14ac:dyDescent="0.25">
      <c r="A1040">
        <v>40</v>
      </c>
      <c r="B1040" t="s">
        <v>32</v>
      </c>
      <c r="C1040" t="s">
        <v>33</v>
      </c>
      <c r="D1040">
        <v>24</v>
      </c>
      <c r="E1040" t="s">
        <v>34</v>
      </c>
      <c r="F1040">
        <v>3</v>
      </c>
      <c r="G1040">
        <v>2</v>
      </c>
      <c r="H1040" t="s">
        <v>44</v>
      </c>
      <c r="I1040">
        <v>4</v>
      </c>
      <c r="J1040" t="s">
        <v>57</v>
      </c>
      <c r="K1040">
        <v>3319</v>
      </c>
      <c r="L1040">
        <v>1</v>
      </c>
      <c r="M1040" t="s">
        <v>41</v>
      </c>
      <c r="N1040">
        <v>17</v>
      </c>
      <c r="O1040">
        <v>3</v>
      </c>
      <c r="P1040">
        <v>2</v>
      </c>
      <c r="Q1040">
        <v>9</v>
      </c>
      <c r="R1040">
        <v>3</v>
      </c>
      <c r="S1040">
        <v>9</v>
      </c>
      <c r="T1040">
        <v>4</v>
      </c>
      <c r="U1040">
        <v>7</v>
      </c>
      <c r="V1040" t="s">
        <v>52</v>
      </c>
      <c r="W1040" s="2">
        <v>40913</v>
      </c>
      <c r="Y1040" t="s">
        <v>39</v>
      </c>
      <c r="Z1040" t="s">
        <v>47</v>
      </c>
      <c r="AA1040">
        <v>2</v>
      </c>
      <c r="AB1040">
        <v>1</v>
      </c>
      <c r="AC1040" t="s">
        <v>31</v>
      </c>
      <c r="AD1040" t="s">
        <v>65</v>
      </c>
      <c r="AE1040" t="s">
        <v>60</v>
      </c>
      <c r="AF1040" s="3">
        <v>2052</v>
      </c>
      <c r="AG1040" s="3">
        <v>62</v>
      </c>
      <c r="AH1040">
        <v>80</v>
      </c>
      <c r="AI1040">
        <v>3</v>
      </c>
      <c r="AJ1040">
        <v>0</v>
      </c>
      <c r="AL1040">
        <v>0</v>
      </c>
      <c r="AM1040">
        <v>1</v>
      </c>
      <c r="AN1040" t="s">
        <v>768</v>
      </c>
      <c r="AO1040" t="s">
        <v>41</v>
      </c>
    </row>
    <row r="1041" spans="1:41" x14ac:dyDescent="0.25">
      <c r="A1041">
        <v>42</v>
      </c>
      <c r="B1041" t="s">
        <v>32</v>
      </c>
      <c r="C1041" t="s">
        <v>33</v>
      </c>
      <c r="D1041">
        <v>2</v>
      </c>
      <c r="E1041" t="s">
        <v>61</v>
      </c>
      <c r="F1041">
        <v>2</v>
      </c>
      <c r="G1041">
        <v>1</v>
      </c>
      <c r="H1041" t="s">
        <v>35</v>
      </c>
      <c r="I1041">
        <v>1</v>
      </c>
      <c r="J1041" t="s">
        <v>57</v>
      </c>
      <c r="K1041">
        <v>2593</v>
      </c>
      <c r="L1041">
        <v>0</v>
      </c>
      <c r="M1041" t="s">
        <v>31</v>
      </c>
      <c r="N1041">
        <v>11</v>
      </c>
      <c r="O1041">
        <v>3</v>
      </c>
      <c r="P1041">
        <v>1</v>
      </c>
      <c r="Q1041">
        <v>10</v>
      </c>
      <c r="R1041">
        <v>4</v>
      </c>
      <c r="S1041">
        <v>9</v>
      </c>
      <c r="T1041">
        <v>7</v>
      </c>
      <c r="U1041">
        <v>8</v>
      </c>
      <c r="V1041" t="s">
        <v>72</v>
      </c>
      <c r="W1041" s="2">
        <v>41003</v>
      </c>
      <c r="Y1041" t="s">
        <v>69</v>
      </c>
      <c r="Z1041" t="s">
        <v>40</v>
      </c>
      <c r="AA1041">
        <v>4</v>
      </c>
      <c r="AB1041">
        <v>2</v>
      </c>
      <c r="AC1041" t="s">
        <v>41</v>
      </c>
      <c r="AD1041" t="s">
        <v>67</v>
      </c>
      <c r="AE1041" t="s">
        <v>43</v>
      </c>
      <c r="AF1041" s="3">
        <v>1802</v>
      </c>
      <c r="AG1041" s="3">
        <v>99</v>
      </c>
      <c r="AH1041">
        <v>80</v>
      </c>
      <c r="AI1041">
        <v>3</v>
      </c>
      <c r="AJ1041">
        <v>0</v>
      </c>
      <c r="AL1041">
        <v>0</v>
      </c>
      <c r="AM1041">
        <v>1</v>
      </c>
      <c r="AN1041" t="s">
        <v>768</v>
      </c>
      <c r="AO1041" t="s">
        <v>41</v>
      </c>
    </row>
    <row r="1042" spans="1:41" x14ac:dyDescent="0.25">
      <c r="A1042">
        <v>31</v>
      </c>
      <c r="B1042" t="s">
        <v>32</v>
      </c>
      <c r="C1042" t="s">
        <v>33</v>
      </c>
      <c r="D1042">
        <v>23</v>
      </c>
      <c r="E1042" t="s">
        <v>34</v>
      </c>
      <c r="F1042">
        <v>2</v>
      </c>
      <c r="G1042">
        <v>2</v>
      </c>
      <c r="H1042" t="s">
        <v>89</v>
      </c>
      <c r="I1042">
        <v>4</v>
      </c>
      <c r="J1042" t="s">
        <v>51</v>
      </c>
      <c r="K1042">
        <v>5582</v>
      </c>
      <c r="L1042">
        <v>0</v>
      </c>
      <c r="M1042" t="s">
        <v>41</v>
      </c>
      <c r="N1042">
        <v>21</v>
      </c>
      <c r="O1042">
        <v>4</v>
      </c>
      <c r="P1042">
        <v>1</v>
      </c>
      <c r="Q1042">
        <v>10</v>
      </c>
      <c r="R1042">
        <v>2</v>
      </c>
      <c r="S1042">
        <v>9</v>
      </c>
      <c r="T1042">
        <v>7</v>
      </c>
      <c r="U1042">
        <v>8</v>
      </c>
      <c r="V1042" t="s">
        <v>52</v>
      </c>
      <c r="W1042" s="1" t="s">
        <v>523</v>
      </c>
      <c r="Y1042" t="s">
        <v>46</v>
      </c>
      <c r="Z1042" t="s">
        <v>40</v>
      </c>
      <c r="AA1042">
        <v>4</v>
      </c>
      <c r="AB1042">
        <v>1</v>
      </c>
      <c r="AC1042" t="s">
        <v>41</v>
      </c>
      <c r="AD1042" t="s">
        <v>42</v>
      </c>
      <c r="AE1042" t="s">
        <v>60</v>
      </c>
      <c r="AF1042" s="3">
        <v>1617</v>
      </c>
      <c r="AG1042" s="3">
        <v>84</v>
      </c>
      <c r="AH1042">
        <v>80</v>
      </c>
      <c r="AI1042">
        <v>6</v>
      </c>
      <c r="AJ1042">
        <v>0</v>
      </c>
      <c r="AL1042">
        <v>0</v>
      </c>
      <c r="AM1042">
        <v>1</v>
      </c>
      <c r="AN1042" t="s">
        <v>768</v>
      </c>
      <c r="AO1042" t="s">
        <v>41</v>
      </c>
    </row>
    <row r="1043" spans="1:41" x14ac:dyDescent="0.25">
      <c r="A1043">
        <v>36</v>
      </c>
      <c r="B1043" t="s">
        <v>81</v>
      </c>
      <c r="C1043" t="s">
        <v>33</v>
      </c>
      <c r="D1043">
        <v>24</v>
      </c>
      <c r="E1043" t="s">
        <v>61</v>
      </c>
      <c r="F1043">
        <v>3</v>
      </c>
      <c r="G1043">
        <v>2</v>
      </c>
      <c r="H1043" t="s">
        <v>35</v>
      </c>
      <c r="I1043">
        <v>2</v>
      </c>
      <c r="J1043" t="s">
        <v>51</v>
      </c>
      <c r="K1043">
        <v>5674</v>
      </c>
      <c r="L1043">
        <v>7</v>
      </c>
      <c r="M1043" t="s">
        <v>41</v>
      </c>
      <c r="N1043">
        <v>15</v>
      </c>
      <c r="O1043">
        <v>3</v>
      </c>
      <c r="P1043">
        <v>1</v>
      </c>
      <c r="Q1043">
        <v>11</v>
      </c>
      <c r="R1043">
        <v>3</v>
      </c>
      <c r="S1043">
        <v>9</v>
      </c>
      <c r="T1043">
        <v>0</v>
      </c>
      <c r="U1043">
        <v>8</v>
      </c>
      <c r="V1043" t="s">
        <v>72</v>
      </c>
      <c r="W1043" s="1" t="s">
        <v>524</v>
      </c>
      <c r="Y1043" t="s">
        <v>46</v>
      </c>
      <c r="Z1043" t="s">
        <v>47</v>
      </c>
      <c r="AA1043">
        <v>5</v>
      </c>
      <c r="AB1043">
        <v>1</v>
      </c>
      <c r="AC1043" t="s">
        <v>31</v>
      </c>
      <c r="AD1043" t="s">
        <v>48</v>
      </c>
      <c r="AE1043" t="s">
        <v>43</v>
      </c>
      <c r="AF1043" s="3">
        <v>1576</v>
      </c>
      <c r="AG1043" s="3">
        <v>65</v>
      </c>
      <c r="AH1043">
        <v>80</v>
      </c>
      <c r="AI1043">
        <v>2</v>
      </c>
      <c r="AJ1043">
        <v>0</v>
      </c>
      <c r="AL1043">
        <v>0</v>
      </c>
      <c r="AM1043">
        <v>1</v>
      </c>
      <c r="AN1043" t="s">
        <v>768</v>
      </c>
      <c r="AO1043" t="s">
        <v>41</v>
      </c>
    </row>
    <row r="1044" spans="1:41" x14ac:dyDescent="0.25">
      <c r="A1044">
        <v>43</v>
      </c>
      <c r="B1044" t="s">
        <v>66</v>
      </c>
      <c r="C1044" t="s">
        <v>33</v>
      </c>
      <c r="D1044">
        <v>10</v>
      </c>
      <c r="E1044" t="s">
        <v>61</v>
      </c>
      <c r="F1044">
        <v>2</v>
      </c>
      <c r="G1044">
        <v>2</v>
      </c>
      <c r="H1044" t="s">
        <v>35</v>
      </c>
      <c r="I1044">
        <v>3</v>
      </c>
      <c r="J1044" t="s">
        <v>57</v>
      </c>
      <c r="K1044">
        <v>5257</v>
      </c>
      <c r="L1044">
        <v>1</v>
      </c>
      <c r="M1044" t="s">
        <v>41</v>
      </c>
      <c r="N1044">
        <v>11</v>
      </c>
      <c r="O1044">
        <v>3</v>
      </c>
      <c r="P1044">
        <v>1</v>
      </c>
      <c r="Q1044">
        <v>9</v>
      </c>
      <c r="R1044">
        <v>3</v>
      </c>
      <c r="S1044">
        <v>9</v>
      </c>
      <c r="T1044">
        <v>0</v>
      </c>
      <c r="U1044">
        <v>0</v>
      </c>
      <c r="V1044" t="s">
        <v>37</v>
      </c>
      <c r="W1044" s="1" t="s">
        <v>525</v>
      </c>
      <c r="Y1044" t="s">
        <v>63</v>
      </c>
      <c r="Z1044" t="s">
        <v>40</v>
      </c>
      <c r="AA1044">
        <v>3</v>
      </c>
      <c r="AB1044">
        <v>3</v>
      </c>
      <c r="AC1044" t="s">
        <v>41</v>
      </c>
      <c r="AD1044" t="s">
        <v>48</v>
      </c>
      <c r="AE1044" t="s">
        <v>60</v>
      </c>
      <c r="AF1044" s="3">
        <v>1447</v>
      </c>
      <c r="AG1044" s="3">
        <v>86</v>
      </c>
      <c r="AH1044">
        <v>80</v>
      </c>
      <c r="AI1044">
        <v>4</v>
      </c>
      <c r="AJ1044">
        <v>0</v>
      </c>
      <c r="AL1044">
        <v>0</v>
      </c>
      <c r="AM1044">
        <v>1</v>
      </c>
      <c r="AN1044" t="s">
        <v>768</v>
      </c>
      <c r="AO1044" t="s">
        <v>41</v>
      </c>
    </row>
    <row r="1045" spans="1:41" x14ac:dyDescent="0.25">
      <c r="A1045">
        <v>30</v>
      </c>
      <c r="B1045" t="s">
        <v>81</v>
      </c>
      <c r="C1045" t="s">
        <v>55</v>
      </c>
      <c r="D1045">
        <v>22</v>
      </c>
      <c r="E1045" t="s">
        <v>61</v>
      </c>
      <c r="F1045">
        <v>3</v>
      </c>
      <c r="G1045">
        <v>3</v>
      </c>
      <c r="H1045" t="s">
        <v>70</v>
      </c>
      <c r="I1045">
        <v>1</v>
      </c>
      <c r="J1045" t="s">
        <v>51</v>
      </c>
      <c r="K1045">
        <v>8412</v>
      </c>
      <c r="L1045">
        <v>0</v>
      </c>
      <c r="M1045" t="s">
        <v>41</v>
      </c>
      <c r="N1045">
        <v>11</v>
      </c>
      <c r="O1045">
        <v>3</v>
      </c>
      <c r="P1045">
        <v>0</v>
      </c>
      <c r="Q1045">
        <v>10</v>
      </c>
      <c r="R1045">
        <v>3</v>
      </c>
      <c r="S1045">
        <v>9</v>
      </c>
      <c r="T1045">
        <v>7</v>
      </c>
      <c r="U1045">
        <v>8</v>
      </c>
      <c r="V1045" t="s">
        <v>37</v>
      </c>
      <c r="W1045" s="1" t="s">
        <v>526</v>
      </c>
      <c r="Y1045" t="s">
        <v>69</v>
      </c>
      <c r="Z1045" t="s">
        <v>47</v>
      </c>
      <c r="AA1045">
        <v>4</v>
      </c>
      <c r="AB1045">
        <v>2</v>
      </c>
      <c r="AC1045" t="s">
        <v>31</v>
      </c>
      <c r="AD1045" t="s">
        <v>48</v>
      </c>
      <c r="AE1045" t="s">
        <v>49</v>
      </c>
      <c r="AF1045" s="3">
        <v>1555</v>
      </c>
      <c r="AG1045" s="3">
        <v>67</v>
      </c>
      <c r="AH1045">
        <v>80</v>
      </c>
      <c r="AI1045">
        <v>1</v>
      </c>
      <c r="AJ1045">
        <v>0</v>
      </c>
      <c r="AL1045">
        <v>0</v>
      </c>
      <c r="AM1045">
        <v>1</v>
      </c>
      <c r="AN1045" t="s">
        <v>768</v>
      </c>
      <c r="AO1045" t="s">
        <v>41</v>
      </c>
    </row>
    <row r="1046" spans="1:41" x14ac:dyDescent="0.25">
      <c r="A1046">
        <v>48</v>
      </c>
      <c r="B1046" t="s">
        <v>32</v>
      </c>
      <c r="C1046" t="s">
        <v>55</v>
      </c>
      <c r="D1046">
        <v>2</v>
      </c>
      <c r="E1046" t="s">
        <v>61</v>
      </c>
      <c r="F1046">
        <v>3</v>
      </c>
      <c r="G1046">
        <v>2</v>
      </c>
      <c r="H1046" t="s">
        <v>70</v>
      </c>
      <c r="I1046">
        <v>4</v>
      </c>
      <c r="J1046" t="s">
        <v>51</v>
      </c>
      <c r="K1046">
        <v>4051</v>
      </c>
      <c r="L1046">
        <v>2</v>
      </c>
      <c r="M1046" t="s">
        <v>41</v>
      </c>
      <c r="N1046">
        <v>14</v>
      </c>
      <c r="O1046">
        <v>3</v>
      </c>
      <c r="P1046">
        <v>1</v>
      </c>
      <c r="Q1046">
        <v>14</v>
      </c>
      <c r="R1046">
        <v>2</v>
      </c>
      <c r="S1046">
        <v>9</v>
      </c>
      <c r="T1046">
        <v>6</v>
      </c>
      <c r="U1046">
        <v>7</v>
      </c>
      <c r="V1046" t="s">
        <v>58</v>
      </c>
      <c r="W1046" s="1" t="s">
        <v>527</v>
      </c>
      <c r="Y1046" t="s">
        <v>46</v>
      </c>
      <c r="Z1046" t="s">
        <v>40</v>
      </c>
      <c r="AA1046">
        <v>2</v>
      </c>
      <c r="AB1046">
        <v>0</v>
      </c>
      <c r="AC1046" t="s">
        <v>31</v>
      </c>
      <c r="AD1046" t="s">
        <v>65</v>
      </c>
      <c r="AE1046" t="s">
        <v>49</v>
      </c>
      <c r="AF1046" s="3">
        <v>1782</v>
      </c>
      <c r="AG1046" s="3">
        <v>40</v>
      </c>
      <c r="AH1046">
        <v>80</v>
      </c>
      <c r="AI1046">
        <v>4</v>
      </c>
      <c r="AJ1046">
        <v>0</v>
      </c>
      <c r="AL1046">
        <v>0</v>
      </c>
      <c r="AM1046">
        <v>1</v>
      </c>
      <c r="AN1046" t="s">
        <v>768</v>
      </c>
      <c r="AO1046" t="s">
        <v>41</v>
      </c>
    </row>
    <row r="1047" spans="1:41" x14ac:dyDescent="0.25">
      <c r="A1047">
        <v>37</v>
      </c>
      <c r="B1047" t="s">
        <v>81</v>
      </c>
      <c r="C1047" t="s">
        <v>55</v>
      </c>
      <c r="D1047">
        <v>9</v>
      </c>
      <c r="E1047" t="s">
        <v>34</v>
      </c>
      <c r="F1047">
        <v>3</v>
      </c>
      <c r="G1047">
        <v>3</v>
      </c>
      <c r="H1047" t="s">
        <v>70</v>
      </c>
      <c r="I1047">
        <v>2</v>
      </c>
      <c r="J1047" t="s">
        <v>57</v>
      </c>
      <c r="K1047">
        <v>8834</v>
      </c>
      <c r="L1047">
        <v>1</v>
      </c>
      <c r="M1047" t="s">
        <v>41</v>
      </c>
      <c r="N1047">
        <v>13</v>
      </c>
      <c r="O1047">
        <v>3</v>
      </c>
      <c r="P1047">
        <v>1</v>
      </c>
      <c r="Q1047">
        <v>9</v>
      </c>
      <c r="R1047">
        <v>6</v>
      </c>
      <c r="S1047">
        <v>9</v>
      </c>
      <c r="T1047">
        <v>7</v>
      </c>
      <c r="U1047">
        <v>7</v>
      </c>
      <c r="V1047" t="s">
        <v>58</v>
      </c>
      <c r="W1047" s="1" t="s">
        <v>528</v>
      </c>
      <c r="Y1047" t="s">
        <v>39</v>
      </c>
      <c r="Z1047" t="s">
        <v>47</v>
      </c>
      <c r="AA1047">
        <v>3</v>
      </c>
      <c r="AB1047">
        <v>2</v>
      </c>
      <c r="AC1047" t="s">
        <v>41</v>
      </c>
      <c r="AD1047" t="s">
        <v>42</v>
      </c>
      <c r="AE1047" t="s">
        <v>60</v>
      </c>
      <c r="AF1047" s="3">
        <v>1687</v>
      </c>
      <c r="AG1047" s="3">
        <v>87</v>
      </c>
      <c r="AH1047">
        <v>80</v>
      </c>
      <c r="AI1047">
        <v>0</v>
      </c>
      <c r="AJ1047">
        <v>0</v>
      </c>
      <c r="AL1047">
        <v>0</v>
      </c>
      <c r="AM1047">
        <v>1</v>
      </c>
      <c r="AN1047" t="s">
        <v>768</v>
      </c>
      <c r="AO1047" t="s">
        <v>41</v>
      </c>
    </row>
    <row r="1048" spans="1:41" x14ac:dyDescent="0.25">
      <c r="A1048">
        <v>54</v>
      </c>
      <c r="B1048" t="s">
        <v>32</v>
      </c>
      <c r="C1048" t="s">
        <v>120</v>
      </c>
      <c r="D1048">
        <v>19</v>
      </c>
      <c r="E1048" t="s">
        <v>34</v>
      </c>
      <c r="F1048">
        <v>3</v>
      </c>
      <c r="G1048">
        <v>3</v>
      </c>
      <c r="H1048" t="s">
        <v>120</v>
      </c>
      <c r="I1048">
        <v>2</v>
      </c>
      <c r="J1048" t="s">
        <v>51</v>
      </c>
      <c r="K1048">
        <v>10725</v>
      </c>
      <c r="L1048">
        <v>2</v>
      </c>
      <c r="M1048" t="s">
        <v>41</v>
      </c>
      <c r="N1048">
        <v>15</v>
      </c>
      <c r="O1048">
        <v>3</v>
      </c>
      <c r="P1048">
        <v>1</v>
      </c>
      <c r="Q1048">
        <v>16</v>
      </c>
      <c r="R1048">
        <v>1</v>
      </c>
      <c r="S1048">
        <v>9</v>
      </c>
      <c r="T1048">
        <v>7</v>
      </c>
      <c r="U1048">
        <v>1</v>
      </c>
      <c r="V1048" t="s">
        <v>37</v>
      </c>
      <c r="W1048" s="2">
        <v>41091</v>
      </c>
      <c r="Y1048" t="s">
        <v>54</v>
      </c>
      <c r="Z1048" t="s">
        <v>40</v>
      </c>
      <c r="AA1048">
        <v>4</v>
      </c>
      <c r="AB1048">
        <v>0</v>
      </c>
      <c r="AC1048" t="s">
        <v>41</v>
      </c>
      <c r="AD1048" t="s">
        <v>65</v>
      </c>
      <c r="AE1048" t="s">
        <v>49</v>
      </c>
      <c r="AF1048" s="3">
        <v>1709</v>
      </c>
      <c r="AG1048" s="3">
        <v>43</v>
      </c>
      <c r="AH1048">
        <v>80</v>
      </c>
      <c r="AI1048">
        <v>3</v>
      </c>
      <c r="AJ1048">
        <v>0</v>
      </c>
      <c r="AL1048">
        <v>0</v>
      </c>
      <c r="AM1048">
        <v>1</v>
      </c>
      <c r="AN1048" t="s">
        <v>768</v>
      </c>
      <c r="AO1048" t="s">
        <v>41</v>
      </c>
    </row>
    <row r="1049" spans="1:41" x14ac:dyDescent="0.25">
      <c r="A1049">
        <v>38</v>
      </c>
      <c r="B1049" t="s">
        <v>32</v>
      </c>
      <c r="C1049" t="s">
        <v>33</v>
      </c>
      <c r="D1049">
        <v>1</v>
      </c>
      <c r="E1049" t="s">
        <v>61</v>
      </c>
      <c r="F1049">
        <v>4</v>
      </c>
      <c r="G1049">
        <v>2</v>
      </c>
      <c r="H1049" t="s">
        <v>89</v>
      </c>
      <c r="I1049">
        <v>4</v>
      </c>
      <c r="J1049" t="s">
        <v>36</v>
      </c>
      <c r="K1049">
        <v>7625</v>
      </c>
      <c r="L1049">
        <v>0</v>
      </c>
      <c r="M1049" t="s">
        <v>41</v>
      </c>
      <c r="N1049">
        <v>13</v>
      </c>
      <c r="O1049">
        <v>3</v>
      </c>
      <c r="P1049">
        <v>0</v>
      </c>
      <c r="Q1049">
        <v>10</v>
      </c>
      <c r="R1049">
        <v>4</v>
      </c>
      <c r="S1049">
        <v>9</v>
      </c>
      <c r="T1049">
        <v>1</v>
      </c>
      <c r="U1049">
        <v>8</v>
      </c>
      <c r="V1049" t="s">
        <v>72</v>
      </c>
      <c r="W1049" s="2">
        <v>40943</v>
      </c>
      <c r="Y1049" t="s">
        <v>63</v>
      </c>
      <c r="Z1049" t="s">
        <v>40</v>
      </c>
      <c r="AA1049">
        <v>3</v>
      </c>
      <c r="AB1049">
        <v>3</v>
      </c>
      <c r="AC1049" t="s">
        <v>41</v>
      </c>
      <c r="AD1049" t="s">
        <v>67</v>
      </c>
      <c r="AE1049" t="s">
        <v>43</v>
      </c>
      <c r="AF1049" s="3">
        <v>1830</v>
      </c>
      <c r="AG1049" s="3">
        <v>68</v>
      </c>
      <c r="AH1049">
        <v>80</v>
      </c>
      <c r="AI1049">
        <v>1</v>
      </c>
      <c r="AJ1049">
        <v>0</v>
      </c>
      <c r="AL1049">
        <v>0</v>
      </c>
      <c r="AM1049">
        <v>1</v>
      </c>
      <c r="AN1049" t="s">
        <v>768</v>
      </c>
      <c r="AO1049" t="s">
        <v>41</v>
      </c>
    </row>
    <row r="1050" spans="1:41" x14ac:dyDescent="0.25">
      <c r="A1050">
        <v>27</v>
      </c>
      <c r="B1050" t="s">
        <v>32</v>
      </c>
      <c r="C1050" t="s">
        <v>33</v>
      </c>
      <c r="D1050">
        <v>1</v>
      </c>
      <c r="E1050" t="s">
        <v>61</v>
      </c>
      <c r="F1050">
        <v>3</v>
      </c>
      <c r="G1050">
        <v>3</v>
      </c>
      <c r="H1050" t="s">
        <v>78</v>
      </c>
      <c r="I1050">
        <v>1</v>
      </c>
      <c r="J1050" t="s">
        <v>51</v>
      </c>
      <c r="K1050">
        <v>7412</v>
      </c>
      <c r="L1050">
        <v>1</v>
      </c>
      <c r="M1050" t="s">
        <v>41</v>
      </c>
      <c r="N1050">
        <v>11</v>
      </c>
      <c r="O1050">
        <v>3</v>
      </c>
      <c r="P1050">
        <v>0</v>
      </c>
      <c r="Q1050">
        <v>9</v>
      </c>
      <c r="R1050">
        <v>3</v>
      </c>
      <c r="S1050">
        <v>9</v>
      </c>
      <c r="T1050">
        <v>0</v>
      </c>
      <c r="U1050">
        <v>7</v>
      </c>
      <c r="V1050" t="s">
        <v>52</v>
      </c>
      <c r="W1050" s="1" t="s">
        <v>529</v>
      </c>
      <c r="Y1050" t="s">
        <v>63</v>
      </c>
      <c r="Z1050" t="s">
        <v>40</v>
      </c>
      <c r="AA1050">
        <v>2</v>
      </c>
      <c r="AB1050">
        <v>2</v>
      </c>
      <c r="AC1050" t="s">
        <v>31</v>
      </c>
      <c r="AD1050" t="s">
        <v>48</v>
      </c>
      <c r="AE1050" t="s">
        <v>43</v>
      </c>
      <c r="AF1050" s="3">
        <v>1628</v>
      </c>
      <c r="AG1050" s="3">
        <v>80</v>
      </c>
      <c r="AH1050">
        <v>80</v>
      </c>
      <c r="AI1050">
        <v>15</v>
      </c>
      <c r="AJ1050">
        <v>0</v>
      </c>
      <c r="AL1050">
        <v>0</v>
      </c>
      <c r="AM1050">
        <v>1</v>
      </c>
      <c r="AN1050" t="s">
        <v>768</v>
      </c>
      <c r="AO1050" t="s">
        <v>41</v>
      </c>
    </row>
    <row r="1051" spans="1:41" x14ac:dyDescent="0.25">
      <c r="A1051">
        <v>27</v>
      </c>
      <c r="B1051" t="s">
        <v>66</v>
      </c>
      <c r="C1051" t="s">
        <v>33</v>
      </c>
      <c r="D1051">
        <v>10</v>
      </c>
      <c r="E1051" t="s">
        <v>34</v>
      </c>
      <c r="F1051">
        <v>3</v>
      </c>
      <c r="G1051">
        <v>3</v>
      </c>
      <c r="H1051" t="s">
        <v>78</v>
      </c>
      <c r="I1051">
        <v>1</v>
      </c>
      <c r="J1051" t="s">
        <v>57</v>
      </c>
      <c r="K1051">
        <v>8793</v>
      </c>
      <c r="L1051">
        <v>1</v>
      </c>
      <c r="M1051" t="s">
        <v>41</v>
      </c>
      <c r="N1051">
        <v>21</v>
      </c>
      <c r="O1051">
        <v>4</v>
      </c>
      <c r="P1051">
        <v>2</v>
      </c>
      <c r="Q1051">
        <v>9</v>
      </c>
      <c r="R1051">
        <v>4</v>
      </c>
      <c r="S1051">
        <v>9</v>
      </c>
      <c r="T1051">
        <v>1</v>
      </c>
      <c r="U1051">
        <v>7</v>
      </c>
      <c r="V1051" t="s">
        <v>58</v>
      </c>
      <c r="W1051" s="2">
        <v>41214</v>
      </c>
      <c r="Y1051" t="s">
        <v>54</v>
      </c>
      <c r="Z1051" t="s">
        <v>40</v>
      </c>
      <c r="AA1051">
        <v>1</v>
      </c>
      <c r="AB1051">
        <v>3</v>
      </c>
      <c r="AC1051" t="s">
        <v>41</v>
      </c>
      <c r="AD1051" t="s">
        <v>48</v>
      </c>
      <c r="AE1051" t="s">
        <v>43</v>
      </c>
      <c r="AF1051" s="3">
        <v>1655</v>
      </c>
      <c r="AG1051" s="3">
        <v>72</v>
      </c>
      <c r="AH1051">
        <v>80</v>
      </c>
      <c r="AI1051">
        <v>2</v>
      </c>
      <c r="AJ1051">
        <v>0</v>
      </c>
      <c r="AL1051">
        <v>0</v>
      </c>
      <c r="AM1051">
        <v>1</v>
      </c>
      <c r="AN1051" t="s">
        <v>768</v>
      </c>
      <c r="AO1051" t="s">
        <v>41</v>
      </c>
    </row>
    <row r="1052" spans="1:41" x14ac:dyDescent="0.25">
      <c r="A1052">
        <v>36</v>
      </c>
      <c r="B1052" t="s">
        <v>32</v>
      </c>
      <c r="C1052" t="s">
        <v>33</v>
      </c>
      <c r="D1052">
        <v>1</v>
      </c>
      <c r="E1052" t="s">
        <v>61</v>
      </c>
      <c r="F1052">
        <v>3</v>
      </c>
      <c r="G1052">
        <v>2</v>
      </c>
      <c r="H1052" t="s">
        <v>78</v>
      </c>
      <c r="I1052">
        <v>2</v>
      </c>
      <c r="J1052" t="s">
        <v>51</v>
      </c>
      <c r="K1052">
        <v>5228</v>
      </c>
      <c r="L1052">
        <v>0</v>
      </c>
      <c r="M1052" t="s">
        <v>41</v>
      </c>
      <c r="N1052">
        <v>15</v>
      </c>
      <c r="O1052">
        <v>3</v>
      </c>
      <c r="P1052">
        <v>1</v>
      </c>
      <c r="Q1052">
        <v>10</v>
      </c>
      <c r="R1052">
        <v>2</v>
      </c>
      <c r="S1052">
        <v>9</v>
      </c>
      <c r="T1052">
        <v>0</v>
      </c>
      <c r="U1052">
        <v>5</v>
      </c>
      <c r="V1052" t="s">
        <v>52</v>
      </c>
      <c r="W1052" s="1" t="s">
        <v>530</v>
      </c>
      <c r="Y1052" t="s">
        <v>54</v>
      </c>
      <c r="Z1052" t="s">
        <v>47</v>
      </c>
      <c r="AA1052">
        <v>0</v>
      </c>
      <c r="AB1052">
        <v>0</v>
      </c>
      <c r="AC1052" t="s">
        <v>31</v>
      </c>
      <c r="AD1052" t="s">
        <v>65</v>
      </c>
      <c r="AE1052" t="s">
        <v>43</v>
      </c>
      <c r="AF1052" s="3">
        <v>1969</v>
      </c>
      <c r="AG1052" s="3">
        <v>67</v>
      </c>
      <c r="AH1052">
        <v>80</v>
      </c>
      <c r="AI1052">
        <v>3</v>
      </c>
      <c r="AJ1052">
        <v>0</v>
      </c>
      <c r="AL1052">
        <v>0</v>
      </c>
      <c r="AM1052">
        <v>1</v>
      </c>
      <c r="AN1052" t="s">
        <v>768</v>
      </c>
      <c r="AO1052" t="s">
        <v>41</v>
      </c>
    </row>
    <row r="1053" spans="1:41" x14ac:dyDescent="0.25">
      <c r="A1053">
        <v>42</v>
      </c>
      <c r="B1053" t="s">
        <v>32</v>
      </c>
      <c r="C1053" t="s">
        <v>33</v>
      </c>
      <c r="D1053">
        <v>29</v>
      </c>
      <c r="E1053" t="s">
        <v>34</v>
      </c>
      <c r="F1053">
        <v>3</v>
      </c>
      <c r="G1053">
        <v>2</v>
      </c>
      <c r="H1053" t="s">
        <v>78</v>
      </c>
      <c r="I1053">
        <v>2</v>
      </c>
      <c r="J1053" t="s">
        <v>51</v>
      </c>
      <c r="K1053">
        <v>4434</v>
      </c>
      <c r="L1053">
        <v>1</v>
      </c>
      <c r="M1053" t="s">
        <v>41</v>
      </c>
      <c r="N1053">
        <v>13</v>
      </c>
      <c r="O1053">
        <v>3</v>
      </c>
      <c r="P1053">
        <v>1</v>
      </c>
      <c r="Q1053">
        <v>10</v>
      </c>
      <c r="R1053">
        <v>3</v>
      </c>
      <c r="S1053">
        <v>9</v>
      </c>
      <c r="T1053">
        <v>7</v>
      </c>
      <c r="U1053">
        <v>8</v>
      </c>
      <c r="V1053" t="s">
        <v>37</v>
      </c>
      <c r="W1053" s="1" t="s">
        <v>531</v>
      </c>
      <c r="Y1053" t="s">
        <v>69</v>
      </c>
      <c r="Z1053" t="s">
        <v>47</v>
      </c>
      <c r="AA1053">
        <v>4</v>
      </c>
      <c r="AB1053">
        <v>3</v>
      </c>
      <c r="AC1053" t="s">
        <v>31</v>
      </c>
      <c r="AD1053" t="s">
        <v>48</v>
      </c>
      <c r="AE1053" t="s">
        <v>60</v>
      </c>
      <c r="AF1053" s="3">
        <v>1443</v>
      </c>
      <c r="AG1053" s="3">
        <v>82</v>
      </c>
      <c r="AH1053">
        <v>80</v>
      </c>
      <c r="AI1053">
        <v>17</v>
      </c>
      <c r="AJ1053">
        <v>0</v>
      </c>
      <c r="AL1053">
        <v>0</v>
      </c>
      <c r="AM1053">
        <v>1</v>
      </c>
      <c r="AN1053" t="s">
        <v>768</v>
      </c>
      <c r="AO1053" t="s">
        <v>41</v>
      </c>
    </row>
    <row r="1054" spans="1:41" x14ac:dyDescent="0.25">
      <c r="A1054">
        <v>49</v>
      </c>
      <c r="B1054" t="s">
        <v>32</v>
      </c>
      <c r="C1054" t="s">
        <v>55</v>
      </c>
      <c r="D1054">
        <v>11</v>
      </c>
      <c r="E1054" t="s">
        <v>61</v>
      </c>
      <c r="F1054">
        <v>3</v>
      </c>
      <c r="G1054">
        <v>3</v>
      </c>
      <c r="H1054" t="s">
        <v>70</v>
      </c>
      <c r="I1054">
        <v>4</v>
      </c>
      <c r="J1054" t="s">
        <v>51</v>
      </c>
      <c r="K1054">
        <v>7654</v>
      </c>
      <c r="L1054">
        <v>1</v>
      </c>
      <c r="M1054" t="s">
        <v>41</v>
      </c>
      <c r="N1054">
        <v>18</v>
      </c>
      <c r="O1054">
        <v>3</v>
      </c>
      <c r="P1054">
        <v>2</v>
      </c>
      <c r="Q1054">
        <v>9</v>
      </c>
      <c r="R1054">
        <v>3</v>
      </c>
      <c r="S1054">
        <v>9</v>
      </c>
      <c r="T1054">
        <v>7</v>
      </c>
      <c r="U1054">
        <v>7</v>
      </c>
      <c r="V1054" t="s">
        <v>72</v>
      </c>
      <c r="W1054" s="1" t="s">
        <v>528</v>
      </c>
      <c r="Y1054" t="s">
        <v>46</v>
      </c>
      <c r="Z1054" t="s">
        <v>40</v>
      </c>
      <c r="AA1054">
        <v>4</v>
      </c>
      <c r="AB1054">
        <v>0</v>
      </c>
      <c r="AC1054" t="s">
        <v>31</v>
      </c>
      <c r="AD1054" t="s">
        <v>42</v>
      </c>
      <c r="AE1054" t="s">
        <v>43</v>
      </c>
      <c r="AF1054" s="3">
        <v>1888</v>
      </c>
      <c r="AG1054" s="3">
        <v>93</v>
      </c>
      <c r="AH1054">
        <v>80</v>
      </c>
      <c r="AI1054">
        <v>8</v>
      </c>
      <c r="AJ1054">
        <v>0</v>
      </c>
      <c r="AL1054">
        <v>0</v>
      </c>
      <c r="AM1054">
        <v>1</v>
      </c>
      <c r="AN1054" t="s">
        <v>768</v>
      </c>
      <c r="AO1054" t="s">
        <v>41</v>
      </c>
    </row>
    <row r="1055" spans="1:41" x14ac:dyDescent="0.25">
      <c r="A1055">
        <v>55</v>
      </c>
      <c r="B1055" t="s">
        <v>32</v>
      </c>
      <c r="C1055" t="s">
        <v>55</v>
      </c>
      <c r="D1055">
        <v>2</v>
      </c>
      <c r="E1055" t="s">
        <v>34</v>
      </c>
      <c r="F1055">
        <v>3</v>
      </c>
      <c r="G1055">
        <v>2</v>
      </c>
      <c r="H1055" t="s">
        <v>70</v>
      </c>
      <c r="I1055">
        <v>4</v>
      </c>
      <c r="J1055" t="s">
        <v>36</v>
      </c>
      <c r="K1055">
        <v>5160</v>
      </c>
      <c r="L1055">
        <v>4</v>
      </c>
      <c r="M1055" t="s">
        <v>41</v>
      </c>
      <c r="N1055">
        <v>16</v>
      </c>
      <c r="O1055">
        <v>3</v>
      </c>
      <c r="P1055">
        <v>0</v>
      </c>
      <c r="Q1055">
        <v>12</v>
      </c>
      <c r="R1055">
        <v>3</v>
      </c>
      <c r="S1055">
        <v>9</v>
      </c>
      <c r="T1055">
        <v>7</v>
      </c>
      <c r="U1055">
        <v>3</v>
      </c>
      <c r="V1055" t="s">
        <v>52</v>
      </c>
      <c r="W1055" s="1" t="s">
        <v>532</v>
      </c>
      <c r="Y1055" t="s">
        <v>46</v>
      </c>
      <c r="Z1055" t="s">
        <v>47</v>
      </c>
      <c r="AA1055">
        <v>0</v>
      </c>
      <c r="AB1055">
        <v>2</v>
      </c>
      <c r="AC1055" t="s">
        <v>41</v>
      </c>
      <c r="AD1055" t="s">
        <v>42</v>
      </c>
      <c r="AE1055" t="s">
        <v>49</v>
      </c>
      <c r="AF1055" s="3">
        <v>1651</v>
      </c>
      <c r="AG1055" s="3">
        <v>42</v>
      </c>
      <c r="AH1055">
        <v>80</v>
      </c>
      <c r="AI1055">
        <v>2</v>
      </c>
      <c r="AJ1055">
        <v>0</v>
      </c>
      <c r="AL1055">
        <v>0</v>
      </c>
      <c r="AM1055">
        <v>1</v>
      </c>
      <c r="AN1055" t="s">
        <v>768</v>
      </c>
      <c r="AO1055" t="s">
        <v>41</v>
      </c>
    </row>
    <row r="1056" spans="1:41" x14ac:dyDescent="0.25">
      <c r="A1056">
        <v>27</v>
      </c>
      <c r="B1056" t="s">
        <v>32</v>
      </c>
      <c r="C1056" t="s">
        <v>33</v>
      </c>
      <c r="D1056">
        <v>5</v>
      </c>
      <c r="E1056" t="s">
        <v>34</v>
      </c>
      <c r="F1056">
        <v>2</v>
      </c>
      <c r="G1056">
        <v>3</v>
      </c>
      <c r="H1056" t="s">
        <v>50</v>
      </c>
      <c r="I1056">
        <v>4</v>
      </c>
      <c r="J1056" t="s">
        <v>57</v>
      </c>
      <c r="K1056">
        <v>12808</v>
      </c>
      <c r="L1056">
        <v>1</v>
      </c>
      <c r="M1056" t="s">
        <v>31</v>
      </c>
      <c r="N1056">
        <v>16</v>
      </c>
      <c r="O1056">
        <v>3</v>
      </c>
      <c r="P1056">
        <v>1</v>
      </c>
      <c r="Q1056">
        <v>9</v>
      </c>
      <c r="R1056">
        <v>3</v>
      </c>
      <c r="S1056">
        <v>9</v>
      </c>
      <c r="T1056">
        <v>0</v>
      </c>
      <c r="U1056">
        <v>8</v>
      </c>
      <c r="V1056" t="s">
        <v>72</v>
      </c>
      <c r="W1056" s="1" t="s">
        <v>533</v>
      </c>
      <c r="Y1056" t="s">
        <v>46</v>
      </c>
      <c r="Z1056" t="s">
        <v>47</v>
      </c>
      <c r="AA1056">
        <v>4</v>
      </c>
      <c r="AB1056">
        <v>0</v>
      </c>
      <c r="AC1056" t="s">
        <v>31</v>
      </c>
      <c r="AD1056" t="s">
        <v>67</v>
      </c>
      <c r="AE1056" t="s">
        <v>60</v>
      </c>
      <c r="AF1056" s="3">
        <v>1607</v>
      </c>
      <c r="AG1056" s="3">
        <v>35</v>
      </c>
      <c r="AH1056">
        <v>80</v>
      </c>
      <c r="AI1056">
        <v>2</v>
      </c>
      <c r="AJ1056">
        <v>0</v>
      </c>
      <c r="AL1056">
        <v>0</v>
      </c>
      <c r="AM1056">
        <v>1</v>
      </c>
      <c r="AN1056" t="s">
        <v>768</v>
      </c>
      <c r="AO1056" t="s">
        <v>41</v>
      </c>
    </row>
    <row r="1057" spans="1:41" x14ac:dyDescent="0.25">
      <c r="A1057">
        <v>33</v>
      </c>
      <c r="B1057" t="s">
        <v>32</v>
      </c>
      <c r="C1057" t="s">
        <v>55</v>
      </c>
      <c r="D1057">
        <v>1</v>
      </c>
      <c r="E1057" t="s">
        <v>34</v>
      </c>
      <c r="F1057">
        <v>4</v>
      </c>
      <c r="G1057">
        <v>2</v>
      </c>
      <c r="H1057" t="s">
        <v>70</v>
      </c>
      <c r="I1057">
        <v>1</v>
      </c>
      <c r="J1057" t="s">
        <v>57</v>
      </c>
      <c r="K1057">
        <v>4037</v>
      </c>
      <c r="L1057">
        <v>1</v>
      </c>
      <c r="M1057" t="s">
        <v>41</v>
      </c>
      <c r="N1057">
        <v>22</v>
      </c>
      <c r="O1057">
        <v>4</v>
      </c>
      <c r="P1057">
        <v>1</v>
      </c>
      <c r="Q1057">
        <v>9</v>
      </c>
      <c r="R1057">
        <v>5</v>
      </c>
      <c r="S1057">
        <v>9</v>
      </c>
      <c r="T1057">
        <v>0</v>
      </c>
      <c r="U1057">
        <v>8</v>
      </c>
      <c r="V1057" t="s">
        <v>58</v>
      </c>
      <c r="W1057" s="2">
        <v>40969</v>
      </c>
      <c r="Y1057" t="s">
        <v>63</v>
      </c>
      <c r="Z1057" t="s">
        <v>40</v>
      </c>
      <c r="AA1057">
        <v>2</v>
      </c>
      <c r="AB1057">
        <v>3</v>
      </c>
      <c r="AC1057" t="s">
        <v>31</v>
      </c>
      <c r="AD1057" t="s">
        <v>67</v>
      </c>
      <c r="AE1057" t="s">
        <v>60</v>
      </c>
      <c r="AF1057" s="3">
        <v>2051</v>
      </c>
      <c r="AG1057" s="3">
        <v>98</v>
      </c>
      <c r="AH1057">
        <v>80</v>
      </c>
      <c r="AI1057">
        <v>3</v>
      </c>
      <c r="AJ1057">
        <v>0</v>
      </c>
      <c r="AL1057">
        <v>0</v>
      </c>
      <c r="AM1057">
        <v>1</v>
      </c>
      <c r="AN1057" t="s">
        <v>768</v>
      </c>
      <c r="AO1057" t="s">
        <v>41</v>
      </c>
    </row>
    <row r="1058" spans="1:41" x14ac:dyDescent="0.25">
      <c r="A1058">
        <v>52</v>
      </c>
      <c r="B1058" t="s">
        <v>66</v>
      </c>
      <c r="C1058" t="s">
        <v>33</v>
      </c>
      <c r="D1058">
        <v>25</v>
      </c>
      <c r="E1058" t="s">
        <v>61</v>
      </c>
      <c r="F1058">
        <v>2</v>
      </c>
      <c r="G1058">
        <v>4</v>
      </c>
      <c r="H1058" t="s">
        <v>78</v>
      </c>
      <c r="I1058">
        <v>4</v>
      </c>
      <c r="J1058" t="s">
        <v>51</v>
      </c>
      <c r="K1058">
        <v>13826</v>
      </c>
      <c r="L1058">
        <v>3</v>
      </c>
      <c r="M1058" t="s">
        <v>41</v>
      </c>
      <c r="N1058">
        <v>22</v>
      </c>
      <c r="O1058">
        <v>4</v>
      </c>
      <c r="P1058">
        <v>0</v>
      </c>
      <c r="Q1058">
        <v>31</v>
      </c>
      <c r="R1058">
        <v>3</v>
      </c>
      <c r="S1058">
        <v>9</v>
      </c>
      <c r="T1058">
        <v>0</v>
      </c>
      <c r="U1058">
        <v>0</v>
      </c>
      <c r="V1058" t="s">
        <v>58</v>
      </c>
      <c r="W1058" s="1" t="s">
        <v>534</v>
      </c>
      <c r="Y1058" t="s">
        <v>63</v>
      </c>
      <c r="Z1058" t="s">
        <v>40</v>
      </c>
      <c r="AA1058">
        <v>2</v>
      </c>
      <c r="AB1058">
        <v>3</v>
      </c>
      <c r="AC1058" t="s">
        <v>41</v>
      </c>
      <c r="AD1058" t="s">
        <v>42</v>
      </c>
      <c r="AE1058" t="s">
        <v>60</v>
      </c>
      <c r="AF1058" s="3">
        <v>1430</v>
      </c>
      <c r="AG1058" s="3">
        <v>93</v>
      </c>
      <c r="AH1058">
        <v>80</v>
      </c>
      <c r="AI1058">
        <v>2</v>
      </c>
      <c r="AJ1058">
        <v>0</v>
      </c>
      <c r="AL1058">
        <v>0</v>
      </c>
      <c r="AM1058">
        <v>1</v>
      </c>
      <c r="AN1058" t="s">
        <v>768</v>
      </c>
      <c r="AO1058" t="s">
        <v>41</v>
      </c>
    </row>
    <row r="1059" spans="1:41" x14ac:dyDescent="0.25">
      <c r="A1059">
        <v>31</v>
      </c>
      <c r="B1059" t="s">
        <v>81</v>
      </c>
      <c r="C1059" t="s">
        <v>55</v>
      </c>
      <c r="D1059">
        <v>20</v>
      </c>
      <c r="E1059" t="s">
        <v>61</v>
      </c>
      <c r="F1059">
        <v>3</v>
      </c>
      <c r="G1059">
        <v>2</v>
      </c>
      <c r="H1059" t="s">
        <v>70</v>
      </c>
      <c r="I1059">
        <v>3</v>
      </c>
      <c r="J1059" t="s">
        <v>51</v>
      </c>
      <c r="K1059">
        <v>6932</v>
      </c>
      <c r="L1059">
        <v>1</v>
      </c>
      <c r="M1059" t="s">
        <v>41</v>
      </c>
      <c r="N1059">
        <v>13</v>
      </c>
      <c r="O1059">
        <v>3</v>
      </c>
      <c r="P1059">
        <v>1</v>
      </c>
      <c r="Q1059">
        <v>9</v>
      </c>
      <c r="R1059">
        <v>2</v>
      </c>
      <c r="S1059">
        <v>9</v>
      </c>
      <c r="T1059">
        <v>0</v>
      </c>
      <c r="U1059">
        <v>0</v>
      </c>
      <c r="V1059" t="s">
        <v>58</v>
      </c>
      <c r="W1059" s="2">
        <v>41062</v>
      </c>
      <c r="Y1059" t="s">
        <v>54</v>
      </c>
      <c r="Z1059" t="s">
        <v>47</v>
      </c>
      <c r="AA1059">
        <v>3</v>
      </c>
      <c r="AB1059">
        <v>1</v>
      </c>
      <c r="AC1059" t="s">
        <v>31</v>
      </c>
      <c r="AD1059" t="s">
        <v>65</v>
      </c>
      <c r="AE1059" t="s">
        <v>43</v>
      </c>
      <c r="AF1059" s="3">
        <v>1411</v>
      </c>
      <c r="AG1059" s="3">
        <v>94</v>
      </c>
      <c r="AH1059">
        <v>80</v>
      </c>
      <c r="AI1059">
        <v>2</v>
      </c>
      <c r="AJ1059">
        <v>0</v>
      </c>
      <c r="AL1059">
        <v>0</v>
      </c>
      <c r="AM1059">
        <v>1</v>
      </c>
      <c r="AN1059" t="s">
        <v>768</v>
      </c>
      <c r="AO1059" t="s">
        <v>41</v>
      </c>
    </row>
    <row r="1060" spans="1:41" x14ac:dyDescent="0.25">
      <c r="A1060">
        <v>31</v>
      </c>
      <c r="B1060" t="s">
        <v>32</v>
      </c>
      <c r="C1060" t="s">
        <v>33</v>
      </c>
      <c r="D1060">
        <v>12</v>
      </c>
      <c r="E1060" t="s">
        <v>61</v>
      </c>
      <c r="F1060">
        <v>3</v>
      </c>
      <c r="G1060">
        <v>2</v>
      </c>
      <c r="H1060" t="s">
        <v>89</v>
      </c>
      <c r="I1060">
        <v>4</v>
      </c>
      <c r="J1060" t="s">
        <v>51</v>
      </c>
      <c r="K1060">
        <v>5855</v>
      </c>
      <c r="L1060">
        <v>0</v>
      </c>
      <c r="M1060" t="s">
        <v>31</v>
      </c>
      <c r="N1060">
        <v>11</v>
      </c>
      <c r="O1060">
        <v>3</v>
      </c>
      <c r="P1060">
        <v>2</v>
      </c>
      <c r="Q1060">
        <v>10</v>
      </c>
      <c r="R1060">
        <v>2</v>
      </c>
      <c r="S1060">
        <v>9</v>
      </c>
      <c r="T1060">
        <v>8</v>
      </c>
      <c r="U1060">
        <v>5</v>
      </c>
      <c r="V1060" t="s">
        <v>37</v>
      </c>
      <c r="W1060" s="2">
        <v>41247</v>
      </c>
      <c r="Y1060" t="s">
        <v>54</v>
      </c>
      <c r="Z1060" t="s">
        <v>47</v>
      </c>
      <c r="AA1060">
        <v>3</v>
      </c>
      <c r="AB1060">
        <v>1</v>
      </c>
      <c r="AC1060" t="s">
        <v>31</v>
      </c>
      <c r="AD1060" t="s">
        <v>42</v>
      </c>
      <c r="AE1060" t="s">
        <v>49</v>
      </c>
      <c r="AF1060" s="3">
        <v>1816</v>
      </c>
      <c r="AG1060" s="3">
        <v>64</v>
      </c>
      <c r="AH1060">
        <v>80</v>
      </c>
      <c r="AI1060">
        <v>7</v>
      </c>
      <c r="AJ1060">
        <v>0</v>
      </c>
      <c r="AL1060">
        <v>0</v>
      </c>
      <c r="AM1060">
        <v>1</v>
      </c>
      <c r="AN1060" t="s">
        <v>768</v>
      </c>
      <c r="AO1060" t="s">
        <v>41</v>
      </c>
    </row>
    <row r="1061" spans="1:41" x14ac:dyDescent="0.25">
      <c r="A1061">
        <v>45</v>
      </c>
      <c r="B1061" t="s">
        <v>81</v>
      </c>
      <c r="C1061" t="s">
        <v>33</v>
      </c>
      <c r="D1061">
        <v>4</v>
      </c>
      <c r="E1061" t="s">
        <v>34</v>
      </c>
      <c r="F1061">
        <v>3</v>
      </c>
      <c r="G1061">
        <v>2</v>
      </c>
      <c r="H1061" t="s">
        <v>35</v>
      </c>
      <c r="I1061">
        <v>2</v>
      </c>
      <c r="J1061" t="s">
        <v>51</v>
      </c>
      <c r="K1061">
        <v>4447</v>
      </c>
      <c r="L1061">
        <v>1</v>
      </c>
      <c r="M1061" t="s">
        <v>41</v>
      </c>
      <c r="N1061">
        <v>12</v>
      </c>
      <c r="O1061">
        <v>3</v>
      </c>
      <c r="P1061">
        <v>0</v>
      </c>
      <c r="Q1061">
        <v>9</v>
      </c>
      <c r="R1061">
        <v>5</v>
      </c>
      <c r="S1061">
        <v>9</v>
      </c>
      <c r="T1061">
        <v>0</v>
      </c>
      <c r="U1061">
        <v>8</v>
      </c>
      <c r="V1061" t="s">
        <v>37</v>
      </c>
      <c r="W1061" s="1" t="s">
        <v>519</v>
      </c>
      <c r="Y1061" t="s">
        <v>39</v>
      </c>
      <c r="Z1061" t="s">
        <v>40</v>
      </c>
      <c r="AA1061">
        <v>2</v>
      </c>
      <c r="AB1061">
        <v>2</v>
      </c>
      <c r="AC1061" t="s">
        <v>31</v>
      </c>
      <c r="AD1061" t="s">
        <v>65</v>
      </c>
      <c r="AE1061" t="s">
        <v>60</v>
      </c>
      <c r="AF1061" s="3">
        <v>1525</v>
      </c>
      <c r="AG1061" s="3">
        <v>32</v>
      </c>
      <c r="AH1061">
        <v>80</v>
      </c>
      <c r="AI1061">
        <v>0</v>
      </c>
      <c r="AJ1061">
        <v>0</v>
      </c>
      <c r="AL1061">
        <v>0</v>
      </c>
      <c r="AM1061">
        <v>1</v>
      </c>
      <c r="AN1061" t="s">
        <v>768</v>
      </c>
      <c r="AO1061" t="s">
        <v>41</v>
      </c>
    </row>
    <row r="1062" spans="1:41" x14ac:dyDescent="0.25">
      <c r="A1062">
        <v>52</v>
      </c>
      <c r="B1062" t="s">
        <v>32</v>
      </c>
      <c r="C1062" t="s">
        <v>33</v>
      </c>
      <c r="D1062">
        <v>1</v>
      </c>
      <c r="E1062" t="s">
        <v>34</v>
      </c>
      <c r="F1062">
        <v>3</v>
      </c>
      <c r="G1062">
        <v>4</v>
      </c>
      <c r="H1062" t="s">
        <v>75</v>
      </c>
      <c r="I1062">
        <v>4</v>
      </c>
      <c r="J1062" t="s">
        <v>51</v>
      </c>
      <c r="K1062">
        <v>17099</v>
      </c>
      <c r="L1062">
        <v>2</v>
      </c>
      <c r="M1062" t="s">
        <v>41</v>
      </c>
      <c r="N1062">
        <v>15</v>
      </c>
      <c r="O1062">
        <v>3</v>
      </c>
      <c r="P1062">
        <v>1</v>
      </c>
      <c r="Q1062">
        <v>26</v>
      </c>
      <c r="R1062">
        <v>2</v>
      </c>
      <c r="S1062">
        <v>9</v>
      </c>
      <c r="T1062">
        <v>7</v>
      </c>
      <c r="U1062">
        <v>8</v>
      </c>
      <c r="V1062" t="s">
        <v>58</v>
      </c>
      <c r="W1062" s="2">
        <v>40945</v>
      </c>
      <c r="Y1062" t="s">
        <v>39</v>
      </c>
      <c r="Z1062" t="s">
        <v>40</v>
      </c>
      <c r="AA1062">
        <v>0</v>
      </c>
      <c r="AB1062">
        <v>1</v>
      </c>
      <c r="AC1062" t="s">
        <v>41</v>
      </c>
      <c r="AD1062" t="s">
        <v>67</v>
      </c>
      <c r="AE1062" t="s">
        <v>49</v>
      </c>
      <c r="AF1062" s="3">
        <v>1856</v>
      </c>
      <c r="AG1062" s="3">
        <v>64</v>
      </c>
      <c r="AH1062">
        <v>80</v>
      </c>
      <c r="AI1062">
        <v>2</v>
      </c>
      <c r="AJ1062">
        <v>0</v>
      </c>
      <c r="AL1062">
        <v>0</v>
      </c>
      <c r="AM1062">
        <v>1</v>
      </c>
      <c r="AN1062" t="s">
        <v>768</v>
      </c>
      <c r="AO1062" t="s">
        <v>41</v>
      </c>
    </row>
    <row r="1063" spans="1:41" x14ac:dyDescent="0.25">
      <c r="A1063">
        <v>45</v>
      </c>
      <c r="B1063" t="s">
        <v>81</v>
      </c>
      <c r="C1063" t="s">
        <v>33</v>
      </c>
      <c r="D1063">
        <v>23</v>
      </c>
      <c r="E1063" t="s">
        <v>34</v>
      </c>
      <c r="F1063">
        <v>3</v>
      </c>
      <c r="G1063">
        <v>2</v>
      </c>
      <c r="H1063" t="s">
        <v>35</v>
      </c>
      <c r="I1063">
        <v>1</v>
      </c>
      <c r="J1063" t="s">
        <v>51</v>
      </c>
      <c r="K1063">
        <v>3633</v>
      </c>
      <c r="L1063">
        <v>1</v>
      </c>
      <c r="M1063" t="s">
        <v>31</v>
      </c>
      <c r="N1063">
        <v>15</v>
      </c>
      <c r="O1063">
        <v>3</v>
      </c>
      <c r="P1063">
        <v>1</v>
      </c>
      <c r="Q1063">
        <v>9</v>
      </c>
      <c r="R1063">
        <v>2</v>
      </c>
      <c r="S1063">
        <v>9</v>
      </c>
      <c r="T1063">
        <v>0</v>
      </c>
      <c r="U1063">
        <v>8</v>
      </c>
      <c r="V1063" t="s">
        <v>37</v>
      </c>
      <c r="W1063" s="1" t="s">
        <v>535</v>
      </c>
      <c r="Y1063" t="s">
        <v>54</v>
      </c>
      <c r="Z1063" t="s">
        <v>40</v>
      </c>
      <c r="AA1063">
        <v>1</v>
      </c>
      <c r="AB1063">
        <v>3</v>
      </c>
      <c r="AC1063" t="s">
        <v>31</v>
      </c>
      <c r="AD1063" t="s">
        <v>67</v>
      </c>
      <c r="AE1063" t="s">
        <v>60</v>
      </c>
      <c r="AF1063" s="3">
        <v>2010</v>
      </c>
      <c r="AG1063" s="3">
        <v>49</v>
      </c>
      <c r="AH1063">
        <v>80</v>
      </c>
      <c r="AI1063">
        <v>2</v>
      </c>
      <c r="AJ1063">
        <v>0</v>
      </c>
      <c r="AL1063">
        <v>0</v>
      </c>
      <c r="AM1063">
        <v>1</v>
      </c>
      <c r="AN1063" t="s">
        <v>768</v>
      </c>
      <c r="AO1063" t="s">
        <v>41</v>
      </c>
    </row>
    <row r="1064" spans="1:41" x14ac:dyDescent="0.25">
      <c r="A1064">
        <v>47</v>
      </c>
      <c r="B1064" t="s">
        <v>32</v>
      </c>
      <c r="C1064" t="s">
        <v>55</v>
      </c>
      <c r="D1064">
        <v>4</v>
      </c>
      <c r="E1064" t="s">
        <v>61</v>
      </c>
      <c r="F1064">
        <v>3</v>
      </c>
      <c r="G1064">
        <v>2</v>
      </c>
      <c r="H1064" t="s">
        <v>70</v>
      </c>
      <c r="I1064">
        <v>4</v>
      </c>
      <c r="J1064" t="s">
        <v>36</v>
      </c>
      <c r="K1064">
        <v>4163</v>
      </c>
      <c r="L1064">
        <v>1</v>
      </c>
      <c r="M1064" t="s">
        <v>31</v>
      </c>
      <c r="N1064">
        <v>17</v>
      </c>
      <c r="O1064">
        <v>3</v>
      </c>
      <c r="P1064">
        <v>0</v>
      </c>
      <c r="Q1064">
        <v>9</v>
      </c>
      <c r="R1064">
        <v>0</v>
      </c>
      <c r="S1064">
        <v>9</v>
      </c>
      <c r="T1064">
        <v>0</v>
      </c>
      <c r="U1064">
        <v>7</v>
      </c>
      <c r="V1064" t="s">
        <v>52</v>
      </c>
      <c r="W1064" s="1" t="s">
        <v>525</v>
      </c>
      <c r="Y1064" t="s">
        <v>39</v>
      </c>
      <c r="Z1064" t="s">
        <v>47</v>
      </c>
      <c r="AA1064">
        <v>0</v>
      </c>
      <c r="AB1064">
        <v>0</v>
      </c>
      <c r="AC1064" t="s">
        <v>31</v>
      </c>
      <c r="AD1064" t="s">
        <v>67</v>
      </c>
      <c r="AE1064" t="s">
        <v>49</v>
      </c>
      <c r="AF1064" s="3">
        <v>1735</v>
      </c>
      <c r="AG1064" s="3">
        <v>51</v>
      </c>
      <c r="AH1064">
        <v>80</v>
      </c>
      <c r="AI1064">
        <v>2</v>
      </c>
      <c r="AJ1064">
        <v>0</v>
      </c>
      <c r="AL1064">
        <v>0</v>
      </c>
      <c r="AM1064">
        <v>1</v>
      </c>
      <c r="AN1064" t="s">
        <v>768</v>
      </c>
      <c r="AO1064" t="s">
        <v>41</v>
      </c>
    </row>
    <row r="1065" spans="1:41" x14ac:dyDescent="0.25">
      <c r="A1065">
        <v>45</v>
      </c>
      <c r="B1065" t="s">
        <v>32</v>
      </c>
      <c r="C1065" t="s">
        <v>55</v>
      </c>
      <c r="D1065">
        <v>11</v>
      </c>
      <c r="E1065" t="s">
        <v>61</v>
      </c>
      <c r="F1065">
        <v>3</v>
      </c>
      <c r="G1065">
        <v>4</v>
      </c>
      <c r="H1065" t="s">
        <v>75</v>
      </c>
      <c r="I1065">
        <v>4</v>
      </c>
      <c r="J1065" t="s">
        <v>51</v>
      </c>
      <c r="K1065">
        <v>17650</v>
      </c>
      <c r="L1065">
        <v>3</v>
      </c>
      <c r="M1065" t="s">
        <v>41</v>
      </c>
      <c r="N1065">
        <v>13</v>
      </c>
      <c r="O1065">
        <v>3</v>
      </c>
      <c r="P1065">
        <v>1</v>
      </c>
      <c r="Q1065">
        <v>26</v>
      </c>
      <c r="R1065">
        <v>4</v>
      </c>
      <c r="S1065">
        <v>9</v>
      </c>
      <c r="T1065">
        <v>1</v>
      </c>
      <c r="U1065">
        <v>1</v>
      </c>
      <c r="V1065" t="s">
        <v>58</v>
      </c>
      <c r="W1065" s="2">
        <v>40913</v>
      </c>
      <c r="Y1065" t="s">
        <v>54</v>
      </c>
      <c r="Z1065" t="s">
        <v>47</v>
      </c>
      <c r="AA1065">
        <v>5</v>
      </c>
      <c r="AB1065">
        <v>2</v>
      </c>
      <c r="AC1065" t="s">
        <v>41</v>
      </c>
      <c r="AD1065" t="s">
        <v>48</v>
      </c>
      <c r="AE1065" t="s">
        <v>43</v>
      </c>
      <c r="AF1065" s="3">
        <v>1751</v>
      </c>
      <c r="AG1065" s="3">
        <v>67</v>
      </c>
      <c r="AH1065">
        <v>80</v>
      </c>
      <c r="AI1065">
        <v>2</v>
      </c>
      <c r="AJ1065">
        <v>0</v>
      </c>
      <c r="AL1065">
        <v>0</v>
      </c>
      <c r="AM1065">
        <v>1</v>
      </c>
      <c r="AN1065" t="s">
        <v>768</v>
      </c>
      <c r="AO1065" t="s">
        <v>41</v>
      </c>
    </row>
    <row r="1066" spans="1:41" x14ac:dyDescent="0.25">
      <c r="A1066">
        <v>54</v>
      </c>
      <c r="B1066" t="s">
        <v>32</v>
      </c>
      <c r="C1066" t="s">
        <v>55</v>
      </c>
      <c r="D1066">
        <v>2</v>
      </c>
      <c r="E1066" t="s">
        <v>61</v>
      </c>
      <c r="F1066">
        <v>2</v>
      </c>
      <c r="G1066">
        <v>3</v>
      </c>
      <c r="H1066" t="s">
        <v>70</v>
      </c>
      <c r="I1066">
        <v>3</v>
      </c>
      <c r="J1066" t="s">
        <v>51</v>
      </c>
      <c r="K1066">
        <v>10686</v>
      </c>
      <c r="L1066">
        <v>6</v>
      </c>
      <c r="M1066" t="s">
        <v>41</v>
      </c>
      <c r="N1066">
        <v>11</v>
      </c>
      <c r="O1066">
        <v>3</v>
      </c>
      <c r="P1066">
        <v>1</v>
      </c>
      <c r="Q1066">
        <v>13</v>
      </c>
      <c r="R1066">
        <v>4</v>
      </c>
      <c r="S1066">
        <v>9</v>
      </c>
      <c r="T1066">
        <v>7</v>
      </c>
      <c r="U1066">
        <v>0</v>
      </c>
      <c r="V1066" t="s">
        <v>58</v>
      </c>
      <c r="W1066" s="1" t="s">
        <v>536</v>
      </c>
      <c r="Y1066" t="s">
        <v>54</v>
      </c>
      <c r="Z1066" t="s">
        <v>40</v>
      </c>
      <c r="AA1066">
        <v>3</v>
      </c>
      <c r="AB1066">
        <v>3</v>
      </c>
      <c r="AC1066" t="s">
        <v>41</v>
      </c>
      <c r="AD1066" t="s">
        <v>48</v>
      </c>
      <c r="AE1066" t="s">
        <v>60</v>
      </c>
      <c r="AF1066" s="3">
        <v>2054</v>
      </c>
      <c r="AG1066" s="3">
        <v>73</v>
      </c>
      <c r="AH1066">
        <v>80</v>
      </c>
      <c r="AI1066">
        <v>4</v>
      </c>
      <c r="AJ1066">
        <v>0</v>
      </c>
      <c r="AL1066">
        <v>0</v>
      </c>
      <c r="AM1066">
        <v>1</v>
      </c>
      <c r="AN1066" t="s">
        <v>768</v>
      </c>
      <c r="AO1066" t="s">
        <v>41</v>
      </c>
    </row>
    <row r="1067" spans="1:41" x14ac:dyDescent="0.25">
      <c r="A1067">
        <v>55</v>
      </c>
      <c r="B1067" t="s">
        <v>81</v>
      </c>
      <c r="C1067" t="s">
        <v>33</v>
      </c>
      <c r="D1067">
        <v>2</v>
      </c>
      <c r="E1067" t="s">
        <v>34</v>
      </c>
      <c r="F1067">
        <v>2</v>
      </c>
      <c r="G1067">
        <v>4</v>
      </c>
      <c r="H1067" t="s">
        <v>75</v>
      </c>
      <c r="I1067">
        <v>1</v>
      </c>
      <c r="J1067" t="s">
        <v>36</v>
      </c>
      <c r="K1067">
        <v>16756</v>
      </c>
      <c r="L1067">
        <v>7</v>
      </c>
      <c r="M1067" t="s">
        <v>41</v>
      </c>
      <c r="N1067">
        <v>15</v>
      </c>
      <c r="O1067">
        <v>3</v>
      </c>
      <c r="P1067">
        <v>0</v>
      </c>
      <c r="Q1067">
        <v>31</v>
      </c>
      <c r="R1067">
        <v>3</v>
      </c>
      <c r="S1067">
        <v>9</v>
      </c>
      <c r="T1067">
        <v>6</v>
      </c>
      <c r="U1067">
        <v>2</v>
      </c>
      <c r="V1067" t="s">
        <v>52</v>
      </c>
      <c r="W1067" s="1" t="s">
        <v>537</v>
      </c>
      <c r="Y1067" t="s">
        <v>54</v>
      </c>
      <c r="Z1067" t="s">
        <v>40</v>
      </c>
      <c r="AA1067">
        <v>4</v>
      </c>
      <c r="AB1067">
        <v>3</v>
      </c>
      <c r="AC1067" t="s">
        <v>31</v>
      </c>
      <c r="AD1067" t="s">
        <v>48</v>
      </c>
      <c r="AE1067" t="s">
        <v>43</v>
      </c>
      <c r="AF1067" s="3">
        <v>1529</v>
      </c>
      <c r="AG1067" s="3">
        <v>91</v>
      </c>
      <c r="AH1067">
        <v>80</v>
      </c>
      <c r="AI1067">
        <v>8</v>
      </c>
      <c r="AJ1067">
        <v>0</v>
      </c>
      <c r="AL1067">
        <v>0</v>
      </c>
      <c r="AM1067">
        <v>1</v>
      </c>
      <c r="AN1067" t="s">
        <v>768</v>
      </c>
      <c r="AO1067" t="s">
        <v>41</v>
      </c>
    </row>
    <row r="1068" spans="1:41" x14ac:dyDescent="0.25">
      <c r="A1068">
        <v>28</v>
      </c>
      <c r="B1068" t="s">
        <v>32</v>
      </c>
      <c r="C1068" t="s">
        <v>33</v>
      </c>
      <c r="D1068">
        <v>3</v>
      </c>
      <c r="E1068" t="s">
        <v>61</v>
      </c>
      <c r="F1068">
        <v>3</v>
      </c>
      <c r="G1068">
        <v>3</v>
      </c>
      <c r="H1068" t="s">
        <v>78</v>
      </c>
      <c r="I1068">
        <v>2</v>
      </c>
      <c r="J1068" t="s">
        <v>57</v>
      </c>
      <c r="K1068">
        <v>7655</v>
      </c>
      <c r="L1068">
        <v>0</v>
      </c>
      <c r="M1068" t="s">
        <v>41</v>
      </c>
      <c r="N1068">
        <v>17</v>
      </c>
      <c r="O1068">
        <v>3</v>
      </c>
      <c r="P1068">
        <v>3</v>
      </c>
      <c r="Q1068">
        <v>10</v>
      </c>
      <c r="R1068">
        <v>3</v>
      </c>
      <c r="S1068">
        <v>9</v>
      </c>
      <c r="T1068">
        <v>1</v>
      </c>
      <c r="U1068">
        <v>7</v>
      </c>
      <c r="V1068" t="s">
        <v>52</v>
      </c>
      <c r="W1068" s="2">
        <v>41183</v>
      </c>
      <c r="Y1068" t="s">
        <v>63</v>
      </c>
      <c r="Z1068" t="s">
        <v>40</v>
      </c>
      <c r="AA1068">
        <v>3</v>
      </c>
      <c r="AB1068">
        <v>2</v>
      </c>
      <c r="AC1068" t="s">
        <v>41</v>
      </c>
      <c r="AD1068" t="s">
        <v>67</v>
      </c>
      <c r="AE1068" t="s">
        <v>60</v>
      </c>
      <c r="AF1068" s="3">
        <v>1719</v>
      </c>
      <c r="AG1068" s="3">
        <v>48</v>
      </c>
      <c r="AH1068">
        <v>80</v>
      </c>
      <c r="AI1068">
        <v>6</v>
      </c>
      <c r="AJ1068">
        <v>0</v>
      </c>
      <c r="AL1068">
        <v>0</v>
      </c>
      <c r="AM1068">
        <v>1</v>
      </c>
      <c r="AN1068" t="s">
        <v>768</v>
      </c>
      <c r="AO1068" t="s">
        <v>41</v>
      </c>
    </row>
    <row r="1069" spans="1:41" x14ac:dyDescent="0.25">
      <c r="A1069">
        <v>49</v>
      </c>
      <c r="B1069" t="s">
        <v>32</v>
      </c>
      <c r="C1069" t="s">
        <v>55</v>
      </c>
      <c r="D1069">
        <v>8</v>
      </c>
      <c r="E1069" t="s">
        <v>34</v>
      </c>
      <c r="F1069">
        <v>2</v>
      </c>
      <c r="G1069">
        <v>4</v>
      </c>
      <c r="H1069" t="s">
        <v>70</v>
      </c>
      <c r="I1069">
        <v>2</v>
      </c>
      <c r="J1069" t="s">
        <v>51</v>
      </c>
      <c r="K1069">
        <v>13120</v>
      </c>
      <c r="L1069">
        <v>6</v>
      </c>
      <c r="M1069" t="s">
        <v>41</v>
      </c>
      <c r="N1069">
        <v>17</v>
      </c>
      <c r="O1069">
        <v>3</v>
      </c>
      <c r="P1069">
        <v>1</v>
      </c>
      <c r="Q1069">
        <v>22</v>
      </c>
      <c r="R1069">
        <v>3</v>
      </c>
      <c r="S1069">
        <v>9</v>
      </c>
      <c r="T1069">
        <v>2</v>
      </c>
      <c r="U1069">
        <v>3</v>
      </c>
      <c r="V1069" t="s">
        <v>72</v>
      </c>
      <c r="W1069" s="1" t="s">
        <v>538</v>
      </c>
      <c r="Y1069" t="s">
        <v>46</v>
      </c>
      <c r="Z1069" t="s">
        <v>47</v>
      </c>
      <c r="AA1069">
        <v>5</v>
      </c>
      <c r="AB1069">
        <v>1</v>
      </c>
      <c r="AC1069" t="s">
        <v>41</v>
      </c>
      <c r="AD1069" t="s">
        <v>48</v>
      </c>
      <c r="AE1069" t="s">
        <v>49</v>
      </c>
      <c r="AF1069" s="3">
        <v>1422</v>
      </c>
      <c r="AG1069" s="3">
        <v>54</v>
      </c>
      <c r="AH1069">
        <v>80</v>
      </c>
      <c r="AI1069">
        <v>7</v>
      </c>
      <c r="AJ1069">
        <v>0</v>
      </c>
      <c r="AL1069">
        <v>0</v>
      </c>
      <c r="AM1069">
        <v>1</v>
      </c>
      <c r="AN1069" t="s">
        <v>768</v>
      </c>
      <c r="AO1069" t="s">
        <v>41</v>
      </c>
    </row>
    <row r="1070" spans="1:41" x14ac:dyDescent="0.25">
      <c r="A1070">
        <v>27</v>
      </c>
      <c r="B1070" t="s">
        <v>32</v>
      </c>
      <c r="C1070" t="s">
        <v>33</v>
      </c>
      <c r="D1070">
        <v>14</v>
      </c>
      <c r="E1070" t="s">
        <v>34</v>
      </c>
      <c r="F1070">
        <v>3</v>
      </c>
      <c r="G1070">
        <v>1</v>
      </c>
      <c r="H1070" t="s">
        <v>44</v>
      </c>
      <c r="I1070">
        <v>1</v>
      </c>
      <c r="J1070" t="s">
        <v>51</v>
      </c>
      <c r="K1070">
        <v>2235</v>
      </c>
      <c r="L1070">
        <v>1</v>
      </c>
      <c r="M1070" t="s">
        <v>31</v>
      </c>
      <c r="N1070">
        <v>14</v>
      </c>
      <c r="O1070">
        <v>3</v>
      </c>
      <c r="P1070">
        <v>2</v>
      </c>
      <c r="Q1070">
        <v>9</v>
      </c>
      <c r="R1070">
        <v>3</v>
      </c>
      <c r="S1070">
        <v>9</v>
      </c>
      <c r="T1070">
        <v>6</v>
      </c>
      <c r="U1070">
        <v>8</v>
      </c>
      <c r="V1070" t="s">
        <v>52</v>
      </c>
      <c r="W1070" s="1" t="s">
        <v>537</v>
      </c>
      <c r="Y1070" t="s">
        <v>46</v>
      </c>
      <c r="Z1070" t="s">
        <v>47</v>
      </c>
      <c r="AA1070">
        <v>4</v>
      </c>
      <c r="AB1070">
        <v>1</v>
      </c>
      <c r="AC1070" t="s">
        <v>41</v>
      </c>
      <c r="AD1070" t="s">
        <v>65</v>
      </c>
      <c r="AE1070" t="s">
        <v>49</v>
      </c>
      <c r="AF1070" s="3">
        <v>1863</v>
      </c>
      <c r="AG1070" s="3">
        <v>45</v>
      </c>
      <c r="AH1070">
        <v>80</v>
      </c>
      <c r="AI1070">
        <v>17</v>
      </c>
      <c r="AJ1070">
        <v>0</v>
      </c>
      <c r="AL1070">
        <v>0</v>
      </c>
      <c r="AM1070">
        <v>1</v>
      </c>
      <c r="AN1070" t="s">
        <v>768</v>
      </c>
      <c r="AO1070" t="s">
        <v>41</v>
      </c>
    </row>
    <row r="1071" spans="1:41" x14ac:dyDescent="0.25">
      <c r="A1071">
        <v>33</v>
      </c>
      <c r="B1071" t="s">
        <v>32</v>
      </c>
      <c r="C1071" t="s">
        <v>55</v>
      </c>
      <c r="D1071">
        <v>10</v>
      </c>
      <c r="E1071" t="s">
        <v>34</v>
      </c>
      <c r="F1071">
        <v>4</v>
      </c>
      <c r="G1071">
        <v>3</v>
      </c>
      <c r="H1071" t="s">
        <v>70</v>
      </c>
      <c r="I1071">
        <v>3</v>
      </c>
      <c r="J1071" t="s">
        <v>57</v>
      </c>
      <c r="K1071">
        <v>8380</v>
      </c>
      <c r="L1071">
        <v>0</v>
      </c>
      <c r="M1071" t="s">
        <v>31</v>
      </c>
      <c r="N1071">
        <v>14</v>
      </c>
      <c r="O1071">
        <v>3</v>
      </c>
      <c r="P1071">
        <v>2</v>
      </c>
      <c r="Q1071">
        <v>10</v>
      </c>
      <c r="R1071">
        <v>3</v>
      </c>
      <c r="S1071">
        <v>9</v>
      </c>
      <c r="T1071">
        <v>0</v>
      </c>
      <c r="U1071">
        <v>8</v>
      </c>
      <c r="V1071" t="s">
        <v>52</v>
      </c>
      <c r="W1071" s="2">
        <v>41216</v>
      </c>
      <c r="Y1071" t="s">
        <v>63</v>
      </c>
      <c r="Z1071" t="s">
        <v>40</v>
      </c>
      <c r="AA1071">
        <v>2</v>
      </c>
      <c r="AB1071">
        <v>1</v>
      </c>
      <c r="AC1071" t="s">
        <v>41</v>
      </c>
      <c r="AD1071" t="s">
        <v>48</v>
      </c>
      <c r="AE1071" t="s">
        <v>60</v>
      </c>
      <c r="AF1071" s="3">
        <v>1557</v>
      </c>
      <c r="AG1071" s="3">
        <v>96</v>
      </c>
      <c r="AH1071">
        <v>80</v>
      </c>
      <c r="AI1071">
        <v>7</v>
      </c>
      <c r="AJ1071">
        <v>0</v>
      </c>
      <c r="AL1071">
        <v>0</v>
      </c>
      <c r="AM1071">
        <v>1</v>
      </c>
      <c r="AN1071" t="s">
        <v>768</v>
      </c>
      <c r="AO1071" t="s">
        <v>41</v>
      </c>
    </row>
    <row r="1072" spans="1:41" x14ac:dyDescent="0.25">
      <c r="A1072">
        <v>59</v>
      </c>
      <c r="B1072" t="s">
        <v>32</v>
      </c>
      <c r="C1072" t="s">
        <v>33</v>
      </c>
      <c r="D1072">
        <v>18</v>
      </c>
      <c r="E1072" t="s">
        <v>34</v>
      </c>
      <c r="F1072">
        <v>3</v>
      </c>
      <c r="G1072">
        <v>3</v>
      </c>
      <c r="H1072" t="s">
        <v>78</v>
      </c>
      <c r="I1072">
        <v>4</v>
      </c>
      <c r="J1072" t="s">
        <v>36</v>
      </c>
      <c r="K1072">
        <v>10512</v>
      </c>
      <c r="L1072">
        <v>6</v>
      </c>
      <c r="M1072" t="s">
        <v>41</v>
      </c>
      <c r="N1072">
        <v>12</v>
      </c>
      <c r="O1072">
        <v>3</v>
      </c>
      <c r="P1072">
        <v>0</v>
      </c>
      <c r="Q1072">
        <v>25</v>
      </c>
      <c r="R1072">
        <v>6</v>
      </c>
      <c r="S1072">
        <v>9</v>
      </c>
      <c r="T1072">
        <v>5</v>
      </c>
      <c r="U1072">
        <v>4</v>
      </c>
      <c r="V1072" t="s">
        <v>37</v>
      </c>
      <c r="W1072" s="1" t="s">
        <v>537</v>
      </c>
      <c r="Y1072" t="s">
        <v>54</v>
      </c>
      <c r="Z1072" t="s">
        <v>40</v>
      </c>
      <c r="AA1072">
        <v>4</v>
      </c>
      <c r="AB1072">
        <v>1</v>
      </c>
      <c r="AC1072" t="s">
        <v>41</v>
      </c>
      <c r="AD1072" t="s">
        <v>48</v>
      </c>
      <c r="AE1072" t="s">
        <v>60</v>
      </c>
      <c r="AF1072" s="3">
        <v>1428</v>
      </c>
      <c r="AG1072" s="3">
        <v>73</v>
      </c>
      <c r="AH1072">
        <v>80</v>
      </c>
      <c r="AI1072">
        <v>2</v>
      </c>
      <c r="AJ1072">
        <v>0</v>
      </c>
      <c r="AL1072">
        <v>0</v>
      </c>
      <c r="AM1072">
        <v>1</v>
      </c>
      <c r="AN1072" t="s">
        <v>768</v>
      </c>
      <c r="AO1072" t="s">
        <v>41</v>
      </c>
    </row>
    <row r="1073" spans="1:41" x14ac:dyDescent="0.25">
      <c r="A1073">
        <v>30</v>
      </c>
      <c r="B1073" t="s">
        <v>32</v>
      </c>
      <c r="C1073" t="s">
        <v>33</v>
      </c>
      <c r="D1073">
        <v>6</v>
      </c>
      <c r="E1073" t="s">
        <v>61</v>
      </c>
      <c r="F1073">
        <v>2</v>
      </c>
      <c r="G1073">
        <v>2</v>
      </c>
      <c r="H1073" t="s">
        <v>35</v>
      </c>
      <c r="I1073">
        <v>4</v>
      </c>
      <c r="J1073" t="s">
        <v>51</v>
      </c>
      <c r="K1073">
        <v>4627</v>
      </c>
      <c r="L1073">
        <v>0</v>
      </c>
      <c r="M1073" t="s">
        <v>41</v>
      </c>
      <c r="N1073">
        <v>12</v>
      </c>
      <c r="O1073">
        <v>3</v>
      </c>
      <c r="P1073">
        <v>1</v>
      </c>
      <c r="Q1073">
        <v>10</v>
      </c>
      <c r="R1073">
        <v>6</v>
      </c>
      <c r="S1073">
        <v>9</v>
      </c>
      <c r="T1073">
        <v>6</v>
      </c>
      <c r="U1073">
        <v>7</v>
      </c>
      <c r="V1073" t="s">
        <v>52</v>
      </c>
      <c r="W1073" s="1" t="s">
        <v>539</v>
      </c>
      <c r="Y1073" t="s">
        <v>46</v>
      </c>
      <c r="Z1073" t="s">
        <v>47</v>
      </c>
      <c r="AA1073">
        <v>3</v>
      </c>
      <c r="AB1073">
        <v>0</v>
      </c>
      <c r="AC1073" t="s">
        <v>41</v>
      </c>
      <c r="AD1073" t="s">
        <v>42</v>
      </c>
      <c r="AE1073" t="s">
        <v>43</v>
      </c>
      <c r="AF1073" s="3">
        <v>1676</v>
      </c>
      <c r="AG1073" s="3">
        <v>47</v>
      </c>
      <c r="AH1073">
        <v>80</v>
      </c>
      <c r="AI1073">
        <v>2</v>
      </c>
      <c r="AJ1073">
        <v>0</v>
      </c>
      <c r="AL1073">
        <v>0</v>
      </c>
      <c r="AM1073">
        <v>1</v>
      </c>
      <c r="AN1073" t="s">
        <v>768</v>
      </c>
      <c r="AO1073" t="s">
        <v>41</v>
      </c>
    </row>
    <row r="1074" spans="1:41" x14ac:dyDescent="0.25">
      <c r="A1074">
        <v>28</v>
      </c>
      <c r="B1074" t="s">
        <v>81</v>
      </c>
      <c r="C1074" t="s">
        <v>33</v>
      </c>
      <c r="D1074">
        <v>1</v>
      </c>
      <c r="E1074" t="s">
        <v>61</v>
      </c>
      <c r="F1074">
        <v>1</v>
      </c>
      <c r="G1074">
        <v>2</v>
      </c>
      <c r="H1074" t="s">
        <v>35</v>
      </c>
      <c r="I1074">
        <v>4</v>
      </c>
      <c r="J1074" t="s">
        <v>51</v>
      </c>
      <c r="K1074">
        <v>6674</v>
      </c>
      <c r="L1074">
        <v>0</v>
      </c>
      <c r="M1074" t="s">
        <v>41</v>
      </c>
      <c r="N1074">
        <v>11</v>
      </c>
      <c r="O1074">
        <v>3</v>
      </c>
      <c r="P1074">
        <v>3</v>
      </c>
      <c r="Q1074">
        <v>10</v>
      </c>
      <c r="R1074">
        <v>6</v>
      </c>
      <c r="S1074">
        <v>9</v>
      </c>
      <c r="T1074">
        <v>7</v>
      </c>
      <c r="U1074">
        <v>5</v>
      </c>
      <c r="V1074" t="s">
        <v>37</v>
      </c>
      <c r="W1074" s="1" t="s">
        <v>540</v>
      </c>
      <c r="Y1074" t="s">
        <v>69</v>
      </c>
      <c r="Z1074" t="s">
        <v>40</v>
      </c>
      <c r="AA1074">
        <v>2</v>
      </c>
      <c r="AB1074">
        <v>2</v>
      </c>
      <c r="AC1074" t="s">
        <v>41</v>
      </c>
      <c r="AD1074" t="s">
        <v>65</v>
      </c>
      <c r="AE1074" t="s">
        <v>49</v>
      </c>
      <c r="AF1074" s="3">
        <v>2041</v>
      </c>
      <c r="AG1074" s="3">
        <v>100</v>
      </c>
      <c r="AH1074">
        <v>80</v>
      </c>
      <c r="AI1074">
        <v>7</v>
      </c>
      <c r="AJ1074">
        <v>0</v>
      </c>
      <c r="AL1074">
        <v>0</v>
      </c>
      <c r="AM1074">
        <v>1</v>
      </c>
      <c r="AN1074" t="s">
        <v>768</v>
      </c>
      <c r="AO1074" t="s">
        <v>41</v>
      </c>
    </row>
    <row r="1075" spans="1:41" x14ac:dyDescent="0.25">
      <c r="A1075">
        <v>30</v>
      </c>
      <c r="B1075" t="s">
        <v>32</v>
      </c>
      <c r="C1075" t="s">
        <v>33</v>
      </c>
      <c r="D1075">
        <v>17</v>
      </c>
      <c r="E1075" t="s">
        <v>61</v>
      </c>
      <c r="F1075">
        <v>3</v>
      </c>
      <c r="G1075">
        <v>3</v>
      </c>
      <c r="H1075" t="s">
        <v>75</v>
      </c>
      <c r="I1075">
        <v>1</v>
      </c>
      <c r="J1075" t="s">
        <v>51</v>
      </c>
      <c r="K1075">
        <v>11916</v>
      </c>
      <c r="L1075">
        <v>1</v>
      </c>
      <c r="M1075" t="s">
        <v>31</v>
      </c>
      <c r="N1075">
        <v>23</v>
      </c>
      <c r="O1075">
        <v>4</v>
      </c>
      <c r="P1075">
        <v>2</v>
      </c>
      <c r="Q1075">
        <v>9</v>
      </c>
      <c r="R1075">
        <v>2</v>
      </c>
      <c r="S1075">
        <v>9</v>
      </c>
      <c r="T1075">
        <v>0</v>
      </c>
      <c r="U1075">
        <v>8</v>
      </c>
      <c r="V1075" t="s">
        <v>37</v>
      </c>
      <c r="W1075" s="1" t="s">
        <v>525</v>
      </c>
      <c r="Y1075" t="s">
        <v>63</v>
      </c>
      <c r="Z1075" t="s">
        <v>40</v>
      </c>
      <c r="AA1075">
        <v>1</v>
      </c>
      <c r="AB1075">
        <v>3</v>
      </c>
      <c r="AC1075" t="s">
        <v>41</v>
      </c>
      <c r="AD1075" t="s">
        <v>42</v>
      </c>
      <c r="AE1075" t="s">
        <v>49</v>
      </c>
      <c r="AF1075" s="3">
        <v>2045</v>
      </c>
      <c r="AG1075" s="3">
        <v>100</v>
      </c>
      <c r="AH1075">
        <v>80</v>
      </c>
      <c r="AI1075">
        <v>3</v>
      </c>
      <c r="AJ1075">
        <v>0</v>
      </c>
      <c r="AL1075">
        <v>0</v>
      </c>
      <c r="AM1075">
        <v>1</v>
      </c>
      <c r="AN1075" t="s">
        <v>768</v>
      </c>
      <c r="AO1075" t="s">
        <v>41</v>
      </c>
    </row>
    <row r="1076" spans="1:41" x14ac:dyDescent="0.25">
      <c r="A1076">
        <v>34</v>
      </c>
      <c r="B1076" t="s">
        <v>32</v>
      </c>
      <c r="C1076" t="s">
        <v>33</v>
      </c>
      <c r="D1076">
        <v>9</v>
      </c>
      <c r="E1076" t="s">
        <v>34</v>
      </c>
      <c r="F1076">
        <v>3</v>
      </c>
      <c r="G1076">
        <v>3</v>
      </c>
      <c r="H1076" t="s">
        <v>89</v>
      </c>
      <c r="I1076">
        <v>4</v>
      </c>
      <c r="J1076" t="s">
        <v>57</v>
      </c>
      <c r="K1076">
        <v>8500</v>
      </c>
      <c r="L1076">
        <v>0</v>
      </c>
      <c r="M1076" t="s">
        <v>41</v>
      </c>
      <c r="N1076">
        <v>11</v>
      </c>
      <c r="O1076">
        <v>3</v>
      </c>
      <c r="P1076">
        <v>1</v>
      </c>
      <c r="Q1076">
        <v>10</v>
      </c>
      <c r="R1076">
        <v>0</v>
      </c>
      <c r="S1076">
        <v>9</v>
      </c>
      <c r="T1076">
        <v>1</v>
      </c>
      <c r="U1076">
        <v>6</v>
      </c>
      <c r="V1076" t="s">
        <v>58</v>
      </c>
      <c r="W1076" s="2">
        <v>40971</v>
      </c>
      <c r="Y1076" t="s">
        <v>69</v>
      </c>
      <c r="Z1076" t="s">
        <v>40</v>
      </c>
      <c r="AA1076">
        <v>0</v>
      </c>
      <c r="AB1076">
        <v>1</v>
      </c>
      <c r="AC1076" t="s">
        <v>41</v>
      </c>
      <c r="AD1076" t="s">
        <v>67</v>
      </c>
      <c r="AE1076" t="s">
        <v>60</v>
      </c>
      <c r="AF1076" s="3">
        <v>2056</v>
      </c>
      <c r="AG1076" s="3">
        <v>60</v>
      </c>
      <c r="AH1076">
        <v>80</v>
      </c>
      <c r="AI1076">
        <v>9</v>
      </c>
      <c r="AJ1076">
        <v>0</v>
      </c>
      <c r="AL1076">
        <v>0</v>
      </c>
      <c r="AM1076">
        <v>1</v>
      </c>
      <c r="AN1076" t="s">
        <v>768</v>
      </c>
      <c r="AO1076" t="s">
        <v>41</v>
      </c>
    </row>
    <row r="1077" spans="1:41" x14ac:dyDescent="0.25">
      <c r="A1077">
        <v>40</v>
      </c>
      <c r="B1077" t="s">
        <v>32</v>
      </c>
      <c r="C1077" t="s">
        <v>33</v>
      </c>
      <c r="D1077">
        <v>2</v>
      </c>
      <c r="E1077" t="s">
        <v>34</v>
      </c>
      <c r="F1077">
        <v>3</v>
      </c>
      <c r="G1077">
        <v>2</v>
      </c>
      <c r="H1077" t="s">
        <v>44</v>
      </c>
      <c r="I1077">
        <v>4</v>
      </c>
      <c r="J1077" t="s">
        <v>36</v>
      </c>
      <c r="K1077">
        <v>4661</v>
      </c>
      <c r="L1077">
        <v>1</v>
      </c>
      <c r="M1077" t="s">
        <v>41</v>
      </c>
      <c r="N1077">
        <v>13</v>
      </c>
      <c r="O1077">
        <v>3</v>
      </c>
      <c r="P1077">
        <v>0</v>
      </c>
      <c r="Q1077">
        <v>9</v>
      </c>
      <c r="R1077">
        <v>4</v>
      </c>
      <c r="S1077">
        <v>9</v>
      </c>
      <c r="T1077">
        <v>8</v>
      </c>
      <c r="U1077">
        <v>8</v>
      </c>
      <c r="V1077" t="s">
        <v>52</v>
      </c>
      <c r="W1077" s="1" t="s">
        <v>541</v>
      </c>
      <c r="Y1077" t="s">
        <v>39</v>
      </c>
      <c r="Z1077" t="s">
        <v>47</v>
      </c>
      <c r="AA1077">
        <v>0</v>
      </c>
      <c r="AB1077">
        <v>2</v>
      </c>
      <c r="AC1077" t="s">
        <v>31</v>
      </c>
      <c r="AD1077" t="s">
        <v>67</v>
      </c>
      <c r="AE1077" t="s">
        <v>49</v>
      </c>
      <c r="AF1077" s="3">
        <v>1986</v>
      </c>
      <c r="AG1077" s="3">
        <v>92</v>
      </c>
      <c r="AH1077">
        <v>80</v>
      </c>
      <c r="AI1077">
        <v>8</v>
      </c>
      <c r="AJ1077">
        <v>0</v>
      </c>
      <c r="AL1077">
        <v>0</v>
      </c>
      <c r="AM1077">
        <v>1</v>
      </c>
      <c r="AN1077" t="s">
        <v>768</v>
      </c>
      <c r="AO1077" t="s">
        <v>41</v>
      </c>
    </row>
    <row r="1078" spans="1:41" x14ac:dyDescent="0.25">
      <c r="A1078">
        <v>41</v>
      </c>
      <c r="B1078" t="s">
        <v>66</v>
      </c>
      <c r="C1078" t="s">
        <v>55</v>
      </c>
      <c r="D1078">
        <v>1</v>
      </c>
      <c r="E1078" t="s">
        <v>61</v>
      </c>
      <c r="F1078">
        <v>3</v>
      </c>
      <c r="G1078">
        <v>2</v>
      </c>
      <c r="H1078" t="s">
        <v>70</v>
      </c>
      <c r="I1078">
        <v>1</v>
      </c>
      <c r="J1078" t="s">
        <v>57</v>
      </c>
      <c r="K1078">
        <v>4103</v>
      </c>
      <c r="L1078">
        <v>0</v>
      </c>
      <c r="M1078" t="s">
        <v>41</v>
      </c>
      <c r="N1078">
        <v>17</v>
      </c>
      <c r="O1078">
        <v>3</v>
      </c>
      <c r="P1078">
        <v>1</v>
      </c>
      <c r="Q1078">
        <v>10</v>
      </c>
      <c r="R1078">
        <v>2</v>
      </c>
      <c r="S1078">
        <v>9</v>
      </c>
      <c r="T1078">
        <v>1</v>
      </c>
      <c r="U1078">
        <v>7</v>
      </c>
      <c r="V1078" t="s">
        <v>72</v>
      </c>
      <c r="W1078" s="1" t="s">
        <v>542</v>
      </c>
      <c r="Y1078" t="s">
        <v>69</v>
      </c>
      <c r="Z1078" t="s">
        <v>40</v>
      </c>
      <c r="AA1078">
        <v>0</v>
      </c>
      <c r="AB1078">
        <v>3</v>
      </c>
      <c r="AC1078" t="s">
        <v>41</v>
      </c>
      <c r="AD1078" t="s">
        <v>48</v>
      </c>
      <c r="AE1078" t="s">
        <v>60</v>
      </c>
      <c r="AF1078" s="3">
        <v>1875</v>
      </c>
      <c r="AG1078" s="3">
        <v>78</v>
      </c>
      <c r="AH1078">
        <v>80</v>
      </c>
      <c r="AI1078">
        <v>0</v>
      </c>
      <c r="AJ1078">
        <v>0</v>
      </c>
      <c r="AL1078">
        <v>0</v>
      </c>
      <c r="AM1078">
        <v>1</v>
      </c>
      <c r="AN1078" t="s">
        <v>768</v>
      </c>
      <c r="AO1078" t="s">
        <v>41</v>
      </c>
    </row>
    <row r="1079" spans="1:41" x14ac:dyDescent="0.25">
      <c r="A1079">
        <v>35</v>
      </c>
      <c r="B1079" t="s">
        <v>66</v>
      </c>
      <c r="C1079" t="s">
        <v>33</v>
      </c>
      <c r="D1079">
        <v>4</v>
      </c>
      <c r="E1079" t="s">
        <v>34</v>
      </c>
      <c r="F1079">
        <v>3</v>
      </c>
      <c r="G1079">
        <v>2</v>
      </c>
      <c r="H1079" t="s">
        <v>44</v>
      </c>
      <c r="I1079">
        <v>3</v>
      </c>
      <c r="J1079" t="s">
        <v>36</v>
      </c>
      <c r="K1079">
        <v>4249</v>
      </c>
      <c r="L1079">
        <v>1</v>
      </c>
      <c r="M1079" t="s">
        <v>31</v>
      </c>
      <c r="N1079">
        <v>11</v>
      </c>
      <c r="O1079">
        <v>3</v>
      </c>
      <c r="P1079">
        <v>0</v>
      </c>
      <c r="Q1079">
        <v>9</v>
      </c>
      <c r="R1079">
        <v>3</v>
      </c>
      <c r="S1079">
        <v>9</v>
      </c>
      <c r="T1079">
        <v>1</v>
      </c>
      <c r="U1079">
        <v>1</v>
      </c>
      <c r="V1079" t="s">
        <v>37</v>
      </c>
      <c r="W1079" s="2">
        <v>41126</v>
      </c>
      <c r="Y1079" t="s">
        <v>69</v>
      </c>
      <c r="Z1079" t="s">
        <v>47</v>
      </c>
      <c r="AA1079">
        <v>1</v>
      </c>
      <c r="AB1079">
        <v>3</v>
      </c>
      <c r="AC1079" t="s">
        <v>41</v>
      </c>
      <c r="AD1079" t="s">
        <v>65</v>
      </c>
      <c r="AE1079" t="s">
        <v>60</v>
      </c>
      <c r="AF1079" s="3">
        <v>1527</v>
      </c>
      <c r="AG1079" s="3">
        <v>51</v>
      </c>
      <c r="AH1079">
        <v>80</v>
      </c>
      <c r="AI1079">
        <v>12</v>
      </c>
      <c r="AJ1079">
        <v>0</v>
      </c>
      <c r="AL1079">
        <v>0</v>
      </c>
      <c r="AM1079">
        <v>1</v>
      </c>
      <c r="AN1079" t="s">
        <v>768</v>
      </c>
      <c r="AO1079" t="s">
        <v>41</v>
      </c>
    </row>
    <row r="1080" spans="1:41" x14ac:dyDescent="0.25">
      <c r="A1080">
        <v>35</v>
      </c>
      <c r="B1080" t="s">
        <v>32</v>
      </c>
      <c r="C1080" t="s">
        <v>33</v>
      </c>
      <c r="D1080">
        <v>1</v>
      </c>
      <c r="E1080" t="s">
        <v>61</v>
      </c>
      <c r="F1080">
        <v>2</v>
      </c>
      <c r="G1080">
        <v>2</v>
      </c>
      <c r="H1080" t="s">
        <v>35</v>
      </c>
      <c r="I1080">
        <v>4</v>
      </c>
      <c r="J1080" t="s">
        <v>51</v>
      </c>
      <c r="K1080">
        <v>5363</v>
      </c>
      <c r="L1080">
        <v>0</v>
      </c>
      <c r="M1080" t="s">
        <v>41</v>
      </c>
      <c r="N1080">
        <v>12</v>
      </c>
      <c r="O1080">
        <v>3</v>
      </c>
      <c r="P1080">
        <v>1</v>
      </c>
      <c r="Q1080">
        <v>10</v>
      </c>
      <c r="R1080">
        <v>0</v>
      </c>
      <c r="S1080">
        <v>9</v>
      </c>
      <c r="T1080">
        <v>0</v>
      </c>
      <c r="U1080">
        <v>0</v>
      </c>
      <c r="V1080" t="s">
        <v>72</v>
      </c>
      <c r="W1080" s="2">
        <v>41154</v>
      </c>
      <c r="Y1080" t="s">
        <v>63</v>
      </c>
      <c r="Z1080" t="s">
        <v>40</v>
      </c>
      <c r="AA1080">
        <v>3</v>
      </c>
      <c r="AB1080">
        <v>3</v>
      </c>
      <c r="AC1080" t="s">
        <v>41</v>
      </c>
      <c r="AD1080" t="s">
        <v>48</v>
      </c>
      <c r="AE1080" t="s">
        <v>60</v>
      </c>
      <c r="AF1080" s="3">
        <v>1935</v>
      </c>
      <c r="AG1080" s="3">
        <v>89</v>
      </c>
      <c r="AH1080">
        <v>80</v>
      </c>
      <c r="AI1080">
        <v>0</v>
      </c>
      <c r="AJ1080">
        <v>0</v>
      </c>
      <c r="AL1080">
        <v>0</v>
      </c>
      <c r="AM1080">
        <v>1</v>
      </c>
      <c r="AN1080" t="s">
        <v>768</v>
      </c>
      <c r="AO1080" t="s">
        <v>41</v>
      </c>
    </row>
    <row r="1081" spans="1:41" x14ac:dyDescent="0.25">
      <c r="A1081">
        <v>58</v>
      </c>
      <c r="B1081" t="s">
        <v>32</v>
      </c>
      <c r="C1081" t="s">
        <v>33</v>
      </c>
      <c r="D1081">
        <v>1</v>
      </c>
      <c r="E1081" t="s">
        <v>61</v>
      </c>
      <c r="F1081">
        <v>3</v>
      </c>
      <c r="G1081">
        <v>5</v>
      </c>
      <c r="H1081" t="s">
        <v>50</v>
      </c>
      <c r="I1081">
        <v>1</v>
      </c>
      <c r="J1081" t="s">
        <v>51</v>
      </c>
      <c r="K1081">
        <v>19701</v>
      </c>
      <c r="L1081">
        <v>3</v>
      </c>
      <c r="M1081" t="s">
        <v>31</v>
      </c>
      <c r="N1081">
        <v>21</v>
      </c>
      <c r="O1081">
        <v>4</v>
      </c>
      <c r="P1081">
        <v>1</v>
      </c>
      <c r="Q1081">
        <v>32</v>
      </c>
      <c r="R1081">
        <v>3</v>
      </c>
      <c r="S1081">
        <v>9</v>
      </c>
      <c r="T1081">
        <v>1</v>
      </c>
      <c r="U1081">
        <v>5</v>
      </c>
      <c r="V1081" t="s">
        <v>58</v>
      </c>
      <c r="W1081" s="2">
        <v>41244</v>
      </c>
      <c r="Y1081" t="s">
        <v>54</v>
      </c>
      <c r="Z1081" t="s">
        <v>40</v>
      </c>
      <c r="AA1081">
        <v>4</v>
      </c>
      <c r="AB1081">
        <v>0</v>
      </c>
      <c r="AC1081" t="s">
        <v>31</v>
      </c>
      <c r="AD1081" t="s">
        <v>65</v>
      </c>
      <c r="AE1081" t="s">
        <v>49</v>
      </c>
      <c r="AF1081" s="3">
        <v>1598</v>
      </c>
      <c r="AG1081" s="3">
        <v>84</v>
      </c>
      <c r="AH1081">
        <v>80</v>
      </c>
      <c r="AI1081">
        <v>4</v>
      </c>
      <c r="AJ1081">
        <v>0</v>
      </c>
      <c r="AL1081">
        <v>0</v>
      </c>
      <c r="AM1081">
        <v>1</v>
      </c>
      <c r="AN1081" t="s">
        <v>768</v>
      </c>
      <c r="AO1081" t="s">
        <v>41</v>
      </c>
    </row>
    <row r="1082" spans="1:41" x14ac:dyDescent="0.25">
      <c r="A1082">
        <v>40</v>
      </c>
      <c r="B1082" t="s">
        <v>81</v>
      </c>
      <c r="C1082" t="s">
        <v>33</v>
      </c>
      <c r="D1082">
        <v>8</v>
      </c>
      <c r="E1082" t="s">
        <v>34</v>
      </c>
      <c r="F1082">
        <v>2</v>
      </c>
      <c r="G1082">
        <v>3</v>
      </c>
      <c r="H1082" t="s">
        <v>50</v>
      </c>
      <c r="I1082">
        <v>2</v>
      </c>
      <c r="J1082" t="s">
        <v>57</v>
      </c>
      <c r="K1082">
        <v>13757</v>
      </c>
      <c r="L1082">
        <v>2</v>
      </c>
      <c r="M1082" t="s">
        <v>41</v>
      </c>
      <c r="N1082">
        <v>11</v>
      </c>
      <c r="O1082">
        <v>3</v>
      </c>
      <c r="P1082">
        <v>1</v>
      </c>
      <c r="Q1082">
        <v>16</v>
      </c>
      <c r="R1082">
        <v>5</v>
      </c>
      <c r="S1082">
        <v>9</v>
      </c>
      <c r="T1082">
        <v>4</v>
      </c>
      <c r="U1082">
        <v>8</v>
      </c>
      <c r="V1082" t="s">
        <v>72</v>
      </c>
      <c r="W1082" s="1" t="s">
        <v>524</v>
      </c>
      <c r="Y1082" t="s">
        <v>54</v>
      </c>
      <c r="Z1082" t="s">
        <v>40</v>
      </c>
      <c r="AA1082">
        <v>0</v>
      </c>
      <c r="AB1082">
        <v>2</v>
      </c>
      <c r="AC1082" t="s">
        <v>31</v>
      </c>
      <c r="AD1082" t="s">
        <v>67</v>
      </c>
      <c r="AE1082" t="s">
        <v>43</v>
      </c>
      <c r="AF1082" s="3">
        <v>1784</v>
      </c>
      <c r="AG1082" s="3">
        <v>91</v>
      </c>
      <c r="AH1082">
        <v>80</v>
      </c>
      <c r="AI1082">
        <v>7</v>
      </c>
      <c r="AJ1082">
        <v>0</v>
      </c>
      <c r="AL1082">
        <v>0</v>
      </c>
      <c r="AM1082">
        <v>1</v>
      </c>
      <c r="AN1082" t="s">
        <v>768</v>
      </c>
      <c r="AO1082" t="s">
        <v>41</v>
      </c>
    </row>
    <row r="1083" spans="1:41" x14ac:dyDescent="0.25">
      <c r="A1083">
        <v>53</v>
      </c>
      <c r="B1083" t="s">
        <v>32</v>
      </c>
      <c r="C1083" t="s">
        <v>33</v>
      </c>
      <c r="D1083">
        <v>2</v>
      </c>
      <c r="E1083" t="s">
        <v>34</v>
      </c>
      <c r="F1083">
        <v>4</v>
      </c>
      <c r="G1083">
        <v>4</v>
      </c>
      <c r="H1083" t="s">
        <v>50</v>
      </c>
      <c r="I1083">
        <v>2</v>
      </c>
      <c r="J1083" t="s">
        <v>36</v>
      </c>
      <c r="K1083">
        <v>16598</v>
      </c>
      <c r="L1083">
        <v>4</v>
      </c>
      <c r="M1083" t="s">
        <v>41</v>
      </c>
      <c r="N1083">
        <v>12</v>
      </c>
      <c r="O1083">
        <v>3</v>
      </c>
      <c r="P1083">
        <v>0</v>
      </c>
      <c r="Q1083">
        <v>35</v>
      </c>
      <c r="R1083">
        <v>2</v>
      </c>
      <c r="S1083">
        <v>9</v>
      </c>
      <c r="T1083">
        <v>8</v>
      </c>
      <c r="U1083">
        <v>8</v>
      </c>
      <c r="V1083" t="s">
        <v>52</v>
      </c>
      <c r="W1083" s="1" t="s">
        <v>543</v>
      </c>
      <c r="Y1083" t="s">
        <v>69</v>
      </c>
      <c r="Z1083" t="s">
        <v>40</v>
      </c>
      <c r="AA1083">
        <v>0</v>
      </c>
      <c r="AB1083">
        <v>1</v>
      </c>
      <c r="AC1083" t="s">
        <v>41</v>
      </c>
      <c r="AD1083" t="s">
        <v>48</v>
      </c>
      <c r="AE1083" t="s">
        <v>60</v>
      </c>
      <c r="AF1083" s="3">
        <v>2024</v>
      </c>
      <c r="AG1083" s="3">
        <v>94</v>
      </c>
      <c r="AH1083">
        <v>80</v>
      </c>
      <c r="AI1083">
        <v>7</v>
      </c>
      <c r="AJ1083">
        <v>0</v>
      </c>
      <c r="AL1083">
        <v>0</v>
      </c>
      <c r="AM1083">
        <v>1</v>
      </c>
      <c r="AN1083" t="s">
        <v>768</v>
      </c>
      <c r="AO1083" t="s">
        <v>41</v>
      </c>
    </row>
    <row r="1084" spans="1:41" x14ac:dyDescent="0.25">
      <c r="A1084">
        <v>29</v>
      </c>
      <c r="B1084" t="s">
        <v>32</v>
      </c>
      <c r="C1084" t="s">
        <v>33</v>
      </c>
      <c r="D1084">
        <v>1</v>
      </c>
      <c r="E1084" t="s">
        <v>34</v>
      </c>
      <c r="F1084">
        <v>2</v>
      </c>
      <c r="G1084">
        <v>1</v>
      </c>
      <c r="H1084" t="s">
        <v>44</v>
      </c>
      <c r="I1084">
        <v>1</v>
      </c>
      <c r="J1084" t="s">
        <v>36</v>
      </c>
      <c r="K1084">
        <v>2362</v>
      </c>
      <c r="L1084">
        <v>6</v>
      </c>
      <c r="M1084" t="s">
        <v>41</v>
      </c>
      <c r="N1084">
        <v>13</v>
      </c>
      <c r="O1084">
        <v>3</v>
      </c>
      <c r="P1084">
        <v>0</v>
      </c>
      <c r="Q1084">
        <v>11</v>
      </c>
      <c r="R1084">
        <v>2</v>
      </c>
      <c r="S1084">
        <v>9</v>
      </c>
      <c r="T1084">
        <v>0</v>
      </c>
      <c r="U1084">
        <v>7</v>
      </c>
      <c r="V1084" t="s">
        <v>58</v>
      </c>
      <c r="W1084" s="2">
        <v>40970</v>
      </c>
      <c r="Y1084" t="s">
        <v>39</v>
      </c>
      <c r="Z1084" t="s">
        <v>40</v>
      </c>
      <c r="AA1084">
        <v>4</v>
      </c>
      <c r="AB1084">
        <v>3</v>
      </c>
      <c r="AC1084" t="s">
        <v>41</v>
      </c>
      <c r="AD1084" t="s">
        <v>48</v>
      </c>
      <c r="AE1084" t="s">
        <v>60</v>
      </c>
      <c r="AF1084" s="3">
        <v>1673</v>
      </c>
      <c r="AG1084" s="3">
        <v>67</v>
      </c>
      <c r="AH1084">
        <v>80</v>
      </c>
      <c r="AI1084">
        <v>0</v>
      </c>
      <c r="AJ1084">
        <v>0</v>
      </c>
      <c r="AL1084">
        <v>0</v>
      </c>
      <c r="AM1084">
        <v>1</v>
      </c>
      <c r="AN1084" t="s">
        <v>768</v>
      </c>
      <c r="AO1084" t="s">
        <v>41</v>
      </c>
    </row>
    <row r="1085" spans="1:41" x14ac:dyDescent="0.25">
      <c r="A1085">
        <v>38</v>
      </c>
      <c r="B1085" t="s">
        <v>32</v>
      </c>
      <c r="C1085" t="s">
        <v>55</v>
      </c>
      <c r="D1085">
        <v>14</v>
      </c>
      <c r="E1085" t="s">
        <v>34</v>
      </c>
      <c r="F1085">
        <v>3</v>
      </c>
      <c r="G1085">
        <v>2</v>
      </c>
      <c r="H1085" t="s">
        <v>70</v>
      </c>
      <c r="I1085">
        <v>2</v>
      </c>
      <c r="J1085" t="s">
        <v>51</v>
      </c>
      <c r="K1085">
        <v>9924</v>
      </c>
      <c r="L1085">
        <v>0</v>
      </c>
      <c r="M1085" t="s">
        <v>41</v>
      </c>
      <c r="N1085">
        <v>11</v>
      </c>
      <c r="O1085">
        <v>3</v>
      </c>
      <c r="P1085">
        <v>1</v>
      </c>
      <c r="Q1085">
        <v>10</v>
      </c>
      <c r="R1085">
        <v>3</v>
      </c>
      <c r="S1085">
        <v>9</v>
      </c>
      <c r="T1085">
        <v>7</v>
      </c>
      <c r="U1085">
        <v>7</v>
      </c>
      <c r="V1085" t="s">
        <v>52</v>
      </c>
      <c r="W1085" s="2">
        <v>41031</v>
      </c>
      <c r="Y1085" t="s">
        <v>63</v>
      </c>
      <c r="Z1085" t="s">
        <v>40</v>
      </c>
      <c r="AA1085">
        <v>4</v>
      </c>
      <c r="AB1085">
        <v>3</v>
      </c>
      <c r="AC1085" t="s">
        <v>41</v>
      </c>
      <c r="AD1085" t="s">
        <v>65</v>
      </c>
      <c r="AE1085" t="s">
        <v>43</v>
      </c>
      <c r="AF1085" s="3">
        <v>1436</v>
      </c>
      <c r="AG1085" s="3">
        <v>98</v>
      </c>
      <c r="AH1085">
        <v>80</v>
      </c>
      <c r="AI1085">
        <v>2</v>
      </c>
      <c r="AJ1085">
        <v>0</v>
      </c>
      <c r="AL1085">
        <v>0</v>
      </c>
      <c r="AM1085">
        <v>1</v>
      </c>
      <c r="AN1085" t="s">
        <v>768</v>
      </c>
      <c r="AO1085" t="s">
        <v>41</v>
      </c>
    </row>
    <row r="1086" spans="1:41" x14ac:dyDescent="0.25">
      <c r="A1086">
        <v>34</v>
      </c>
      <c r="B1086" t="s">
        <v>66</v>
      </c>
      <c r="C1086" t="s">
        <v>33</v>
      </c>
      <c r="D1086">
        <v>10</v>
      </c>
      <c r="E1086" t="s">
        <v>34</v>
      </c>
      <c r="F1086">
        <v>4</v>
      </c>
      <c r="G1086">
        <v>2</v>
      </c>
      <c r="H1086" t="s">
        <v>78</v>
      </c>
      <c r="I1086">
        <v>4</v>
      </c>
      <c r="J1086" t="s">
        <v>57</v>
      </c>
      <c r="K1086">
        <v>4724</v>
      </c>
      <c r="L1086">
        <v>1</v>
      </c>
      <c r="M1086" t="s">
        <v>41</v>
      </c>
      <c r="N1086">
        <v>13</v>
      </c>
      <c r="O1086">
        <v>3</v>
      </c>
      <c r="P1086">
        <v>1</v>
      </c>
      <c r="Q1086">
        <v>9</v>
      </c>
      <c r="R1086">
        <v>3</v>
      </c>
      <c r="S1086">
        <v>9</v>
      </c>
      <c r="T1086">
        <v>7</v>
      </c>
      <c r="U1086">
        <v>2</v>
      </c>
      <c r="V1086" t="s">
        <v>58</v>
      </c>
      <c r="W1086" s="1" t="s">
        <v>544</v>
      </c>
      <c r="Y1086" t="s">
        <v>54</v>
      </c>
      <c r="Z1086" t="s">
        <v>47</v>
      </c>
      <c r="AA1086">
        <v>1</v>
      </c>
      <c r="AB1086">
        <v>1</v>
      </c>
      <c r="AC1086" t="s">
        <v>41</v>
      </c>
      <c r="AD1086" t="s">
        <v>42</v>
      </c>
      <c r="AE1086" t="s">
        <v>43</v>
      </c>
      <c r="AF1086" s="3">
        <v>2016</v>
      </c>
      <c r="AG1086" s="3">
        <v>48</v>
      </c>
      <c r="AH1086">
        <v>80</v>
      </c>
      <c r="AI1086">
        <v>10</v>
      </c>
      <c r="AJ1086">
        <v>0</v>
      </c>
      <c r="AL1086">
        <v>0</v>
      </c>
      <c r="AM1086">
        <v>1</v>
      </c>
      <c r="AN1086" t="s">
        <v>768</v>
      </c>
      <c r="AO1086" t="s">
        <v>41</v>
      </c>
    </row>
    <row r="1087" spans="1:41" x14ac:dyDescent="0.25">
      <c r="A1087">
        <v>49</v>
      </c>
      <c r="B1087" t="s">
        <v>32</v>
      </c>
      <c r="C1087" t="s">
        <v>33</v>
      </c>
      <c r="D1087">
        <v>25</v>
      </c>
      <c r="E1087" t="s">
        <v>61</v>
      </c>
      <c r="F1087">
        <v>3</v>
      </c>
      <c r="G1087">
        <v>1</v>
      </c>
      <c r="H1087" t="s">
        <v>35</v>
      </c>
      <c r="I1087">
        <v>1</v>
      </c>
      <c r="J1087" t="s">
        <v>51</v>
      </c>
      <c r="K1087">
        <v>3211</v>
      </c>
      <c r="L1087">
        <v>1</v>
      </c>
      <c r="M1087" t="s">
        <v>41</v>
      </c>
      <c r="N1087">
        <v>14</v>
      </c>
      <c r="O1087">
        <v>3</v>
      </c>
      <c r="P1087">
        <v>1</v>
      </c>
      <c r="Q1087">
        <v>10</v>
      </c>
      <c r="R1087">
        <v>3</v>
      </c>
      <c r="S1087">
        <v>9</v>
      </c>
      <c r="T1087">
        <v>1</v>
      </c>
      <c r="U1087">
        <v>4</v>
      </c>
      <c r="V1087" t="s">
        <v>52</v>
      </c>
      <c r="W1087" s="1" t="s">
        <v>545</v>
      </c>
      <c r="Y1087" t="s">
        <v>69</v>
      </c>
      <c r="Z1087" t="s">
        <v>40</v>
      </c>
      <c r="AA1087">
        <v>5</v>
      </c>
      <c r="AB1087">
        <v>3</v>
      </c>
      <c r="AC1087" t="s">
        <v>31</v>
      </c>
      <c r="AD1087" t="s">
        <v>42</v>
      </c>
      <c r="AE1087" t="s">
        <v>49</v>
      </c>
      <c r="AF1087" s="3">
        <v>1898</v>
      </c>
      <c r="AG1087" s="3">
        <v>89</v>
      </c>
      <c r="AH1087">
        <v>80</v>
      </c>
      <c r="AI1087">
        <v>7</v>
      </c>
      <c r="AJ1087">
        <v>0</v>
      </c>
      <c r="AL1087">
        <v>0</v>
      </c>
      <c r="AM1087">
        <v>1</v>
      </c>
      <c r="AN1087" t="s">
        <v>768</v>
      </c>
      <c r="AO1087" t="s">
        <v>41</v>
      </c>
    </row>
    <row r="1088" spans="1:41" x14ac:dyDescent="0.25">
      <c r="A1088">
        <v>39</v>
      </c>
      <c r="B1088" t="s">
        <v>66</v>
      </c>
      <c r="C1088" t="s">
        <v>33</v>
      </c>
      <c r="D1088">
        <v>4</v>
      </c>
      <c r="E1088" t="s">
        <v>61</v>
      </c>
      <c r="F1088">
        <v>3</v>
      </c>
      <c r="G1088">
        <v>2</v>
      </c>
      <c r="H1088" t="s">
        <v>78</v>
      </c>
      <c r="I1088">
        <v>3</v>
      </c>
      <c r="J1088" t="s">
        <v>36</v>
      </c>
      <c r="K1088">
        <v>5042</v>
      </c>
      <c r="L1088">
        <v>0</v>
      </c>
      <c r="M1088" t="s">
        <v>41</v>
      </c>
      <c r="N1088">
        <v>13</v>
      </c>
      <c r="O1088">
        <v>3</v>
      </c>
      <c r="P1088">
        <v>0</v>
      </c>
      <c r="Q1088">
        <v>10</v>
      </c>
      <c r="R1088">
        <v>2</v>
      </c>
      <c r="S1088">
        <v>9</v>
      </c>
      <c r="T1088">
        <v>3</v>
      </c>
      <c r="U1088">
        <v>8</v>
      </c>
      <c r="V1088" t="s">
        <v>37</v>
      </c>
      <c r="W1088" s="1" t="s">
        <v>546</v>
      </c>
      <c r="Y1088" t="s">
        <v>46</v>
      </c>
      <c r="Z1088" t="s">
        <v>47</v>
      </c>
      <c r="AA1088">
        <v>5</v>
      </c>
      <c r="AB1088">
        <v>2</v>
      </c>
      <c r="AC1088" t="s">
        <v>41</v>
      </c>
      <c r="AD1088" t="s">
        <v>65</v>
      </c>
      <c r="AE1088" t="s">
        <v>49</v>
      </c>
      <c r="AF1088" s="3">
        <v>1583</v>
      </c>
      <c r="AG1088" s="3">
        <v>90</v>
      </c>
      <c r="AH1088">
        <v>80</v>
      </c>
      <c r="AI1088">
        <v>2</v>
      </c>
      <c r="AJ1088">
        <v>0</v>
      </c>
      <c r="AL1088">
        <v>0</v>
      </c>
      <c r="AM1088">
        <v>1</v>
      </c>
      <c r="AN1088" t="s">
        <v>768</v>
      </c>
      <c r="AO1088" t="s">
        <v>41</v>
      </c>
    </row>
    <row r="1089" spans="1:41" x14ac:dyDescent="0.25">
      <c r="A1089">
        <v>32</v>
      </c>
      <c r="B1089" t="s">
        <v>32</v>
      </c>
      <c r="C1089" t="s">
        <v>33</v>
      </c>
      <c r="D1089">
        <v>2</v>
      </c>
      <c r="E1089" t="s">
        <v>34</v>
      </c>
      <c r="F1089">
        <v>3</v>
      </c>
      <c r="G1089">
        <v>2</v>
      </c>
      <c r="H1089" t="s">
        <v>44</v>
      </c>
      <c r="I1089">
        <v>2</v>
      </c>
      <c r="J1089" t="s">
        <v>57</v>
      </c>
      <c r="K1089">
        <v>5470</v>
      </c>
      <c r="L1089">
        <v>0</v>
      </c>
      <c r="M1089" t="s">
        <v>41</v>
      </c>
      <c r="N1089">
        <v>13</v>
      </c>
      <c r="O1089">
        <v>3</v>
      </c>
      <c r="P1089">
        <v>2</v>
      </c>
      <c r="Q1089">
        <v>10</v>
      </c>
      <c r="R1089">
        <v>4</v>
      </c>
      <c r="S1089">
        <v>9</v>
      </c>
      <c r="T1089">
        <v>1</v>
      </c>
      <c r="U1089">
        <v>6</v>
      </c>
      <c r="V1089" t="s">
        <v>37</v>
      </c>
      <c r="W1089" s="1" t="s">
        <v>547</v>
      </c>
      <c r="Y1089" t="s">
        <v>39</v>
      </c>
      <c r="Z1089" t="s">
        <v>40</v>
      </c>
      <c r="AA1089">
        <v>5</v>
      </c>
      <c r="AB1089">
        <v>1</v>
      </c>
      <c r="AC1089" t="s">
        <v>41</v>
      </c>
      <c r="AD1089" t="s">
        <v>65</v>
      </c>
      <c r="AE1089" t="s">
        <v>43</v>
      </c>
      <c r="AF1089" s="3">
        <v>1585</v>
      </c>
      <c r="AG1089" s="3">
        <v>73</v>
      </c>
      <c r="AH1089">
        <v>80</v>
      </c>
      <c r="AI1089">
        <v>0</v>
      </c>
      <c r="AJ1089">
        <v>0</v>
      </c>
      <c r="AL1089">
        <v>0</v>
      </c>
      <c r="AM1089">
        <v>1</v>
      </c>
      <c r="AN1089" t="s">
        <v>768</v>
      </c>
      <c r="AO1089" t="s">
        <v>41</v>
      </c>
    </row>
    <row r="1090" spans="1:41" x14ac:dyDescent="0.25">
      <c r="A1090">
        <v>48</v>
      </c>
      <c r="B1090" t="s">
        <v>66</v>
      </c>
      <c r="C1090" t="s">
        <v>55</v>
      </c>
      <c r="D1090">
        <v>7</v>
      </c>
      <c r="E1090" t="s">
        <v>61</v>
      </c>
      <c r="F1090">
        <v>3</v>
      </c>
      <c r="G1090">
        <v>1</v>
      </c>
      <c r="H1090" t="s">
        <v>56</v>
      </c>
      <c r="I1090">
        <v>3</v>
      </c>
      <c r="J1090" t="s">
        <v>51</v>
      </c>
      <c r="K1090">
        <v>2655</v>
      </c>
      <c r="L1090">
        <v>2</v>
      </c>
      <c r="M1090" t="s">
        <v>31</v>
      </c>
      <c r="N1090">
        <v>11</v>
      </c>
      <c r="O1090">
        <v>3</v>
      </c>
      <c r="P1090">
        <v>2</v>
      </c>
      <c r="Q1090">
        <v>19</v>
      </c>
      <c r="R1090">
        <v>3</v>
      </c>
      <c r="S1090">
        <v>9</v>
      </c>
      <c r="T1090">
        <v>7</v>
      </c>
      <c r="U1090">
        <v>7</v>
      </c>
      <c r="V1090" t="s">
        <v>72</v>
      </c>
      <c r="W1090" s="1" t="s">
        <v>548</v>
      </c>
      <c r="Y1090" t="s">
        <v>63</v>
      </c>
      <c r="Z1090" t="s">
        <v>47</v>
      </c>
      <c r="AA1090">
        <v>3</v>
      </c>
      <c r="AB1090">
        <v>0</v>
      </c>
      <c r="AC1090" t="s">
        <v>41</v>
      </c>
      <c r="AD1090" t="s">
        <v>42</v>
      </c>
      <c r="AE1090" t="s">
        <v>43</v>
      </c>
      <c r="AF1090" s="3">
        <v>1657</v>
      </c>
      <c r="AG1090" s="3">
        <v>31</v>
      </c>
      <c r="AH1090">
        <v>80</v>
      </c>
      <c r="AI1090">
        <v>2</v>
      </c>
      <c r="AJ1090">
        <v>0</v>
      </c>
      <c r="AL1090">
        <v>0</v>
      </c>
      <c r="AM1090">
        <v>1</v>
      </c>
      <c r="AN1090" t="s">
        <v>768</v>
      </c>
      <c r="AO1090" t="s">
        <v>41</v>
      </c>
    </row>
    <row r="1091" spans="1:41" x14ac:dyDescent="0.25">
      <c r="A1091">
        <v>39</v>
      </c>
      <c r="B1091" t="s">
        <v>81</v>
      </c>
      <c r="C1091" t="s">
        <v>33</v>
      </c>
      <c r="D1091">
        <v>1</v>
      </c>
      <c r="E1091" t="s">
        <v>34</v>
      </c>
      <c r="F1091">
        <v>3</v>
      </c>
      <c r="G1091">
        <v>2</v>
      </c>
      <c r="H1091" t="s">
        <v>35</v>
      </c>
      <c r="I1091">
        <v>4</v>
      </c>
      <c r="J1091" t="s">
        <v>51</v>
      </c>
      <c r="K1091">
        <v>6472</v>
      </c>
      <c r="L1091">
        <v>1</v>
      </c>
      <c r="M1091" t="s">
        <v>31</v>
      </c>
      <c r="N1091">
        <v>15</v>
      </c>
      <c r="O1091">
        <v>3</v>
      </c>
      <c r="P1091">
        <v>1</v>
      </c>
      <c r="Q1091">
        <v>9</v>
      </c>
      <c r="R1091">
        <v>2</v>
      </c>
      <c r="S1091">
        <v>9</v>
      </c>
      <c r="T1091">
        <v>5</v>
      </c>
      <c r="U1091">
        <v>8</v>
      </c>
      <c r="V1091" t="s">
        <v>37</v>
      </c>
      <c r="W1091" s="1" t="s">
        <v>549</v>
      </c>
      <c r="Y1091" t="s">
        <v>54</v>
      </c>
      <c r="Z1091" t="s">
        <v>40</v>
      </c>
      <c r="AA1091">
        <v>4</v>
      </c>
      <c r="AB1091">
        <v>2</v>
      </c>
      <c r="AC1091" t="s">
        <v>31</v>
      </c>
      <c r="AD1091" t="s">
        <v>42</v>
      </c>
      <c r="AE1091" t="s">
        <v>43</v>
      </c>
      <c r="AF1091" s="3">
        <v>1710</v>
      </c>
      <c r="AG1091" s="3">
        <v>51</v>
      </c>
      <c r="AH1091">
        <v>80</v>
      </c>
      <c r="AI1091">
        <v>7</v>
      </c>
      <c r="AJ1091">
        <v>0</v>
      </c>
      <c r="AL1091">
        <v>0</v>
      </c>
      <c r="AM1091">
        <v>1</v>
      </c>
      <c r="AN1091" t="s">
        <v>768</v>
      </c>
      <c r="AO1091" t="s">
        <v>41</v>
      </c>
    </row>
    <row r="1092" spans="1:41" x14ac:dyDescent="0.25">
      <c r="A1092">
        <v>30</v>
      </c>
      <c r="B1092" t="s">
        <v>66</v>
      </c>
      <c r="C1092" t="s">
        <v>33</v>
      </c>
      <c r="D1092">
        <v>2</v>
      </c>
      <c r="E1092" t="s">
        <v>61</v>
      </c>
      <c r="F1092">
        <v>2</v>
      </c>
      <c r="G1092">
        <v>1</v>
      </c>
      <c r="H1092" t="s">
        <v>44</v>
      </c>
      <c r="I1092">
        <v>1</v>
      </c>
      <c r="J1092" t="s">
        <v>36</v>
      </c>
      <c r="K1092">
        <v>4968</v>
      </c>
      <c r="L1092">
        <v>0</v>
      </c>
      <c r="M1092" t="s">
        <v>41</v>
      </c>
      <c r="N1092">
        <v>16</v>
      </c>
      <c r="O1092">
        <v>3</v>
      </c>
      <c r="P1092">
        <v>0</v>
      </c>
      <c r="Q1092">
        <v>10</v>
      </c>
      <c r="R1092">
        <v>2</v>
      </c>
      <c r="S1092">
        <v>9</v>
      </c>
      <c r="T1092">
        <v>0</v>
      </c>
      <c r="U1092">
        <v>7</v>
      </c>
      <c r="V1092" t="s">
        <v>52</v>
      </c>
      <c r="W1092" s="2">
        <v>40940</v>
      </c>
      <c r="Y1092" t="s">
        <v>46</v>
      </c>
      <c r="Z1092" t="s">
        <v>47</v>
      </c>
      <c r="AA1092">
        <v>0</v>
      </c>
      <c r="AB1092">
        <v>2</v>
      </c>
      <c r="AC1092" t="s">
        <v>41</v>
      </c>
      <c r="AD1092" t="s">
        <v>65</v>
      </c>
      <c r="AE1092" t="s">
        <v>49</v>
      </c>
      <c r="AF1092" s="3">
        <v>1779</v>
      </c>
      <c r="AG1092" s="3">
        <v>32</v>
      </c>
      <c r="AH1092">
        <v>80</v>
      </c>
      <c r="AI1092">
        <v>2</v>
      </c>
      <c r="AJ1092">
        <v>0</v>
      </c>
      <c r="AL1092">
        <v>0</v>
      </c>
      <c r="AM1092">
        <v>1</v>
      </c>
      <c r="AN1092" t="s">
        <v>768</v>
      </c>
      <c r="AO1092" t="s">
        <v>41</v>
      </c>
    </row>
    <row r="1093" spans="1:41" x14ac:dyDescent="0.25">
      <c r="A1093">
        <v>33</v>
      </c>
      <c r="B1093" t="s">
        <v>81</v>
      </c>
      <c r="C1093" t="s">
        <v>33</v>
      </c>
      <c r="D1093">
        <v>4</v>
      </c>
      <c r="E1093" t="s">
        <v>34</v>
      </c>
      <c r="F1093">
        <v>3</v>
      </c>
      <c r="G1093">
        <v>2</v>
      </c>
      <c r="H1093" t="s">
        <v>44</v>
      </c>
      <c r="I1093">
        <v>2</v>
      </c>
      <c r="J1093" t="s">
        <v>57</v>
      </c>
      <c r="K1093">
        <v>3055</v>
      </c>
      <c r="L1093">
        <v>5</v>
      </c>
      <c r="M1093" t="s">
        <v>41</v>
      </c>
      <c r="N1093">
        <v>15</v>
      </c>
      <c r="O1093">
        <v>3</v>
      </c>
      <c r="P1093">
        <v>2</v>
      </c>
      <c r="Q1093">
        <v>11</v>
      </c>
      <c r="R1093">
        <v>2</v>
      </c>
      <c r="S1093">
        <v>9</v>
      </c>
      <c r="T1093">
        <v>1</v>
      </c>
      <c r="U1093">
        <v>7</v>
      </c>
      <c r="V1093" t="s">
        <v>58</v>
      </c>
      <c r="W1093" s="2">
        <v>41122</v>
      </c>
      <c r="Y1093" t="s">
        <v>54</v>
      </c>
      <c r="Z1093" t="s">
        <v>47</v>
      </c>
      <c r="AA1093">
        <v>4</v>
      </c>
      <c r="AB1093">
        <v>2</v>
      </c>
      <c r="AC1093" t="s">
        <v>31</v>
      </c>
      <c r="AD1093" t="s">
        <v>42</v>
      </c>
      <c r="AE1093" t="s">
        <v>43</v>
      </c>
      <c r="AF1093" s="3">
        <v>2060</v>
      </c>
      <c r="AG1093" s="3">
        <v>30</v>
      </c>
      <c r="AH1093">
        <v>80</v>
      </c>
      <c r="AI1093">
        <v>2</v>
      </c>
      <c r="AJ1093">
        <v>0</v>
      </c>
      <c r="AL1093">
        <v>0</v>
      </c>
      <c r="AM1093">
        <v>1</v>
      </c>
      <c r="AN1093" t="s">
        <v>768</v>
      </c>
      <c r="AO1093" t="s">
        <v>41</v>
      </c>
    </row>
    <row r="1094" spans="1:41" x14ac:dyDescent="0.25">
      <c r="A1094">
        <v>43</v>
      </c>
      <c r="B1094" t="s">
        <v>32</v>
      </c>
      <c r="C1094" t="s">
        <v>120</v>
      </c>
      <c r="D1094">
        <v>2</v>
      </c>
      <c r="E1094" t="s">
        <v>34</v>
      </c>
      <c r="F1094">
        <v>3</v>
      </c>
      <c r="G1094">
        <v>1</v>
      </c>
      <c r="H1094" t="s">
        <v>120</v>
      </c>
      <c r="I1094">
        <v>4</v>
      </c>
      <c r="J1094" t="s">
        <v>36</v>
      </c>
      <c r="K1094">
        <v>3539</v>
      </c>
      <c r="L1094">
        <v>0</v>
      </c>
      <c r="M1094" t="s">
        <v>41</v>
      </c>
      <c r="N1094">
        <v>13</v>
      </c>
      <c r="O1094">
        <v>3</v>
      </c>
      <c r="P1094">
        <v>0</v>
      </c>
      <c r="Q1094">
        <v>10</v>
      </c>
      <c r="R1094">
        <v>5</v>
      </c>
      <c r="S1094">
        <v>9</v>
      </c>
      <c r="T1094">
        <v>1</v>
      </c>
      <c r="U1094">
        <v>8</v>
      </c>
      <c r="V1094" t="s">
        <v>58</v>
      </c>
      <c r="W1094" s="2">
        <v>40973</v>
      </c>
      <c r="Y1094" t="s">
        <v>69</v>
      </c>
      <c r="Z1094" t="s">
        <v>40</v>
      </c>
      <c r="AA1094">
        <v>3</v>
      </c>
      <c r="AB1094">
        <v>1</v>
      </c>
      <c r="AC1094" t="s">
        <v>41</v>
      </c>
      <c r="AD1094" t="s">
        <v>48</v>
      </c>
      <c r="AE1094" t="s">
        <v>43</v>
      </c>
      <c r="AF1094" s="3">
        <v>2046</v>
      </c>
      <c r="AG1094" s="3">
        <v>50</v>
      </c>
      <c r="AH1094">
        <v>80</v>
      </c>
      <c r="AI1094">
        <v>3</v>
      </c>
      <c r="AJ1094">
        <v>0</v>
      </c>
      <c r="AL1094">
        <v>0</v>
      </c>
      <c r="AM1094">
        <v>1</v>
      </c>
      <c r="AN1094" t="s">
        <v>768</v>
      </c>
      <c r="AO1094" t="s">
        <v>41</v>
      </c>
    </row>
    <row r="1095" spans="1:41" x14ac:dyDescent="0.25">
      <c r="A1095">
        <v>46</v>
      </c>
      <c r="B1095" t="s">
        <v>32</v>
      </c>
      <c r="C1095" t="s">
        <v>33</v>
      </c>
      <c r="D1095">
        <v>21</v>
      </c>
      <c r="E1095" t="s">
        <v>61</v>
      </c>
      <c r="F1095">
        <v>3</v>
      </c>
      <c r="G1095">
        <v>2</v>
      </c>
      <c r="H1095" t="s">
        <v>89</v>
      </c>
      <c r="I1095">
        <v>2</v>
      </c>
      <c r="J1095" t="s">
        <v>51</v>
      </c>
      <c r="K1095">
        <v>8926</v>
      </c>
      <c r="L1095">
        <v>4</v>
      </c>
      <c r="M1095" t="s">
        <v>41</v>
      </c>
      <c r="N1095">
        <v>22</v>
      </c>
      <c r="O1095">
        <v>4</v>
      </c>
      <c r="P1095">
        <v>1</v>
      </c>
      <c r="Q1095">
        <v>13</v>
      </c>
      <c r="R1095">
        <v>2</v>
      </c>
      <c r="S1095">
        <v>9</v>
      </c>
      <c r="T1095">
        <v>3</v>
      </c>
      <c r="U1095">
        <v>7</v>
      </c>
      <c r="V1095" t="s">
        <v>37</v>
      </c>
      <c r="W1095" s="1" t="s">
        <v>550</v>
      </c>
      <c r="Y1095" t="s">
        <v>63</v>
      </c>
      <c r="Z1095" t="s">
        <v>40</v>
      </c>
      <c r="AA1095">
        <v>0</v>
      </c>
      <c r="AB1095">
        <v>3</v>
      </c>
      <c r="AC1095" t="s">
        <v>41</v>
      </c>
      <c r="AD1095" t="s">
        <v>67</v>
      </c>
      <c r="AE1095" t="s">
        <v>49</v>
      </c>
      <c r="AF1095" s="3">
        <v>1757</v>
      </c>
      <c r="AG1095" s="3">
        <v>80</v>
      </c>
      <c r="AH1095">
        <v>80</v>
      </c>
      <c r="AI1095">
        <v>1</v>
      </c>
      <c r="AJ1095">
        <v>0</v>
      </c>
      <c r="AL1095">
        <v>0</v>
      </c>
      <c r="AM1095">
        <v>1</v>
      </c>
      <c r="AN1095" t="s">
        <v>768</v>
      </c>
      <c r="AO1095" t="s">
        <v>41</v>
      </c>
    </row>
    <row r="1096" spans="1:41" x14ac:dyDescent="0.25">
      <c r="A1096">
        <v>46</v>
      </c>
      <c r="B1096" t="s">
        <v>32</v>
      </c>
      <c r="C1096" t="s">
        <v>33</v>
      </c>
      <c r="D1096">
        <v>2</v>
      </c>
      <c r="E1096" t="s">
        <v>34</v>
      </c>
      <c r="F1096">
        <v>3</v>
      </c>
      <c r="G1096">
        <v>3</v>
      </c>
      <c r="H1096" t="s">
        <v>78</v>
      </c>
      <c r="I1096">
        <v>4</v>
      </c>
      <c r="J1096" t="s">
        <v>57</v>
      </c>
      <c r="K1096">
        <v>8578</v>
      </c>
      <c r="L1096">
        <v>3</v>
      </c>
      <c r="M1096" t="s">
        <v>41</v>
      </c>
      <c r="N1096">
        <v>14</v>
      </c>
      <c r="O1096">
        <v>3</v>
      </c>
      <c r="P1096">
        <v>1</v>
      </c>
      <c r="Q1096">
        <v>12</v>
      </c>
      <c r="R1096">
        <v>4</v>
      </c>
      <c r="S1096">
        <v>9</v>
      </c>
      <c r="T1096">
        <v>4</v>
      </c>
      <c r="U1096">
        <v>7</v>
      </c>
      <c r="V1096" t="s">
        <v>72</v>
      </c>
      <c r="W1096" s="1" t="s">
        <v>544</v>
      </c>
      <c r="Y1096" t="s">
        <v>63</v>
      </c>
      <c r="Z1096" t="s">
        <v>40</v>
      </c>
      <c r="AA1096">
        <v>2</v>
      </c>
      <c r="AB1096">
        <v>3</v>
      </c>
      <c r="AC1096" t="s">
        <v>31</v>
      </c>
      <c r="AD1096" t="s">
        <v>42</v>
      </c>
      <c r="AE1096" t="s">
        <v>43</v>
      </c>
      <c r="AF1096" s="3">
        <v>1858</v>
      </c>
      <c r="AG1096" s="3">
        <v>43</v>
      </c>
      <c r="AH1096">
        <v>80</v>
      </c>
      <c r="AI1096">
        <v>2</v>
      </c>
      <c r="AJ1096">
        <v>0</v>
      </c>
      <c r="AL1096">
        <v>0</v>
      </c>
      <c r="AM1096">
        <v>1</v>
      </c>
      <c r="AN1096" t="s">
        <v>768</v>
      </c>
      <c r="AO1096" t="s">
        <v>41</v>
      </c>
    </row>
    <row r="1097" spans="1:41" x14ac:dyDescent="0.25">
      <c r="A1097">
        <v>27</v>
      </c>
      <c r="B1097" t="s">
        <v>32</v>
      </c>
      <c r="C1097" t="s">
        <v>55</v>
      </c>
      <c r="D1097">
        <v>23</v>
      </c>
      <c r="E1097" t="s">
        <v>61</v>
      </c>
      <c r="F1097">
        <v>2</v>
      </c>
      <c r="G1097">
        <v>2</v>
      </c>
      <c r="H1097" t="s">
        <v>56</v>
      </c>
      <c r="I1097">
        <v>3</v>
      </c>
      <c r="J1097" t="s">
        <v>51</v>
      </c>
      <c r="K1097">
        <v>3540</v>
      </c>
      <c r="L1097">
        <v>1</v>
      </c>
      <c r="M1097" t="s">
        <v>41</v>
      </c>
      <c r="N1097">
        <v>21</v>
      </c>
      <c r="O1097">
        <v>4</v>
      </c>
      <c r="P1097">
        <v>1</v>
      </c>
      <c r="Q1097">
        <v>9</v>
      </c>
      <c r="R1097">
        <v>5</v>
      </c>
      <c r="S1097">
        <v>9</v>
      </c>
      <c r="T1097">
        <v>5</v>
      </c>
      <c r="U1097">
        <v>8</v>
      </c>
      <c r="V1097" t="s">
        <v>52</v>
      </c>
      <c r="W1097" s="2">
        <v>41157</v>
      </c>
      <c r="Y1097" t="s">
        <v>46</v>
      </c>
      <c r="Z1097" t="s">
        <v>47</v>
      </c>
      <c r="AA1097">
        <v>3</v>
      </c>
      <c r="AB1097">
        <v>2</v>
      </c>
      <c r="AC1097" t="s">
        <v>41</v>
      </c>
      <c r="AD1097" t="s">
        <v>65</v>
      </c>
      <c r="AE1097" t="s">
        <v>43</v>
      </c>
      <c r="AF1097" s="3">
        <v>1805</v>
      </c>
      <c r="AG1097" s="3">
        <v>100</v>
      </c>
      <c r="AH1097">
        <v>80</v>
      </c>
      <c r="AI1097">
        <v>10</v>
      </c>
      <c r="AJ1097">
        <v>0</v>
      </c>
      <c r="AL1097">
        <v>0</v>
      </c>
      <c r="AM1097">
        <v>1</v>
      </c>
      <c r="AN1097" t="s">
        <v>768</v>
      </c>
      <c r="AO1097" t="s">
        <v>41</v>
      </c>
    </row>
    <row r="1098" spans="1:41" x14ac:dyDescent="0.25">
      <c r="A1098">
        <v>45</v>
      </c>
      <c r="B1098" t="s">
        <v>32</v>
      </c>
      <c r="C1098" t="s">
        <v>33</v>
      </c>
      <c r="D1098">
        <v>25</v>
      </c>
      <c r="E1098" t="s">
        <v>61</v>
      </c>
      <c r="F1098">
        <v>2</v>
      </c>
      <c r="G1098">
        <v>2</v>
      </c>
      <c r="H1098" t="s">
        <v>78</v>
      </c>
      <c r="I1098">
        <v>4</v>
      </c>
      <c r="J1098" t="s">
        <v>51</v>
      </c>
      <c r="K1098">
        <v>5906</v>
      </c>
      <c r="L1098">
        <v>0</v>
      </c>
      <c r="M1098" t="s">
        <v>41</v>
      </c>
      <c r="N1098">
        <v>13</v>
      </c>
      <c r="O1098">
        <v>3</v>
      </c>
      <c r="P1098">
        <v>2</v>
      </c>
      <c r="Q1098">
        <v>10</v>
      </c>
      <c r="R1098">
        <v>2</v>
      </c>
      <c r="S1098">
        <v>9</v>
      </c>
      <c r="T1098">
        <v>3</v>
      </c>
      <c r="U1098">
        <v>8</v>
      </c>
      <c r="V1098" t="s">
        <v>52</v>
      </c>
      <c r="W1098" s="1" t="s">
        <v>551</v>
      </c>
      <c r="Y1098" t="s">
        <v>63</v>
      </c>
      <c r="Z1098" t="s">
        <v>47</v>
      </c>
      <c r="AA1098">
        <v>3</v>
      </c>
      <c r="AB1098">
        <v>1</v>
      </c>
      <c r="AC1098" t="s">
        <v>31</v>
      </c>
      <c r="AD1098" t="s">
        <v>65</v>
      </c>
      <c r="AE1098" t="s">
        <v>43</v>
      </c>
      <c r="AF1098" s="3">
        <v>1722</v>
      </c>
      <c r="AG1098" s="3">
        <v>60</v>
      </c>
      <c r="AH1098">
        <v>80</v>
      </c>
      <c r="AI1098">
        <v>2</v>
      </c>
      <c r="AJ1098">
        <v>0</v>
      </c>
      <c r="AL1098">
        <v>0</v>
      </c>
      <c r="AM1098">
        <v>1</v>
      </c>
      <c r="AN1098" t="s">
        <v>768</v>
      </c>
      <c r="AO1098" t="s">
        <v>41</v>
      </c>
    </row>
    <row r="1099" spans="1:41" x14ac:dyDescent="0.25">
      <c r="A1099">
        <v>33</v>
      </c>
      <c r="B1099" t="s">
        <v>66</v>
      </c>
      <c r="C1099" t="s">
        <v>33</v>
      </c>
      <c r="D1099">
        <v>7</v>
      </c>
      <c r="E1099" t="s">
        <v>34</v>
      </c>
      <c r="F1099">
        <v>3</v>
      </c>
      <c r="G1099">
        <v>2</v>
      </c>
      <c r="H1099" t="s">
        <v>89</v>
      </c>
      <c r="I1099">
        <v>3</v>
      </c>
      <c r="J1099" t="s">
        <v>57</v>
      </c>
      <c r="K1099">
        <v>5968</v>
      </c>
      <c r="L1099">
        <v>1</v>
      </c>
      <c r="M1099" t="s">
        <v>41</v>
      </c>
      <c r="N1099">
        <v>20</v>
      </c>
      <c r="O1099">
        <v>4</v>
      </c>
      <c r="P1099">
        <v>3</v>
      </c>
      <c r="Q1099">
        <v>9</v>
      </c>
      <c r="R1099">
        <v>2</v>
      </c>
      <c r="S1099">
        <v>9</v>
      </c>
      <c r="T1099">
        <v>2</v>
      </c>
      <c r="U1099">
        <v>8</v>
      </c>
      <c r="V1099" t="s">
        <v>72</v>
      </c>
      <c r="W1099" s="1" t="s">
        <v>521</v>
      </c>
      <c r="Y1099" t="s">
        <v>69</v>
      </c>
      <c r="Z1099" t="s">
        <v>47</v>
      </c>
      <c r="AA1099">
        <v>1</v>
      </c>
      <c r="AB1099">
        <v>0</v>
      </c>
      <c r="AC1099" t="s">
        <v>41</v>
      </c>
      <c r="AD1099" t="s">
        <v>42</v>
      </c>
      <c r="AE1099" t="s">
        <v>43</v>
      </c>
      <c r="AF1099" s="3">
        <v>1804</v>
      </c>
      <c r="AG1099" s="3">
        <v>90</v>
      </c>
      <c r="AH1099">
        <v>80</v>
      </c>
      <c r="AI1099">
        <v>7</v>
      </c>
      <c r="AJ1099">
        <v>0</v>
      </c>
      <c r="AL1099">
        <v>0</v>
      </c>
      <c r="AM1099">
        <v>1</v>
      </c>
      <c r="AN1099" t="s">
        <v>768</v>
      </c>
      <c r="AO1099" t="s">
        <v>41</v>
      </c>
    </row>
    <row r="1100" spans="1:41" x14ac:dyDescent="0.25">
      <c r="A1100">
        <v>33</v>
      </c>
      <c r="B1100" t="s">
        <v>32</v>
      </c>
      <c r="C1100" t="s">
        <v>33</v>
      </c>
      <c r="D1100">
        <v>15</v>
      </c>
      <c r="E1100" t="s">
        <v>61</v>
      </c>
      <c r="F1100">
        <v>3</v>
      </c>
      <c r="G1100">
        <v>2</v>
      </c>
      <c r="H1100" t="s">
        <v>89</v>
      </c>
      <c r="I1100">
        <v>4</v>
      </c>
      <c r="J1100" t="s">
        <v>51</v>
      </c>
      <c r="K1100">
        <v>4878</v>
      </c>
      <c r="L1100">
        <v>0</v>
      </c>
      <c r="M1100" t="s">
        <v>31</v>
      </c>
      <c r="N1100">
        <v>13</v>
      </c>
      <c r="O1100">
        <v>3</v>
      </c>
      <c r="P1100">
        <v>1</v>
      </c>
      <c r="Q1100">
        <v>10</v>
      </c>
      <c r="R1100">
        <v>6</v>
      </c>
      <c r="S1100">
        <v>9</v>
      </c>
      <c r="T1100">
        <v>8</v>
      </c>
      <c r="U1100">
        <v>1</v>
      </c>
      <c r="V1100" t="s">
        <v>52</v>
      </c>
      <c r="W1100" s="2">
        <v>41032</v>
      </c>
      <c r="Y1100" t="s">
        <v>69</v>
      </c>
      <c r="Z1100" t="s">
        <v>40</v>
      </c>
      <c r="AA1100">
        <v>0</v>
      </c>
      <c r="AB1100">
        <v>3</v>
      </c>
      <c r="AC1100" t="s">
        <v>41</v>
      </c>
      <c r="AD1100" t="s">
        <v>65</v>
      </c>
      <c r="AE1100" t="s">
        <v>49</v>
      </c>
      <c r="AF1100" s="3">
        <v>1468</v>
      </c>
      <c r="AG1100" s="3">
        <v>55</v>
      </c>
      <c r="AH1100">
        <v>80</v>
      </c>
      <c r="AI1100">
        <v>8</v>
      </c>
      <c r="AJ1100">
        <v>0</v>
      </c>
      <c r="AL1100">
        <v>0</v>
      </c>
      <c r="AM1100">
        <v>1</v>
      </c>
      <c r="AN1100" t="s">
        <v>768</v>
      </c>
      <c r="AO1100" t="s">
        <v>41</v>
      </c>
    </row>
    <row r="1101" spans="1:41" x14ac:dyDescent="0.25">
      <c r="A1101">
        <v>52</v>
      </c>
      <c r="B1101" t="s">
        <v>81</v>
      </c>
      <c r="C1101" t="s">
        <v>55</v>
      </c>
      <c r="D1101">
        <v>29</v>
      </c>
      <c r="E1101" t="s">
        <v>34</v>
      </c>
      <c r="F1101">
        <v>3</v>
      </c>
      <c r="G1101">
        <v>1</v>
      </c>
      <c r="H1101" t="s">
        <v>56</v>
      </c>
      <c r="I1101">
        <v>4</v>
      </c>
      <c r="J1101" t="s">
        <v>57</v>
      </c>
      <c r="K1101">
        <v>3482</v>
      </c>
      <c r="L1101">
        <v>2</v>
      </c>
      <c r="M1101" t="s">
        <v>41</v>
      </c>
      <c r="N1101">
        <v>15</v>
      </c>
      <c r="O1101">
        <v>3</v>
      </c>
      <c r="P1101">
        <v>2</v>
      </c>
      <c r="Q1101">
        <v>16</v>
      </c>
      <c r="R1101">
        <v>3</v>
      </c>
      <c r="S1101">
        <v>9</v>
      </c>
      <c r="T1101">
        <v>0</v>
      </c>
      <c r="U1101">
        <v>0</v>
      </c>
      <c r="V1101" t="s">
        <v>58</v>
      </c>
      <c r="W1101" s="2">
        <v>41185</v>
      </c>
      <c r="Y1101" t="s">
        <v>39</v>
      </c>
      <c r="Z1101" t="s">
        <v>47</v>
      </c>
      <c r="AA1101">
        <v>1</v>
      </c>
      <c r="AB1101">
        <v>1</v>
      </c>
      <c r="AC1101" t="s">
        <v>41</v>
      </c>
      <c r="AD1101" t="s">
        <v>42</v>
      </c>
      <c r="AE1101" t="s">
        <v>49</v>
      </c>
      <c r="AF1101" s="3">
        <v>1482</v>
      </c>
      <c r="AG1101" s="3">
        <v>64</v>
      </c>
      <c r="AH1101">
        <v>80</v>
      </c>
      <c r="AI1101">
        <v>0</v>
      </c>
      <c r="AJ1101">
        <v>0</v>
      </c>
      <c r="AL1101">
        <v>0</v>
      </c>
      <c r="AM1101">
        <v>1</v>
      </c>
      <c r="AN1101" t="s">
        <v>768</v>
      </c>
      <c r="AO1101" t="s">
        <v>41</v>
      </c>
    </row>
    <row r="1102" spans="1:41" x14ac:dyDescent="0.25">
      <c r="A1102">
        <v>36</v>
      </c>
      <c r="B1102" t="s">
        <v>32</v>
      </c>
      <c r="C1102" t="s">
        <v>55</v>
      </c>
      <c r="D1102">
        <v>3</v>
      </c>
      <c r="E1102" t="s">
        <v>61</v>
      </c>
      <c r="F1102">
        <v>2</v>
      </c>
      <c r="G1102">
        <v>3</v>
      </c>
      <c r="H1102" t="s">
        <v>70</v>
      </c>
      <c r="I1102">
        <v>4</v>
      </c>
      <c r="J1102" t="s">
        <v>51</v>
      </c>
      <c r="K1102">
        <v>7644</v>
      </c>
      <c r="L1102">
        <v>0</v>
      </c>
      <c r="M1102" t="s">
        <v>41</v>
      </c>
      <c r="N1102">
        <v>19</v>
      </c>
      <c r="O1102">
        <v>3</v>
      </c>
      <c r="P1102">
        <v>2</v>
      </c>
      <c r="Q1102">
        <v>10</v>
      </c>
      <c r="R1102">
        <v>2</v>
      </c>
      <c r="S1102">
        <v>9</v>
      </c>
      <c r="T1102">
        <v>3</v>
      </c>
      <c r="U1102">
        <v>4</v>
      </c>
      <c r="V1102" t="s">
        <v>37</v>
      </c>
      <c r="W1102" s="2">
        <v>41095</v>
      </c>
      <c r="Y1102" t="s">
        <v>39</v>
      </c>
      <c r="Z1102" t="s">
        <v>40</v>
      </c>
      <c r="AA1102">
        <v>5</v>
      </c>
      <c r="AB1102">
        <v>0</v>
      </c>
      <c r="AC1102" t="s">
        <v>31</v>
      </c>
      <c r="AD1102" t="s">
        <v>48</v>
      </c>
      <c r="AE1102" t="s">
        <v>49</v>
      </c>
      <c r="AF1102" s="3">
        <v>1449</v>
      </c>
      <c r="AG1102" s="3">
        <v>81</v>
      </c>
      <c r="AH1102">
        <v>80</v>
      </c>
      <c r="AI1102">
        <v>7</v>
      </c>
      <c r="AJ1102">
        <v>0</v>
      </c>
      <c r="AL1102">
        <v>0</v>
      </c>
      <c r="AM1102">
        <v>1</v>
      </c>
      <c r="AN1102" t="s">
        <v>768</v>
      </c>
      <c r="AO1102" t="s">
        <v>41</v>
      </c>
    </row>
    <row r="1103" spans="1:41" x14ac:dyDescent="0.25">
      <c r="A1103">
        <v>35</v>
      </c>
      <c r="B1103" t="s">
        <v>32</v>
      </c>
      <c r="C1103" t="s">
        <v>120</v>
      </c>
      <c r="D1103">
        <v>26</v>
      </c>
      <c r="E1103" t="s">
        <v>61</v>
      </c>
      <c r="F1103">
        <v>3</v>
      </c>
      <c r="G1103">
        <v>3</v>
      </c>
      <c r="H1103" t="s">
        <v>120</v>
      </c>
      <c r="I1103">
        <v>4</v>
      </c>
      <c r="J1103" t="s">
        <v>36</v>
      </c>
      <c r="K1103">
        <v>8837</v>
      </c>
      <c r="L1103">
        <v>1</v>
      </c>
      <c r="M1103" t="s">
        <v>31</v>
      </c>
      <c r="N1103">
        <v>16</v>
      </c>
      <c r="O1103">
        <v>3</v>
      </c>
      <c r="P1103">
        <v>0</v>
      </c>
      <c r="Q1103">
        <v>9</v>
      </c>
      <c r="R1103">
        <v>2</v>
      </c>
      <c r="S1103">
        <v>9</v>
      </c>
      <c r="T1103">
        <v>1</v>
      </c>
      <c r="U1103">
        <v>7</v>
      </c>
      <c r="V1103" t="s">
        <v>37</v>
      </c>
      <c r="W1103" s="1" t="s">
        <v>537</v>
      </c>
      <c r="Y1103" t="s">
        <v>46</v>
      </c>
      <c r="Z1103" t="s">
        <v>47</v>
      </c>
      <c r="AA1103">
        <v>4</v>
      </c>
      <c r="AB1103">
        <v>1</v>
      </c>
      <c r="AC1103" t="s">
        <v>31</v>
      </c>
      <c r="AD1103" t="s">
        <v>42</v>
      </c>
      <c r="AE1103" t="s">
        <v>49</v>
      </c>
      <c r="AF1103" s="3">
        <v>1771</v>
      </c>
      <c r="AG1103" s="3">
        <v>90</v>
      </c>
      <c r="AH1103">
        <v>80</v>
      </c>
      <c r="AI1103">
        <v>8</v>
      </c>
      <c r="AJ1103">
        <v>0</v>
      </c>
      <c r="AL1103">
        <v>0</v>
      </c>
      <c r="AM1103">
        <v>1</v>
      </c>
      <c r="AN1103" t="s">
        <v>768</v>
      </c>
      <c r="AO1103" t="s">
        <v>41</v>
      </c>
    </row>
    <row r="1104" spans="1:41" x14ac:dyDescent="0.25">
      <c r="A1104">
        <v>31</v>
      </c>
      <c r="B1104" t="s">
        <v>81</v>
      </c>
      <c r="C1104" t="s">
        <v>33</v>
      </c>
      <c r="D1104">
        <v>5</v>
      </c>
      <c r="E1104" t="s">
        <v>34</v>
      </c>
      <c r="F1104">
        <v>3</v>
      </c>
      <c r="G1104">
        <v>2</v>
      </c>
      <c r="H1104" t="s">
        <v>78</v>
      </c>
      <c r="I1104">
        <v>1</v>
      </c>
      <c r="J1104" t="s">
        <v>36</v>
      </c>
      <c r="K1104">
        <v>9936</v>
      </c>
      <c r="L1104">
        <v>0</v>
      </c>
      <c r="M1104" t="s">
        <v>41</v>
      </c>
      <c r="N1104">
        <v>19</v>
      </c>
      <c r="O1104">
        <v>3</v>
      </c>
      <c r="P1104">
        <v>0</v>
      </c>
      <c r="Q1104">
        <v>10</v>
      </c>
      <c r="R1104">
        <v>2</v>
      </c>
      <c r="S1104">
        <v>9</v>
      </c>
      <c r="T1104">
        <v>1</v>
      </c>
      <c r="U1104">
        <v>7</v>
      </c>
      <c r="V1104" t="s">
        <v>58</v>
      </c>
      <c r="W1104" s="1" t="s">
        <v>552</v>
      </c>
      <c r="Y1104" t="s">
        <v>63</v>
      </c>
      <c r="Z1104" t="s">
        <v>47</v>
      </c>
      <c r="AA1104">
        <v>2</v>
      </c>
      <c r="AB1104">
        <v>2</v>
      </c>
      <c r="AC1104" t="s">
        <v>41</v>
      </c>
      <c r="AD1104" t="s">
        <v>65</v>
      </c>
      <c r="AE1104" t="s">
        <v>43</v>
      </c>
      <c r="AF1104" s="3">
        <v>1994</v>
      </c>
      <c r="AG1104" s="3">
        <v>59</v>
      </c>
      <c r="AH1104">
        <v>80</v>
      </c>
      <c r="AI1104">
        <v>1</v>
      </c>
      <c r="AJ1104">
        <v>0</v>
      </c>
      <c r="AL1104">
        <v>0</v>
      </c>
      <c r="AM1104">
        <v>1</v>
      </c>
      <c r="AN1104" t="s">
        <v>768</v>
      </c>
      <c r="AO1104" t="s">
        <v>41</v>
      </c>
    </row>
    <row r="1105" spans="1:41" x14ac:dyDescent="0.25">
      <c r="A1105">
        <v>49</v>
      </c>
      <c r="B1105" t="s">
        <v>66</v>
      </c>
      <c r="C1105" t="s">
        <v>55</v>
      </c>
      <c r="D1105">
        <v>2</v>
      </c>
      <c r="E1105" t="s">
        <v>34</v>
      </c>
      <c r="F1105">
        <v>2</v>
      </c>
      <c r="G1105">
        <v>2</v>
      </c>
      <c r="H1105" t="s">
        <v>70</v>
      </c>
      <c r="I1105">
        <v>2</v>
      </c>
      <c r="J1105" t="s">
        <v>51</v>
      </c>
      <c r="K1105">
        <v>5390</v>
      </c>
      <c r="L1105">
        <v>2</v>
      </c>
      <c r="M1105" t="s">
        <v>41</v>
      </c>
      <c r="N1105">
        <v>14</v>
      </c>
      <c r="O1105">
        <v>3</v>
      </c>
      <c r="P1105">
        <v>0</v>
      </c>
      <c r="Q1105">
        <v>17</v>
      </c>
      <c r="R1105">
        <v>3</v>
      </c>
      <c r="S1105">
        <v>9</v>
      </c>
      <c r="T1105">
        <v>0</v>
      </c>
      <c r="U1105">
        <v>8</v>
      </c>
      <c r="V1105" t="s">
        <v>58</v>
      </c>
      <c r="W1105" s="1" t="s">
        <v>553</v>
      </c>
      <c r="Y1105" t="s">
        <v>39</v>
      </c>
      <c r="Z1105" t="s">
        <v>47</v>
      </c>
      <c r="AA1105">
        <v>3</v>
      </c>
      <c r="AB1105">
        <v>0</v>
      </c>
      <c r="AC1105" t="s">
        <v>41</v>
      </c>
      <c r="AD1105" t="s">
        <v>65</v>
      </c>
      <c r="AE1105" t="s">
        <v>43</v>
      </c>
      <c r="AF1105" s="3">
        <v>1934</v>
      </c>
      <c r="AG1105" s="3">
        <v>64</v>
      </c>
      <c r="AH1105">
        <v>80</v>
      </c>
      <c r="AI1105">
        <v>7</v>
      </c>
      <c r="AJ1105">
        <v>0</v>
      </c>
      <c r="AL1105">
        <v>0</v>
      </c>
      <c r="AM1105">
        <v>1</v>
      </c>
      <c r="AN1105" t="s">
        <v>768</v>
      </c>
      <c r="AO1105" t="s">
        <v>41</v>
      </c>
    </row>
    <row r="1106" spans="1:41" x14ac:dyDescent="0.25">
      <c r="A1106">
        <v>49</v>
      </c>
      <c r="B1106" t="s">
        <v>66</v>
      </c>
      <c r="C1106" t="s">
        <v>33</v>
      </c>
      <c r="D1106">
        <v>8</v>
      </c>
      <c r="E1106" t="s">
        <v>34</v>
      </c>
      <c r="F1106">
        <v>2</v>
      </c>
      <c r="G1106">
        <v>2</v>
      </c>
      <c r="H1106" t="s">
        <v>44</v>
      </c>
      <c r="I1106">
        <v>2</v>
      </c>
      <c r="J1106" t="s">
        <v>51</v>
      </c>
      <c r="K1106">
        <v>5130</v>
      </c>
      <c r="L1106">
        <v>1</v>
      </c>
      <c r="M1106" t="s">
        <v>41</v>
      </c>
      <c r="N1106">
        <v>23</v>
      </c>
      <c r="O1106">
        <v>4</v>
      </c>
      <c r="P1106">
        <v>1</v>
      </c>
      <c r="Q1106">
        <v>10</v>
      </c>
      <c r="R1106">
        <v>3</v>
      </c>
      <c r="S1106">
        <v>10</v>
      </c>
      <c r="T1106">
        <v>1</v>
      </c>
      <c r="U1106">
        <v>7</v>
      </c>
      <c r="V1106" t="s">
        <v>37</v>
      </c>
      <c r="W1106" s="2">
        <v>40697</v>
      </c>
      <c r="Y1106" t="s">
        <v>39</v>
      </c>
      <c r="Z1106" t="s">
        <v>40</v>
      </c>
      <c r="AA1106">
        <v>2</v>
      </c>
      <c r="AB1106">
        <v>0</v>
      </c>
      <c r="AC1106" t="s">
        <v>41</v>
      </c>
      <c r="AD1106" t="s">
        <v>48</v>
      </c>
      <c r="AE1106" t="s">
        <v>60</v>
      </c>
      <c r="AF1106" s="3">
        <v>1574</v>
      </c>
      <c r="AG1106" s="3">
        <v>62</v>
      </c>
      <c r="AH1106">
        <v>80</v>
      </c>
      <c r="AI1106">
        <v>5</v>
      </c>
      <c r="AJ1106">
        <v>0</v>
      </c>
      <c r="AL1106">
        <v>0</v>
      </c>
      <c r="AM1106">
        <v>1</v>
      </c>
      <c r="AN1106" t="s">
        <v>768</v>
      </c>
      <c r="AO1106" t="s">
        <v>41</v>
      </c>
    </row>
    <row r="1107" spans="1:41" x14ac:dyDescent="0.25">
      <c r="A1107">
        <v>29</v>
      </c>
      <c r="B1107" t="s">
        <v>32</v>
      </c>
      <c r="C1107" t="s">
        <v>33</v>
      </c>
      <c r="D1107">
        <v>21</v>
      </c>
      <c r="E1107" t="s">
        <v>61</v>
      </c>
      <c r="F1107">
        <v>4</v>
      </c>
      <c r="G1107">
        <v>3</v>
      </c>
      <c r="H1107" t="s">
        <v>78</v>
      </c>
      <c r="I1107">
        <v>1</v>
      </c>
      <c r="J1107" t="s">
        <v>57</v>
      </c>
      <c r="K1107">
        <v>9980</v>
      </c>
      <c r="L1107">
        <v>1</v>
      </c>
      <c r="M1107" t="s">
        <v>41</v>
      </c>
      <c r="N1107">
        <v>11</v>
      </c>
      <c r="O1107">
        <v>3</v>
      </c>
      <c r="P1107">
        <v>1</v>
      </c>
      <c r="Q1107">
        <v>10</v>
      </c>
      <c r="R1107">
        <v>1</v>
      </c>
      <c r="S1107">
        <v>10</v>
      </c>
      <c r="T1107">
        <v>8</v>
      </c>
      <c r="U1107">
        <v>8</v>
      </c>
      <c r="V1107" t="s">
        <v>37</v>
      </c>
      <c r="W1107" s="1" t="s">
        <v>554</v>
      </c>
      <c r="Y1107" t="s">
        <v>69</v>
      </c>
      <c r="Z1107" t="s">
        <v>40</v>
      </c>
      <c r="AA1107">
        <v>3</v>
      </c>
      <c r="AB1107">
        <v>3</v>
      </c>
      <c r="AC1107" t="s">
        <v>41</v>
      </c>
      <c r="AD1107" t="s">
        <v>48</v>
      </c>
      <c r="AE1107" t="s">
        <v>49</v>
      </c>
      <c r="AF1107" s="3">
        <v>1813</v>
      </c>
      <c r="AG1107" s="3">
        <v>52</v>
      </c>
      <c r="AH1107">
        <v>80</v>
      </c>
      <c r="AI1107">
        <v>2</v>
      </c>
      <c r="AJ1107">
        <v>0</v>
      </c>
      <c r="AL1107">
        <v>0</v>
      </c>
      <c r="AM1107">
        <v>1</v>
      </c>
      <c r="AN1107" t="s">
        <v>768</v>
      </c>
      <c r="AO1107" t="s">
        <v>41</v>
      </c>
    </row>
    <row r="1108" spans="1:41" x14ac:dyDescent="0.25">
      <c r="A1108">
        <v>32</v>
      </c>
      <c r="B1108" t="s">
        <v>66</v>
      </c>
      <c r="C1108" t="s">
        <v>33</v>
      </c>
      <c r="D1108">
        <v>16</v>
      </c>
      <c r="E1108" t="s">
        <v>61</v>
      </c>
      <c r="F1108">
        <v>1</v>
      </c>
      <c r="G1108">
        <v>1</v>
      </c>
      <c r="H1108" t="s">
        <v>44</v>
      </c>
      <c r="I1108">
        <v>1</v>
      </c>
      <c r="J1108" t="s">
        <v>36</v>
      </c>
      <c r="K1108">
        <v>3919</v>
      </c>
      <c r="L1108">
        <v>1</v>
      </c>
      <c r="M1108" t="s">
        <v>31</v>
      </c>
      <c r="N1108">
        <v>22</v>
      </c>
      <c r="O1108">
        <v>4</v>
      </c>
      <c r="P1108">
        <v>0</v>
      </c>
      <c r="Q1108">
        <v>10</v>
      </c>
      <c r="R1108">
        <v>5</v>
      </c>
      <c r="S1108">
        <v>10</v>
      </c>
      <c r="T1108">
        <v>6</v>
      </c>
      <c r="U1108">
        <v>7</v>
      </c>
      <c r="V1108" t="s">
        <v>72</v>
      </c>
      <c r="W1108" s="1" t="s">
        <v>555</v>
      </c>
      <c r="Y1108" t="s">
        <v>69</v>
      </c>
      <c r="Z1108" t="s">
        <v>40</v>
      </c>
      <c r="AA1108">
        <v>1</v>
      </c>
      <c r="AB1108">
        <v>2</v>
      </c>
      <c r="AC1108" t="s">
        <v>41</v>
      </c>
      <c r="AD1108" t="s">
        <v>42</v>
      </c>
      <c r="AE1108" t="s">
        <v>60</v>
      </c>
      <c r="AF1108" s="3">
        <v>2057</v>
      </c>
      <c r="AG1108" s="3">
        <v>74</v>
      </c>
      <c r="AH1108">
        <v>80</v>
      </c>
      <c r="AI1108">
        <v>4</v>
      </c>
      <c r="AJ1108">
        <v>0</v>
      </c>
      <c r="AL1108">
        <v>0</v>
      </c>
      <c r="AM1108">
        <v>1</v>
      </c>
      <c r="AN1108" t="s">
        <v>768</v>
      </c>
      <c r="AO1108" t="s">
        <v>41</v>
      </c>
    </row>
    <row r="1109" spans="1:41" x14ac:dyDescent="0.25">
      <c r="A1109">
        <v>30</v>
      </c>
      <c r="B1109" t="s">
        <v>32</v>
      </c>
      <c r="C1109" t="s">
        <v>33</v>
      </c>
      <c r="D1109">
        <v>9</v>
      </c>
      <c r="E1109" t="s">
        <v>34</v>
      </c>
      <c r="F1109">
        <v>2</v>
      </c>
      <c r="G1109">
        <v>1</v>
      </c>
      <c r="H1109" t="s">
        <v>35</v>
      </c>
      <c r="I1109">
        <v>3</v>
      </c>
      <c r="J1109" t="s">
        <v>36</v>
      </c>
      <c r="K1109">
        <v>2206</v>
      </c>
      <c r="L1109">
        <v>1</v>
      </c>
      <c r="M1109" t="s">
        <v>41</v>
      </c>
      <c r="N1109">
        <v>13</v>
      </c>
      <c r="O1109">
        <v>3</v>
      </c>
      <c r="P1109">
        <v>0</v>
      </c>
      <c r="Q1109">
        <v>10</v>
      </c>
      <c r="R1109">
        <v>5</v>
      </c>
      <c r="S1109">
        <v>10</v>
      </c>
      <c r="T1109">
        <v>1</v>
      </c>
      <c r="U1109">
        <v>8</v>
      </c>
      <c r="V1109" t="s">
        <v>52</v>
      </c>
      <c r="W1109" s="2">
        <v>40695</v>
      </c>
      <c r="Y1109" t="s">
        <v>69</v>
      </c>
      <c r="Z1109" t="s">
        <v>47</v>
      </c>
      <c r="AA1109">
        <v>1</v>
      </c>
      <c r="AB1109">
        <v>1</v>
      </c>
      <c r="AC1109" t="s">
        <v>41</v>
      </c>
      <c r="AD1109" t="s">
        <v>48</v>
      </c>
      <c r="AE1109" t="s">
        <v>43</v>
      </c>
      <c r="AF1109" s="3">
        <v>1764</v>
      </c>
      <c r="AG1109" s="3">
        <v>65</v>
      </c>
      <c r="AH1109">
        <v>80</v>
      </c>
      <c r="AI1109">
        <v>7</v>
      </c>
      <c r="AJ1109">
        <v>0</v>
      </c>
      <c r="AL1109">
        <v>0</v>
      </c>
      <c r="AM1109">
        <v>1</v>
      </c>
      <c r="AN1109" t="s">
        <v>768</v>
      </c>
      <c r="AO1109" t="s">
        <v>41</v>
      </c>
    </row>
    <row r="1110" spans="1:41" x14ac:dyDescent="0.25">
      <c r="A1110">
        <v>38</v>
      </c>
      <c r="B1110" t="s">
        <v>66</v>
      </c>
      <c r="C1110" t="s">
        <v>33</v>
      </c>
      <c r="D1110">
        <v>29</v>
      </c>
      <c r="E1110" t="s">
        <v>61</v>
      </c>
      <c r="F1110">
        <v>3</v>
      </c>
      <c r="G1110">
        <v>2</v>
      </c>
      <c r="H1110" t="s">
        <v>35</v>
      </c>
      <c r="I1110">
        <v>4</v>
      </c>
      <c r="J1110" t="s">
        <v>36</v>
      </c>
      <c r="K1110">
        <v>2406</v>
      </c>
      <c r="L1110">
        <v>1</v>
      </c>
      <c r="M1110" t="s">
        <v>41</v>
      </c>
      <c r="N1110">
        <v>11</v>
      </c>
      <c r="O1110">
        <v>3</v>
      </c>
      <c r="P1110">
        <v>0</v>
      </c>
      <c r="Q1110">
        <v>10</v>
      </c>
      <c r="R1110">
        <v>2</v>
      </c>
      <c r="S1110">
        <v>10</v>
      </c>
      <c r="T1110">
        <v>9</v>
      </c>
      <c r="U1110">
        <v>9</v>
      </c>
      <c r="V1110" t="s">
        <v>72</v>
      </c>
      <c r="W1110" s="1" t="s">
        <v>556</v>
      </c>
      <c r="Y1110" t="s">
        <v>39</v>
      </c>
      <c r="Z1110" t="s">
        <v>40</v>
      </c>
      <c r="AA1110">
        <v>1</v>
      </c>
      <c r="AB1110">
        <v>0</v>
      </c>
      <c r="AC1110" t="s">
        <v>41</v>
      </c>
      <c r="AD1110" t="s">
        <v>65</v>
      </c>
      <c r="AE1110" t="s">
        <v>49</v>
      </c>
      <c r="AF1110" s="3">
        <v>1471</v>
      </c>
      <c r="AG1110" s="3">
        <v>90</v>
      </c>
      <c r="AH1110">
        <v>80</v>
      </c>
      <c r="AI1110">
        <v>2</v>
      </c>
      <c r="AJ1110">
        <v>0</v>
      </c>
      <c r="AL1110">
        <v>0</v>
      </c>
      <c r="AM1110">
        <v>1</v>
      </c>
      <c r="AN1110" t="s">
        <v>768</v>
      </c>
      <c r="AO1110" t="s">
        <v>41</v>
      </c>
    </row>
    <row r="1111" spans="1:41" x14ac:dyDescent="0.25">
      <c r="A1111">
        <v>32</v>
      </c>
      <c r="B1111" t="s">
        <v>32</v>
      </c>
      <c r="C1111" t="s">
        <v>33</v>
      </c>
      <c r="D1111">
        <v>1</v>
      </c>
      <c r="E1111" t="s">
        <v>34</v>
      </c>
      <c r="F1111">
        <v>3</v>
      </c>
      <c r="G1111">
        <v>2</v>
      </c>
      <c r="H1111" t="s">
        <v>44</v>
      </c>
      <c r="I1111">
        <v>2</v>
      </c>
      <c r="J1111" t="s">
        <v>51</v>
      </c>
      <c r="K1111">
        <v>6220</v>
      </c>
      <c r="L1111">
        <v>1</v>
      </c>
      <c r="M1111" t="s">
        <v>41</v>
      </c>
      <c r="N1111">
        <v>17</v>
      </c>
      <c r="O1111">
        <v>3</v>
      </c>
      <c r="P1111">
        <v>2</v>
      </c>
      <c r="Q1111">
        <v>10</v>
      </c>
      <c r="R1111">
        <v>3</v>
      </c>
      <c r="S1111">
        <v>10</v>
      </c>
      <c r="T1111">
        <v>0</v>
      </c>
      <c r="U1111">
        <v>9</v>
      </c>
      <c r="V1111" t="s">
        <v>52</v>
      </c>
      <c r="W1111" s="1" t="s">
        <v>557</v>
      </c>
      <c r="Y1111" t="s">
        <v>63</v>
      </c>
      <c r="Z1111" t="s">
        <v>47</v>
      </c>
      <c r="AA1111">
        <v>4</v>
      </c>
      <c r="AB1111">
        <v>3</v>
      </c>
      <c r="AC1111" t="s">
        <v>41</v>
      </c>
      <c r="AD1111" t="s">
        <v>48</v>
      </c>
      <c r="AE1111" t="s">
        <v>60</v>
      </c>
      <c r="AF1111" s="3">
        <v>1947</v>
      </c>
      <c r="AG1111" s="3">
        <v>49</v>
      </c>
      <c r="AH1111">
        <v>80</v>
      </c>
      <c r="AI1111">
        <v>3</v>
      </c>
      <c r="AJ1111">
        <v>0</v>
      </c>
      <c r="AL1111">
        <v>0</v>
      </c>
      <c r="AM1111">
        <v>1</v>
      </c>
      <c r="AN1111" t="s">
        <v>768</v>
      </c>
      <c r="AO1111" t="s">
        <v>41</v>
      </c>
    </row>
    <row r="1112" spans="1:41" x14ac:dyDescent="0.25">
      <c r="A1112">
        <v>30</v>
      </c>
      <c r="B1112" t="s">
        <v>32</v>
      </c>
      <c r="C1112" t="s">
        <v>33</v>
      </c>
      <c r="D1112">
        <v>1</v>
      </c>
      <c r="E1112" t="s">
        <v>34</v>
      </c>
      <c r="F1112">
        <v>2</v>
      </c>
      <c r="G1112">
        <v>2</v>
      </c>
      <c r="H1112" t="s">
        <v>35</v>
      </c>
      <c r="I1112">
        <v>4</v>
      </c>
      <c r="J1112" t="s">
        <v>51</v>
      </c>
      <c r="K1112">
        <v>5126</v>
      </c>
      <c r="L1112">
        <v>1</v>
      </c>
      <c r="M1112" t="s">
        <v>31</v>
      </c>
      <c r="N1112">
        <v>12</v>
      </c>
      <c r="O1112">
        <v>3</v>
      </c>
      <c r="P1112">
        <v>2</v>
      </c>
      <c r="Q1112">
        <v>10</v>
      </c>
      <c r="R1112">
        <v>1</v>
      </c>
      <c r="S1112">
        <v>10</v>
      </c>
      <c r="T1112">
        <v>3</v>
      </c>
      <c r="U1112">
        <v>0</v>
      </c>
      <c r="V1112" t="s">
        <v>37</v>
      </c>
      <c r="W1112" s="1" t="s">
        <v>558</v>
      </c>
      <c r="Y1112" t="s">
        <v>54</v>
      </c>
      <c r="Z1112" t="s">
        <v>47</v>
      </c>
      <c r="AA1112">
        <v>2</v>
      </c>
      <c r="AB1112">
        <v>2</v>
      </c>
      <c r="AC1112" t="s">
        <v>31</v>
      </c>
      <c r="AD1112" t="s">
        <v>65</v>
      </c>
      <c r="AE1112" t="s">
        <v>49</v>
      </c>
      <c r="AF1112" s="3">
        <v>1440</v>
      </c>
      <c r="AG1112" s="3">
        <v>84</v>
      </c>
      <c r="AH1112">
        <v>80</v>
      </c>
      <c r="AI1112">
        <v>5</v>
      </c>
      <c r="AJ1112">
        <v>0</v>
      </c>
      <c r="AL1112">
        <v>0</v>
      </c>
      <c r="AM1112">
        <v>1</v>
      </c>
      <c r="AN1112" t="s">
        <v>768</v>
      </c>
      <c r="AO1112" t="s">
        <v>41</v>
      </c>
    </row>
    <row r="1113" spans="1:41" x14ac:dyDescent="0.25">
      <c r="A1113">
        <v>51</v>
      </c>
      <c r="B1113" t="s">
        <v>32</v>
      </c>
      <c r="C1113" t="s">
        <v>55</v>
      </c>
      <c r="D1113">
        <v>21</v>
      </c>
      <c r="E1113" t="s">
        <v>34</v>
      </c>
      <c r="F1113">
        <v>3</v>
      </c>
      <c r="G1113">
        <v>2</v>
      </c>
      <c r="H1113" t="s">
        <v>70</v>
      </c>
      <c r="I1113">
        <v>4</v>
      </c>
      <c r="J1113" t="s">
        <v>36</v>
      </c>
      <c r="K1113">
        <v>5441</v>
      </c>
      <c r="L1113">
        <v>0</v>
      </c>
      <c r="M1113" t="s">
        <v>31</v>
      </c>
      <c r="N1113">
        <v>22</v>
      </c>
      <c r="O1113">
        <v>4</v>
      </c>
      <c r="P1113">
        <v>0</v>
      </c>
      <c r="Q1113">
        <v>11</v>
      </c>
      <c r="R1113">
        <v>2</v>
      </c>
      <c r="S1113">
        <v>10</v>
      </c>
      <c r="T1113">
        <v>1</v>
      </c>
      <c r="U1113">
        <v>0</v>
      </c>
      <c r="V1113" t="s">
        <v>52</v>
      </c>
      <c r="W1113" s="1" t="s">
        <v>559</v>
      </c>
      <c r="Y1113" t="s">
        <v>54</v>
      </c>
      <c r="Z1113" t="s">
        <v>40</v>
      </c>
      <c r="AA1113">
        <v>5</v>
      </c>
      <c r="AB1113">
        <v>3</v>
      </c>
      <c r="AC1113" t="s">
        <v>31</v>
      </c>
      <c r="AD1113" t="s">
        <v>65</v>
      </c>
      <c r="AE1113" t="s">
        <v>49</v>
      </c>
      <c r="AF1113" s="3">
        <v>1976</v>
      </c>
      <c r="AG1113" s="3">
        <v>37</v>
      </c>
      <c r="AH1113">
        <v>80</v>
      </c>
      <c r="AI1113">
        <v>9</v>
      </c>
      <c r="AJ1113">
        <v>0</v>
      </c>
      <c r="AL1113">
        <v>0</v>
      </c>
      <c r="AM1113">
        <v>1</v>
      </c>
      <c r="AN1113" t="s">
        <v>768</v>
      </c>
      <c r="AO1113" t="s">
        <v>41</v>
      </c>
    </row>
    <row r="1114" spans="1:41" x14ac:dyDescent="0.25">
      <c r="A1114">
        <v>46</v>
      </c>
      <c r="B1114" t="s">
        <v>66</v>
      </c>
      <c r="C1114" t="s">
        <v>33</v>
      </c>
      <c r="D1114">
        <v>1</v>
      </c>
      <c r="E1114" t="s">
        <v>34</v>
      </c>
      <c r="F1114">
        <v>2</v>
      </c>
      <c r="G1114">
        <v>3</v>
      </c>
      <c r="H1114" t="s">
        <v>89</v>
      </c>
      <c r="I1114">
        <v>1</v>
      </c>
      <c r="J1114" t="s">
        <v>51</v>
      </c>
      <c r="K1114">
        <v>10673</v>
      </c>
      <c r="L1114">
        <v>2</v>
      </c>
      <c r="M1114" t="s">
        <v>31</v>
      </c>
      <c r="N1114">
        <v>13</v>
      </c>
      <c r="O1114">
        <v>3</v>
      </c>
      <c r="P1114">
        <v>1</v>
      </c>
      <c r="Q1114">
        <v>21</v>
      </c>
      <c r="R1114">
        <v>5</v>
      </c>
      <c r="S1114">
        <v>10</v>
      </c>
      <c r="T1114">
        <v>9</v>
      </c>
      <c r="U1114">
        <v>5</v>
      </c>
      <c r="V1114" t="s">
        <v>58</v>
      </c>
      <c r="W1114" s="1" t="s">
        <v>560</v>
      </c>
      <c r="Y1114" t="s">
        <v>39</v>
      </c>
      <c r="Z1114" t="s">
        <v>47</v>
      </c>
      <c r="AA1114">
        <v>4</v>
      </c>
      <c r="AB1114">
        <v>3</v>
      </c>
      <c r="AC1114" t="s">
        <v>41</v>
      </c>
      <c r="AD1114" t="s">
        <v>67</v>
      </c>
      <c r="AE1114" t="s">
        <v>43</v>
      </c>
      <c r="AF1114" s="3">
        <v>2022</v>
      </c>
      <c r="AG1114" s="3">
        <v>87</v>
      </c>
      <c r="AH1114">
        <v>80</v>
      </c>
      <c r="AI1114">
        <v>0</v>
      </c>
      <c r="AJ1114">
        <v>0</v>
      </c>
      <c r="AL1114">
        <v>0</v>
      </c>
      <c r="AM1114">
        <v>1</v>
      </c>
      <c r="AN1114" t="s">
        <v>768</v>
      </c>
      <c r="AO1114" t="s">
        <v>41</v>
      </c>
    </row>
    <row r="1115" spans="1:41" x14ac:dyDescent="0.25">
      <c r="A1115">
        <v>30</v>
      </c>
      <c r="B1115" t="s">
        <v>66</v>
      </c>
      <c r="C1115" t="s">
        <v>33</v>
      </c>
      <c r="D1115">
        <v>23</v>
      </c>
      <c r="E1115" t="s">
        <v>34</v>
      </c>
      <c r="F1115">
        <v>1</v>
      </c>
      <c r="G1115">
        <v>1</v>
      </c>
      <c r="H1115" t="s">
        <v>44</v>
      </c>
      <c r="I1115">
        <v>3</v>
      </c>
      <c r="J1115" t="s">
        <v>57</v>
      </c>
      <c r="K1115">
        <v>2613</v>
      </c>
      <c r="L1115">
        <v>1</v>
      </c>
      <c r="M1115" t="s">
        <v>41</v>
      </c>
      <c r="N1115">
        <v>25</v>
      </c>
      <c r="O1115">
        <v>4</v>
      </c>
      <c r="P1115">
        <v>3</v>
      </c>
      <c r="Q1115">
        <v>10</v>
      </c>
      <c r="R1115">
        <v>2</v>
      </c>
      <c r="S1115">
        <v>10</v>
      </c>
      <c r="T1115">
        <v>0</v>
      </c>
      <c r="U1115">
        <v>9</v>
      </c>
      <c r="V1115" t="s">
        <v>37</v>
      </c>
      <c r="W1115" s="1" t="s">
        <v>561</v>
      </c>
      <c r="Y1115" t="s">
        <v>69</v>
      </c>
      <c r="Z1115" t="s">
        <v>40</v>
      </c>
      <c r="AA1115">
        <v>5</v>
      </c>
      <c r="AB1115">
        <v>0</v>
      </c>
      <c r="AC1115" t="s">
        <v>31</v>
      </c>
      <c r="AD1115" t="s">
        <v>67</v>
      </c>
      <c r="AE1115" t="s">
        <v>60</v>
      </c>
      <c r="AF1115" s="3">
        <v>2019</v>
      </c>
      <c r="AG1115" s="3">
        <v>40</v>
      </c>
      <c r="AH1115">
        <v>80</v>
      </c>
      <c r="AI1115">
        <v>8</v>
      </c>
      <c r="AJ1115">
        <v>0</v>
      </c>
      <c r="AL1115">
        <v>0</v>
      </c>
      <c r="AM1115">
        <v>1</v>
      </c>
      <c r="AN1115" t="s">
        <v>768</v>
      </c>
      <c r="AO1115" t="s">
        <v>41</v>
      </c>
    </row>
    <row r="1116" spans="1:41" x14ac:dyDescent="0.25">
      <c r="A1116">
        <v>35</v>
      </c>
      <c r="B1116" t="s">
        <v>32</v>
      </c>
      <c r="C1116" t="s">
        <v>55</v>
      </c>
      <c r="D1116">
        <v>1</v>
      </c>
      <c r="E1116" t="s">
        <v>34</v>
      </c>
      <c r="F1116">
        <v>3</v>
      </c>
      <c r="G1116">
        <v>3</v>
      </c>
      <c r="H1116" t="s">
        <v>70</v>
      </c>
      <c r="I1116">
        <v>2</v>
      </c>
      <c r="J1116" t="s">
        <v>51</v>
      </c>
      <c r="K1116">
        <v>7295</v>
      </c>
      <c r="L1116">
        <v>1</v>
      </c>
      <c r="M1116" t="s">
        <v>41</v>
      </c>
      <c r="N1116">
        <v>13</v>
      </c>
      <c r="O1116">
        <v>3</v>
      </c>
      <c r="P1116">
        <v>2</v>
      </c>
      <c r="Q1116">
        <v>10</v>
      </c>
      <c r="R1116">
        <v>3</v>
      </c>
      <c r="S1116">
        <v>10</v>
      </c>
      <c r="T1116">
        <v>0</v>
      </c>
      <c r="U1116">
        <v>6</v>
      </c>
      <c r="V1116" t="s">
        <v>58</v>
      </c>
      <c r="W1116" s="1" t="s">
        <v>562</v>
      </c>
      <c r="Y1116" t="s">
        <v>46</v>
      </c>
      <c r="Z1116" t="s">
        <v>40</v>
      </c>
      <c r="AA1116">
        <v>0</v>
      </c>
      <c r="AB1116">
        <v>0</v>
      </c>
      <c r="AC1116" t="s">
        <v>31</v>
      </c>
      <c r="AD1116" t="s">
        <v>67</v>
      </c>
      <c r="AE1116" t="s">
        <v>43</v>
      </c>
      <c r="AF1116" s="3">
        <v>1612</v>
      </c>
      <c r="AG1116" s="3">
        <v>52</v>
      </c>
      <c r="AH1116">
        <v>80</v>
      </c>
      <c r="AI1116">
        <v>7</v>
      </c>
      <c r="AJ1116">
        <v>0</v>
      </c>
      <c r="AL1116">
        <v>0</v>
      </c>
      <c r="AM1116">
        <v>1</v>
      </c>
      <c r="AN1116" t="s">
        <v>768</v>
      </c>
      <c r="AO1116" t="s">
        <v>41</v>
      </c>
    </row>
    <row r="1117" spans="1:41" x14ac:dyDescent="0.25">
      <c r="A1117">
        <v>29</v>
      </c>
      <c r="B1117" t="s">
        <v>81</v>
      </c>
      <c r="C1117" t="s">
        <v>33</v>
      </c>
      <c r="D1117">
        <v>1</v>
      </c>
      <c r="E1117" t="s">
        <v>34</v>
      </c>
      <c r="F1117">
        <v>3</v>
      </c>
      <c r="G1117">
        <v>2</v>
      </c>
      <c r="H1117" t="s">
        <v>78</v>
      </c>
      <c r="I1117">
        <v>3</v>
      </c>
      <c r="J1117" t="s">
        <v>51</v>
      </c>
      <c r="K1117">
        <v>4319</v>
      </c>
      <c r="L1117">
        <v>1</v>
      </c>
      <c r="M1117" t="s">
        <v>41</v>
      </c>
      <c r="N1117">
        <v>13</v>
      </c>
      <c r="O1117">
        <v>3</v>
      </c>
      <c r="P1117">
        <v>1</v>
      </c>
      <c r="Q1117">
        <v>10</v>
      </c>
      <c r="R1117">
        <v>1</v>
      </c>
      <c r="S1117">
        <v>10</v>
      </c>
      <c r="T1117">
        <v>0</v>
      </c>
      <c r="U1117">
        <v>9</v>
      </c>
      <c r="V1117" t="s">
        <v>58</v>
      </c>
      <c r="W1117" s="1" t="s">
        <v>563</v>
      </c>
      <c r="Y1117" t="s">
        <v>46</v>
      </c>
      <c r="Z1117" t="s">
        <v>40</v>
      </c>
      <c r="AA1117">
        <v>4</v>
      </c>
      <c r="AB1117">
        <v>1</v>
      </c>
      <c r="AC1117" t="s">
        <v>41</v>
      </c>
      <c r="AD1117" t="s">
        <v>67</v>
      </c>
      <c r="AE1117" t="s">
        <v>49</v>
      </c>
      <c r="AF1117" s="3">
        <v>1731</v>
      </c>
      <c r="AG1117" s="3">
        <v>87</v>
      </c>
      <c r="AH1117">
        <v>80</v>
      </c>
      <c r="AI1117">
        <v>0</v>
      </c>
      <c r="AJ1117">
        <v>0</v>
      </c>
      <c r="AL1117">
        <v>0</v>
      </c>
      <c r="AM1117">
        <v>1</v>
      </c>
      <c r="AN1117" t="s">
        <v>768</v>
      </c>
      <c r="AO1117" t="s">
        <v>41</v>
      </c>
    </row>
    <row r="1118" spans="1:41" x14ac:dyDescent="0.25">
      <c r="A1118">
        <v>30</v>
      </c>
      <c r="B1118" t="s">
        <v>32</v>
      </c>
      <c r="C1118" t="s">
        <v>55</v>
      </c>
      <c r="D1118">
        <v>5</v>
      </c>
      <c r="E1118" t="s">
        <v>61</v>
      </c>
      <c r="F1118">
        <v>3</v>
      </c>
      <c r="G1118">
        <v>3</v>
      </c>
      <c r="H1118" t="s">
        <v>70</v>
      </c>
      <c r="I1118">
        <v>4</v>
      </c>
      <c r="J1118" t="s">
        <v>51</v>
      </c>
      <c r="K1118">
        <v>9419</v>
      </c>
      <c r="L1118">
        <v>2</v>
      </c>
      <c r="M1118" t="s">
        <v>41</v>
      </c>
      <c r="N1118">
        <v>12</v>
      </c>
      <c r="O1118">
        <v>3</v>
      </c>
      <c r="P1118">
        <v>1</v>
      </c>
      <c r="Q1118">
        <v>12</v>
      </c>
      <c r="R1118">
        <v>2</v>
      </c>
      <c r="S1118">
        <v>10</v>
      </c>
      <c r="T1118">
        <v>7</v>
      </c>
      <c r="U1118">
        <v>4</v>
      </c>
      <c r="V1118" t="s">
        <v>58</v>
      </c>
      <c r="W1118" s="2">
        <v>40792</v>
      </c>
      <c r="Y1118" t="s">
        <v>63</v>
      </c>
      <c r="Z1118" t="s">
        <v>47</v>
      </c>
      <c r="AA1118">
        <v>1</v>
      </c>
      <c r="AB1118">
        <v>2</v>
      </c>
      <c r="AC1118" t="s">
        <v>31</v>
      </c>
      <c r="AD1118" t="s">
        <v>48</v>
      </c>
      <c r="AE1118" t="s">
        <v>60</v>
      </c>
      <c r="AF1118" s="3">
        <v>1801</v>
      </c>
      <c r="AG1118" s="3">
        <v>98</v>
      </c>
      <c r="AH1118">
        <v>80</v>
      </c>
      <c r="AI1118">
        <v>2</v>
      </c>
      <c r="AJ1118">
        <v>0</v>
      </c>
      <c r="AL1118">
        <v>0</v>
      </c>
      <c r="AM1118">
        <v>1</v>
      </c>
      <c r="AN1118" t="s">
        <v>768</v>
      </c>
      <c r="AO1118" t="s">
        <v>41</v>
      </c>
    </row>
    <row r="1119" spans="1:41" x14ac:dyDescent="0.25">
      <c r="A1119">
        <v>34</v>
      </c>
      <c r="B1119" t="s">
        <v>66</v>
      </c>
      <c r="C1119" t="s">
        <v>33</v>
      </c>
      <c r="D1119">
        <v>2</v>
      </c>
      <c r="E1119" t="s">
        <v>34</v>
      </c>
      <c r="F1119">
        <v>2</v>
      </c>
      <c r="G1119">
        <v>2</v>
      </c>
      <c r="H1119" t="s">
        <v>78</v>
      </c>
      <c r="I1119">
        <v>3</v>
      </c>
      <c r="J1119" t="s">
        <v>51</v>
      </c>
      <c r="K1119">
        <v>9547</v>
      </c>
      <c r="L1119">
        <v>1</v>
      </c>
      <c r="M1119" t="s">
        <v>41</v>
      </c>
      <c r="N1119">
        <v>17</v>
      </c>
      <c r="O1119">
        <v>3</v>
      </c>
      <c r="P1119">
        <v>0</v>
      </c>
      <c r="Q1119">
        <v>10</v>
      </c>
      <c r="R1119">
        <v>2</v>
      </c>
      <c r="S1119">
        <v>10</v>
      </c>
      <c r="T1119">
        <v>1</v>
      </c>
      <c r="U1119">
        <v>9</v>
      </c>
      <c r="V1119" t="s">
        <v>37</v>
      </c>
      <c r="W1119" s="1" t="s">
        <v>564</v>
      </c>
      <c r="Y1119" t="s">
        <v>46</v>
      </c>
      <c r="Z1119" t="s">
        <v>47</v>
      </c>
      <c r="AA1119">
        <v>2</v>
      </c>
      <c r="AB1119">
        <v>1</v>
      </c>
      <c r="AC1119" t="s">
        <v>41</v>
      </c>
      <c r="AD1119" t="s">
        <v>48</v>
      </c>
      <c r="AE1119" t="s">
        <v>49</v>
      </c>
      <c r="AF1119" s="3">
        <v>1563</v>
      </c>
      <c r="AG1119" s="3">
        <v>71</v>
      </c>
      <c r="AH1119">
        <v>80</v>
      </c>
      <c r="AI1119">
        <v>3</v>
      </c>
      <c r="AJ1119">
        <v>0</v>
      </c>
      <c r="AL1119">
        <v>0</v>
      </c>
      <c r="AM1119">
        <v>1</v>
      </c>
      <c r="AN1119" t="s">
        <v>768</v>
      </c>
      <c r="AO1119" t="s">
        <v>41</v>
      </c>
    </row>
    <row r="1120" spans="1:41" x14ac:dyDescent="0.25">
      <c r="A1120">
        <v>29</v>
      </c>
      <c r="B1120" t="s">
        <v>32</v>
      </c>
      <c r="C1120" t="s">
        <v>55</v>
      </c>
      <c r="D1120">
        <v>27</v>
      </c>
      <c r="E1120" t="s">
        <v>61</v>
      </c>
      <c r="F1120">
        <v>3</v>
      </c>
      <c r="G1120">
        <v>3</v>
      </c>
      <c r="H1120" t="s">
        <v>70</v>
      </c>
      <c r="I1120">
        <v>4</v>
      </c>
      <c r="J1120" t="s">
        <v>51</v>
      </c>
      <c r="K1120">
        <v>7639</v>
      </c>
      <c r="L1120">
        <v>1</v>
      </c>
      <c r="M1120" t="s">
        <v>41</v>
      </c>
      <c r="N1120">
        <v>22</v>
      </c>
      <c r="O1120">
        <v>4</v>
      </c>
      <c r="P1120">
        <v>3</v>
      </c>
      <c r="Q1120">
        <v>10</v>
      </c>
      <c r="R1120">
        <v>3</v>
      </c>
      <c r="S1120">
        <v>10</v>
      </c>
      <c r="T1120">
        <v>1</v>
      </c>
      <c r="U1120">
        <v>9</v>
      </c>
      <c r="V1120" t="s">
        <v>52</v>
      </c>
      <c r="W1120" s="1" t="s">
        <v>565</v>
      </c>
      <c r="Y1120" t="s">
        <v>54</v>
      </c>
      <c r="Z1120" t="s">
        <v>40</v>
      </c>
      <c r="AA1120">
        <v>0</v>
      </c>
      <c r="AB1120">
        <v>0</v>
      </c>
      <c r="AC1120" t="s">
        <v>31</v>
      </c>
      <c r="AD1120" t="s">
        <v>42</v>
      </c>
      <c r="AE1120" t="s">
        <v>43</v>
      </c>
      <c r="AF1120" s="3">
        <v>1746</v>
      </c>
      <c r="AG1120" s="3">
        <v>59</v>
      </c>
      <c r="AH1120">
        <v>80</v>
      </c>
      <c r="AI1120">
        <v>2</v>
      </c>
      <c r="AJ1120">
        <v>0</v>
      </c>
      <c r="AL1120">
        <v>0</v>
      </c>
      <c r="AM1120">
        <v>1</v>
      </c>
      <c r="AN1120" t="s">
        <v>768</v>
      </c>
      <c r="AO1120" t="s">
        <v>41</v>
      </c>
    </row>
    <row r="1121" spans="1:41" x14ac:dyDescent="0.25">
      <c r="A1121">
        <v>51</v>
      </c>
      <c r="B1121" t="s">
        <v>32</v>
      </c>
      <c r="C1121" t="s">
        <v>33</v>
      </c>
      <c r="D1121">
        <v>8</v>
      </c>
      <c r="E1121" t="s">
        <v>34</v>
      </c>
      <c r="F1121">
        <v>2</v>
      </c>
      <c r="G1121">
        <v>3</v>
      </c>
      <c r="H1121" t="s">
        <v>50</v>
      </c>
      <c r="I1121">
        <v>2</v>
      </c>
      <c r="J1121" t="s">
        <v>51</v>
      </c>
      <c r="K1121">
        <v>12490</v>
      </c>
      <c r="L1121">
        <v>5</v>
      </c>
      <c r="M1121" t="s">
        <v>41</v>
      </c>
      <c r="N1121">
        <v>16</v>
      </c>
      <c r="O1121">
        <v>3</v>
      </c>
      <c r="P1121">
        <v>2</v>
      </c>
      <c r="Q1121">
        <v>16</v>
      </c>
      <c r="R1121">
        <v>5</v>
      </c>
      <c r="S1121">
        <v>10</v>
      </c>
      <c r="T1121">
        <v>4</v>
      </c>
      <c r="U1121">
        <v>7</v>
      </c>
      <c r="V1121" t="s">
        <v>52</v>
      </c>
      <c r="W1121" s="1" t="s">
        <v>566</v>
      </c>
      <c r="Y1121" t="s">
        <v>63</v>
      </c>
      <c r="Z1121" t="s">
        <v>47</v>
      </c>
      <c r="AA1121">
        <v>3</v>
      </c>
      <c r="AB1121">
        <v>3</v>
      </c>
      <c r="AC1121" t="s">
        <v>31</v>
      </c>
      <c r="AD1121" t="s">
        <v>42</v>
      </c>
      <c r="AE1121" t="s">
        <v>43</v>
      </c>
      <c r="AF1121" s="3">
        <v>1590</v>
      </c>
      <c r="AG1121" s="3">
        <v>87</v>
      </c>
      <c r="AH1121">
        <v>80</v>
      </c>
      <c r="AI1121">
        <v>4</v>
      </c>
      <c r="AJ1121">
        <v>0</v>
      </c>
      <c r="AL1121">
        <v>0</v>
      </c>
      <c r="AM1121">
        <v>1</v>
      </c>
      <c r="AN1121" t="s">
        <v>768</v>
      </c>
      <c r="AO1121" t="s">
        <v>41</v>
      </c>
    </row>
    <row r="1122" spans="1:41" x14ac:dyDescent="0.25">
      <c r="A1122">
        <v>37</v>
      </c>
      <c r="B1122" t="s">
        <v>66</v>
      </c>
      <c r="C1122" t="s">
        <v>33</v>
      </c>
      <c r="D1122">
        <v>11</v>
      </c>
      <c r="E1122" t="s">
        <v>34</v>
      </c>
      <c r="F1122">
        <v>3</v>
      </c>
      <c r="G1122">
        <v>3</v>
      </c>
      <c r="H1122" t="s">
        <v>50</v>
      </c>
      <c r="I1122">
        <v>4</v>
      </c>
      <c r="J1122" t="s">
        <v>57</v>
      </c>
      <c r="K1122">
        <v>12185</v>
      </c>
      <c r="L1122">
        <v>1</v>
      </c>
      <c r="M1122" t="s">
        <v>31</v>
      </c>
      <c r="N1122">
        <v>14</v>
      </c>
      <c r="O1122">
        <v>3</v>
      </c>
      <c r="P1122">
        <v>3</v>
      </c>
      <c r="Q1122">
        <v>10</v>
      </c>
      <c r="R1122">
        <v>1</v>
      </c>
      <c r="S1122">
        <v>10</v>
      </c>
      <c r="T1122">
        <v>0</v>
      </c>
      <c r="U1122">
        <v>7</v>
      </c>
      <c r="V1122" t="s">
        <v>72</v>
      </c>
      <c r="W1122" s="2">
        <v>40668</v>
      </c>
      <c r="Y1122" t="s">
        <v>46</v>
      </c>
      <c r="Z1122" t="s">
        <v>40</v>
      </c>
      <c r="AA1122">
        <v>5</v>
      </c>
      <c r="AB1122">
        <v>0</v>
      </c>
      <c r="AC1122" t="s">
        <v>41</v>
      </c>
      <c r="AD1122" t="s">
        <v>48</v>
      </c>
      <c r="AE1122" t="s">
        <v>60</v>
      </c>
      <c r="AF1122" s="3">
        <v>1615</v>
      </c>
      <c r="AG1122" s="3">
        <v>42</v>
      </c>
      <c r="AH1122">
        <v>80</v>
      </c>
      <c r="AI1122">
        <v>7</v>
      </c>
      <c r="AJ1122">
        <v>0</v>
      </c>
      <c r="AL1122">
        <v>0</v>
      </c>
      <c r="AM1122">
        <v>1</v>
      </c>
      <c r="AN1122" t="s">
        <v>768</v>
      </c>
      <c r="AO1122" t="s">
        <v>41</v>
      </c>
    </row>
    <row r="1123" spans="1:41" x14ac:dyDescent="0.25">
      <c r="A1123">
        <v>35</v>
      </c>
      <c r="B1123" t="s">
        <v>66</v>
      </c>
      <c r="C1123" t="s">
        <v>55</v>
      </c>
      <c r="D1123">
        <v>1</v>
      </c>
      <c r="E1123" t="s">
        <v>61</v>
      </c>
      <c r="F1123">
        <v>3</v>
      </c>
      <c r="G1123">
        <v>3</v>
      </c>
      <c r="H1123" t="s">
        <v>70</v>
      </c>
      <c r="I1123">
        <v>3</v>
      </c>
      <c r="J1123" t="s">
        <v>36</v>
      </c>
      <c r="K1123">
        <v>8789</v>
      </c>
      <c r="L1123">
        <v>1</v>
      </c>
      <c r="M1123" t="s">
        <v>41</v>
      </c>
      <c r="N1123">
        <v>14</v>
      </c>
      <c r="O1123">
        <v>3</v>
      </c>
      <c r="P1123">
        <v>0</v>
      </c>
      <c r="Q1123">
        <v>10</v>
      </c>
      <c r="R1123">
        <v>3</v>
      </c>
      <c r="S1123">
        <v>10</v>
      </c>
      <c r="T1123">
        <v>0</v>
      </c>
      <c r="U1123">
        <v>8</v>
      </c>
      <c r="V1123" t="s">
        <v>52</v>
      </c>
      <c r="W1123" s="2">
        <v>40605</v>
      </c>
      <c r="Y1123" t="s">
        <v>46</v>
      </c>
      <c r="Z1123" t="s">
        <v>47</v>
      </c>
      <c r="AA1123">
        <v>5</v>
      </c>
      <c r="AB1123">
        <v>1</v>
      </c>
      <c r="AC1123" t="s">
        <v>41</v>
      </c>
      <c r="AD1123" t="s">
        <v>65</v>
      </c>
      <c r="AE1123" t="s">
        <v>49</v>
      </c>
      <c r="AF1123" s="3">
        <v>1485</v>
      </c>
      <c r="AG1123" s="3">
        <v>71</v>
      </c>
      <c r="AH1123">
        <v>80</v>
      </c>
      <c r="AI1123">
        <v>8</v>
      </c>
      <c r="AJ1123">
        <v>0</v>
      </c>
      <c r="AL1123">
        <v>0</v>
      </c>
      <c r="AM1123">
        <v>1</v>
      </c>
      <c r="AN1123" t="s">
        <v>768</v>
      </c>
      <c r="AO1123" t="s">
        <v>41</v>
      </c>
    </row>
    <row r="1124" spans="1:41" x14ac:dyDescent="0.25">
      <c r="A1124">
        <v>47</v>
      </c>
      <c r="B1124" t="s">
        <v>81</v>
      </c>
      <c r="C1124" t="s">
        <v>33</v>
      </c>
      <c r="D1124">
        <v>29</v>
      </c>
      <c r="E1124" t="s">
        <v>34</v>
      </c>
      <c r="F1124">
        <v>3</v>
      </c>
      <c r="G1124">
        <v>3</v>
      </c>
      <c r="H1124" t="s">
        <v>75</v>
      </c>
      <c r="I1124">
        <v>2</v>
      </c>
      <c r="J1124" t="s">
        <v>51</v>
      </c>
      <c r="K1124">
        <v>11849</v>
      </c>
      <c r="L1124">
        <v>1</v>
      </c>
      <c r="M1124" t="s">
        <v>31</v>
      </c>
      <c r="N1124">
        <v>12</v>
      </c>
      <c r="O1124">
        <v>3</v>
      </c>
      <c r="P1124">
        <v>1</v>
      </c>
      <c r="Q1124">
        <v>10</v>
      </c>
      <c r="R1124">
        <v>2</v>
      </c>
      <c r="S1124">
        <v>10</v>
      </c>
      <c r="T1124">
        <v>9</v>
      </c>
      <c r="U1124">
        <v>9</v>
      </c>
      <c r="V1124" t="s">
        <v>52</v>
      </c>
      <c r="W1124" s="2">
        <v>40698</v>
      </c>
      <c r="Y1124" t="s">
        <v>46</v>
      </c>
      <c r="Z1124" t="s">
        <v>47</v>
      </c>
      <c r="AA1124">
        <v>3</v>
      </c>
      <c r="AB1124">
        <v>1</v>
      </c>
      <c r="AC1124" t="s">
        <v>41</v>
      </c>
      <c r="AD1124" t="s">
        <v>67</v>
      </c>
      <c r="AE1124" t="s">
        <v>43</v>
      </c>
      <c r="AF1124" s="3">
        <v>1431</v>
      </c>
      <c r="AG1124" s="3">
        <v>91</v>
      </c>
      <c r="AH1124">
        <v>80</v>
      </c>
      <c r="AI1124">
        <v>3</v>
      </c>
      <c r="AJ1124">
        <v>0</v>
      </c>
      <c r="AL1124">
        <v>0</v>
      </c>
      <c r="AM1124">
        <v>1</v>
      </c>
      <c r="AN1124" t="s">
        <v>768</v>
      </c>
      <c r="AO1124" t="s">
        <v>41</v>
      </c>
    </row>
    <row r="1125" spans="1:41" x14ac:dyDescent="0.25">
      <c r="A1125">
        <v>50</v>
      </c>
      <c r="B1125" t="s">
        <v>32</v>
      </c>
      <c r="C1125" t="s">
        <v>33</v>
      </c>
      <c r="D1125">
        <v>4</v>
      </c>
      <c r="E1125" t="s">
        <v>34</v>
      </c>
      <c r="F1125">
        <v>3</v>
      </c>
      <c r="G1125">
        <v>5</v>
      </c>
      <c r="H1125" t="s">
        <v>50</v>
      </c>
      <c r="I1125">
        <v>2</v>
      </c>
      <c r="J1125" t="s">
        <v>57</v>
      </c>
      <c r="K1125">
        <v>19144</v>
      </c>
      <c r="L1125">
        <v>3</v>
      </c>
      <c r="M1125" t="s">
        <v>41</v>
      </c>
      <c r="N1125">
        <v>14</v>
      </c>
      <c r="O1125">
        <v>3</v>
      </c>
      <c r="P1125">
        <v>2</v>
      </c>
      <c r="Q1125">
        <v>28</v>
      </c>
      <c r="R1125">
        <v>4</v>
      </c>
      <c r="S1125">
        <v>10</v>
      </c>
      <c r="T1125">
        <v>1</v>
      </c>
      <c r="U1125">
        <v>6</v>
      </c>
      <c r="V1125" t="s">
        <v>58</v>
      </c>
      <c r="W1125" s="1" t="s">
        <v>567</v>
      </c>
      <c r="Y1125" t="s">
        <v>54</v>
      </c>
      <c r="Z1125" t="s">
        <v>40</v>
      </c>
      <c r="AA1125">
        <v>2</v>
      </c>
      <c r="AB1125">
        <v>1</v>
      </c>
      <c r="AC1125" t="s">
        <v>41</v>
      </c>
      <c r="AD1125" t="s">
        <v>42</v>
      </c>
      <c r="AE1125" t="s">
        <v>43</v>
      </c>
      <c r="AF1125" s="3">
        <v>1653</v>
      </c>
      <c r="AG1125" s="3">
        <v>77</v>
      </c>
      <c r="AH1125">
        <v>80</v>
      </c>
      <c r="AI1125">
        <v>7</v>
      </c>
      <c r="AJ1125">
        <v>0</v>
      </c>
      <c r="AL1125">
        <v>0</v>
      </c>
      <c r="AM1125">
        <v>1</v>
      </c>
      <c r="AN1125" t="s">
        <v>768</v>
      </c>
      <c r="AO1125" t="s">
        <v>41</v>
      </c>
    </row>
    <row r="1126" spans="1:41" x14ac:dyDescent="0.25">
      <c r="A1126">
        <v>29</v>
      </c>
      <c r="B1126" t="s">
        <v>66</v>
      </c>
      <c r="C1126" t="s">
        <v>55</v>
      </c>
      <c r="D1126">
        <v>2</v>
      </c>
      <c r="E1126" t="s">
        <v>34</v>
      </c>
      <c r="F1126">
        <v>3</v>
      </c>
      <c r="G1126">
        <v>2</v>
      </c>
      <c r="H1126" t="s">
        <v>70</v>
      </c>
      <c r="I1126">
        <v>4</v>
      </c>
      <c r="J1126" t="s">
        <v>36</v>
      </c>
      <c r="K1126">
        <v>4554</v>
      </c>
      <c r="L1126">
        <v>1</v>
      </c>
      <c r="M1126" t="s">
        <v>41</v>
      </c>
      <c r="N1126">
        <v>18</v>
      </c>
      <c r="O1126">
        <v>3</v>
      </c>
      <c r="P1126">
        <v>0</v>
      </c>
      <c r="Q1126">
        <v>10</v>
      </c>
      <c r="R1126">
        <v>3</v>
      </c>
      <c r="S1126">
        <v>10</v>
      </c>
      <c r="T1126">
        <v>0</v>
      </c>
      <c r="U1126">
        <v>9</v>
      </c>
      <c r="V1126" t="s">
        <v>58</v>
      </c>
      <c r="W1126" s="1" t="s">
        <v>568</v>
      </c>
      <c r="Y1126" t="s">
        <v>46</v>
      </c>
      <c r="Z1126" t="s">
        <v>40</v>
      </c>
      <c r="AA1126">
        <v>2</v>
      </c>
      <c r="AB1126">
        <v>2</v>
      </c>
      <c r="AC1126" t="s">
        <v>31</v>
      </c>
      <c r="AD1126" t="s">
        <v>67</v>
      </c>
      <c r="AE1126" t="s">
        <v>43</v>
      </c>
      <c r="AF1126" s="3">
        <v>1941</v>
      </c>
      <c r="AG1126" s="3">
        <v>42</v>
      </c>
      <c r="AH1126">
        <v>80</v>
      </c>
      <c r="AI1126">
        <v>4</v>
      </c>
      <c r="AJ1126">
        <v>0</v>
      </c>
      <c r="AL1126">
        <v>0</v>
      </c>
      <c r="AM1126">
        <v>1</v>
      </c>
      <c r="AN1126" t="s">
        <v>768</v>
      </c>
      <c r="AO1126" t="s">
        <v>41</v>
      </c>
    </row>
    <row r="1127" spans="1:41" x14ac:dyDescent="0.25">
      <c r="A1127">
        <v>55</v>
      </c>
      <c r="B1127" t="s">
        <v>32</v>
      </c>
      <c r="C1127" t="s">
        <v>33</v>
      </c>
      <c r="D1127">
        <v>20</v>
      </c>
      <c r="E1127" t="s">
        <v>34</v>
      </c>
      <c r="F1127">
        <v>3</v>
      </c>
      <c r="G1127">
        <v>2</v>
      </c>
      <c r="H1127" t="s">
        <v>35</v>
      </c>
      <c r="I1127">
        <v>4</v>
      </c>
      <c r="J1127" t="s">
        <v>51</v>
      </c>
      <c r="K1127">
        <v>5415</v>
      </c>
      <c r="L1127">
        <v>3</v>
      </c>
      <c r="M1127" t="s">
        <v>31</v>
      </c>
      <c r="N1127">
        <v>19</v>
      </c>
      <c r="O1127">
        <v>3</v>
      </c>
      <c r="P1127">
        <v>1</v>
      </c>
      <c r="Q1127">
        <v>12</v>
      </c>
      <c r="R1127">
        <v>4</v>
      </c>
      <c r="S1127">
        <v>10</v>
      </c>
      <c r="T1127">
        <v>0</v>
      </c>
      <c r="U1127">
        <v>8</v>
      </c>
      <c r="V1127" t="s">
        <v>52</v>
      </c>
      <c r="W1127" s="2">
        <v>40879</v>
      </c>
      <c r="Y1127" t="s">
        <v>46</v>
      </c>
      <c r="Z1127" t="s">
        <v>47</v>
      </c>
      <c r="AA1127">
        <v>3</v>
      </c>
      <c r="AB1127">
        <v>3</v>
      </c>
      <c r="AC1127" t="s">
        <v>31</v>
      </c>
      <c r="AD1127" t="s">
        <v>42</v>
      </c>
      <c r="AE1127" t="s">
        <v>60</v>
      </c>
      <c r="AF1127" s="3">
        <v>1852</v>
      </c>
      <c r="AG1127" s="3">
        <v>40</v>
      </c>
      <c r="AH1127">
        <v>80</v>
      </c>
      <c r="AI1127">
        <v>8</v>
      </c>
      <c r="AJ1127">
        <v>0</v>
      </c>
      <c r="AL1127">
        <v>0</v>
      </c>
      <c r="AM1127">
        <v>1</v>
      </c>
      <c r="AN1127" t="s">
        <v>768</v>
      </c>
      <c r="AO1127" t="s">
        <v>41</v>
      </c>
    </row>
    <row r="1128" spans="1:41" x14ac:dyDescent="0.25">
      <c r="A1128">
        <v>38</v>
      </c>
      <c r="B1128" t="s">
        <v>32</v>
      </c>
      <c r="C1128" t="s">
        <v>33</v>
      </c>
      <c r="D1128">
        <v>25</v>
      </c>
      <c r="E1128" t="s">
        <v>61</v>
      </c>
      <c r="F1128">
        <v>2</v>
      </c>
      <c r="G1128">
        <v>3</v>
      </c>
      <c r="H1128" t="s">
        <v>50</v>
      </c>
      <c r="I1128">
        <v>2</v>
      </c>
      <c r="J1128" t="s">
        <v>51</v>
      </c>
      <c r="K1128">
        <v>12061</v>
      </c>
      <c r="L1128">
        <v>3</v>
      </c>
      <c r="M1128" t="s">
        <v>41</v>
      </c>
      <c r="N1128">
        <v>17</v>
      </c>
      <c r="O1128">
        <v>3</v>
      </c>
      <c r="P1128">
        <v>1</v>
      </c>
      <c r="Q1128">
        <v>19</v>
      </c>
      <c r="R1128">
        <v>2</v>
      </c>
      <c r="S1128">
        <v>10</v>
      </c>
      <c r="T1128">
        <v>0</v>
      </c>
      <c r="U1128">
        <v>1</v>
      </c>
      <c r="V1128" t="s">
        <v>37</v>
      </c>
      <c r="W1128" s="2">
        <v>40817</v>
      </c>
      <c r="Y1128" t="s">
        <v>69</v>
      </c>
      <c r="Z1128" t="s">
        <v>47</v>
      </c>
      <c r="AA1128">
        <v>0</v>
      </c>
      <c r="AB1128">
        <v>1</v>
      </c>
      <c r="AC1128" t="s">
        <v>41</v>
      </c>
      <c r="AD1128" t="s">
        <v>42</v>
      </c>
      <c r="AE1128" t="s">
        <v>49</v>
      </c>
      <c r="AF1128" s="3">
        <v>1997</v>
      </c>
      <c r="AG1128" s="3">
        <v>72</v>
      </c>
      <c r="AH1128">
        <v>80</v>
      </c>
      <c r="AI1128">
        <v>3</v>
      </c>
      <c r="AJ1128">
        <v>0</v>
      </c>
      <c r="AL1128">
        <v>0</v>
      </c>
      <c r="AM1128">
        <v>1</v>
      </c>
      <c r="AN1128" t="s">
        <v>768</v>
      </c>
      <c r="AO1128" t="s">
        <v>41</v>
      </c>
    </row>
    <row r="1129" spans="1:41" x14ac:dyDescent="0.25">
      <c r="A1129">
        <v>33</v>
      </c>
      <c r="B1129" t="s">
        <v>66</v>
      </c>
      <c r="C1129" t="s">
        <v>33</v>
      </c>
      <c r="D1129">
        <v>5</v>
      </c>
      <c r="E1129" t="s">
        <v>61</v>
      </c>
      <c r="F1129">
        <v>3</v>
      </c>
      <c r="G1129">
        <v>3</v>
      </c>
      <c r="H1129" t="s">
        <v>75</v>
      </c>
      <c r="I1129">
        <v>2</v>
      </c>
      <c r="J1129" t="s">
        <v>51</v>
      </c>
      <c r="K1129">
        <v>11878</v>
      </c>
      <c r="L1129">
        <v>6</v>
      </c>
      <c r="M1129" t="s">
        <v>41</v>
      </c>
      <c r="N1129">
        <v>11</v>
      </c>
      <c r="O1129">
        <v>3</v>
      </c>
      <c r="P1129">
        <v>2</v>
      </c>
      <c r="Q1129">
        <v>12</v>
      </c>
      <c r="R1129">
        <v>2</v>
      </c>
      <c r="S1129">
        <v>10</v>
      </c>
      <c r="T1129">
        <v>8</v>
      </c>
      <c r="U1129">
        <v>8</v>
      </c>
      <c r="V1129" t="s">
        <v>37</v>
      </c>
      <c r="W1129" s="2">
        <v>40761</v>
      </c>
      <c r="Y1129" t="s">
        <v>63</v>
      </c>
      <c r="Z1129" t="s">
        <v>40</v>
      </c>
      <c r="AA1129">
        <v>3</v>
      </c>
      <c r="AB1129">
        <v>2</v>
      </c>
      <c r="AC1129" t="s">
        <v>31</v>
      </c>
      <c r="AD1129" t="s">
        <v>67</v>
      </c>
      <c r="AE1129" t="s">
        <v>60</v>
      </c>
      <c r="AF1129" s="3">
        <v>1720</v>
      </c>
      <c r="AG1129" s="3">
        <v>56</v>
      </c>
      <c r="AH1129">
        <v>80</v>
      </c>
      <c r="AI1129">
        <v>2</v>
      </c>
      <c r="AJ1129">
        <v>0</v>
      </c>
      <c r="AL1129">
        <v>0</v>
      </c>
      <c r="AM1129">
        <v>1</v>
      </c>
      <c r="AN1129" t="s">
        <v>768</v>
      </c>
      <c r="AO1129" t="s">
        <v>41</v>
      </c>
    </row>
    <row r="1130" spans="1:41" x14ac:dyDescent="0.25">
      <c r="A1130">
        <v>30</v>
      </c>
      <c r="B1130" t="s">
        <v>32</v>
      </c>
      <c r="C1130" t="s">
        <v>33</v>
      </c>
      <c r="D1130">
        <v>28</v>
      </c>
      <c r="E1130" t="s">
        <v>61</v>
      </c>
      <c r="F1130">
        <v>3</v>
      </c>
      <c r="G1130">
        <v>2</v>
      </c>
      <c r="H1130" t="s">
        <v>44</v>
      </c>
      <c r="I1130">
        <v>4</v>
      </c>
      <c r="J1130" t="s">
        <v>51</v>
      </c>
      <c r="K1130">
        <v>5775</v>
      </c>
      <c r="L1130">
        <v>1</v>
      </c>
      <c r="M1130" t="s">
        <v>41</v>
      </c>
      <c r="N1130">
        <v>13</v>
      </c>
      <c r="O1130">
        <v>3</v>
      </c>
      <c r="P1130">
        <v>2</v>
      </c>
      <c r="Q1130">
        <v>11</v>
      </c>
      <c r="R1130">
        <v>2</v>
      </c>
      <c r="S1130">
        <v>10</v>
      </c>
      <c r="T1130">
        <v>1</v>
      </c>
      <c r="U1130">
        <v>9</v>
      </c>
      <c r="V1130" t="s">
        <v>58</v>
      </c>
      <c r="W1130" s="1" t="s">
        <v>569</v>
      </c>
      <c r="Y1130" t="s">
        <v>39</v>
      </c>
      <c r="Z1130" t="s">
        <v>47</v>
      </c>
      <c r="AA1130">
        <v>4</v>
      </c>
      <c r="AB1130">
        <v>1</v>
      </c>
      <c r="AC1130" t="s">
        <v>31</v>
      </c>
      <c r="AD1130" t="s">
        <v>42</v>
      </c>
      <c r="AE1130" t="s">
        <v>43</v>
      </c>
      <c r="AF1130" s="3">
        <v>1918</v>
      </c>
      <c r="AG1130" s="3">
        <v>61</v>
      </c>
      <c r="AH1130">
        <v>80</v>
      </c>
      <c r="AI1130">
        <v>7</v>
      </c>
      <c r="AJ1130">
        <v>0</v>
      </c>
      <c r="AL1130">
        <v>0</v>
      </c>
      <c r="AM1130">
        <v>1</v>
      </c>
      <c r="AN1130" t="s">
        <v>768</v>
      </c>
      <c r="AO1130" t="s">
        <v>41</v>
      </c>
    </row>
    <row r="1131" spans="1:41" x14ac:dyDescent="0.25">
      <c r="A1131">
        <v>31</v>
      </c>
      <c r="B1131" t="s">
        <v>66</v>
      </c>
      <c r="C1131" t="s">
        <v>33</v>
      </c>
      <c r="D1131">
        <v>7</v>
      </c>
      <c r="E1131" t="s">
        <v>61</v>
      </c>
      <c r="F1131">
        <v>2</v>
      </c>
      <c r="G1131">
        <v>3</v>
      </c>
      <c r="H1131" t="s">
        <v>78</v>
      </c>
      <c r="I1131">
        <v>3</v>
      </c>
      <c r="J1131" t="s">
        <v>51</v>
      </c>
      <c r="K1131">
        <v>8943</v>
      </c>
      <c r="L1131">
        <v>1</v>
      </c>
      <c r="M1131" t="s">
        <v>41</v>
      </c>
      <c r="N1131">
        <v>24</v>
      </c>
      <c r="O1131">
        <v>4</v>
      </c>
      <c r="P1131">
        <v>1</v>
      </c>
      <c r="Q1131">
        <v>10</v>
      </c>
      <c r="R1131">
        <v>2</v>
      </c>
      <c r="S1131">
        <v>10</v>
      </c>
      <c r="T1131">
        <v>8</v>
      </c>
      <c r="U1131">
        <v>9</v>
      </c>
      <c r="V1131" t="s">
        <v>58</v>
      </c>
      <c r="W1131" s="2">
        <v>40879</v>
      </c>
      <c r="Y1131" t="s">
        <v>54</v>
      </c>
      <c r="Z1131" t="s">
        <v>40</v>
      </c>
      <c r="AA1131">
        <v>1</v>
      </c>
      <c r="AB1131">
        <v>0</v>
      </c>
      <c r="AC1131" t="s">
        <v>41</v>
      </c>
      <c r="AD1131" t="s">
        <v>48</v>
      </c>
      <c r="AE1131" t="s">
        <v>43</v>
      </c>
      <c r="AF1131" s="3">
        <v>2061</v>
      </c>
      <c r="AG1131" s="3">
        <v>41</v>
      </c>
      <c r="AH1131">
        <v>80</v>
      </c>
      <c r="AI1131">
        <v>2</v>
      </c>
      <c r="AJ1131">
        <v>0</v>
      </c>
      <c r="AL1131">
        <v>0</v>
      </c>
      <c r="AM1131">
        <v>1</v>
      </c>
      <c r="AN1131" t="s">
        <v>768</v>
      </c>
      <c r="AO1131" t="s">
        <v>41</v>
      </c>
    </row>
    <row r="1132" spans="1:41" x14ac:dyDescent="0.25">
      <c r="A1132">
        <v>45</v>
      </c>
      <c r="B1132" t="s">
        <v>32</v>
      </c>
      <c r="C1132" t="s">
        <v>33</v>
      </c>
      <c r="D1132">
        <v>8</v>
      </c>
      <c r="E1132" t="s">
        <v>34</v>
      </c>
      <c r="F1132">
        <v>3</v>
      </c>
      <c r="G1132">
        <v>2</v>
      </c>
      <c r="H1132" t="s">
        <v>44</v>
      </c>
      <c r="I1132">
        <v>4</v>
      </c>
      <c r="J1132" t="s">
        <v>51</v>
      </c>
      <c r="K1132">
        <v>3697</v>
      </c>
      <c r="L1132">
        <v>9</v>
      </c>
      <c r="M1132" t="s">
        <v>41</v>
      </c>
      <c r="N1132">
        <v>14</v>
      </c>
      <c r="O1132">
        <v>3</v>
      </c>
      <c r="P1132">
        <v>2</v>
      </c>
      <c r="Q1132">
        <v>12</v>
      </c>
      <c r="R1132">
        <v>3</v>
      </c>
      <c r="S1132">
        <v>10</v>
      </c>
      <c r="T1132">
        <v>9</v>
      </c>
      <c r="U1132">
        <v>8</v>
      </c>
      <c r="V1132" t="s">
        <v>37</v>
      </c>
      <c r="W1132" s="1" t="s">
        <v>570</v>
      </c>
      <c r="Y1132" t="s">
        <v>46</v>
      </c>
      <c r="Z1132" t="s">
        <v>47</v>
      </c>
      <c r="AA1132">
        <v>4</v>
      </c>
      <c r="AB1132">
        <v>0</v>
      </c>
      <c r="AC1132" t="s">
        <v>31</v>
      </c>
      <c r="AD1132" t="s">
        <v>48</v>
      </c>
      <c r="AE1132" t="s">
        <v>60</v>
      </c>
      <c r="AF1132" s="3">
        <v>1597</v>
      </c>
      <c r="AG1132" s="3">
        <v>92</v>
      </c>
      <c r="AH1132">
        <v>80</v>
      </c>
      <c r="AI1132">
        <v>2</v>
      </c>
      <c r="AJ1132">
        <v>0</v>
      </c>
      <c r="AL1132">
        <v>0</v>
      </c>
      <c r="AM1132">
        <v>1</v>
      </c>
      <c r="AN1132" t="s">
        <v>768</v>
      </c>
      <c r="AO1132" t="s">
        <v>41</v>
      </c>
    </row>
    <row r="1133" spans="1:41" x14ac:dyDescent="0.25">
      <c r="A1133">
        <v>30</v>
      </c>
      <c r="B1133" t="s">
        <v>32</v>
      </c>
      <c r="C1133" t="s">
        <v>55</v>
      </c>
      <c r="D1133">
        <v>5</v>
      </c>
      <c r="E1133" t="s">
        <v>61</v>
      </c>
      <c r="F1133">
        <v>2</v>
      </c>
      <c r="G1133">
        <v>2</v>
      </c>
      <c r="H1133" t="s">
        <v>70</v>
      </c>
      <c r="I1133">
        <v>3</v>
      </c>
      <c r="J1133" t="s">
        <v>57</v>
      </c>
      <c r="K1133">
        <v>6118</v>
      </c>
      <c r="L1133">
        <v>1</v>
      </c>
      <c r="M1133" t="s">
        <v>41</v>
      </c>
      <c r="N1133">
        <v>13</v>
      </c>
      <c r="O1133">
        <v>3</v>
      </c>
      <c r="P1133">
        <v>3</v>
      </c>
      <c r="Q1133">
        <v>10</v>
      </c>
      <c r="R1133">
        <v>2</v>
      </c>
      <c r="S1133">
        <v>10</v>
      </c>
      <c r="T1133">
        <v>1</v>
      </c>
      <c r="U1133">
        <v>2</v>
      </c>
      <c r="V1133" t="s">
        <v>52</v>
      </c>
      <c r="W1133" s="1" t="s">
        <v>571</v>
      </c>
      <c r="Y1133" t="s">
        <v>46</v>
      </c>
      <c r="Z1133" t="s">
        <v>47</v>
      </c>
      <c r="AA1133">
        <v>2</v>
      </c>
      <c r="AB1133">
        <v>2</v>
      </c>
      <c r="AC1133" t="s">
        <v>31</v>
      </c>
      <c r="AD1133" t="s">
        <v>42</v>
      </c>
      <c r="AE1133" t="s">
        <v>60</v>
      </c>
      <c r="AF1133" s="3">
        <v>1668</v>
      </c>
      <c r="AG1133" s="3">
        <v>90</v>
      </c>
      <c r="AH1133">
        <v>80</v>
      </c>
      <c r="AI1133">
        <v>11</v>
      </c>
      <c r="AJ1133">
        <v>0</v>
      </c>
      <c r="AL1133">
        <v>0</v>
      </c>
      <c r="AM1133">
        <v>1</v>
      </c>
      <c r="AN1133" t="s">
        <v>768</v>
      </c>
      <c r="AO1133" t="s">
        <v>41</v>
      </c>
    </row>
    <row r="1134" spans="1:41" x14ac:dyDescent="0.25">
      <c r="A1134">
        <v>36</v>
      </c>
      <c r="B1134" t="s">
        <v>32</v>
      </c>
      <c r="C1134" t="s">
        <v>55</v>
      </c>
      <c r="D1134">
        <v>2</v>
      </c>
      <c r="E1134" t="s">
        <v>34</v>
      </c>
      <c r="F1134">
        <v>2</v>
      </c>
      <c r="G1134">
        <v>3</v>
      </c>
      <c r="H1134" t="s">
        <v>70</v>
      </c>
      <c r="I1134">
        <v>3</v>
      </c>
      <c r="J1134" t="s">
        <v>51</v>
      </c>
      <c r="K1134">
        <v>7596</v>
      </c>
      <c r="L1134">
        <v>1</v>
      </c>
      <c r="M1134" t="s">
        <v>41</v>
      </c>
      <c r="N1134">
        <v>13</v>
      </c>
      <c r="O1134">
        <v>3</v>
      </c>
      <c r="P1134">
        <v>2</v>
      </c>
      <c r="Q1134">
        <v>10</v>
      </c>
      <c r="R1134">
        <v>2</v>
      </c>
      <c r="S1134">
        <v>10</v>
      </c>
      <c r="T1134">
        <v>9</v>
      </c>
      <c r="U1134">
        <v>0</v>
      </c>
      <c r="V1134" t="s">
        <v>72</v>
      </c>
      <c r="W1134" s="1" t="s">
        <v>572</v>
      </c>
      <c r="Y1134" t="s">
        <v>46</v>
      </c>
      <c r="Z1134" t="s">
        <v>40</v>
      </c>
      <c r="AA1134">
        <v>1</v>
      </c>
      <c r="AB1134">
        <v>2</v>
      </c>
      <c r="AC1134" t="s">
        <v>41</v>
      </c>
      <c r="AD1134" t="s">
        <v>65</v>
      </c>
      <c r="AE1134" t="s">
        <v>49</v>
      </c>
      <c r="AF1134" s="3">
        <v>1922</v>
      </c>
      <c r="AG1134" s="3">
        <v>44</v>
      </c>
      <c r="AH1134">
        <v>80</v>
      </c>
      <c r="AI1134">
        <v>2</v>
      </c>
      <c r="AJ1134">
        <v>0</v>
      </c>
      <c r="AL1134">
        <v>0</v>
      </c>
      <c r="AM1134">
        <v>1</v>
      </c>
      <c r="AN1134" t="s">
        <v>768</v>
      </c>
      <c r="AO1134" t="s">
        <v>41</v>
      </c>
    </row>
    <row r="1135" spans="1:41" x14ac:dyDescent="0.25">
      <c r="A1135">
        <v>41</v>
      </c>
      <c r="B1135" t="s">
        <v>32</v>
      </c>
      <c r="C1135" t="s">
        <v>55</v>
      </c>
      <c r="D1135">
        <v>1</v>
      </c>
      <c r="E1135" t="s">
        <v>34</v>
      </c>
      <c r="F1135">
        <v>4</v>
      </c>
      <c r="G1135">
        <v>3</v>
      </c>
      <c r="H1135" t="s">
        <v>70</v>
      </c>
      <c r="I1135">
        <v>1</v>
      </c>
      <c r="J1135" t="s">
        <v>51</v>
      </c>
      <c r="K1135">
        <v>8392</v>
      </c>
      <c r="L1135">
        <v>1</v>
      </c>
      <c r="M1135" t="s">
        <v>41</v>
      </c>
      <c r="N1135">
        <v>16</v>
      </c>
      <c r="O1135">
        <v>3</v>
      </c>
      <c r="P1135">
        <v>1</v>
      </c>
      <c r="Q1135">
        <v>10</v>
      </c>
      <c r="R1135">
        <v>2</v>
      </c>
      <c r="S1135">
        <v>10</v>
      </c>
      <c r="T1135">
        <v>0</v>
      </c>
      <c r="U1135">
        <v>7</v>
      </c>
      <c r="V1135" t="s">
        <v>72</v>
      </c>
      <c r="W1135" s="1" t="s">
        <v>559</v>
      </c>
      <c r="Y1135" t="s">
        <v>46</v>
      </c>
      <c r="Z1135" t="s">
        <v>40</v>
      </c>
      <c r="AA1135">
        <v>2</v>
      </c>
      <c r="AB1135">
        <v>2</v>
      </c>
      <c r="AC1135" t="s">
        <v>41</v>
      </c>
      <c r="AD1135" t="s">
        <v>48</v>
      </c>
      <c r="AE1135" t="s">
        <v>49</v>
      </c>
      <c r="AF1135" s="3">
        <v>1412</v>
      </c>
      <c r="AG1135" s="3">
        <v>60</v>
      </c>
      <c r="AH1135">
        <v>80</v>
      </c>
      <c r="AI1135">
        <v>2</v>
      </c>
      <c r="AJ1135">
        <v>0</v>
      </c>
      <c r="AL1135">
        <v>0</v>
      </c>
      <c r="AM1135">
        <v>1</v>
      </c>
      <c r="AN1135" t="s">
        <v>768</v>
      </c>
      <c r="AO1135" t="s">
        <v>41</v>
      </c>
    </row>
    <row r="1136" spans="1:41" x14ac:dyDescent="0.25">
      <c r="A1136">
        <v>28</v>
      </c>
      <c r="B1136" t="s">
        <v>32</v>
      </c>
      <c r="C1136" t="s">
        <v>33</v>
      </c>
      <c r="D1136">
        <v>17</v>
      </c>
      <c r="E1136" t="s">
        <v>34</v>
      </c>
      <c r="F1136">
        <v>3</v>
      </c>
      <c r="G1136">
        <v>2</v>
      </c>
      <c r="H1136" t="s">
        <v>35</v>
      </c>
      <c r="I1136">
        <v>1</v>
      </c>
      <c r="J1136" t="s">
        <v>57</v>
      </c>
      <c r="K1136">
        <v>4558</v>
      </c>
      <c r="L1136">
        <v>1</v>
      </c>
      <c r="M1136" t="s">
        <v>41</v>
      </c>
      <c r="N1136">
        <v>12</v>
      </c>
      <c r="O1136">
        <v>3</v>
      </c>
      <c r="P1136">
        <v>1</v>
      </c>
      <c r="Q1136">
        <v>10</v>
      </c>
      <c r="R1136">
        <v>2</v>
      </c>
      <c r="S1136">
        <v>10</v>
      </c>
      <c r="T1136">
        <v>1</v>
      </c>
      <c r="U1136">
        <v>8</v>
      </c>
      <c r="V1136" t="s">
        <v>37</v>
      </c>
      <c r="W1136" s="2">
        <v>40636</v>
      </c>
      <c r="Y1136" t="s">
        <v>54</v>
      </c>
      <c r="Z1136" t="s">
        <v>47</v>
      </c>
      <c r="AA1136">
        <v>2</v>
      </c>
      <c r="AB1136">
        <v>1</v>
      </c>
      <c r="AC1136" t="s">
        <v>31</v>
      </c>
      <c r="AD1136" t="s">
        <v>65</v>
      </c>
      <c r="AE1136" t="s">
        <v>60</v>
      </c>
      <c r="AF1136" s="3">
        <v>1648</v>
      </c>
      <c r="AG1136" s="3">
        <v>87</v>
      </c>
      <c r="AH1136">
        <v>80</v>
      </c>
      <c r="AI1136">
        <v>2</v>
      </c>
      <c r="AJ1136">
        <v>0</v>
      </c>
      <c r="AL1136">
        <v>0</v>
      </c>
      <c r="AM1136">
        <v>1</v>
      </c>
      <c r="AN1136" t="s">
        <v>768</v>
      </c>
      <c r="AO1136" t="s">
        <v>41</v>
      </c>
    </row>
    <row r="1137" spans="1:41" x14ac:dyDescent="0.25">
      <c r="A1137">
        <v>46</v>
      </c>
      <c r="B1137" t="s">
        <v>32</v>
      </c>
      <c r="C1137" t="s">
        <v>33</v>
      </c>
      <c r="D1137">
        <v>18</v>
      </c>
      <c r="E1137" t="s">
        <v>61</v>
      </c>
      <c r="F1137">
        <v>3</v>
      </c>
      <c r="G1137">
        <v>2</v>
      </c>
      <c r="H1137" t="s">
        <v>78</v>
      </c>
      <c r="I1137">
        <v>3</v>
      </c>
      <c r="J1137" t="s">
        <v>57</v>
      </c>
      <c r="K1137">
        <v>4810</v>
      </c>
      <c r="L1137">
        <v>2</v>
      </c>
      <c r="M1137" t="s">
        <v>41</v>
      </c>
      <c r="N1137">
        <v>14</v>
      </c>
      <c r="O1137">
        <v>3</v>
      </c>
      <c r="P1137">
        <v>1</v>
      </c>
      <c r="Q1137">
        <v>19</v>
      </c>
      <c r="R1137">
        <v>5</v>
      </c>
      <c r="S1137">
        <v>10</v>
      </c>
      <c r="T1137">
        <v>0</v>
      </c>
      <c r="U1137">
        <v>8</v>
      </c>
      <c r="V1137" t="s">
        <v>58</v>
      </c>
      <c r="W1137" s="2">
        <v>40727</v>
      </c>
      <c r="Y1137" t="s">
        <v>69</v>
      </c>
      <c r="Z1137" t="s">
        <v>47</v>
      </c>
      <c r="AA1137">
        <v>0</v>
      </c>
      <c r="AB1137">
        <v>2</v>
      </c>
      <c r="AC1137" t="s">
        <v>31</v>
      </c>
      <c r="AD1137" t="s">
        <v>65</v>
      </c>
      <c r="AE1137" t="s">
        <v>43</v>
      </c>
      <c r="AF1137" s="3">
        <v>1812</v>
      </c>
      <c r="AG1137" s="3">
        <v>83</v>
      </c>
      <c r="AH1137">
        <v>80</v>
      </c>
      <c r="AI1137">
        <v>1</v>
      </c>
      <c r="AJ1137">
        <v>0</v>
      </c>
      <c r="AL1137">
        <v>0</v>
      </c>
      <c r="AM1137">
        <v>1</v>
      </c>
      <c r="AN1137" t="s">
        <v>768</v>
      </c>
      <c r="AO1137" t="s">
        <v>41</v>
      </c>
    </row>
    <row r="1138" spans="1:41" x14ac:dyDescent="0.25">
      <c r="A1138">
        <v>29</v>
      </c>
      <c r="B1138" t="s">
        <v>32</v>
      </c>
      <c r="C1138" t="s">
        <v>33</v>
      </c>
      <c r="D1138">
        <v>3</v>
      </c>
      <c r="E1138" t="s">
        <v>34</v>
      </c>
      <c r="F1138">
        <v>2</v>
      </c>
      <c r="G1138">
        <v>3</v>
      </c>
      <c r="H1138" t="s">
        <v>50</v>
      </c>
      <c r="I1138">
        <v>3</v>
      </c>
      <c r="J1138" t="s">
        <v>51</v>
      </c>
      <c r="K1138">
        <v>11935</v>
      </c>
      <c r="L1138">
        <v>1</v>
      </c>
      <c r="M1138" t="s">
        <v>41</v>
      </c>
      <c r="N1138">
        <v>18</v>
      </c>
      <c r="O1138">
        <v>3</v>
      </c>
      <c r="P1138">
        <v>0</v>
      </c>
      <c r="Q1138">
        <v>10</v>
      </c>
      <c r="R1138">
        <v>2</v>
      </c>
      <c r="S1138">
        <v>10</v>
      </c>
      <c r="T1138">
        <v>0</v>
      </c>
      <c r="U1138">
        <v>7</v>
      </c>
      <c r="V1138" t="s">
        <v>52</v>
      </c>
      <c r="W1138" s="1" t="s">
        <v>573</v>
      </c>
      <c r="Y1138" t="s">
        <v>54</v>
      </c>
      <c r="Z1138" t="s">
        <v>47</v>
      </c>
      <c r="AA1138">
        <v>0</v>
      </c>
      <c r="AB1138">
        <v>1</v>
      </c>
      <c r="AC1138" t="s">
        <v>41</v>
      </c>
      <c r="AD1138" t="s">
        <v>42</v>
      </c>
      <c r="AE1138" t="s">
        <v>60</v>
      </c>
      <c r="AF1138" s="3">
        <v>1700</v>
      </c>
      <c r="AG1138" s="3">
        <v>31</v>
      </c>
      <c r="AH1138">
        <v>80</v>
      </c>
      <c r="AI1138">
        <v>3</v>
      </c>
      <c r="AJ1138">
        <v>0</v>
      </c>
      <c r="AL1138">
        <v>0</v>
      </c>
      <c r="AM1138">
        <v>1</v>
      </c>
      <c r="AN1138" t="s">
        <v>768</v>
      </c>
      <c r="AO1138" t="s">
        <v>41</v>
      </c>
    </row>
    <row r="1139" spans="1:41" x14ac:dyDescent="0.25">
      <c r="A1139">
        <v>36</v>
      </c>
      <c r="B1139" t="s">
        <v>81</v>
      </c>
      <c r="C1139" t="s">
        <v>55</v>
      </c>
      <c r="D1139">
        <v>10</v>
      </c>
      <c r="E1139" t="s">
        <v>34</v>
      </c>
      <c r="F1139">
        <v>3</v>
      </c>
      <c r="G1139">
        <v>3</v>
      </c>
      <c r="H1139" t="s">
        <v>70</v>
      </c>
      <c r="I1139">
        <v>4</v>
      </c>
      <c r="J1139" t="s">
        <v>36</v>
      </c>
      <c r="K1139">
        <v>9980</v>
      </c>
      <c r="L1139">
        <v>1</v>
      </c>
      <c r="M1139" t="s">
        <v>41</v>
      </c>
      <c r="N1139">
        <v>14</v>
      </c>
      <c r="O1139">
        <v>3</v>
      </c>
      <c r="P1139">
        <v>0</v>
      </c>
      <c r="Q1139">
        <v>10</v>
      </c>
      <c r="R1139">
        <v>3</v>
      </c>
      <c r="S1139">
        <v>10</v>
      </c>
      <c r="T1139">
        <v>9</v>
      </c>
      <c r="U1139">
        <v>7</v>
      </c>
      <c r="V1139" t="s">
        <v>58</v>
      </c>
      <c r="W1139" s="2">
        <v>40882</v>
      </c>
      <c r="Y1139" t="s">
        <v>46</v>
      </c>
      <c r="Z1139" t="s">
        <v>47</v>
      </c>
      <c r="AA1139">
        <v>3</v>
      </c>
      <c r="AB1139">
        <v>3</v>
      </c>
      <c r="AC1139" t="s">
        <v>41</v>
      </c>
      <c r="AD1139" t="s">
        <v>48</v>
      </c>
      <c r="AE1139" t="s">
        <v>43</v>
      </c>
      <c r="AF1139" s="3">
        <v>2065</v>
      </c>
      <c r="AG1139" s="3">
        <v>63</v>
      </c>
      <c r="AH1139">
        <v>80</v>
      </c>
      <c r="AI1139">
        <v>6</v>
      </c>
      <c r="AJ1139">
        <v>0</v>
      </c>
      <c r="AL1139">
        <v>0</v>
      </c>
      <c r="AM1139">
        <v>1</v>
      </c>
      <c r="AN1139" t="s">
        <v>768</v>
      </c>
      <c r="AO1139" t="s">
        <v>41</v>
      </c>
    </row>
    <row r="1140" spans="1:41" x14ac:dyDescent="0.25">
      <c r="A1140">
        <v>55</v>
      </c>
      <c r="B1140" t="s">
        <v>32</v>
      </c>
      <c r="C1140" t="s">
        <v>55</v>
      </c>
      <c r="D1140">
        <v>18</v>
      </c>
      <c r="E1140" t="s">
        <v>61</v>
      </c>
      <c r="F1140">
        <v>3</v>
      </c>
      <c r="G1140">
        <v>4</v>
      </c>
      <c r="H1140" t="s">
        <v>75</v>
      </c>
      <c r="I1140">
        <v>2</v>
      </c>
      <c r="J1140" t="s">
        <v>36</v>
      </c>
      <c r="K1140">
        <v>16835</v>
      </c>
      <c r="L1140">
        <v>3</v>
      </c>
      <c r="M1140" t="s">
        <v>41</v>
      </c>
      <c r="N1140">
        <v>23</v>
      </c>
      <c r="O1140">
        <v>4</v>
      </c>
      <c r="P1140">
        <v>0</v>
      </c>
      <c r="Q1140">
        <v>37</v>
      </c>
      <c r="R1140">
        <v>2</v>
      </c>
      <c r="S1140">
        <v>10</v>
      </c>
      <c r="T1140">
        <v>7</v>
      </c>
      <c r="U1140">
        <v>7</v>
      </c>
      <c r="V1140" t="s">
        <v>37</v>
      </c>
      <c r="W1140" s="2">
        <v>40758</v>
      </c>
      <c r="Y1140" t="s">
        <v>46</v>
      </c>
      <c r="Z1140" t="s">
        <v>47</v>
      </c>
      <c r="AA1140">
        <v>2</v>
      </c>
      <c r="AB1140">
        <v>0</v>
      </c>
      <c r="AC1140" t="s">
        <v>31</v>
      </c>
      <c r="AD1140" t="s">
        <v>42</v>
      </c>
      <c r="AE1140" t="s">
        <v>60</v>
      </c>
      <c r="AF1140" s="3">
        <v>1477</v>
      </c>
      <c r="AG1140" s="3">
        <v>54</v>
      </c>
      <c r="AH1140">
        <v>80</v>
      </c>
      <c r="AI1140">
        <v>3</v>
      </c>
      <c r="AJ1140">
        <v>0</v>
      </c>
      <c r="AL1140">
        <v>0</v>
      </c>
      <c r="AM1140">
        <v>1</v>
      </c>
      <c r="AN1140" t="s">
        <v>768</v>
      </c>
      <c r="AO1140" t="s">
        <v>41</v>
      </c>
    </row>
    <row r="1141" spans="1:41" x14ac:dyDescent="0.25">
      <c r="A1141">
        <v>42</v>
      </c>
      <c r="B1141" t="s">
        <v>32</v>
      </c>
      <c r="C1141" t="s">
        <v>33</v>
      </c>
      <c r="D1141">
        <v>24</v>
      </c>
      <c r="E1141" t="s">
        <v>34</v>
      </c>
      <c r="F1141">
        <v>3</v>
      </c>
      <c r="G1141">
        <v>3</v>
      </c>
      <c r="H1141" t="s">
        <v>78</v>
      </c>
      <c r="I1141">
        <v>1</v>
      </c>
      <c r="J1141" t="s">
        <v>51</v>
      </c>
      <c r="K1141">
        <v>7406</v>
      </c>
      <c r="L1141">
        <v>1</v>
      </c>
      <c r="M1141" t="s">
        <v>31</v>
      </c>
      <c r="N1141">
        <v>21</v>
      </c>
      <c r="O1141">
        <v>4</v>
      </c>
      <c r="P1141">
        <v>1</v>
      </c>
      <c r="Q1141">
        <v>10</v>
      </c>
      <c r="R1141">
        <v>5</v>
      </c>
      <c r="S1141">
        <v>10</v>
      </c>
      <c r="T1141">
        <v>5</v>
      </c>
      <c r="U1141">
        <v>8</v>
      </c>
      <c r="V1141" t="s">
        <v>52</v>
      </c>
      <c r="W1141" s="1" t="s">
        <v>557</v>
      </c>
      <c r="Y1141" t="s">
        <v>39</v>
      </c>
      <c r="Z1141" t="s">
        <v>47</v>
      </c>
      <c r="AA1141">
        <v>3</v>
      </c>
      <c r="AB1141">
        <v>1</v>
      </c>
      <c r="AC1141" t="s">
        <v>41</v>
      </c>
      <c r="AD1141" t="s">
        <v>48</v>
      </c>
      <c r="AE1141" t="s">
        <v>49</v>
      </c>
      <c r="AF1141" s="3">
        <v>1507</v>
      </c>
      <c r="AG1141" s="3">
        <v>55</v>
      </c>
      <c r="AH1141">
        <v>80</v>
      </c>
      <c r="AI1141">
        <v>2</v>
      </c>
      <c r="AJ1141">
        <v>0</v>
      </c>
      <c r="AL1141">
        <v>0</v>
      </c>
      <c r="AM1141">
        <v>1</v>
      </c>
      <c r="AN1141" t="s">
        <v>768</v>
      </c>
      <c r="AO1141" t="s">
        <v>41</v>
      </c>
    </row>
    <row r="1142" spans="1:41" x14ac:dyDescent="0.25">
      <c r="A1142">
        <v>34</v>
      </c>
      <c r="B1142" t="s">
        <v>32</v>
      </c>
      <c r="C1142" t="s">
        <v>55</v>
      </c>
      <c r="D1142">
        <v>21</v>
      </c>
      <c r="E1142" t="s">
        <v>34</v>
      </c>
      <c r="F1142">
        <v>4</v>
      </c>
      <c r="G1142">
        <v>2</v>
      </c>
      <c r="H1142" t="s">
        <v>70</v>
      </c>
      <c r="I1142">
        <v>4</v>
      </c>
      <c r="J1142" t="s">
        <v>36</v>
      </c>
      <c r="K1142">
        <v>5337</v>
      </c>
      <c r="L1142">
        <v>1</v>
      </c>
      <c r="M1142" t="s">
        <v>41</v>
      </c>
      <c r="N1142">
        <v>12</v>
      </c>
      <c r="O1142">
        <v>3</v>
      </c>
      <c r="P1142">
        <v>0</v>
      </c>
      <c r="Q1142">
        <v>10</v>
      </c>
      <c r="R1142">
        <v>3</v>
      </c>
      <c r="S1142">
        <v>10</v>
      </c>
      <c r="T1142">
        <v>5</v>
      </c>
      <c r="U1142">
        <v>7</v>
      </c>
      <c r="V1142" t="s">
        <v>37</v>
      </c>
      <c r="W1142" s="2">
        <v>40578</v>
      </c>
      <c r="Y1142" t="s">
        <v>39</v>
      </c>
      <c r="Z1142" t="s">
        <v>40</v>
      </c>
      <c r="AA1142">
        <v>2</v>
      </c>
      <c r="AB1142">
        <v>3</v>
      </c>
      <c r="AC1142" t="s">
        <v>41</v>
      </c>
      <c r="AD1142" t="s">
        <v>65</v>
      </c>
      <c r="AE1142" t="s">
        <v>49</v>
      </c>
      <c r="AF1142" s="3">
        <v>1613</v>
      </c>
      <c r="AG1142" s="3">
        <v>54</v>
      </c>
      <c r="AH1142">
        <v>80</v>
      </c>
      <c r="AI1142">
        <v>2</v>
      </c>
      <c r="AJ1142">
        <v>0</v>
      </c>
      <c r="AL1142">
        <v>0</v>
      </c>
      <c r="AM1142">
        <v>1</v>
      </c>
      <c r="AN1142" t="s">
        <v>768</v>
      </c>
      <c r="AO1142" t="s">
        <v>41</v>
      </c>
    </row>
    <row r="1143" spans="1:41" x14ac:dyDescent="0.25">
      <c r="A1143">
        <v>52</v>
      </c>
      <c r="B1143" t="s">
        <v>32</v>
      </c>
      <c r="C1143" t="s">
        <v>33</v>
      </c>
      <c r="D1143">
        <v>6</v>
      </c>
      <c r="E1143" t="s">
        <v>34</v>
      </c>
      <c r="F1143">
        <v>3</v>
      </c>
      <c r="G1143">
        <v>2</v>
      </c>
      <c r="H1143" t="s">
        <v>44</v>
      </c>
      <c r="I1143">
        <v>1</v>
      </c>
      <c r="J1143" t="s">
        <v>57</v>
      </c>
      <c r="K1143">
        <v>5577</v>
      </c>
      <c r="L1143">
        <v>3</v>
      </c>
      <c r="M1143" t="s">
        <v>31</v>
      </c>
      <c r="N1143">
        <v>12</v>
      </c>
      <c r="O1143">
        <v>3</v>
      </c>
      <c r="P1143">
        <v>2</v>
      </c>
      <c r="Q1143">
        <v>18</v>
      </c>
      <c r="R1143">
        <v>3</v>
      </c>
      <c r="S1143">
        <v>10</v>
      </c>
      <c r="T1143">
        <v>6</v>
      </c>
      <c r="U1143">
        <v>9</v>
      </c>
      <c r="V1143" t="s">
        <v>72</v>
      </c>
      <c r="W1143" s="1" t="s">
        <v>574</v>
      </c>
      <c r="Y1143" t="s">
        <v>54</v>
      </c>
      <c r="Z1143" t="s">
        <v>40</v>
      </c>
      <c r="AA1143">
        <v>3</v>
      </c>
      <c r="AB1143">
        <v>2</v>
      </c>
      <c r="AC1143" t="s">
        <v>41</v>
      </c>
      <c r="AD1143" t="s">
        <v>48</v>
      </c>
      <c r="AE1143" t="s">
        <v>43</v>
      </c>
      <c r="AF1143" s="3">
        <v>1853</v>
      </c>
      <c r="AG1143" s="3">
        <v>79</v>
      </c>
      <c r="AH1143">
        <v>80</v>
      </c>
      <c r="AI1143">
        <v>0</v>
      </c>
      <c r="AJ1143">
        <v>0</v>
      </c>
      <c r="AL1143">
        <v>0</v>
      </c>
      <c r="AM1143">
        <v>1</v>
      </c>
      <c r="AN1143" t="s">
        <v>768</v>
      </c>
      <c r="AO1143" t="s">
        <v>41</v>
      </c>
    </row>
    <row r="1144" spans="1:41" x14ac:dyDescent="0.25">
      <c r="A1144">
        <v>42</v>
      </c>
      <c r="B1144" t="s">
        <v>32</v>
      </c>
      <c r="C1144" t="s">
        <v>33</v>
      </c>
      <c r="D1144">
        <v>2</v>
      </c>
      <c r="E1144" t="s">
        <v>61</v>
      </c>
      <c r="F1144">
        <v>3</v>
      </c>
      <c r="G1144">
        <v>2</v>
      </c>
      <c r="H1144" t="s">
        <v>89</v>
      </c>
      <c r="I1144">
        <v>4</v>
      </c>
      <c r="J1144" t="s">
        <v>51</v>
      </c>
      <c r="K1144">
        <v>4089</v>
      </c>
      <c r="L1144">
        <v>1</v>
      </c>
      <c r="M1144" t="s">
        <v>41</v>
      </c>
      <c r="N1144">
        <v>13</v>
      </c>
      <c r="O1144">
        <v>3</v>
      </c>
      <c r="P1144">
        <v>2</v>
      </c>
      <c r="Q1144">
        <v>10</v>
      </c>
      <c r="R1144">
        <v>4</v>
      </c>
      <c r="S1144">
        <v>10</v>
      </c>
      <c r="T1144">
        <v>2</v>
      </c>
      <c r="U1144">
        <v>2</v>
      </c>
      <c r="V1144" t="s">
        <v>72</v>
      </c>
      <c r="W1144" s="2">
        <v>40818</v>
      </c>
      <c r="Y1144" t="s">
        <v>39</v>
      </c>
      <c r="Z1144" t="s">
        <v>47</v>
      </c>
      <c r="AA1144">
        <v>5</v>
      </c>
      <c r="AB1144">
        <v>0</v>
      </c>
      <c r="AC1144" t="s">
        <v>41</v>
      </c>
      <c r="AD1144" t="s">
        <v>65</v>
      </c>
      <c r="AE1144" t="s">
        <v>60</v>
      </c>
      <c r="AF1144" s="3">
        <v>1794</v>
      </c>
      <c r="AG1144" s="3">
        <v>89</v>
      </c>
      <c r="AH1144">
        <v>80</v>
      </c>
      <c r="AI1144">
        <v>0</v>
      </c>
      <c r="AJ1144">
        <v>0</v>
      </c>
      <c r="AL1144">
        <v>0</v>
      </c>
      <c r="AM1144">
        <v>1</v>
      </c>
      <c r="AN1144" t="s">
        <v>768</v>
      </c>
      <c r="AO1144" t="s">
        <v>41</v>
      </c>
    </row>
    <row r="1145" spans="1:41" x14ac:dyDescent="0.25">
      <c r="A1145">
        <v>34</v>
      </c>
      <c r="B1145" t="s">
        <v>32</v>
      </c>
      <c r="C1145" t="s">
        <v>33</v>
      </c>
      <c r="D1145">
        <v>1</v>
      </c>
      <c r="E1145" t="s">
        <v>34</v>
      </c>
      <c r="F1145">
        <v>3</v>
      </c>
      <c r="G1145">
        <v>1</v>
      </c>
      <c r="H1145" t="s">
        <v>44</v>
      </c>
      <c r="I1145">
        <v>4</v>
      </c>
      <c r="J1145" t="s">
        <v>51</v>
      </c>
      <c r="K1145">
        <v>2691</v>
      </c>
      <c r="L1145">
        <v>1</v>
      </c>
      <c r="M1145" t="s">
        <v>41</v>
      </c>
      <c r="N1145">
        <v>12</v>
      </c>
      <c r="O1145">
        <v>3</v>
      </c>
      <c r="P1145">
        <v>1</v>
      </c>
      <c r="Q1145">
        <v>10</v>
      </c>
      <c r="R1145">
        <v>4</v>
      </c>
      <c r="S1145">
        <v>10</v>
      </c>
      <c r="T1145">
        <v>8</v>
      </c>
      <c r="U1145">
        <v>8</v>
      </c>
      <c r="V1145" t="s">
        <v>58</v>
      </c>
      <c r="W1145" s="1" t="s">
        <v>557</v>
      </c>
      <c r="Y1145" t="s">
        <v>63</v>
      </c>
      <c r="Z1145" t="s">
        <v>47</v>
      </c>
      <c r="AA1145">
        <v>5</v>
      </c>
      <c r="AB1145">
        <v>2</v>
      </c>
      <c r="AC1145" t="s">
        <v>31</v>
      </c>
      <c r="AD1145" t="s">
        <v>42</v>
      </c>
      <c r="AE1145" t="s">
        <v>49</v>
      </c>
      <c r="AF1145" s="3">
        <v>1865</v>
      </c>
      <c r="AG1145" s="3">
        <v>87</v>
      </c>
      <c r="AH1145">
        <v>80</v>
      </c>
      <c r="AI1145">
        <v>0</v>
      </c>
      <c r="AJ1145">
        <v>0</v>
      </c>
      <c r="AL1145">
        <v>0</v>
      </c>
      <c r="AM1145">
        <v>1</v>
      </c>
      <c r="AN1145" t="s">
        <v>768</v>
      </c>
      <c r="AO1145" t="s">
        <v>41</v>
      </c>
    </row>
    <row r="1146" spans="1:41" x14ac:dyDescent="0.25">
      <c r="A1146">
        <v>37</v>
      </c>
      <c r="B1146" t="s">
        <v>32</v>
      </c>
      <c r="C1146" t="s">
        <v>33</v>
      </c>
      <c r="D1146">
        <v>3</v>
      </c>
      <c r="E1146" t="s">
        <v>34</v>
      </c>
      <c r="F1146">
        <v>3</v>
      </c>
      <c r="G1146">
        <v>3</v>
      </c>
      <c r="H1146" t="s">
        <v>78</v>
      </c>
      <c r="I1146">
        <v>3</v>
      </c>
      <c r="J1146" t="s">
        <v>51</v>
      </c>
      <c r="K1146">
        <v>9434</v>
      </c>
      <c r="L1146">
        <v>1</v>
      </c>
      <c r="M1146" t="s">
        <v>41</v>
      </c>
      <c r="N1146">
        <v>15</v>
      </c>
      <c r="O1146">
        <v>3</v>
      </c>
      <c r="P1146">
        <v>1</v>
      </c>
      <c r="Q1146">
        <v>10</v>
      </c>
      <c r="R1146">
        <v>2</v>
      </c>
      <c r="S1146">
        <v>10</v>
      </c>
      <c r="T1146">
        <v>7</v>
      </c>
      <c r="U1146">
        <v>8</v>
      </c>
      <c r="V1146" t="s">
        <v>52</v>
      </c>
      <c r="W1146" s="1" t="s">
        <v>575</v>
      </c>
      <c r="Y1146" t="s">
        <v>63</v>
      </c>
      <c r="Z1146" t="s">
        <v>47</v>
      </c>
      <c r="AA1146">
        <v>0</v>
      </c>
      <c r="AB1146">
        <v>1</v>
      </c>
      <c r="AC1146" t="s">
        <v>41</v>
      </c>
      <c r="AD1146" t="s">
        <v>42</v>
      </c>
      <c r="AE1146" t="s">
        <v>49</v>
      </c>
      <c r="AF1146" s="3">
        <v>1419</v>
      </c>
      <c r="AG1146" s="3">
        <v>51</v>
      </c>
      <c r="AH1146">
        <v>80</v>
      </c>
      <c r="AI1146">
        <v>9</v>
      </c>
      <c r="AJ1146">
        <v>0</v>
      </c>
      <c r="AL1146">
        <v>0</v>
      </c>
      <c r="AM1146">
        <v>1</v>
      </c>
      <c r="AN1146" t="s">
        <v>768</v>
      </c>
      <c r="AO1146" t="s">
        <v>41</v>
      </c>
    </row>
    <row r="1147" spans="1:41" x14ac:dyDescent="0.25">
      <c r="A1147">
        <v>33</v>
      </c>
      <c r="B1147" t="s">
        <v>66</v>
      </c>
      <c r="C1147" t="s">
        <v>33</v>
      </c>
      <c r="D1147">
        <v>3</v>
      </c>
      <c r="E1147" t="s">
        <v>34</v>
      </c>
      <c r="F1147">
        <v>3</v>
      </c>
      <c r="G1147">
        <v>1</v>
      </c>
      <c r="H1147" t="s">
        <v>44</v>
      </c>
      <c r="I1147">
        <v>1</v>
      </c>
      <c r="J1147" t="s">
        <v>36</v>
      </c>
      <c r="K1147">
        <v>3348</v>
      </c>
      <c r="L1147">
        <v>1</v>
      </c>
      <c r="M1147" t="s">
        <v>31</v>
      </c>
      <c r="N1147">
        <v>11</v>
      </c>
      <c r="O1147">
        <v>3</v>
      </c>
      <c r="P1147">
        <v>0</v>
      </c>
      <c r="Q1147">
        <v>10</v>
      </c>
      <c r="R1147">
        <v>3</v>
      </c>
      <c r="S1147">
        <v>10</v>
      </c>
      <c r="T1147">
        <v>9</v>
      </c>
      <c r="U1147">
        <v>7</v>
      </c>
      <c r="V1147" t="s">
        <v>52</v>
      </c>
      <c r="W1147" s="2">
        <v>40605</v>
      </c>
      <c r="Y1147" t="s">
        <v>69</v>
      </c>
      <c r="Z1147" t="s">
        <v>47</v>
      </c>
      <c r="AA1147">
        <v>1</v>
      </c>
      <c r="AB1147">
        <v>3</v>
      </c>
      <c r="AC1147" t="s">
        <v>41</v>
      </c>
      <c r="AD1147" t="s">
        <v>65</v>
      </c>
      <c r="AE1147" t="s">
        <v>60</v>
      </c>
      <c r="AF1147" s="3">
        <v>1778</v>
      </c>
      <c r="AG1147" s="3">
        <v>97</v>
      </c>
      <c r="AH1147">
        <v>80</v>
      </c>
      <c r="AI1147">
        <v>7</v>
      </c>
      <c r="AJ1147">
        <v>0</v>
      </c>
      <c r="AL1147">
        <v>0</v>
      </c>
      <c r="AM1147">
        <v>1</v>
      </c>
      <c r="AN1147" t="s">
        <v>768</v>
      </c>
      <c r="AO1147" t="s">
        <v>41</v>
      </c>
    </row>
    <row r="1148" spans="1:41" x14ac:dyDescent="0.25">
      <c r="A1148">
        <v>29</v>
      </c>
      <c r="B1148" t="s">
        <v>66</v>
      </c>
      <c r="C1148" t="s">
        <v>33</v>
      </c>
      <c r="D1148">
        <v>1</v>
      </c>
      <c r="E1148" t="s">
        <v>34</v>
      </c>
      <c r="F1148">
        <v>1</v>
      </c>
      <c r="G1148">
        <v>1</v>
      </c>
      <c r="H1148" t="s">
        <v>44</v>
      </c>
      <c r="I1148">
        <v>4</v>
      </c>
      <c r="J1148" t="s">
        <v>57</v>
      </c>
      <c r="K1148">
        <v>2720</v>
      </c>
      <c r="L1148">
        <v>1</v>
      </c>
      <c r="M1148" t="s">
        <v>41</v>
      </c>
      <c r="N1148">
        <v>18</v>
      </c>
      <c r="O1148">
        <v>3</v>
      </c>
      <c r="P1148">
        <v>1</v>
      </c>
      <c r="Q1148">
        <v>10</v>
      </c>
      <c r="R1148">
        <v>5</v>
      </c>
      <c r="S1148">
        <v>10</v>
      </c>
      <c r="T1148">
        <v>2</v>
      </c>
      <c r="U1148">
        <v>8</v>
      </c>
      <c r="V1148" t="s">
        <v>37</v>
      </c>
      <c r="W1148" s="1" t="s">
        <v>568</v>
      </c>
      <c r="Y1148" t="s">
        <v>54</v>
      </c>
      <c r="Z1148" t="s">
        <v>47</v>
      </c>
      <c r="AA1148">
        <v>4</v>
      </c>
      <c r="AB1148">
        <v>0</v>
      </c>
      <c r="AC1148" t="s">
        <v>41</v>
      </c>
      <c r="AD1148" t="s">
        <v>65</v>
      </c>
      <c r="AE1148" t="s">
        <v>60</v>
      </c>
      <c r="AF1148" s="3">
        <v>1694</v>
      </c>
      <c r="AG1148" s="3">
        <v>94</v>
      </c>
      <c r="AH1148">
        <v>80</v>
      </c>
      <c r="AI1148">
        <v>2</v>
      </c>
      <c r="AJ1148">
        <v>0</v>
      </c>
      <c r="AL1148">
        <v>0</v>
      </c>
      <c r="AM1148">
        <v>1</v>
      </c>
      <c r="AN1148" t="s">
        <v>768</v>
      </c>
      <c r="AO1148" t="s">
        <v>41</v>
      </c>
    </row>
    <row r="1149" spans="1:41" x14ac:dyDescent="0.25">
      <c r="A1149">
        <v>32</v>
      </c>
      <c r="B1149" t="s">
        <v>32</v>
      </c>
      <c r="C1149" t="s">
        <v>55</v>
      </c>
      <c r="D1149">
        <v>10</v>
      </c>
      <c r="E1149" t="s">
        <v>34</v>
      </c>
      <c r="F1149">
        <v>3</v>
      </c>
      <c r="G1149">
        <v>2</v>
      </c>
      <c r="H1149" t="s">
        <v>70</v>
      </c>
      <c r="I1149">
        <v>4</v>
      </c>
      <c r="J1149" t="s">
        <v>36</v>
      </c>
      <c r="K1149">
        <v>5396</v>
      </c>
      <c r="L1149">
        <v>1</v>
      </c>
      <c r="M1149" t="s">
        <v>41</v>
      </c>
      <c r="N1149">
        <v>12</v>
      </c>
      <c r="O1149">
        <v>3</v>
      </c>
      <c r="P1149">
        <v>0</v>
      </c>
      <c r="Q1149">
        <v>10</v>
      </c>
      <c r="R1149">
        <v>2</v>
      </c>
      <c r="S1149">
        <v>10</v>
      </c>
      <c r="T1149">
        <v>0</v>
      </c>
      <c r="U1149">
        <v>8</v>
      </c>
      <c r="V1149" t="s">
        <v>37</v>
      </c>
      <c r="W1149" s="2">
        <v>40575</v>
      </c>
      <c r="Y1149" t="s">
        <v>39</v>
      </c>
      <c r="Z1149" t="s">
        <v>47</v>
      </c>
      <c r="AA1149">
        <v>1</v>
      </c>
      <c r="AB1149">
        <v>1</v>
      </c>
      <c r="AC1149" t="s">
        <v>31</v>
      </c>
      <c r="AD1149" t="s">
        <v>65</v>
      </c>
      <c r="AE1149" t="s">
        <v>60</v>
      </c>
      <c r="AF1149" s="3">
        <v>1506</v>
      </c>
      <c r="AG1149" s="3">
        <v>72</v>
      </c>
      <c r="AH1149">
        <v>80</v>
      </c>
      <c r="AI1149">
        <v>0</v>
      </c>
      <c r="AJ1149">
        <v>0</v>
      </c>
      <c r="AL1149">
        <v>0</v>
      </c>
      <c r="AM1149">
        <v>1</v>
      </c>
      <c r="AN1149" t="s">
        <v>768</v>
      </c>
      <c r="AO1149" t="s">
        <v>41</v>
      </c>
    </row>
    <row r="1150" spans="1:41" x14ac:dyDescent="0.25">
      <c r="A1150">
        <v>56</v>
      </c>
      <c r="B1150" t="s">
        <v>32</v>
      </c>
      <c r="C1150" t="s">
        <v>33</v>
      </c>
      <c r="D1150">
        <v>9</v>
      </c>
      <c r="E1150" t="s">
        <v>34</v>
      </c>
      <c r="F1150">
        <v>3</v>
      </c>
      <c r="G1150">
        <v>4</v>
      </c>
      <c r="H1150" t="s">
        <v>89</v>
      </c>
      <c r="I1150">
        <v>4</v>
      </c>
      <c r="J1150" t="s">
        <v>51</v>
      </c>
      <c r="K1150">
        <v>11103</v>
      </c>
      <c r="L1150">
        <v>7</v>
      </c>
      <c r="M1150" t="s">
        <v>41</v>
      </c>
      <c r="N1150">
        <v>11</v>
      </c>
      <c r="O1150">
        <v>3</v>
      </c>
      <c r="P1150">
        <v>0</v>
      </c>
      <c r="Q1150">
        <v>30</v>
      </c>
      <c r="R1150">
        <v>1</v>
      </c>
      <c r="S1150">
        <v>10</v>
      </c>
      <c r="T1150">
        <v>1</v>
      </c>
      <c r="U1150">
        <v>1</v>
      </c>
      <c r="V1150" t="s">
        <v>72</v>
      </c>
      <c r="W1150" s="2">
        <v>40634</v>
      </c>
      <c r="Y1150" t="s">
        <v>54</v>
      </c>
      <c r="Z1150" t="s">
        <v>40</v>
      </c>
      <c r="AA1150">
        <v>4</v>
      </c>
      <c r="AB1150">
        <v>1</v>
      </c>
      <c r="AC1150" t="s">
        <v>31</v>
      </c>
      <c r="AD1150" t="s">
        <v>48</v>
      </c>
      <c r="AE1150" t="s">
        <v>60</v>
      </c>
      <c r="AF1150" s="3">
        <v>1892</v>
      </c>
      <c r="AG1150" s="3">
        <v>98</v>
      </c>
      <c r="AH1150">
        <v>80</v>
      </c>
      <c r="AI1150">
        <v>7</v>
      </c>
      <c r="AJ1150">
        <v>0</v>
      </c>
      <c r="AL1150">
        <v>0</v>
      </c>
      <c r="AM1150">
        <v>1</v>
      </c>
      <c r="AN1150" t="s">
        <v>768</v>
      </c>
      <c r="AO1150" t="s">
        <v>41</v>
      </c>
    </row>
    <row r="1151" spans="1:41" x14ac:dyDescent="0.25">
      <c r="A1151">
        <v>32</v>
      </c>
      <c r="B1151" t="s">
        <v>66</v>
      </c>
      <c r="C1151" t="s">
        <v>33</v>
      </c>
      <c r="D1151">
        <v>24</v>
      </c>
      <c r="E1151" t="s">
        <v>34</v>
      </c>
      <c r="F1151">
        <v>3</v>
      </c>
      <c r="G1151">
        <v>2</v>
      </c>
      <c r="H1151" t="s">
        <v>35</v>
      </c>
      <c r="I1151">
        <v>4</v>
      </c>
      <c r="J1151" t="s">
        <v>51</v>
      </c>
      <c r="K1151">
        <v>5309</v>
      </c>
      <c r="L1151">
        <v>1</v>
      </c>
      <c r="M1151" t="s">
        <v>41</v>
      </c>
      <c r="N1151">
        <v>15</v>
      </c>
      <c r="O1151">
        <v>3</v>
      </c>
      <c r="P1151">
        <v>2</v>
      </c>
      <c r="Q1151">
        <v>10</v>
      </c>
      <c r="R1151">
        <v>2</v>
      </c>
      <c r="S1151">
        <v>10</v>
      </c>
      <c r="T1151">
        <v>4</v>
      </c>
      <c r="U1151">
        <v>7</v>
      </c>
      <c r="V1151" t="s">
        <v>72</v>
      </c>
      <c r="W1151" s="2">
        <v>40578</v>
      </c>
      <c r="Y1151" t="s">
        <v>39</v>
      </c>
      <c r="Z1151" t="s">
        <v>40</v>
      </c>
      <c r="AA1151">
        <v>2</v>
      </c>
      <c r="AB1151">
        <v>2</v>
      </c>
      <c r="AC1151" t="s">
        <v>41</v>
      </c>
      <c r="AD1151" t="s">
        <v>42</v>
      </c>
      <c r="AE1151" t="s">
        <v>43</v>
      </c>
      <c r="AF1151" s="3">
        <v>1881</v>
      </c>
      <c r="AG1151" s="3">
        <v>89</v>
      </c>
      <c r="AH1151">
        <v>80</v>
      </c>
      <c r="AI1151">
        <v>8</v>
      </c>
      <c r="AJ1151">
        <v>0</v>
      </c>
      <c r="AL1151">
        <v>0</v>
      </c>
      <c r="AM1151">
        <v>1</v>
      </c>
      <c r="AN1151" t="s">
        <v>768</v>
      </c>
      <c r="AO1151" t="s">
        <v>41</v>
      </c>
    </row>
    <row r="1152" spans="1:41" x14ac:dyDescent="0.25">
      <c r="A1152">
        <v>33</v>
      </c>
      <c r="B1152" t="s">
        <v>32</v>
      </c>
      <c r="C1152" t="s">
        <v>33</v>
      </c>
      <c r="D1152">
        <v>1</v>
      </c>
      <c r="E1152" t="s">
        <v>34</v>
      </c>
      <c r="F1152">
        <v>3</v>
      </c>
      <c r="G1152">
        <v>1</v>
      </c>
      <c r="H1152" t="s">
        <v>44</v>
      </c>
      <c r="I1152">
        <v>4</v>
      </c>
      <c r="J1152" t="s">
        <v>36</v>
      </c>
      <c r="K1152">
        <v>2686</v>
      </c>
      <c r="L1152">
        <v>1</v>
      </c>
      <c r="M1152" t="s">
        <v>31</v>
      </c>
      <c r="N1152">
        <v>13</v>
      </c>
      <c r="O1152">
        <v>3</v>
      </c>
      <c r="P1152">
        <v>0</v>
      </c>
      <c r="Q1152">
        <v>10</v>
      </c>
      <c r="R1152">
        <v>2</v>
      </c>
      <c r="S1152">
        <v>10</v>
      </c>
      <c r="T1152">
        <v>7</v>
      </c>
      <c r="U1152">
        <v>8</v>
      </c>
      <c r="V1152" t="s">
        <v>37</v>
      </c>
      <c r="W1152" s="2">
        <v>40881</v>
      </c>
      <c r="Y1152" t="s">
        <v>39</v>
      </c>
      <c r="Z1152" t="s">
        <v>47</v>
      </c>
      <c r="AA1152">
        <v>2</v>
      </c>
      <c r="AB1152">
        <v>0</v>
      </c>
      <c r="AC1152" t="s">
        <v>41</v>
      </c>
      <c r="AD1152" t="s">
        <v>67</v>
      </c>
      <c r="AE1152" t="s">
        <v>43</v>
      </c>
      <c r="AF1152" s="3">
        <v>1627</v>
      </c>
      <c r="AG1152" s="3">
        <v>76</v>
      </c>
      <c r="AH1152">
        <v>80</v>
      </c>
      <c r="AI1152">
        <v>8</v>
      </c>
      <c r="AJ1152">
        <v>0</v>
      </c>
      <c r="AL1152">
        <v>0</v>
      </c>
      <c r="AM1152">
        <v>1</v>
      </c>
      <c r="AN1152" t="s">
        <v>768</v>
      </c>
      <c r="AO1152" t="s">
        <v>41</v>
      </c>
    </row>
    <row r="1153" spans="1:41" x14ac:dyDescent="0.25">
      <c r="A1153">
        <v>36</v>
      </c>
      <c r="B1153" t="s">
        <v>81</v>
      </c>
      <c r="C1153" t="s">
        <v>55</v>
      </c>
      <c r="D1153">
        <v>8</v>
      </c>
      <c r="E1153" t="s">
        <v>34</v>
      </c>
      <c r="F1153">
        <v>2</v>
      </c>
      <c r="G1153">
        <v>3</v>
      </c>
      <c r="H1153" t="s">
        <v>70</v>
      </c>
      <c r="I1153">
        <v>1</v>
      </c>
      <c r="J1153" t="s">
        <v>36</v>
      </c>
      <c r="K1153">
        <v>7587</v>
      </c>
      <c r="L1153">
        <v>1</v>
      </c>
      <c r="M1153" t="s">
        <v>41</v>
      </c>
      <c r="N1153">
        <v>15</v>
      </c>
      <c r="O1153">
        <v>3</v>
      </c>
      <c r="P1153">
        <v>0</v>
      </c>
      <c r="Q1153">
        <v>10</v>
      </c>
      <c r="R1153">
        <v>1</v>
      </c>
      <c r="S1153">
        <v>10</v>
      </c>
      <c r="T1153">
        <v>0</v>
      </c>
      <c r="U1153">
        <v>9</v>
      </c>
      <c r="V1153" t="s">
        <v>37</v>
      </c>
      <c r="W1153" s="1" t="s">
        <v>576</v>
      </c>
      <c r="Y1153" t="s">
        <v>63</v>
      </c>
      <c r="Z1153" t="s">
        <v>40</v>
      </c>
      <c r="AA1153">
        <v>1</v>
      </c>
      <c r="AB1153">
        <v>1</v>
      </c>
      <c r="AC1153" t="s">
        <v>41</v>
      </c>
      <c r="AD1153" t="s">
        <v>42</v>
      </c>
      <c r="AE1153" t="s">
        <v>49</v>
      </c>
      <c r="AF1153" s="3">
        <v>1474</v>
      </c>
      <c r="AG1153" s="3">
        <v>68</v>
      </c>
      <c r="AH1153">
        <v>80</v>
      </c>
      <c r="AI1153">
        <v>1</v>
      </c>
      <c r="AJ1153">
        <v>0</v>
      </c>
      <c r="AL1153">
        <v>0</v>
      </c>
      <c r="AM1153">
        <v>1</v>
      </c>
      <c r="AN1153" t="s">
        <v>768</v>
      </c>
      <c r="AO1153" t="s">
        <v>41</v>
      </c>
    </row>
    <row r="1154" spans="1:41" x14ac:dyDescent="0.25">
      <c r="A1154">
        <v>29</v>
      </c>
      <c r="B1154" t="s">
        <v>32</v>
      </c>
      <c r="C1154" t="s">
        <v>33</v>
      </c>
      <c r="D1154">
        <v>23</v>
      </c>
      <c r="E1154" t="s">
        <v>34</v>
      </c>
      <c r="F1154">
        <v>4</v>
      </c>
      <c r="G1154">
        <v>1</v>
      </c>
      <c r="H1154" t="s">
        <v>44</v>
      </c>
      <c r="I1154">
        <v>3</v>
      </c>
      <c r="J1154" t="s">
        <v>51</v>
      </c>
      <c r="K1154">
        <v>2700</v>
      </c>
      <c r="L1154">
        <v>1</v>
      </c>
      <c r="M1154" t="s">
        <v>41</v>
      </c>
      <c r="N1154">
        <v>24</v>
      </c>
      <c r="O1154">
        <v>4</v>
      </c>
      <c r="P1154">
        <v>1</v>
      </c>
      <c r="Q1154">
        <v>10</v>
      </c>
      <c r="R1154">
        <v>3</v>
      </c>
      <c r="S1154">
        <v>10</v>
      </c>
      <c r="T1154">
        <v>0</v>
      </c>
      <c r="U1154">
        <v>7</v>
      </c>
      <c r="V1154" t="s">
        <v>58</v>
      </c>
      <c r="W1154" s="1" t="s">
        <v>577</v>
      </c>
      <c r="Y1154" t="s">
        <v>54</v>
      </c>
      <c r="Z1154" t="s">
        <v>40</v>
      </c>
      <c r="AA1154">
        <v>0</v>
      </c>
      <c r="AB1154">
        <v>2</v>
      </c>
      <c r="AC1154" t="s">
        <v>41</v>
      </c>
      <c r="AD1154" t="s">
        <v>48</v>
      </c>
      <c r="AE1154" t="s">
        <v>49</v>
      </c>
      <c r="AF1154" s="3">
        <v>1857</v>
      </c>
      <c r="AG1154" s="3">
        <v>82</v>
      </c>
      <c r="AH1154">
        <v>80</v>
      </c>
      <c r="AI1154">
        <v>8</v>
      </c>
      <c r="AJ1154">
        <v>0</v>
      </c>
      <c r="AL1154">
        <v>0</v>
      </c>
      <c r="AM1154">
        <v>1</v>
      </c>
      <c r="AN1154" t="s">
        <v>768</v>
      </c>
      <c r="AO1154" t="s">
        <v>41</v>
      </c>
    </row>
    <row r="1155" spans="1:41" x14ac:dyDescent="0.25">
      <c r="A1155">
        <v>35</v>
      </c>
      <c r="B1155" t="s">
        <v>66</v>
      </c>
      <c r="C1155" t="s">
        <v>33</v>
      </c>
      <c r="D1155">
        <v>25</v>
      </c>
      <c r="E1155" t="s">
        <v>61</v>
      </c>
      <c r="F1155">
        <v>3</v>
      </c>
      <c r="G1155">
        <v>1</v>
      </c>
      <c r="H1155" t="s">
        <v>44</v>
      </c>
      <c r="I1155">
        <v>2</v>
      </c>
      <c r="J1155" t="s">
        <v>57</v>
      </c>
      <c r="K1155">
        <v>2022</v>
      </c>
      <c r="L1155">
        <v>1</v>
      </c>
      <c r="M1155" t="s">
        <v>31</v>
      </c>
      <c r="N1155">
        <v>19</v>
      </c>
      <c r="O1155">
        <v>3</v>
      </c>
      <c r="P1155">
        <v>1</v>
      </c>
      <c r="Q1155">
        <v>10</v>
      </c>
      <c r="R1155">
        <v>3</v>
      </c>
      <c r="S1155">
        <v>10</v>
      </c>
      <c r="T1155">
        <v>7</v>
      </c>
      <c r="U1155">
        <v>8</v>
      </c>
      <c r="V1155" t="s">
        <v>72</v>
      </c>
      <c r="W1155" s="2">
        <v>40882</v>
      </c>
      <c r="Y1155" t="s">
        <v>63</v>
      </c>
      <c r="Z1155" t="s">
        <v>47</v>
      </c>
      <c r="AA1155">
        <v>5</v>
      </c>
      <c r="AB1155">
        <v>0</v>
      </c>
      <c r="AC1155" t="s">
        <v>41</v>
      </c>
      <c r="AD1155" t="s">
        <v>48</v>
      </c>
      <c r="AE1155" t="s">
        <v>60</v>
      </c>
      <c r="AF1155" s="3">
        <v>1599</v>
      </c>
      <c r="AG1155" s="3">
        <v>87</v>
      </c>
      <c r="AH1155">
        <v>80</v>
      </c>
      <c r="AI1155">
        <v>4</v>
      </c>
      <c r="AJ1155">
        <v>0</v>
      </c>
      <c r="AL1155">
        <v>0</v>
      </c>
      <c r="AM1155">
        <v>1</v>
      </c>
      <c r="AN1155" t="s">
        <v>768</v>
      </c>
      <c r="AO1155" t="s">
        <v>41</v>
      </c>
    </row>
    <row r="1156" spans="1:41" x14ac:dyDescent="0.25">
      <c r="A1156">
        <v>32</v>
      </c>
      <c r="B1156" t="s">
        <v>66</v>
      </c>
      <c r="C1156" t="s">
        <v>55</v>
      </c>
      <c r="D1156">
        <v>5</v>
      </c>
      <c r="E1156" t="s">
        <v>34</v>
      </c>
      <c r="F1156">
        <v>3</v>
      </c>
      <c r="G1156">
        <v>2</v>
      </c>
      <c r="H1156" t="s">
        <v>70</v>
      </c>
      <c r="I1156">
        <v>2</v>
      </c>
      <c r="J1156" t="s">
        <v>51</v>
      </c>
      <c r="K1156">
        <v>6524</v>
      </c>
      <c r="L1156">
        <v>1</v>
      </c>
      <c r="M1156" t="s">
        <v>41</v>
      </c>
      <c r="N1156">
        <v>14</v>
      </c>
      <c r="O1156">
        <v>3</v>
      </c>
      <c r="P1156">
        <v>1</v>
      </c>
      <c r="Q1156">
        <v>10</v>
      </c>
      <c r="R1156">
        <v>3</v>
      </c>
      <c r="S1156">
        <v>10</v>
      </c>
      <c r="T1156">
        <v>5</v>
      </c>
      <c r="U1156">
        <v>3</v>
      </c>
      <c r="V1156" t="s">
        <v>52</v>
      </c>
      <c r="W1156" s="1" t="s">
        <v>578</v>
      </c>
      <c r="Y1156" t="s">
        <v>54</v>
      </c>
      <c r="Z1156" t="s">
        <v>47</v>
      </c>
      <c r="AA1156">
        <v>5</v>
      </c>
      <c r="AB1156">
        <v>3</v>
      </c>
      <c r="AC1156" t="s">
        <v>41</v>
      </c>
      <c r="AD1156" t="s">
        <v>48</v>
      </c>
      <c r="AE1156" t="s">
        <v>60</v>
      </c>
      <c r="AF1156" s="3">
        <v>1940</v>
      </c>
      <c r="AG1156" s="3">
        <v>71</v>
      </c>
      <c r="AH1156">
        <v>80</v>
      </c>
      <c r="AI1156">
        <v>2</v>
      </c>
      <c r="AJ1156">
        <v>0</v>
      </c>
      <c r="AL1156">
        <v>0</v>
      </c>
      <c r="AM1156">
        <v>1</v>
      </c>
      <c r="AN1156" t="s">
        <v>768</v>
      </c>
      <c r="AO1156" t="s">
        <v>41</v>
      </c>
    </row>
    <row r="1157" spans="1:41" x14ac:dyDescent="0.25">
      <c r="A1157">
        <v>37</v>
      </c>
      <c r="B1157" t="s">
        <v>81</v>
      </c>
      <c r="C1157" t="s">
        <v>55</v>
      </c>
      <c r="D1157">
        <v>19</v>
      </c>
      <c r="E1157" t="s">
        <v>34</v>
      </c>
      <c r="F1157">
        <v>3</v>
      </c>
      <c r="G1157">
        <v>3</v>
      </c>
      <c r="H1157" t="s">
        <v>70</v>
      </c>
      <c r="I1157">
        <v>2</v>
      </c>
      <c r="J1157" t="s">
        <v>36</v>
      </c>
      <c r="K1157">
        <v>7642</v>
      </c>
      <c r="L1157">
        <v>1</v>
      </c>
      <c r="M1157" t="s">
        <v>31</v>
      </c>
      <c r="N1157">
        <v>13</v>
      </c>
      <c r="O1157">
        <v>3</v>
      </c>
      <c r="P1157">
        <v>0</v>
      </c>
      <c r="Q1157">
        <v>10</v>
      </c>
      <c r="R1157">
        <v>2</v>
      </c>
      <c r="S1157">
        <v>10</v>
      </c>
      <c r="T1157">
        <v>0</v>
      </c>
      <c r="U1157">
        <v>9</v>
      </c>
      <c r="V1157" t="s">
        <v>58</v>
      </c>
      <c r="W1157" s="1" t="s">
        <v>579</v>
      </c>
      <c r="Y1157" t="s">
        <v>69</v>
      </c>
      <c r="Z1157" t="s">
        <v>40</v>
      </c>
      <c r="AA1157">
        <v>4</v>
      </c>
      <c r="AB1157">
        <v>3</v>
      </c>
      <c r="AC1157" t="s">
        <v>31</v>
      </c>
      <c r="AD1157" t="s">
        <v>65</v>
      </c>
      <c r="AE1157" t="s">
        <v>49</v>
      </c>
      <c r="AF1157" s="3">
        <v>1424</v>
      </c>
      <c r="AG1157" s="3">
        <v>81</v>
      </c>
      <c r="AH1157">
        <v>80</v>
      </c>
      <c r="AI1157">
        <v>7</v>
      </c>
      <c r="AJ1157">
        <v>0</v>
      </c>
      <c r="AL1157">
        <v>0</v>
      </c>
      <c r="AM1157">
        <v>1</v>
      </c>
      <c r="AN1157" t="s">
        <v>768</v>
      </c>
      <c r="AO1157" t="s">
        <v>41</v>
      </c>
    </row>
    <row r="1158" spans="1:41" x14ac:dyDescent="0.25">
      <c r="A1158">
        <v>35</v>
      </c>
      <c r="B1158" t="s">
        <v>32</v>
      </c>
      <c r="C1158" t="s">
        <v>33</v>
      </c>
      <c r="D1158">
        <v>21</v>
      </c>
      <c r="E1158" t="s">
        <v>61</v>
      </c>
      <c r="F1158">
        <v>3</v>
      </c>
      <c r="G1158">
        <v>2</v>
      </c>
      <c r="H1158" t="s">
        <v>89</v>
      </c>
      <c r="I1158">
        <v>4</v>
      </c>
      <c r="J1158" t="s">
        <v>51</v>
      </c>
      <c r="K1158">
        <v>4014</v>
      </c>
      <c r="L1158">
        <v>1</v>
      </c>
      <c r="M1158" t="s">
        <v>31</v>
      </c>
      <c r="N1158">
        <v>25</v>
      </c>
      <c r="O1158">
        <v>4</v>
      </c>
      <c r="P1158">
        <v>1</v>
      </c>
      <c r="Q1158">
        <v>10</v>
      </c>
      <c r="R1158">
        <v>2</v>
      </c>
      <c r="S1158">
        <v>10</v>
      </c>
      <c r="T1158">
        <v>0</v>
      </c>
      <c r="U1158">
        <v>7</v>
      </c>
      <c r="V1158" t="s">
        <v>37</v>
      </c>
      <c r="W1158" s="1" t="s">
        <v>580</v>
      </c>
      <c r="Y1158" t="s">
        <v>63</v>
      </c>
      <c r="Z1158" t="s">
        <v>47</v>
      </c>
      <c r="AA1158">
        <v>2</v>
      </c>
      <c r="AB1158">
        <v>2</v>
      </c>
      <c r="AC1158" t="s">
        <v>41</v>
      </c>
      <c r="AD1158" t="s">
        <v>65</v>
      </c>
      <c r="AE1158" t="s">
        <v>43</v>
      </c>
      <c r="AF1158" s="3">
        <v>1484</v>
      </c>
      <c r="AG1158" s="3">
        <v>35</v>
      </c>
      <c r="AH1158">
        <v>80</v>
      </c>
      <c r="AI1158">
        <v>7</v>
      </c>
      <c r="AJ1158">
        <v>0</v>
      </c>
      <c r="AL1158">
        <v>0</v>
      </c>
      <c r="AM1158">
        <v>1</v>
      </c>
      <c r="AN1158" t="s">
        <v>768</v>
      </c>
      <c r="AO1158" t="s">
        <v>41</v>
      </c>
    </row>
    <row r="1159" spans="1:41" x14ac:dyDescent="0.25">
      <c r="A1159">
        <v>35</v>
      </c>
      <c r="B1159" t="s">
        <v>32</v>
      </c>
      <c r="C1159" t="s">
        <v>55</v>
      </c>
      <c r="D1159">
        <v>3</v>
      </c>
      <c r="E1159" t="s">
        <v>34</v>
      </c>
      <c r="F1159">
        <v>3</v>
      </c>
      <c r="G1159">
        <v>3</v>
      </c>
      <c r="H1159" t="s">
        <v>70</v>
      </c>
      <c r="I1159">
        <v>4</v>
      </c>
      <c r="J1159" t="s">
        <v>57</v>
      </c>
      <c r="K1159">
        <v>7823</v>
      </c>
      <c r="L1159">
        <v>6</v>
      </c>
      <c r="M1159" t="s">
        <v>41</v>
      </c>
      <c r="N1159">
        <v>13</v>
      </c>
      <c r="O1159">
        <v>3</v>
      </c>
      <c r="P1159">
        <v>1</v>
      </c>
      <c r="Q1159">
        <v>12</v>
      </c>
      <c r="R1159">
        <v>2</v>
      </c>
      <c r="S1159">
        <v>10</v>
      </c>
      <c r="T1159">
        <v>0</v>
      </c>
      <c r="U1159">
        <v>8</v>
      </c>
      <c r="V1159" t="s">
        <v>52</v>
      </c>
      <c r="W1159" s="2">
        <v>40760</v>
      </c>
      <c r="Y1159" t="s">
        <v>69</v>
      </c>
      <c r="Z1159" t="s">
        <v>40</v>
      </c>
      <c r="AA1159">
        <v>5</v>
      </c>
      <c r="AB1159">
        <v>1</v>
      </c>
      <c r="AC1159" t="s">
        <v>31</v>
      </c>
      <c r="AD1159" t="s">
        <v>48</v>
      </c>
      <c r="AE1159" t="s">
        <v>49</v>
      </c>
      <c r="AF1159" s="3">
        <v>1859</v>
      </c>
      <c r="AG1159" s="3">
        <v>93</v>
      </c>
      <c r="AH1159">
        <v>80</v>
      </c>
      <c r="AI1159">
        <v>0</v>
      </c>
      <c r="AJ1159">
        <v>0</v>
      </c>
      <c r="AL1159">
        <v>0</v>
      </c>
      <c r="AM1159">
        <v>1</v>
      </c>
      <c r="AN1159" t="s">
        <v>768</v>
      </c>
      <c r="AO1159" t="s">
        <v>41</v>
      </c>
    </row>
    <row r="1160" spans="1:41" x14ac:dyDescent="0.25">
      <c r="A1160">
        <v>33</v>
      </c>
      <c r="B1160" t="s">
        <v>81</v>
      </c>
      <c r="C1160" t="s">
        <v>55</v>
      </c>
      <c r="D1160">
        <v>17</v>
      </c>
      <c r="E1160" t="s">
        <v>34</v>
      </c>
      <c r="F1160">
        <v>3</v>
      </c>
      <c r="G1160">
        <v>4</v>
      </c>
      <c r="H1160" t="s">
        <v>75</v>
      </c>
      <c r="I1160">
        <v>3</v>
      </c>
      <c r="J1160" t="s">
        <v>36</v>
      </c>
      <c r="K1160">
        <v>17444</v>
      </c>
      <c r="L1160">
        <v>1</v>
      </c>
      <c r="M1160" t="s">
        <v>41</v>
      </c>
      <c r="N1160">
        <v>11</v>
      </c>
      <c r="O1160">
        <v>3</v>
      </c>
      <c r="P1160">
        <v>0</v>
      </c>
      <c r="Q1160">
        <v>10</v>
      </c>
      <c r="R1160">
        <v>2</v>
      </c>
      <c r="S1160">
        <v>10</v>
      </c>
      <c r="T1160">
        <v>6</v>
      </c>
      <c r="U1160">
        <v>0</v>
      </c>
      <c r="V1160" t="s">
        <v>58</v>
      </c>
      <c r="W1160" s="2">
        <v>40549</v>
      </c>
      <c r="Y1160" t="s">
        <v>63</v>
      </c>
      <c r="Z1160" t="s">
        <v>40</v>
      </c>
      <c r="AA1160">
        <v>0</v>
      </c>
      <c r="AB1160">
        <v>2</v>
      </c>
      <c r="AC1160" t="s">
        <v>31</v>
      </c>
      <c r="AD1160" t="s">
        <v>42</v>
      </c>
      <c r="AE1160" t="s">
        <v>43</v>
      </c>
      <c r="AF1160" s="3">
        <v>1619</v>
      </c>
      <c r="AG1160" s="3">
        <v>67</v>
      </c>
      <c r="AH1160">
        <v>80</v>
      </c>
      <c r="AI1160">
        <v>7</v>
      </c>
      <c r="AJ1160">
        <v>0</v>
      </c>
      <c r="AL1160">
        <v>0</v>
      </c>
      <c r="AM1160">
        <v>1</v>
      </c>
      <c r="AN1160" t="s">
        <v>768</v>
      </c>
      <c r="AO1160" t="s">
        <v>41</v>
      </c>
    </row>
    <row r="1161" spans="1:41" x14ac:dyDescent="0.25">
      <c r="A1161">
        <v>54</v>
      </c>
      <c r="B1161" t="s">
        <v>32</v>
      </c>
      <c r="C1161" t="s">
        <v>33</v>
      </c>
      <c r="D1161">
        <v>17</v>
      </c>
      <c r="E1161" t="s">
        <v>61</v>
      </c>
      <c r="F1161">
        <v>3</v>
      </c>
      <c r="G1161">
        <v>3</v>
      </c>
      <c r="H1161" t="s">
        <v>78</v>
      </c>
      <c r="I1161">
        <v>3</v>
      </c>
      <c r="J1161" t="s">
        <v>51</v>
      </c>
      <c r="K1161">
        <v>10739</v>
      </c>
      <c r="L1161">
        <v>8</v>
      </c>
      <c r="M1161" t="s">
        <v>41</v>
      </c>
      <c r="N1161">
        <v>11</v>
      </c>
      <c r="O1161">
        <v>3</v>
      </c>
      <c r="P1161">
        <v>1</v>
      </c>
      <c r="Q1161">
        <v>22</v>
      </c>
      <c r="R1161">
        <v>2</v>
      </c>
      <c r="S1161">
        <v>10</v>
      </c>
      <c r="T1161">
        <v>0</v>
      </c>
      <c r="U1161">
        <v>8</v>
      </c>
      <c r="V1161" t="s">
        <v>52</v>
      </c>
      <c r="W1161" s="2">
        <v>40697</v>
      </c>
      <c r="Y1161" t="s">
        <v>54</v>
      </c>
      <c r="Z1161" t="s">
        <v>47</v>
      </c>
      <c r="AA1161">
        <v>5</v>
      </c>
      <c r="AB1161">
        <v>0</v>
      </c>
      <c r="AC1161" t="s">
        <v>41</v>
      </c>
      <c r="AD1161" t="s">
        <v>67</v>
      </c>
      <c r="AE1161" t="s">
        <v>49</v>
      </c>
      <c r="AF1161" s="3">
        <v>1671</v>
      </c>
      <c r="AG1161" s="3">
        <v>45</v>
      </c>
      <c r="AH1161">
        <v>80</v>
      </c>
      <c r="AI1161">
        <v>5</v>
      </c>
      <c r="AJ1161">
        <v>0</v>
      </c>
      <c r="AL1161">
        <v>0</v>
      </c>
      <c r="AM1161">
        <v>1</v>
      </c>
      <c r="AN1161" t="s">
        <v>768</v>
      </c>
      <c r="AO1161" t="s">
        <v>41</v>
      </c>
    </row>
    <row r="1162" spans="1:41" x14ac:dyDescent="0.25">
      <c r="A1162">
        <v>51</v>
      </c>
      <c r="B1162" t="s">
        <v>32</v>
      </c>
      <c r="C1162" t="s">
        <v>33</v>
      </c>
      <c r="D1162">
        <v>4</v>
      </c>
      <c r="E1162" t="s">
        <v>34</v>
      </c>
      <c r="F1162">
        <v>3</v>
      </c>
      <c r="G1162">
        <v>1</v>
      </c>
      <c r="H1162" t="s">
        <v>44</v>
      </c>
      <c r="I1162">
        <v>3</v>
      </c>
      <c r="J1162" t="s">
        <v>51</v>
      </c>
      <c r="K1162">
        <v>2461</v>
      </c>
      <c r="L1162">
        <v>9</v>
      </c>
      <c r="M1162" t="s">
        <v>31</v>
      </c>
      <c r="N1162">
        <v>12</v>
      </c>
      <c r="O1162">
        <v>3</v>
      </c>
      <c r="P1162">
        <v>3</v>
      </c>
      <c r="Q1162">
        <v>18</v>
      </c>
      <c r="R1162">
        <v>2</v>
      </c>
      <c r="S1162">
        <v>10</v>
      </c>
      <c r="T1162">
        <v>2</v>
      </c>
      <c r="U1162">
        <v>7</v>
      </c>
      <c r="V1162" t="s">
        <v>37</v>
      </c>
      <c r="W1162" s="2">
        <v>40547</v>
      </c>
      <c r="Y1162" t="s">
        <v>69</v>
      </c>
      <c r="Z1162" t="s">
        <v>47</v>
      </c>
      <c r="AA1162">
        <v>1</v>
      </c>
      <c r="AB1162">
        <v>1</v>
      </c>
      <c r="AC1162" t="s">
        <v>41</v>
      </c>
      <c r="AD1162" t="s">
        <v>65</v>
      </c>
      <c r="AE1162" t="s">
        <v>49</v>
      </c>
      <c r="AF1162" s="3">
        <v>1553</v>
      </c>
      <c r="AG1162" s="3">
        <v>66</v>
      </c>
      <c r="AH1162">
        <v>80</v>
      </c>
      <c r="AI1162">
        <v>8</v>
      </c>
      <c r="AJ1162">
        <v>0</v>
      </c>
      <c r="AL1162">
        <v>0</v>
      </c>
      <c r="AM1162">
        <v>1</v>
      </c>
      <c r="AN1162" t="s">
        <v>768</v>
      </c>
      <c r="AO1162" t="s">
        <v>41</v>
      </c>
    </row>
    <row r="1163" spans="1:41" x14ac:dyDescent="0.25">
      <c r="A1163">
        <v>28</v>
      </c>
      <c r="B1163" t="s">
        <v>81</v>
      </c>
      <c r="C1163" t="s">
        <v>33</v>
      </c>
      <c r="D1163">
        <v>24</v>
      </c>
      <c r="E1163" t="s">
        <v>34</v>
      </c>
      <c r="F1163">
        <v>2</v>
      </c>
      <c r="G1163">
        <v>3</v>
      </c>
      <c r="H1163" t="s">
        <v>89</v>
      </c>
      <c r="I1163">
        <v>1</v>
      </c>
      <c r="J1163" t="s">
        <v>36</v>
      </c>
      <c r="K1163">
        <v>8722</v>
      </c>
      <c r="L1163">
        <v>1</v>
      </c>
      <c r="M1163" t="s">
        <v>41</v>
      </c>
      <c r="N1163">
        <v>12</v>
      </c>
      <c r="O1163">
        <v>3</v>
      </c>
      <c r="P1163">
        <v>0</v>
      </c>
      <c r="Q1163">
        <v>10</v>
      </c>
      <c r="R1163">
        <v>2</v>
      </c>
      <c r="S1163">
        <v>10</v>
      </c>
      <c r="T1163">
        <v>1</v>
      </c>
      <c r="U1163">
        <v>9</v>
      </c>
      <c r="V1163" t="s">
        <v>72</v>
      </c>
      <c r="W1163" s="2">
        <v>40757</v>
      </c>
      <c r="Y1163" t="s">
        <v>46</v>
      </c>
      <c r="Z1163" t="s">
        <v>40</v>
      </c>
      <c r="AA1163">
        <v>3</v>
      </c>
      <c r="AB1163">
        <v>1</v>
      </c>
      <c r="AC1163" t="s">
        <v>41</v>
      </c>
      <c r="AD1163" t="s">
        <v>48</v>
      </c>
      <c r="AE1163" t="s">
        <v>60</v>
      </c>
      <c r="AF1163" s="3">
        <v>1725</v>
      </c>
      <c r="AG1163" s="3">
        <v>91</v>
      </c>
      <c r="AH1163">
        <v>80</v>
      </c>
      <c r="AI1163">
        <v>2</v>
      </c>
      <c r="AJ1163">
        <v>0</v>
      </c>
      <c r="AL1163">
        <v>0</v>
      </c>
      <c r="AM1163">
        <v>1</v>
      </c>
      <c r="AN1163" t="s">
        <v>768</v>
      </c>
      <c r="AO1163" t="s">
        <v>41</v>
      </c>
    </row>
    <row r="1164" spans="1:41" x14ac:dyDescent="0.25">
      <c r="A1164">
        <v>41</v>
      </c>
      <c r="B1164" t="s">
        <v>32</v>
      </c>
      <c r="C1164" t="s">
        <v>33</v>
      </c>
      <c r="D1164">
        <v>7</v>
      </c>
      <c r="E1164" t="s">
        <v>61</v>
      </c>
      <c r="F1164">
        <v>4</v>
      </c>
      <c r="G1164">
        <v>1</v>
      </c>
      <c r="H1164" t="s">
        <v>44</v>
      </c>
      <c r="I1164">
        <v>3</v>
      </c>
      <c r="J1164" t="s">
        <v>51</v>
      </c>
      <c r="K1164">
        <v>3376</v>
      </c>
      <c r="L1164">
        <v>1</v>
      </c>
      <c r="M1164" t="s">
        <v>41</v>
      </c>
      <c r="N1164">
        <v>13</v>
      </c>
      <c r="O1164">
        <v>3</v>
      </c>
      <c r="P1164">
        <v>0</v>
      </c>
      <c r="Q1164">
        <v>10</v>
      </c>
      <c r="R1164">
        <v>3</v>
      </c>
      <c r="S1164">
        <v>10</v>
      </c>
      <c r="T1164">
        <v>0</v>
      </c>
      <c r="U1164">
        <v>8</v>
      </c>
      <c r="V1164" t="s">
        <v>58</v>
      </c>
      <c r="W1164" s="1" t="s">
        <v>581</v>
      </c>
      <c r="Y1164" t="s">
        <v>46</v>
      </c>
      <c r="Z1164" t="s">
        <v>40</v>
      </c>
      <c r="AA1164">
        <v>2</v>
      </c>
      <c r="AB1164">
        <v>1</v>
      </c>
      <c r="AC1164" t="s">
        <v>41</v>
      </c>
      <c r="AD1164" t="s">
        <v>65</v>
      </c>
      <c r="AE1164" t="s">
        <v>60</v>
      </c>
      <c r="AF1164" s="3">
        <v>1551</v>
      </c>
      <c r="AG1164" s="3">
        <v>57</v>
      </c>
      <c r="AH1164">
        <v>80</v>
      </c>
      <c r="AI1164">
        <v>1</v>
      </c>
      <c r="AJ1164">
        <v>0</v>
      </c>
      <c r="AL1164">
        <v>0</v>
      </c>
      <c r="AM1164">
        <v>1</v>
      </c>
      <c r="AN1164" t="s">
        <v>768</v>
      </c>
      <c r="AO1164" t="s">
        <v>41</v>
      </c>
    </row>
    <row r="1165" spans="1:41" x14ac:dyDescent="0.25">
      <c r="A1165">
        <v>29</v>
      </c>
      <c r="B1165" t="s">
        <v>32</v>
      </c>
      <c r="C1165" t="s">
        <v>33</v>
      </c>
      <c r="D1165">
        <v>8</v>
      </c>
      <c r="E1165" t="s">
        <v>34</v>
      </c>
      <c r="F1165">
        <v>2</v>
      </c>
      <c r="G1165">
        <v>2</v>
      </c>
      <c r="H1165" t="s">
        <v>78</v>
      </c>
      <c r="I1165">
        <v>4</v>
      </c>
      <c r="J1165" t="s">
        <v>51</v>
      </c>
      <c r="K1165">
        <v>5056</v>
      </c>
      <c r="L1165">
        <v>1</v>
      </c>
      <c r="M1165" t="s">
        <v>31</v>
      </c>
      <c r="N1165">
        <v>15</v>
      </c>
      <c r="O1165">
        <v>3</v>
      </c>
      <c r="P1165">
        <v>1</v>
      </c>
      <c r="Q1165">
        <v>10</v>
      </c>
      <c r="R1165">
        <v>2</v>
      </c>
      <c r="S1165">
        <v>10</v>
      </c>
      <c r="T1165">
        <v>1</v>
      </c>
      <c r="U1165">
        <v>2</v>
      </c>
      <c r="V1165" t="s">
        <v>37</v>
      </c>
      <c r="W1165" s="2">
        <v>40606</v>
      </c>
      <c r="Y1165" t="s">
        <v>46</v>
      </c>
      <c r="Z1165" t="s">
        <v>47</v>
      </c>
      <c r="AA1165">
        <v>1</v>
      </c>
      <c r="AB1165">
        <v>2</v>
      </c>
      <c r="AC1165" t="s">
        <v>41</v>
      </c>
      <c r="AD1165" t="s">
        <v>67</v>
      </c>
      <c r="AE1165" t="s">
        <v>49</v>
      </c>
      <c r="AF1165" s="3">
        <v>1871</v>
      </c>
      <c r="AG1165" s="3">
        <v>41</v>
      </c>
      <c r="AH1165">
        <v>80</v>
      </c>
      <c r="AI1165">
        <v>2</v>
      </c>
      <c r="AJ1165">
        <v>0</v>
      </c>
      <c r="AL1165">
        <v>0</v>
      </c>
      <c r="AM1165">
        <v>1</v>
      </c>
      <c r="AN1165" t="s">
        <v>768</v>
      </c>
      <c r="AO1165" t="s">
        <v>41</v>
      </c>
    </row>
    <row r="1166" spans="1:41" x14ac:dyDescent="0.25">
      <c r="A1166">
        <v>30</v>
      </c>
      <c r="B1166" t="s">
        <v>32</v>
      </c>
      <c r="C1166" t="s">
        <v>55</v>
      </c>
      <c r="D1166">
        <v>10</v>
      </c>
      <c r="E1166" t="s">
        <v>34</v>
      </c>
      <c r="F1166">
        <v>2</v>
      </c>
      <c r="G1166">
        <v>2</v>
      </c>
      <c r="H1166" t="s">
        <v>70</v>
      </c>
      <c r="I1166">
        <v>3</v>
      </c>
      <c r="J1166" t="s">
        <v>51</v>
      </c>
      <c r="K1166">
        <v>6578</v>
      </c>
      <c r="L1166">
        <v>1</v>
      </c>
      <c r="M1166" t="s">
        <v>41</v>
      </c>
      <c r="N1166">
        <v>18</v>
      </c>
      <c r="O1166">
        <v>3</v>
      </c>
      <c r="P1166">
        <v>1</v>
      </c>
      <c r="Q1166">
        <v>10</v>
      </c>
      <c r="R1166">
        <v>3</v>
      </c>
      <c r="S1166">
        <v>10</v>
      </c>
      <c r="T1166">
        <v>1</v>
      </c>
      <c r="U1166">
        <v>4</v>
      </c>
      <c r="V1166" t="s">
        <v>58</v>
      </c>
      <c r="W1166" s="1" t="s">
        <v>582</v>
      </c>
      <c r="Y1166" t="s">
        <v>54</v>
      </c>
      <c r="Z1166" t="s">
        <v>47</v>
      </c>
      <c r="AA1166">
        <v>4</v>
      </c>
      <c r="AB1166">
        <v>3</v>
      </c>
      <c r="AC1166" t="s">
        <v>31</v>
      </c>
      <c r="AD1166" t="s">
        <v>48</v>
      </c>
      <c r="AE1166" t="s">
        <v>49</v>
      </c>
      <c r="AF1166" s="3">
        <v>2031</v>
      </c>
      <c r="AG1166" s="3">
        <v>56</v>
      </c>
      <c r="AH1166">
        <v>80</v>
      </c>
      <c r="AI1166">
        <v>6</v>
      </c>
      <c r="AJ1166">
        <v>0</v>
      </c>
      <c r="AL1166">
        <v>0</v>
      </c>
      <c r="AM1166">
        <v>1</v>
      </c>
      <c r="AN1166" t="s">
        <v>768</v>
      </c>
      <c r="AO1166" t="s">
        <v>41</v>
      </c>
    </row>
    <row r="1167" spans="1:41" x14ac:dyDescent="0.25">
      <c r="A1167">
        <v>29</v>
      </c>
      <c r="B1167" t="s">
        <v>32</v>
      </c>
      <c r="C1167" t="s">
        <v>33</v>
      </c>
      <c r="D1167">
        <v>6</v>
      </c>
      <c r="E1167" t="s">
        <v>61</v>
      </c>
      <c r="F1167">
        <v>3</v>
      </c>
      <c r="G1167">
        <v>1</v>
      </c>
      <c r="H1167" t="s">
        <v>35</v>
      </c>
      <c r="I1167">
        <v>4</v>
      </c>
      <c r="J1167" t="s">
        <v>51</v>
      </c>
      <c r="K1167">
        <v>3131</v>
      </c>
      <c r="L1167">
        <v>1</v>
      </c>
      <c r="M1167" t="s">
        <v>41</v>
      </c>
      <c r="N1167">
        <v>13</v>
      </c>
      <c r="O1167">
        <v>3</v>
      </c>
      <c r="P1167">
        <v>1</v>
      </c>
      <c r="Q1167">
        <v>10</v>
      </c>
      <c r="R1167">
        <v>5</v>
      </c>
      <c r="S1167">
        <v>10</v>
      </c>
      <c r="T1167">
        <v>0</v>
      </c>
      <c r="U1167">
        <v>8</v>
      </c>
      <c r="V1167" t="s">
        <v>52</v>
      </c>
      <c r="W1167" s="1" t="s">
        <v>583</v>
      </c>
      <c r="Y1167" t="s">
        <v>46</v>
      </c>
      <c r="Z1167" t="s">
        <v>47</v>
      </c>
      <c r="AA1167">
        <v>0</v>
      </c>
      <c r="AB1167">
        <v>2</v>
      </c>
      <c r="AC1167" t="s">
        <v>31</v>
      </c>
      <c r="AD1167" t="s">
        <v>65</v>
      </c>
      <c r="AE1167" t="s">
        <v>60</v>
      </c>
      <c r="AF1167" s="3">
        <v>1543</v>
      </c>
      <c r="AG1167" s="3">
        <v>47</v>
      </c>
      <c r="AH1167">
        <v>80</v>
      </c>
      <c r="AI1167">
        <v>8</v>
      </c>
      <c r="AJ1167">
        <v>0</v>
      </c>
      <c r="AL1167">
        <v>0</v>
      </c>
      <c r="AM1167">
        <v>1</v>
      </c>
      <c r="AN1167" t="s">
        <v>768</v>
      </c>
      <c r="AO1167" t="s">
        <v>41</v>
      </c>
    </row>
    <row r="1168" spans="1:41" x14ac:dyDescent="0.25">
      <c r="A1168">
        <v>33</v>
      </c>
      <c r="B1168" t="s">
        <v>66</v>
      </c>
      <c r="C1168" t="s">
        <v>55</v>
      </c>
      <c r="D1168">
        <v>25</v>
      </c>
      <c r="E1168" t="s">
        <v>61</v>
      </c>
      <c r="F1168">
        <v>3</v>
      </c>
      <c r="G1168">
        <v>2</v>
      </c>
      <c r="H1168" t="s">
        <v>70</v>
      </c>
      <c r="I1168">
        <v>3</v>
      </c>
      <c r="J1168" t="s">
        <v>51</v>
      </c>
      <c r="K1168">
        <v>4539</v>
      </c>
      <c r="L1168">
        <v>1</v>
      </c>
      <c r="M1168" t="s">
        <v>41</v>
      </c>
      <c r="N1168">
        <v>12</v>
      </c>
      <c r="O1168">
        <v>3</v>
      </c>
      <c r="P1168">
        <v>1</v>
      </c>
      <c r="Q1168">
        <v>10</v>
      </c>
      <c r="R1168">
        <v>3</v>
      </c>
      <c r="S1168">
        <v>10</v>
      </c>
      <c r="T1168">
        <v>0</v>
      </c>
      <c r="U1168">
        <v>1</v>
      </c>
      <c r="V1168" t="s">
        <v>52</v>
      </c>
      <c r="W1168" s="2">
        <v>40695</v>
      </c>
      <c r="Y1168" t="s">
        <v>46</v>
      </c>
      <c r="Z1168" t="s">
        <v>40</v>
      </c>
      <c r="AA1168">
        <v>5</v>
      </c>
      <c r="AB1168">
        <v>2</v>
      </c>
      <c r="AC1168" t="s">
        <v>41</v>
      </c>
      <c r="AD1168" t="s">
        <v>48</v>
      </c>
      <c r="AE1168" t="s">
        <v>60</v>
      </c>
      <c r="AF1168" s="3">
        <v>1434</v>
      </c>
      <c r="AG1168" s="3">
        <v>91</v>
      </c>
      <c r="AH1168">
        <v>80</v>
      </c>
      <c r="AI1168">
        <v>0</v>
      </c>
      <c r="AJ1168">
        <v>0</v>
      </c>
      <c r="AL1168">
        <v>0</v>
      </c>
      <c r="AM1168">
        <v>1</v>
      </c>
      <c r="AN1168" t="s">
        <v>768</v>
      </c>
      <c r="AO1168" t="s">
        <v>41</v>
      </c>
    </row>
    <row r="1169" spans="1:41" x14ac:dyDescent="0.25">
      <c r="A1169">
        <v>30</v>
      </c>
      <c r="B1169" t="s">
        <v>32</v>
      </c>
      <c r="C1169" t="s">
        <v>33</v>
      </c>
      <c r="D1169">
        <v>7</v>
      </c>
      <c r="E1169" t="s">
        <v>34</v>
      </c>
      <c r="F1169">
        <v>3</v>
      </c>
      <c r="G1169">
        <v>2</v>
      </c>
      <c r="H1169" t="s">
        <v>35</v>
      </c>
      <c r="I1169">
        <v>3</v>
      </c>
      <c r="J1169" t="s">
        <v>57</v>
      </c>
      <c r="K1169">
        <v>3491</v>
      </c>
      <c r="L1169">
        <v>1</v>
      </c>
      <c r="M1169" t="s">
        <v>41</v>
      </c>
      <c r="N1169">
        <v>13</v>
      </c>
      <c r="O1169">
        <v>3</v>
      </c>
      <c r="P1169">
        <v>3</v>
      </c>
      <c r="Q1169">
        <v>10</v>
      </c>
      <c r="R1169">
        <v>4</v>
      </c>
      <c r="S1169">
        <v>10</v>
      </c>
      <c r="T1169">
        <v>8</v>
      </c>
      <c r="U1169">
        <v>9</v>
      </c>
      <c r="V1169" t="s">
        <v>37</v>
      </c>
      <c r="W1169" s="1" t="s">
        <v>584</v>
      </c>
      <c r="Y1169" t="s">
        <v>63</v>
      </c>
      <c r="Z1169" t="s">
        <v>40</v>
      </c>
      <c r="AA1169">
        <v>3</v>
      </c>
      <c r="AB1169">
        <v>3</v>
      </c>
      <c r="AC1169" t="s">
        <v>41</v>
      </c>
      <c r="AD1169" t="s">
        <v>42</v>
      </c>
      <c r="AE1169" t="s">
        <v>49</v>
      </c>
      <c r="AF1169" s="3">
        <v>1621</v>
      </c>
      <c r="AG1169" s="3">
        <v>48</v>
      </c>
      <c r="AH1169">
        <v>80</v>
      </c>
      <c r="AI1169">
        <v>15</v>
      </c>
      <c r="AJ1169">
        <v>0</v>
      </c>
      <c r="AL1169">
        <v>0</v>
      </c>
      <c r="AM1169">
        <v>1</v>
      </c>
      <c r="AN1169" t="s">
        <v>768</v>
      </c>
      <c r="AO1169" t="s">
        <v>41</v>
      </c>
    </row>
    <row r="1170" spans="1:41" x14ac:dyDescent="0.25">
      <c r="A1170">
        <v>44</v>
      </c>
      <c r="B1170" t="s">
        <v>32</v>
      </c>
      <c r="C1170" t="s">
        <v>33</v>
      </c>
      <c r="D1170">
        <v>2</v>
      </c>
      <c r="E1170" t="s">
        <v>61</v>
      </c>
      <c r="F1170">
        <v>4</v>
      </c>
      <c r="G1170">
        <v>1</v>
      </c>
      <c r="H1170" t="s">
        <v>44</v>
      </c>
      <c r="I1170">
        <v>4</v>
      </c>
      <c r="J1170" t="s">
        <v>51</v>
      </c>
      <c r="K1170">
        <v>2011</v>
      </c>
      <c r="L1170">
        <v>1</v>
      </c>
      <c r="M1170" t="s">
        <v>41</v>
      </c>
      <c r="N1170">
        <v>13</v>
      </c>
      <c r="O1170">
        <v>3</v>
      </c>
      <c r="P1170">
        <v>1</v>
      </c>
      <c r="Q1170">
        <v>10</v>
      </c>
      <c r="R1170">
        <v>5</v>
      </c>
      <c r="S1170">
        <v>10</v>
      </c>
      <c r="T1170">
        <v>7</v>
      </c>
      <c r="U1170">
        <v>7</v>
      </c>
      <c r="V1170" t="s">
        <v>37</v>
      </c>
      <c r="W1170" s="1" t="s">
        <v>580</v>
      </c>
      <c r="Y1170" t="s">
        <v>39</v>
      </c>
      <c r="Z1170" t="s">
        <v>40</v>
      </c>
      <c r="AA1170">
        <v>1</v>
      </c>
      <c r="AB1170">
        <v>3</v>
      </c>
      <c r="AC1170" t="s">
        <v>31</v>
      </c>
      <c r="AD1170" t="s">
        <v>67</v>
      </c>
      <c r="AE1170" t="s">
        <v>43</v>
      </c>
      <c r="AF1170" s="3">
        <v>2068</v>
      </c>
      <c r="AG1170" s="3">
        <v>82</v>
      </c>
      <c r="AH1170">
        <v>80</v>
      </c>
      <c r="AI1170">
        <v>3</v>
      </c>
      <c r="AJ1170">
        <v>0</v>
      </c>
      <c r="AL1170">
        <v>0</v>
      </c>
      <c r="AM1170">
        <v>1</v>
      </c>
      <c r="AN1170" t="s">
        <v>768</v>
      </c>
      <c r="AO1170" t="s">
        <v>41</v>
      </c>
    </row>
    <row r="1171" spans="1:41" x14ac:dyDescent="0.25">
      <c r="A1171">
        <v>54</v>
      </c>
      <c r="B1171" t="s">
        <v>32</v>
      </c>
      <c r="C1171" t="s">
        <v>33</v>
      </c>
      <c r="D1171">
        <v>3</v>
      </c>
      <c r="E1171" t="s">
        <v>34</v>
      </c>
      <c r="F1171">
        <v>3</v>
      </c>
      <c r="G1171">
        <v>4</v>
      </c>
      <c r="H1171" t="s">
        <v>50</v>
      </c>
      <c r="I1171">
        <v>4</v>
      </c>
      <c r="J1171" t="s">
        <v>51</v>
      </c>
      <c r="K1171">
        <v>17779</v>
      </c>
      <c r="L1171">
        <v>3</v>
      </c>
      <c r="M1171" t="s">
        <v>41</v>
      </c>
      <c r="N1171">
        <v>14</v>
      </c>
      <c r="O1171">
        <v>3</v>
      </c>
      <c r="P1171">
        <v>0</v>
      </c>
      <c r="Q1171">
        <v>36</v>
      </c>
      <c r="R1171">
        <v>2</v>
      </c>
      <c r="S1171">
        <v>10</v>
      </c>
      <c r="T1171">
        <v>0</v>
      </c>
      <c r="U1171">
        <v>9</v>
      </c>
      <c r="V1171" t="s">
        <v>72</v>
      </c>
      <c r="W1171" s="1" t="s">
        <v>585</v>
      </c>
      <c r="Y1171" t="s">
        <v>39</v>
      </c>
      <c r="Z1171" t="s">
        <v>47</v>
      </c>
      <c r="AA1171">
        <v>0</v>
      </c>
      <c r="AB1171">
        <v>0</v>
      </c>
      <c r="AC1171" t="s">
        <v>31</v>
      </c>
      <c r="AD1171" t="s">
        <v>42</v>
      </c>
      <c r="AE1171" t="s">
        <v>49</v>
      </c>
      <c r="AF1171" s="3">
        <v>1689</v>
      </c>
      <c r="AG1171" s="3">
        <v>48</v>
      </c>
      <c r="AH1171">
        <v>80</v>
      </c>
      <c r="AI1171">
        <v>3</v>
      </c>
      <c r="AJ1171">
        <v>0</v>
      </c>
      <c r="AL1171">
        <v>0</v>
      </c>
      <c r="AM1171">
        <v>1</v>
      </c>
      <c r="AN1171" t="s">
        <v>768</v>
      </c>
      <c r="AO1171" t="s">
        <v>41</v>
      </c>
    </row>
    <row r="1172" spans="1:41" x14ac:dyDescent="0.25">
      <c r="A1172">
        <v>31</v>
      </c>
      <c r="B1172" t="s">
        <v>32</v>
      </c>
      <c r="C1172" t="s">
        <v>33</v>
      </c>
      <c r="D1172">
        <v>24</v>
      </c>
      <c r="E1172" t="s">
        <v>61</v>
      </c>
      <c r="F1172">
        <v>2</v>
      </c>
      <c r="G1172">
        <v>2</v>
      </c>
      <c r="H1172" t="s">
        <v>89</v>
      </c>
      <c r="I1172">
        <v>1</v>
      </c>
      <c r="J1172" t="s">
        <v>36</v>
      </c>
      <c r="K1172">
        <v>6812</v>
      </c>
      <c r="L1172">
        <v>1</v>
      </c>
      <c r="M1172" t="s">
        <v>41</v>
      </c>
      <c r="N1172">
        <v>19</v>
      </c>
      <c r="O1172">
        <v>3</v>
      </c>
      <c r="P1172">
        <v>0</v>
      </c>
      <c r="Q1172">
        <v>10</v>
      </c>
      <c r="R1172">
        <v>2</v>
      </c>
      <c r="S1172">
        <v>10</v>
      </c>
      <c r="T1172">
        <v>1</v>
      </c>
      <c r="U1172">
        <v>8</v>
      </c>
      <c r="V1172" t="s">
        <v>72</v>
      </c>
      <c r="W1172" s="2">
        <v>40851</v>
      </c>
      <c r="Y1172" t="s">
        <v>54</v>
      </c>
      <c r="Z1172" t="s">
        <v>40</v>
      </c>
      <c r="AA1172">
        <v>5</v>
      </c>
      <c r="AB1172">
        <v>0</v>
      </c>
      <c r="AC1172" t="s">
        <v>41</v>
      </c>
      <c r="AD1172" t="s">
        <v>67</v>
      </c>
      <c r="AE1172" t="s">
        <v>49</v>
      </c>
      <c r="AF1172" s="3">
        <v>1867</v>
      </c>
      <c r="AG1172" s="3">
        <v>91</v>
      </c>
      <c r="AH1172">
        <v>80</v>
      </c>
      <c r="AI1172">
        <v>10</v>
      </c>
      <c r="AJ1172">
        <v>0</v>
      </c>
      <c r="AL1172">
        <v>0</v>
      </c>
      <c r="AM1172">
        <v>1</v>
      </c>
      <c r="AN1172" t="s">
        <v>768</v>
      </c>
      <c r="AO1172" t="s">
        <v>41</v>
      </c>
    </row>
    <row r="1173" spans="1:41" x14ac:dyDescent="0.25">
      <c r="A1173">
        <v>34</v>
      </c>
      <c r="B1173" t="s">
        <v>66</v>
      </c>
      <c r="C1173" t="s">
        <v>120</v>
      </c>
      <c r="D1173">
        <v>11</v>
      </c>
      <c r="E1173" t="s">
        <v>34</v>
      </c>
      <c r="F1173">
        <v>2</v>
      </c>
      <c r="G1173">
        <v>2</v>
      </c>
      <c r="H1173" t="s">
        <v>120</v>
      </c>
      <c r="I1173">
        <v>2</v>
      </c>
      <c r="J1173" t="s">
        <v>51</v>
      </c>
      <c r="K1173">
        <v>4490</v>
      </c>
      <c r="L1173">
        <v>4</v>
      </c>
      <c r="M1173" t="s">
        <v>41</v>
      </c>
      <c r="N1173">
        <v>11</v>
      </c>
      <c r="O1173">
        <v>3</v>
      </c>
      <c r="P1173">
        <v>2</v>
      </c>
      <c r="Q1173">
        <v>14</v>
      </c>
      <c r="R1173">
        <v>5</v>
      </c>
      <c r="S1173">
        <v>10</v>
      </c>
      <c r="T1173">
        <v>1</v>
      </c>
      <c r="U1173">
        <v>8</v>
      </c>
      <c r="V1173" t="s">
        <v>72</v>
      </c>
      <c r="W1173" s="1" t="s">
        <v>554</v>
      </c>
      <c r="Y1173" t="s">
        <v>39</v>
      </c>
      <c r="Z1173" t="s">
        <v>47</v>
      </c>
      <c r="AA1173">
        <v>2</v>
      </c>
      <c r="AB1173">
        <v>3</v>
      </c>
      <c r="AC1173" t="s">
        <v>31</v>
      </c>
      <c r="AD1173" t="s">
        <v>65</v>
      </c>
      <c r="AE1173" t="s">
        <v>60</v>
      </c>
      <c r="AF1173" s="3">
        <v>1989</v>
      </c>
      <c r="AG1173" s="3">
        <v>76</v>
      </c>
      <c r="AH1173">
        <v>80</v>
      </c>
      <c r="AI1173">
        <v>8</v>
      </c>
      <c r="AJ1173">
        <v>0</v>
      </c>
      <c r="AL1173">
        <v>0</v>
      </c>
      <c r="AM1173">
        <v>1</v>
      </c>
      <c r="AN1173" t="s">
        <v>768</v>
      </c>
      <c r="AO1173" t="s">
        <v>41</v>
      </c>
    </row>
    <row r="1174" spans="1:41" x14ac:dyDescent="0.25">
      <c r="A1174">
        <v>44</v>
      </c>
      <c r="B1174" t="s">
        <v>32</v>
      </c>
      <c r="C1174" t="s">
        <v>33</v>
      </c>
      <c r="D1174">
        <v>15</v>
      </c>
      <c r="E1174" t="s">
        <v>61</v>
      </c>
      <c r="F1174">
        <v>3</v>
      </c>
      <c r="G1174">
        <v>3</v>
      </c>
      <c r="H1174" t="s">
        <v>89</v>
      </c>
      <c r="I1174">
        <v>4</v>
      </c>
      <c r="J1174" t="s">
        <v>51</v>
      </c>
      <c r="K1174">
        <v>7978</v>
      </c>
      <c r="L1174">
        <v>1</v>
      </c>
      <c r="M1174" t="s">
        <v>41</v>
      </c>
      <c r="N1174">
        <v>11</v>
      </c>
      <c r="O1174">
        <v>3</v>
      </c>
      <c r="P1174">
        <v>1</v>
      </c>
      <c r="Q1174">
        <v>10</v>
      </c>
      <c r="R1174">
        <v>2</v>
      </c>
      <c r="S1174">
        <v>10</v>
      </c>
      <c r="T1174">
        <v>0</v>
      </c>
      <c r="U1174">
        <v>5</v>
      </c>
      <c r="V1174" t="s">
        <v>58</v>
      </c>
      <c r="W1174" s="1" t="s">
        <v>565</v>
      </c>
      <c r="Y1174" t="s">
        <v>69</v>
      </c>
      <c r="Z1174" t="s">
        <v>40</v>
      </c>
      <c r="AA1174">
        <v>5</v>
      </c>
      <c r="AB1174">
        <v>1</v>
      </c>
      <c r="AC1174" t="s">
        <v>41</v>
      </c>
      <c r="AD1174" t="s">
        <v>42</v>
      </c>
      <c r="AE1174" t="s">
        <v>43</v>
      </c>
      <c r="AF1174" s="3">
        <v>1954</v>
      </c>
      <c r="AG1174" s="3">
        <v>89</v>
      </c>
      <c r="AH1174">
        <v>80</v>
      </c>
      <c r="AI1174">
        <v>3</v>
      </c>
      <c r="AJ1174">
        <v>0</v>
      </c>
      <c r="AL1174">
        <v>0</v>
      </c>
      <c r="AM1174">
        <v>1</v>
      </c>
      <c r="AN1174" t="s">
        <v>768</v>
      </c>
      <c r="AO1174" t="s">
        <v>41</v>
      </c>
    </row>
    <row r="1175" spans="1:41" x14ac:dyDescent="0.25">
      <c r="A1175">
        <v>32</v>
      </c>
      <c r="B1175" t="s">
        <v>32</v>
      </c>
      <c r="C1175" t="s">
        <v>55</v>
      </c>
      <c r="D1175">
        <v>8</v>
      </c>
      <c r="E1175" t="s">
        <v>34</v>
      </c>
      <c r="F1175">
        <v>4</v>
      </c>
      <c r="G1175">
        <v>2</v>
      </c>
      <c r="H1175" t="s">
        <v>70</v>
      </c>
      <c r="I1175">
        <v>4</v>
      </c>
      <c r="J1175" t="s">
        <v>51</v>
      </c>
      <c r="K1175">
        <v>6209</v>
      </c>
      <c r="L1175">
        <v>1</v>
      </c>
      <c r="M1175" t="s">
        <v>41</v>
      </c>
      <c r="N1175">
        <v>15</v>
      </c>
      <c r="O1175">
        <v>3</v>
      </c>
      <c r="P1175">
        <v>2</v>
      </c>
      <c r="Q1175">
        <v>10</v>
      </c>
      <c r="R1175">
        <v>4</v>
      </c>
      <c r="S1175">
        <v>10</v>
      </c>
      <c r="T1175">
        <v>0</v>
      </c>
      <c r="U1175">
        <v>8</v>
      </c>
      <c r="V1175" t="s">
        <v>52</v>
      </c>
      <c r="W1175" s="1" t="s">
        <v>586</v>
      </c>
      <c r="Y1175" t="s">
        <v>54</v>
      </c>
      <c r="Z1175" t="s">
        <v>47</v>
      </c>
      <c r="AA1175">
        <v>0</v>
      </c>
      <c r="AB1175">
        <v>3</v>
      </c>
      <c r="AC1175" t="s">
        <v>41</v>
      </c>
      <c r="AD1175" t="s">
        <v>42</v>
      </c>
      <c r="AE1175" t="s">
        <v>49</v>
      </c>
      <c r="AF1175" s="3">
        <v>1473</v>
      </c>
      <c r="AG1175" s="3">
        <v>96</v>
      </c>
      <c r="AH1175">
        <v>80</v>
      </c>
      <c r="AI1175">
        <v>2</v>
      </c>
      <c r="AJ1175">
        <v>0</v>
      </c>
      <c r="AL1175">
        <v>0</v>
      </c>
      <c r="AM1175">
        <v>1</v>
      </c>
      <c r="AN1175" t="s">
        <v>768</v>
      </c>
      <c r="AO1175" t="s">
        <v>41</v>
      </c>
    </row>
    <row r="1176" spans="1:41" x14ac:dyDescent="0.25">
      <c r="A1176">
        <v>32</v>
      </c>
      <c r="B1176" t="s">
        <v>32</v>
      </c>
      <c r="C1176" t="s">
        <v>33</v>
      </c>
      <c r="D1176">
        <v>7</v>
      </c>
      <c r="E1176" t="s">
        <v>34</v>
      </c>
      <c r="F1176">
        <v>3</v>
      </c>
      <c r="G1176">
        <v>2</v>
      </c>
      <c r="H1176" t="s">
        <v>35</v>
      </c>
      <c r="I1176">
        <v>3</v>
      </c>
      <c r="J1176" t="s">
        <v>51</v>
      </c>
      <c r="K1176">
        <v>4883</v>
      </c>
      <c r="L1176">
        <v>1</v>
      </c>
      <c r="M1176" t="s">
        <v>41</v>
      </c>
      <c r="N1176">
        <v>18</v>
      </c>
      <c r="O1176">
        <v>3</v>
      </c>
      <c r="P1176">
        <v>1</v>
      </c>
      <c r="Q1176">
        <v>10</v>
      </c>
      <c r="R1176">
        <v>3</v>
      </c>
      <c r="S1176">
        <v>10</v>
      </c>
      <c r="T1176">
        <v>1</v>
      </c>
      <c r="U1176">
        <v>1</v>
      </c>
      <c r="V1176" t="s">
        <v>37</v>
      </c>
      <c r="W1176" s="1" t="s">
        <v>587</v>
      </c>
      <c r="Y1176" t="s">
        <v>46</v>
      </c>
      <c r="Z1176" t="s">
        <v>47</v>
      </c>
      <c r="AA1176">
        <v>0</v>
      </c>
      <c r="AB1176">
        <v>2</v>
      </c>
      <c r="AC1176" t="s">
        <v>31</v>
      </c>
      <c r="AD1176" t="s">
        <v>48</v>
      </c>
      <c r="AE1176" t="s">
        <v>60</v>
      </c>
      <c r="AF1176" s="3">
        <v>1971</v>
      </c>
      <c r="AG1176" s="3">
        <v>30</v>
      </c>
      <c r="AH1176">
        <v>80</v>
      </c>
      <c r="AI1176">
        <v>9</v>
      </c>
      <c r="AJ1176">
        <v>0</v>
      </c>
      <c r="AL1176">
        <v>0</v>
      </c>
      <c r="AM1176">
        <v>1</v>
      </c>
      <c r="AN1176" t="s">
        <v>768</v>
      </c>
      <c r="AO1176" t="s">
        <v>41</v>
      </c>
    </row>
    <row r="1177" spans="1:41" x14ac:dyDescent="0.25">
      <c r="A1177">
        <v>31</v>
      </c>
      <c r="B1177" t="s">
        <v>81</v>
      </c>
      <c r="C1177" t="s">
        <v>55</v>
      </c>
      <c r="D1177">
        <v>2</v>
      </c>
      <c r="E1177" t="s">
        <v>61</v>
      </c>
      <c r="F1177">
        <v>3</v>
      </c>
      <c r="G1177">
        <v>3</v>
      </c>
      <c r="H1177" t="s">
        <v>70</v>
      </c>
      <c r="I1177">
        <v>3</v>
      </c>
      <c r="J1177" t="s">
        <v>57</v>
      </c>
      <c r="K1177">
        <v>9852</v>
      </c>
      <c r="L1177">
        <v>1</v>
      </c>
      <c r="M1177" t="s">
        <v>31</v>
      </c>
      <c r="N1177">
        <v>19</v>
      </c>
      <c r="O1177">
        <v>3</v>
      </c>
      <c r="P1177">
        <v>1</v>
      </c>
      <c r="Q1177">
        <v>10</v>
      </c>
      <c r="R1177">
        <v>5</v>
      </c>
      <c r="S1177">
        <v>10</v>
      </c>
      <c r="T1177">
        <v>9</v>
      </c>
      <c r="U1177">
        <v>6</v>
      </c>
      <c r="V1177" t="s">
        <v>58</v>
      </c>
      <c r="W1177" s="1" t="s">
        <v>588</v>
      </c>
      <c r="Y1177" t="s">
        <v>46</v>
      </c>
      <c r="Z1177" t="s">
        <v>40</v>
      </c>
      <c r="AA1177">
        <v>5</v>
      </c>
      <c r="AB1177">
        <v>0</v>
      </c>
      <c r="AC1177" t="s">
        <v>31</v>
      </c>
      <c r="AD1177" t="s">
        <v>67</v>
      </c>
      <c r="AE1177" t="s">
        <v>60</v>
      </c>
      <c r="AF1177" s="3">
        <v>1415</v>
      </c>
      <c r="AG1177" s="3">
        <v>81</v>
      </c>
      <c r="AH1177">
        <v>80</v>
      </c>
      <c r="AI1177">
        <v>2</v>
      </c>
      <c r="AJ1177">
        <v>0</v>
      </c>
      <c r="AL1177">
        <v>0</v>
      </c>
      <c r="AM1177">
        <v>1</v>
      </c>
      <c r="AN1177" t="s">
        <v>768</v>
      </c>
      <c r="AO1177" t="s">
        <v>41</v>
      </c>
    </row>
    <row r="1178" spans="1:41" x14ac:dyDescent="0.25">
      <c r="A1178">
        <v>34</v>
      </c>
      <c r="B1178" t="s">
        <v>32</v>
      </c>
      <c r="C1178" t="s">
        <v>55</v>
      </c>
      <c r="D1178">
        <v>15</v>
      </c>
      <c r="E1178" t="s">
        <v>61</v>
      </c>
      <c r="F1178">
        <v>3</v>
      </c>
      <c r="G1178">
        <v>2</v>
      </c>
      <c r="H1178" t="s">
        <v>70</v>
      </c>
      <c r="I1178">
        <v>1</v>
      </c>
      <c r="J1178" t="s">
        <v>36</v>
      </c>
      <c r="K1178">
        <v>6125</v>
      </c>
      <c r="L1178">
        <v>1</v>
      </c>
      <c r="M1178" t="s">
        <v>41</v>
      </c>
      <c r="N1178">
        <v>12</v>
      </c>
      <c r="O1178">
        <v>3</v>
      </c>
      <c r="P1178">
        <v>0</v>
      </c>
      <c r="Q1178">
        <v>10</v>
      </c>
      <c r="R1178">
        <v>6</v>
      </c>
      <c r="S1178">
        <v>10</v>
      </c>
      <c r="T1178">
        <v>9</v>
      </c>
      <c r="U1178">
        <v>6</v>
      </c>
      <c r="V1178" t="s">
        <v>58</v>
      </c>
      <c r="W1178" s="1" t="s">
        <v>564</v>
      </c>
      <c r="Y1178" t="s">
        <v>39</v>
      </c>
      <c r="Z1178" t="s">
        <v>47</v>
      </c>
      <c r="AA1178">
        <v>4</v>
      </c>
      <c r="AB1178">
        <v>1</v>
      </c>
      <c r="AC1178" t="s">
        <v>31</v>
      </c>
      <c r="AD1178" t="s">
        <v>67</v>
      </c>
      <c r="AE1178" t="s">
        <v>60</v>
      </c>
      <c r="AF1178" s="3">
        <v>1438</v>
      </c>
      <c r="AG1178" s="3">
        <v>74</v>
      </c>
      <c r="AH1178">
        <v>80</v>
      </c>
      <c r="AI1178">
        <v>5</v>
      </c>
      <c r="AJ1178">
        <v>0</v>
      </c>
      <c r="AL1178">
        <v>0</v>
      </c>
      <c r="AM1178">
        <v>1</v>
      </c>
      <c r="AN1178" t="s">
        <v>768</v>
      </c>
      <c r="AO1178" t="s">
        <v>41</v>
      </c>
    </row>
    <row r="1179" spans="1:41" x14ac:dyDescent="0.25">
      <c r="A1179">
        <v>58</v>
      </c>
      <c r="B1179" t="s">
        <v>32</v>
      </c>
      <c r="C1179" t="s">
        <v>33</v>
      </c>
      <c r="D1179">
        <v>7</v>
      </c>
      <c r="E1179" t="s">
        <v>61</v>
      </c>
      <c r="F1179">
        <v>2</v>
      </c>
      <c r="G1179">
        <v>3</v>
      </c>
      <c r="H1179" t="s">
        <v>78</v>
      </c>
      <c r="I1179">
        <v>1</v>
      </c>
      <c r="J1179" t="s">
        <v>51</v>
      </c>
      <c r="K1179">
        <v>10008</v>
      </c>
      <c r="L1179">
        <v>7</v>
      </c>
      <c r="M1179" t="s">
        <v>31</v>
      </c>
      <c r="N1179">
        <v>14</v>
      </c>
      <c r="O1179">
        <v>3</v>
      </c>
      <c r="P1179">
        <v>0</v>
      </c>
      <c r="Q1179">
        <v>31</v>
      </c>
      <c r="R1179">
        <v>0</v>
      </c>
      <c r="S1179">
        <v>10</v>
      </c>
      <c r="T1179">
        <v>5</v>
      </c>
      <c r="U1179">
        <v>9</v>
      </c>
      <c r="V1179" t="s">
        <v>37</v>
      </c>
      <c r="W1179" s="2">
        <v>40728</v>
      </c>
      <c r="Y1179" t="s">
        <v>46</v>
      </c>
      <c r="Z1179" t="s">
        <v>47</v>
      </c>
      <c r="AA1179">
        <v>3</v>
      </c>
      <c r="AB1179">
        <v>2</v>
      </c>
      <c r="AC1179" t="s">
        <v>41</v>
      </c>
      <c r="AD1179" t="s">
        <v>65</v>
      </c>
      <c r="AE1179" t="s">
        <v>49</v>
      </c>
      <c r="AF1179" s="3">
        <v>1826</v>
      </c>
      <c r="AG1179" s="3">
        <v>91</v>
      </c>
      <c r="AH1179">
        <v>80</v>
      </c>
      <c r="AI1179">
        <v>4</v>
      </c>
      <c r="AJ1179">
        <v>0</v>
      </c>
      <c r="AL1179">
        <v>0</v>
      </c>
      <c r="AM1179">
        <v>1</v>
      </c>
      <c r="AN1179" t="s">
        <v>768</v>
      </c>
      <c r="AO1179" t="s">
        <v>41</v>
      </c>
    </row>
    <row r="1180" spans="1:41" x14ac:dyDescent="0.25">
      <c r="A1180">
        <v>48</v>
      </c>
      <c r="B1180" t="s">
        <v>32</v>
      </c>
      <c r="C1180" t="s">
        <v>33</v>
      </c>
      <c r="D1180">
        <v>4</v>
      </c>
      <c r="E1180" t="s">
        <v>34</v>
      </c>
      <c r="F1180">
        <v>3</v>
      </c>
      <c r="G1180">
        <v>3</v>
      </c>
      <c r="H1180" t="s">
        <v>78</v>
      </c>
      <c r="I1180">
        <v>4</v>
      </c>
      <c r="J1180" t="s">
        <v>36</v>
      </c>
      <c r="K1180">
        <v>7898</v>
      </c>
      <c r="L1180">
        <v>1</v>
      </c>
      <c r="M1180" t="s">
        <v>41</v>
      </c>
      <c r="N1180">
        <v>11</v>
      </c>
      <c r="O1180">
        <v>3</v>
      </c>
      <c r="P1180">
        <v>0</v>
      </c>
      <c r="Q1180">
        <v>11</v>
      </c>
      <c r="R1180">
        <v>2</v>
      </c>
      <c r="S1180">
        <v>10</v>
      </c>
      <c r="T1180">
        <v>0</v>
      </c>
      <c r="U1180">
        <v>8</v>
      </c>
      <c r="V1180" t="s">
        <v>58</v>
      </c>
      <c r="W1180" s="1" t="s">
        <v>589</v>
      </c>
      <c r="Y1180" t="s">
        <v>46</v>
      </c>
      <c r="Z1180" t="s">
        <v>40</v>
      </c>
      <c r="AA1180">
        <v>0</v>
      </c>
      <c r="AB1180">
        <v>2</v>
      </c>
      <c r="AC1180" t="s">
        <v>31</v>
      </c>
      <c r="AD1180" t="s">
        <v>67</v>
      </c>
      <c r="AE1180" t="s">
        <v>43</v>
      </c>
      <c r="AF1180" s="3">
        <v>1609</v>
      </c>
      <c r="AG1180" s="3">
        <v>48</v>
      </c>
      <c r="AH1180">
        <v>80</v>
      </c>
      <c r="AI1180">
        <v>4</v>
      </c>
      <c r="AJ1180">
        <v>0</v>
      </c>
      <c r="AL1180">
        <v>0</v>
      </c>
      <c r="AM1180">
        <v>1</v>
      </c>
      <c r="AN1180" t="s">
        <v>768</v>
      </c>
      <c r="AO1180" t="s">
        <v>41</v>
      </c>
    </row>
    <row r="1181" spans="1:41" x14ac:dyDescent="0.25">
      <c r="A1181">
        <v>31</v>
      </c>
      <c r="B1181" t="s">
        <v>32</v>
      </c>
      <c r="C1181" t="s">
        <v>33</v>
      </c>
      <c r="D1181">
        <v>22</v>
      </c>
      <c r="E1181" t="s">
        <v>34</v>
      </c>
      <c r="F1181">
        <v>3</v>
      </c>
      <c r="G1181">
        <v>2</v>
      </c>
      <c r="H1181" t="s">
        <v>78</v>
      </c>
      <c r="I1181">
        <v>3</v>
      </c>
      <c r="J1181" t="s">
        <v>51</v>
      </c>
      <c r="K1181">
        <v>6179</v>
      </c>
      <c r="L1181">
        <v>1</v>
      </c>
      <c r="M1181" t="s">
        <v>31</v>
      </c>
      <c r="N1181">
        <v>15</v>
      </c>
      <c r="O1181">
        <v>3</v>
      </c>
      <c r="P1181">
        <v>2</v>
      </c>
      <c r="Q1181">
        <v>10</v>
      </c>
      <c r="R1181">
        <v>3</v>
      </c>
      <c r="S1181">
        <v>10</v>
      </c>
      <c r="T1181">
        <v>6</v>
      </c>
      <c r="U1181">
        <v>7</v>
      </c>
      <c r="V1181" t="s">
        <v>72</v>
      </c>
      <c r="W1181" s="2">
        <v>40607</v>
      </c>
      <c r="Y1181" t="s">
        <v>63</v>
      </c>
      <c r="Z1181" t="s">
        <v>47</v>
      </c>
      <c r="AA1181">
        <v>5</v>
      </c>
      <c r="AB1181">
        <v>1</v>
      </c>
      <c r="AC1181" t="s">
        <v>41</v>
      </c>
      <c r="AD1181" t="s">
        <v>42</v>
      </c>
      <c r="AE1181" t="s">
        <v>43</v>
      </c>
      <c r="AF1181" s="3">
        <v>1696</v>
      </c>
      <c r="AG1181" s="3">
        <v>57</v>
      </c>
      <c r="AH1181">
        <v>80</v>
      </c>
      <c r="AI1181">
        <v>10</v>
      </c>
      <c r="AJ1181">
        <v>0</v>
      </c>
      <c r="AL1181">
        <v>0</v>
      </c>
      <c r="AM1181">
        <v>1</v>
      </c>
      <c r="AN1181" t="s">
        <v>768</v>
      </c>
      <c r="AO1181" t="s">
        <v>41</v>
      </c>
    </row>
    <row r="1182" spans="1:41" x14ac:dyDescent="0.25">
      <c r="A1182">
        <v>29</v>
      </c>
      <c r="B1182" t="s">
        <v>32</v>
      </c>
      <c r="C1182" t="s">
        <v>120</v>
      </c>
      <c r="D1182">
        <v>17</v>
      </c>
      <c r="E1182" t="s">
        <v>34</v>
      </c>
      <c r="F1182">
        <v>2</v>
      </c>
      <c r="G1182">
        <v>3</v>
      </c>
      <c r="H1182" t="s">
        <v>120</v>
      </c>
      <c r="I1182">
        <v>1</v>
      </c>
      <c r="J1182" t="s">
        <v>36</v>
      </c>
      <c r="K1182">
        <v>7988</v>
      </c>
      <c r="L1182">
        <v>1</v>
      </c>
      <c r="M1182" t="s">
        <v>41</v>
      </c>
      <c r="N1182">
        <v>13</v>
      </c>
      <c r="O1182">
        <v>3</v>
      </c>
      <c r="P1182">
        <v>0</v>
      </c>
      <c r="Q1182">
        <v>10</v>
      </c>
      <c r="R1182">
        <v>3</v>
      </c>
      <c r="S1182">
        <v>10</v>
      </c>
      <c r="T1182">
        <v>0</v>
      </c>
      <c r="U1182">
        <v>9</v>
      </c>
      <c r="V1182" t="s">
        <v>58</v>
      </c>
      <c r="W1182" s="1" t="s">
        <v>554</v>
      </c>
      <c r="Y1182" t="s">
        <v>54</v>
      </c>
      <c r="Z1182" t="s">
        <v>40</v>
      </c>
      <c r="AA1182">
        <v>2</v>
      </c>
      <c r="AB1182">
        <v>2</v>
      </c>
      <c r="AC1182" t="s">
        <v>31</v>
      </c>
      <c r="AD1182" t="s">
        <v>48</v>
      </c>
      <c r="AE1182" t="s">
        <v>43</v>
      </c>
      <c r="AF1182" s="3">
        <v>1931</v>
      </c>
      <c r="AG1182" s="3">
        <v>41</v>
      </c>
      <c r="AH1182">
        <v>80</v>
      </c>
      <c r="AI1182">
        <v>3</v>
      </c>
      <c r="AJ1182">
        <v>0</v>
      </c>
      <c r="AL1182">
        <v>0</v>
      </c>
      <c r="AM1182">
        <v>1</v>
      </c>
      <c r="AN1182" t="s">
        <v>768</v>
      </c>
      <c r="AO1182" t="s">
        <v>41</v>
      </c>
    </row>
    <row r="1183" spans="1:41" x14ac:dyDescent="0.25">
      <c r="A1183">
        <v>36</v>
      </c>
      <c r="B1183" t="s">
        <v>32</v>
      </c>
      <c r="C1183" t="s">
        <v>33</v>
      </c>
      <c r="D1183">
        <v>4</v>
      </c>
      <c r="E1183" t="s">
        <v>34</v>
      </c>
      <c r="F1183">
        <v>2</v>
      </c>
      <c r="G1183">
        <v>2</v>
      </c>
      <c r="H1183" t="s">
        <v>35</v>
      </c>
      <c r="I1183">
        <v>4</v>
      </c>
      <c r="J1183" t="s">
        <v>36</v>
      </c>
      <c r="K1183">
        <v>5810</v>
      </c>
      <c r="L1183">
        <v>1</v>
      </c>
      <c r="M1183" t="s">
        <v>41</v>
      </c>
      <c r="N1183">
        <v>16</v>
      </c>
      <c r="O1183">
        <v>3</v>
      </c>
      <c r="P1183">
        <v>0</v>
      </c>
      <c r="Q1183">
        <v>10</v>
      </c>
      <c r="R1183">
        <v>2</v>
      </c>
      <c r="S1183">
        <v>10</v>
      </c>
      <c r="T1183">
        <v>1</v>
      </c>
      <c r="U1183">
        <v>8</v>
      </c>
      <c r="V1183" t="s">
        <v>72</v>
      </c>
      <c r="W1183" s="1" t="s">
        <v>590</v>
      </c>
      <c r="Y1183" t="s">
        <v>63</v>
      </c>
      <c r="Z1183" t="s">
        <v>47</v>
      </c>
      <c r="AA1183">
        <v>4</v>
      </c>
      <c r="AB1183">
        <v>2</v>
      </c>
      <c r="AC1183" t="s">
        <v>41</v>
      </c>
      <c r="AD1183" t="s">
        <v>42</v>
      </c>
      <c r="AE1183" t="s">
        <v>49</v>
      </c>
      <c r="AF1183" s="3">
        <v>1721</v>
      </c>
      <c r="AG1183" s="3">
        <v>69</v>
      </c>
      <c r="AH1183">
        <v>80</v>
      </c>
      <c r="AI1183">
        <v>2</v>
      </c>
      <c r="AJ1183">
        <v>0</v>
      </c>
      <c r="AL1183">
        <v>0</v>
      </c>
      <c r="AM1183">
        <v>1</v>
      </c>
      <c r="AN1183" t="s">
        <v>768</v>
      </c>
      <c r="AO1183" t="s">
        <v>41</v>
      </c>
    </row>
    <row r="1184" spans="1:41" x14ac:dyDescent="0.25">
      <c r="A1184">
        <v>31</v>
      </c>
      <c r="B1184" t="s">
        <v>66</v>
      </c>
      <c r="C1184" t="s">
        <v>33</v>
      </c>
      <c r="D1184">
        <v>1</v>
      </c>
      <c r="E1184" t="s">
        <v>61</v>
      </c>
      <c r="F1184">
        <v>4</v>
      </c>
      <c r="G1184">
        <v>3</v>
      </c>
      <c r="H1184" t="s">
        <v>78</v>
      </c>
      <c r="I1184">
        <v>2</v>
      </c>
      <c r="J1184" t="s">
        <v>36</v>
      </c>
      <c r="K1184">
        <v>7446</v>
      </c>
      <c r="L1184">
        <v>1</v>
      </c>
      <c r="M1184" t="s">
        <v>41</v>
      </c>
      <c r="N1184">
        <v>11</v>
      </c>
      <c r="O1184">
        <v>3</v>
      </c>
      <c r="P1184">
        <v>0</v>
      </c>
      <c r="Q1184">
        <v>10</v>
      </c>
      <c r="R1184">
        <v>2</v>
      </c>
      <c r="S1184">
        <v>10</v>
      </c>
      <c r="T1184">
        <v>4</v>
      </c>
      <c r="U1184">
        <v>7</v>
      </c>
      <c r="V1184" t="s">
        <v>52</v>
      </c>
      <c r="W1184" s="2">
        <v>40667</v>
      </c>
      <c r="Y1184" t="s">
        <v>39</v>
      </c>
      <c r="Z1184" t="s">
        <v>47</v>
      </c>
      <c r="AA1184">
        <v>2</v>
      </c>
      <c r="AB1184">
        <v>2</v>
      </c>
      <c r="AC1184" t="s">
        <v>31</v>
      </c>
      <c r="AD1184" t="s">
        <v>65</v>
      </c>
      <c r="AE1184" t="s">
        <v>43</v>
      </c>
      <c r="AF1184" s="3">
        <v>1729</v>
      </c>
      <c r="AG1184" s="3">
        <v>33</v>
      </c>
      <c r="AH1184">
        <v>80</v>
      </c>
      <c r="AI1184">
        <v>0</v>
      </c>
      <c r="AJ1184">
        <v>0</v>
      </c>
      <c r="AL1184">
        <v>0</v>
      </c>
      <c r="AM1184">
        <v>1</v>
      </c>
      <c r="AN1184" t="s">
        <v>768</v>
      </c>
      <c r="AO1184" t="s">
        <v>41</v>
      </c>
    </row>
    <row r="1185" spans="1:41" x14ac:dyDescent="0.25">
      <c r="A1185">
        <v>29</v>
      </c>
      <c r="B1185" t="s">
        <v>32</v>
      </c>
      <c r="C1185" t="s">
        <v>55</v>
      </c>
      <c r="D1185">
        <v>19</v>
      </c>
      <c r="E1185" t="s">
        <v>34</v>
      </c>
      <c r="F1185">
        <v>2</v>
      </c>
      <c r="G1185">
        <v>2</v>
      </c>
      <c r="H1185" t="s">
        <v>70</v>
      </c>
      <c r="I1185">
        <v>3</v>
      </c>
      <c r="J1185" t="s">
        <v>57</v>
      </c>
      <c r="K1185">
        <v>8620</v>
      </c>
      <c r="L1185">
        <v>1</v>
      </c>
      <c r="M1185" t="s">
        <v>41</v>
      </c>
      <c r="N1185">
        <v>14</v>
      </c>
      <c r="O1185">
        <v>3</v>
      </c>
      <c r="P1185">
        <v>2</v>
      </c>
      <c r="Q1185">
        <v>10</v>
      </c>
      <c r="R1185">
        <v>3</v>
      </c>
      <c r="S1185">
        <v>10</v>
      </c>
      <c r="T1185">
        <v>0</v>
      </c>
      <c r="U1185">
        <v>4</v>
      </c>
      <c r="V1185" t="s">
        <v>72</v>
      </c>
      <c r="W1185" s="1" t="s">
        <v>591</v>
      </c>
      <c r="Y1185" t="s">
        <v>39</v>
      </c>
      <c r="Z1185" t="s">
        <v>47</v>
      </c>
      <c r="AA1185">
        <v>0</v>
      </c>
      <c r="AB1185">
        <v>0</v>
      </c>
      <c r="AC1185" t="s">
        <v>41</v>
      </c>
      <c r="AD1185" t="s">
        <v>67</v>
      </c>
      <c r="AE1185" t="s">
        <v>60</v>
      </c>
      <c r="AF1185" s="3">
        <v>1580</v>
      </c>
      <c r="AG1185" s="3">
        <v>45</v>
      </c>
      <c r="AH1185">
        <v>80</v>
      </c>
      <c r="AI1185">
        <v>2</v>
      </c>
      <c r="AJ1185">
        <v>0</v>
      </c>
      <c r="AL1185">
        <v>0</v>
      </c>
      <c r="AM1185">
        <v>1</v>
      </c>
      <c r="AN1185" t="s">
        <v>768</v>
      </c>
      <c r="AO1185" t="s">
        <v>41</v>
      </c>
    </row>
    <row r="1186" spans="1:41" x14ac:dyDescent="0.25">
      <c r="A1186">
        <v>34</v>
      </c>
      <c r="B1186" t="s">
        <v>32</v>
      </c>
      <c r="C1186" t="s">
        <v>55</v>
      </c>
      <c r="D1186">
        <v>1</v>
      </c>
      <c r="E1186" t="s">
        <v>34</v>
      </c>
      <c r="F1186">
        <v>2</v>
      </c>
      <c r="G1186">
        <v>3</v>
      </c>
      <c r="H1186" t="s">
        <v>70</v>
      </c>
      <c r="I1186">
        <v>3</v>
      </c>
      <c r="J1186" t="s">
        <v>51</v>
      </c>
      <c r="K1186">
        <v>7083</v>
      </c>
      <c r="L1186">
        <v>1</v>
      </c>
      <c r="M1186" t="s">
        <v>31</v>
      </c>
      <c r="N1186">
        <v>14</v>
      </c>
      <c r="O1186">
        <v>3</v>
      </c>
      <c r="P1186">
        <v>0</v>
      </c>
      <c r="Q1186">
        <v>10</v>
      </c>
      <c r="R1186">
        <v>3</v>
      </c>
      <c r="S1186">
        <v>10</v>
      </c>
      <c r="T1186">
        <v>8</v>
      </c>
      <c r="U1186">
        <v>6</v>
      </c>
      <c r="V1186" t="s">
        <v>37</v>
      </c>
      <c r="W1186" s="2">
        <v>40546</v>
      </c>
      <c r="Y1186" t="s">
        <v>63</v>
      </c>
      <c r="Z1186" t="s">
        <v>47</v>
      </c>
      <c r="AA1186">
        <v>3</v>
      </c>
      <c r="AB1186">
        <v>2</v>
      </c>
      <c r="AC1186" t="s">
        <v>31</v>
      </c>
      <c r="AD1186" t="s">
        <v>65</v>
      </c>
      <c r="AE1186" t="s">
        <v>43</v>
      </c>
      <c r="AF1186" s="3">
        <v>1903</v>
      </c>
      <c r="AG1186" s="3">
        <v>78</v>
      </c>
      <c r="AH1186">
        <v>80</v>
      </c>
      <c r="AI1186">
        <v>0</v>
      </c>
      <c r="AJ1186">
        <v>0</v>
      </c>
      <c r="AL1186">
        <v>0</v>
      </c>
      <c r="AM1186">
        <v>1</v>
      </c>
      <c r="AN1186" t="s">
        <v>768</v>
      </c>
      <c r="AO1186" t="s">
        <v>41</v>
      </c>
    </row>
    <row r="1187" spans="1:41" x14ac:dyDescent="0.25">
      <c r="A1187">
        <v>37</v>
      </c>
      <c r="B1187" t="s">
        <v>32</v>
      </c>
      <c r="C1187" t="s">
        <v>33</v>
      </c>
      <c r="D1187">
        <v>13</v>
      </c>
      <c r="E1187" t="s">
        <v>34</v>
      </c>
      <c r="F1187">
        <v>3</v>
      </c>
      <c r="G1187">
        <v>2</v>
      </c>
      <c r="H1187" t="s">
        <v>44</v>
      </c>
      <c r="I1187">
        <v>4</v>
      </c>
      <c r="J1187" t="s">
        <v>51</v>
      </c>
      <c r="K1187">
        <v>4285</v>
      </c>
      <c r="L1187">
        <v>1</v>
      </c>
      <c r="M1187" t="s">
        <v>41</v>
      </c>
      <c r="N1187">
        <v>17</v>
      </c>
      <c r="O1187">
        <v>3</v>
      </c>
      <c r="P1187">
        <v>0</v>
      </c>
      <c r="Q1187">
        <v>10</v>
      </c>
      <c r="R1187">
        <v>2</v>
      </c>
      <c r="S1187">
        <v>10</v>
      </c>
      <c r="T1187">
        <v>3</v>
      </c>
      <c r="U1187">
        <v>7</v>
      </c>
      <c r="V1187" t="s">
        <v>58</v>
      </c>
      <c r="W1187" s="2">
        <v>40850</v>
      </c>
      <c r="Y1187" t="s">
        <v>69</v>
      </c>
      <c r="Z1187" t="s">
        <v>40</v>
      </c>
      <c r="AA1187">
        <v>1</v>
      </c>
      <c r="AB1187">
        <v>3</v>
      </c>
      <c r="AC1187" t="s">
        <v>41</v>
      </c>
      <c r="AD1187" t="s">
        <v>65</v>
      </c>
      <c r="AE1187" t="s">
        <v>60</v>
      </c>
      <c r="AF1187" s="3">
        <v>1542</v>
      </c>
      <c r="AG1187" s="3">
        <v>68</v>
      </c>
      <c r="AH1187">
        <v>80</v>
      </c>
      <c r="AI1187">
        <v>0</v>
      </c>
      <c r="AJ1187">
        <v>0</v>
      </c>
      <c r="AL1187">
        <v>0</v>
      </c>
      <c r="AM1187">
        <v>1</v>
      </c>
      <c r="AN1187" t="s">
        <v>768</v>
      </c>
      <c r="AO1187" t="s">
        <v>41</v>
      </c>
    </row>
    <row r="1188" spans="1:41" x14ac:dyDescent="0.25">
      <c r="A1188">
        <v>45</v>
      </c>
      <c r="B1188" t="s">
        <v>32</v>
      </c>
      <c r="C1188" t="s">
        <v>33</v>
      </c>
      <c r="D1188">
        <v>1</v>
      </c>
      <c r="E1188" t="s">
        <v>34</v>
      </c>
      <c r="F1188">
        <v>3</v>
      </c>
      <c r="G1188">
        <v>3</v>
      </c>
      <c r="H1188" t="s">
        <v>89</v>
      </c>
      <c r="I1188">
        <v>2</v>
      </c>
      <c r="J1188" t="s">
        <v>57</v>
      </c>
      <c r="K1188">
        <v>7441</v>
      </c>
      <c r="L1188">
        <v>1</v>
      </c>
      <c r="M1188" t="s">
        <v>41</v>
      </c>
      <c r="N1188">
        <v>12</v>
      </c>
      <c r="O1188">
        <v>3</v>
      </c>
      <c r="P1188">
        <v>3</v>
      </c>
      <c r="Q1188">
        <v>10</v>
      </c>
      <c r="R1188">
        <v>4</v>
      </c>
      <c r="S1188">
        <v>10</v>
      </c>
      <c r="T1188">
        <v>7</v>
      </c>
      <c r="U1188">
        <v>7</v>
      </c>
      <c r="V1188" t="s">
        <v>58</v>
      </c>
      <c r="W1188" s="2">
        <v>40699</v>
      </c>
      <c r="Y1188" t="s">
        <v>63</v>
      </c>
      <c r="Z1188" t="s">
        <v>40</v>
      </c>
      <c r="AA1188">
        <v>4</v>
      </c>
      <c r="AB1188">
        <v>0</v>
      </c>
      <c r="AC1188" t="s">
        <v>41</v>
      </c>
      <c r="AD1188" t="s">
        <v>42</v>
      </c>
      <c r="AE1188" t="s">
        <v>49</v>
      </c>
      <c r="AF1188" s="3">
        <v>1601</v>
      </c>
      <c r="AG1188" s="3">
        <v>63</v>
      </c>
      <c r="AH1188">
        <v>80</v>
      </c>
      <c r="AI1188">
        <v>0</v>
      </c>
      <c r="AJ1188">
        <v>0</v>
      </c>
      <c r="AL1188">
        <v>0</v>
      </c>
      <c r="AM1188">
        <v>1</v>
      </c>
      <c r="AN1188" t="s">
        <v>768</v>
      </c>
      <c r="AO1188" t="s">
        <v>41</v>
      </c>
    </row>
    <row r="1189" spans="1:41" x14ac:dyDescent="0.25">
      <c r="A1189">
        <v>30</v>
      </c>
      <c r="B1189" t="s">
        <v>32</v>
      </c>
      <c r="C1189" t="s">
        <v>55</v>
      </c>
      <c r="D1189">
        <v>1</v>
      </c>
      <c r="E1189" t="s">
        <v>34</v>
      </c>
      <c r="F1189">
        <v>2</v>
      </c>
      <c r="G1189">
        <v>2</v>
      </c>
      <c r="H1189" t="s">
        <v>70</v>
      </c>
      <c r="I1189">
        <v>1</v>
      </c>
      <c r="J1189" t="s">
        <v>51</v>
      </c>
      <c r="K1189">
        <v>9714</v>
      </c>
      <c r="L1189">
        <v>1</v>
      </c>
      <c r="M1189" t="s">
        <v>41</v>
      </c>
      <c r="N1189">
        <v>11</v>
      </c>
      <c r="O1189">
        <v>3</v>
      </c>
      <c r="P1189">
        <v>1</v>
      </c>
      <c r="Q1189">
        <v>10</v>
      </c>
      <c r="R1189">
        <v>4</v>
      </c>
      <c r="S1189">
        <v>10</v>
      </c>
      <c r="T1189">
        <v>6</v>
      </c>
      <c r="U1189">
        <v>7</v>
      </c>
      <c r="V1189" t="s">
        <v>52</v>
      </c>
      <c r="W1189" s="2">
        <v>40575</v>
      </c>
      <c r="Y1189" t="s">
        <v>54</v>
      </c>
      <c r="Z1189" t="s">
        <v>47</v>
      </c>
      <c r="AA1189">
        <v>5</v>
      </c>
      <c r="AB1189">
        <v>1</v>
      </c>
      <c r="AC1189" t="s">
        <v>41</v>
      </c>
      <c r="AD1189" t="s">
        <v>42</v>
      </c>
      <c r="AE1189" t="s">
        <v>49</v>
      </c>
      <c r="AF1189" s="3">
        <v>1911</v>
      </c>
      <c r="AG1189" s="3">
        <v>83</v>
      </c>
      <c r="AH1189">
        <v>80</v>
      </c>
      <c r="AI1189">
        <v>7</v>
      </c>
      <c r="AJ1189">
        <v>0</v>
      </c>
      <c r="AL1189">
        <v>0</v>
      </c>
      <c r="AM1189">
        <v>1</v>
      </c>
      <c r="AN1189" t="s">
        <v>768</v>
      </c>
      <c r="AO1189" t="s">
        <v>41</v>
      </c>
    </row>
    <row r="1190" spans="1:41" x14ac:dyDescent="0.25">
      <c r="A1190">
        <v>29</v>
      </c>
      <c r="B1190" t="s">
        <v>32</v>
      </c>
      <c r="C1190" t="s">
        <v>33</v>
      </c>
      <c r="D1190">
        <v>3</v>
      </c>
      <c r="E1190" t="s">
        <v>34</v>
      </c>
      <c r="F1190">
        <v>3</v>
      </c>
      <c r="G1190">
        <v>1</v>
      </c>
      <c r="H1190" t="s">
        <v>35</v>
      </c>
      <c r="I1190">
        <v>1</v>
      </c>
      <c r="J1190" t="s">
        <v>36</v>
      </c>
      <c r="K1190">
        <v>4723</v>
      </c>
      <c r="L1190">
        <v>1</v>
      </c>
      <c r="M1190" t="s">
        <v>31</v>
      </c>
      <c r="N1190">
        <v>18</v>
      </c>
      <c r="O1190">
        <v>3</v>
      </c>
      <c r="P1190">
        <v>0</v>
      </c>
      <c r="Q1190">
        <v>10</v>
      </c>
      <c r="R1190">
        <v>3</v>
      </c>
      <c r="S1190">
        <v>10</v>
      </c>
      <c r="T1190">
        <v>1</v>
      </c>
      <c r="U1190">
        <v>5</v>
      </c>
      <c r="V1190" t="s">
        <v>58</v>
      </c>
      <c r="W1190" s="2">
        <v>40696</v>
      </c>
      <c r="Y1190" t="s">
        <v>39</v>
      </c>
      <c r="Z1190" t="s">
        <v>47</v>
      </c>
      <c r="AA1190">
        <v>3</v>
      </c>
      <c r="AB1190">
        <v>1</v>
      </c>
      <c r="AC1190" t="s">
        <v>31</v>
      </c>
      <c r="AD1190" t="s">
        <v>67</v>
      </c>
      <c r="AE1190" t="s">
        <v>60</v>
      </c>
      <c r="AF1190" s="3">
        <v>1799</v>
      </c>
      <c r="AG1190" s="3">
        <v>82</v>
      </c>
      <c r="AH1190">
        <v>80</v>
      </c>
      <c r="AI1190">
        <v>3</v>
      </c>
      <c r="AJ1190">
        <v>0</v>
      </c>
      <c r="AL1190">
        <v>0</v>
      </c>
      <c r="AM1190">
        <v>1</v>
      </c>
      <c r="AN1190" t="s">
        <v>768</v>
      </c>
      <c r="AO1190" t="s">
        <v>41</v>
      </c>
    </row>
    <row r="1191" spans="1:41" x14ac:dyDescent="0.25">
      <c r="A1191">
        <v>35</v>
      </c>
      <c r="B1191" t="s">
        <v>32</v>
      </c>
      <c r="C1191" t="s">
        <v>33</v>
      </c>
      <c r="D1191">
        <v>28</v>
      </c>
      <c r="E1191" t="s">
        <v>34</v>
      </c>
      <c r="F1191">
        <v>4</v>
      </c>
      <c r="G1191">
        <v>2</v>
      </c>
      <c r="H1191" t="s">
        <v>35</v>
      </c>
      <c r="I1191">
        <v>3</v>
      </c>
      <c r="J1191" t="s">
        <v>51</v>
      </c>
      <c r="K1191">
        <v>3407</v>
      </c>
      <c r="L1191">
        <v>1</v>
      </c>
      <c r="M1191" t="s">
        <v>41</v>
      </c>
      <c r="N1191">
        <v>17</v>
      </c>
      <c r="O1191">
        <v>3</v>
      </c>
      <c r="P1191">
        <v>2</v>
      </c>
      <c r="Q1191">
        <v>10</v>
      </c>
      <c r="R1191">
        <v>3</v>
      </c>
      <c r="S1191">
        <v>10</v>
      </c>
      <c r="T1191">
        <v>6</v>
      </c>
      <c r="U1191">
        <v>8</v>
      </c>
      <c r="V1191" t="s">
        <v>58</v>
      </c>
      <c r="W1191" s="1" t="s">
        <v>576</v>
      </c>
      <c r="Y1191" t="s">
        <v>46</v>
      </c>
      <c r="Z1191" t="s">
        <v>40</v>
      </c>
      <c r="AA1191">
        <v>3</v>
      </c>
      <c r="AB1191">
        <v>3</v>
      </c>
      <c r="AC1191" t="s">
        <v>31</v>
      </c>
      <c r="AD1191" t="s">
        <v>48</v>
      </c>
      <c r="AE1191" t="s">
        <v>43</v>
      </c>
      <c r="AF1191" s="3">
        <v>1763</v>
      </c>
      <c r="AG1191" s="3">
        <v>58</v>
      </c>
      <c r="AH1191">
        <v>80</v>
      </c>
      <c r="AI1191">
        <v>0</v>
      </c>
      <c r="AJ1191">
        <v>0</v>
      </c>
      <c r="AL1191">
        <v>0</v>
      </c>
      <c r="AM1191">
        <v>1</v>
      </c>
      <c r="AN1191" t="s">
        <v>768</v>
      </c>
      <c r="AO1191" t="s">
        <v>41</v>
      </c>
    </row>
    <row r="1192" spans="1:41" x14ac:dyDescent="0.25">
      <c r="A1192">
        <v>45</v>
      </c>
      <c r="B1192" t="s">
        <v>32</v>
      </c>
      <c r="C1192" t="s">
        <v>33</v>
      </c>
      <c r="D1192">
        <v>5</v>
      </c>
      <c r="E1192" t="s">
        <v>61</v>
      </c>
      <c r="F1192">
        <v>1</v>
      </c>
      <c r="G1192">
        <v>2</v>
      </c>
      <c r="H1192" t="s">
        <v>35</v>
      </c>
      <c r="I1192">
        <v>1</v>
      </c>
      <c r="J1192" t="s">
        <v>36</v>
      </c>
      <c r="K1192">
        <v>5769</v>
      </c>
      <c r="L1192">
        <v>1</v>
      </c>
      <c r="M1192" t="s">
        <v>31</v>
      </c>
      <c r="N1192">
        <v>14</v>
      </c>
      <c r="O1192">
        <v>3</v>
      </c>
      <c r="P1192">
        <v>0</v>
      </c>
      <c r="Q1192">
        <v>10</v>
      </c>
      <c r="R1192">
        <v>3</v>
      </c>
      <c r="S1192">
        <v>10</v>
      </c>
      <c r="T1192">
        <v>1</v>
      </c>
      <c r="U1192">
        <v>4</v>
      </c>
      <c r="V1192" t="s">
        <v>58</v>
      </c>
      <c r="W1192" s="1" t="s">
        <v>592</v>
      </c>
      <c r="Y1192" t="s">
        <v>69</v>
      </c>
      <c r="Z1192" t="s">
        <v>47</v>
      </c>
      <c r="AA1192">
        <v>4</v>
      </c>
      <c r="AB1192">
        <v>3</v>
      </c>
      <c r="AC1192" t="s">
        <v>31</v>
      </c>
      <c r="AD1192" t="s">
        <v>67</v>
      </c>
      <c r="AE1192" t="s">
        <v>49</v>
      </c>
      <c r="AF1192" s="3">
        <v>1707</v>
      </c>
      <c r="AG1192" s="3">
        <v>62</v>
      </c>
      <c r="AH1192">
        <v>80</v>
      </c>
      <c r="AI1192">
        <v>3</v>
      </c>
      <c r="AJ1192">
        <v>0</v>
      </c>
      <c r="AL1192">
        <v>0</v>
      </c>
      <c r="AM1192">
        <v>1</v>
      </c>
      <c r="AN1192" t="s">
        <v>768</v>
      </c>
      <c r="AO1192" t="s">
        <v>41</v>
      </c>
    </row>
    <row r="1193" spans="1:41" x14ac:dyDescent="0.25">
      <c r="A1193">
        <v>45</v>
      </c>
      <c r="B1193" t="s">
        <v>81</v>
      </c>
      <c r="C1193" t="s">
        <v>55</v>
      </c>
      <c r="D1193">
        <v>26</v>
      </c>
      <c r="E1193" t="s">
        <v>34</v>
      </c>
      <c r="F1193">
        <v>2</v>
      </c>
      <c r="G1193">
        <v>2</v>
      </c>
      <c r="H1193" t="s">
        <v>70</v>
      </c>
      <c r="I1193">
        <v>1</v>
      </c>
      <c r="J1193" t="s">
        <v>51</v>
      </c>
      <c r="K1193">
        <v>4385</v>
      </c>
      <c r="L1193">
        <v>1</v>
      </c>
      <c r="M1193" t="s">
        <v>41</v>
      </c>
      <c r="N1193">
        <v>15</v>
      </c>
      <c r="O1193">
        <v>3</v>
      </c>
      <c r="P1193">
        <v>1</v>
      </c>
      <c r="Q1193">
        <v>10</v>
      </c>
      <c r="R1193">
        <v>2</v>
      </c>
      <c r="S1193">
        <v>10</v>
      </c>
      <c r="T1193">
        <v>4</v>
      </c>
      <c r="U1193">
        <v>5</v>
      </c>
      <c r="V1193" t="s">
        <v>37</v>
      </c>
      <c r="W1193" s="2">
        <v>40547</v>
      </c>
      <c r="Y1193" t="s">
        <v>54</v>
      </c>
      <c r="Z1193" t="s">
        <v>40</v>
      </c>
      <c r="AA1193">
        <v>3</v>
      </c>
      <c r="AB1193">
        <v>3</v>
      </c>
      <c r="AC1193" t="s">
        <v>31</v>
      </c>
      <c r="AD1193" t="s">
        <v>65</v>
      </c>
      <c r="AE1193" t="s">
        <v>60</v>
      </c>
      <c r="AF1193" s="3">
        <v>2062</v>
      </c>
      <c r="AG1193" s="3">
        <v>42</v>
      </c>
      <c r="AH1193">
        <v>80</v>
      </c>
      <c r="AI1193">
        <v>7</v>
      </c>
      <c r="AJ1193">
        <v>0</v>
      </c>
      <c r="AL1193">
        <v>0</v>
      </c>
      <c r="AM1193">
        <v>1</v>
      </c>
      <c r="AN1193" t="s">
        <v>768</v>
      </c>
      <c r="AO1193" t="s">
        <v>41</v>
      </c>
    </row>
    <row r="1194" spans="1:41" x14ac:dyDescent="0.25">
      <c r="A1194">
        <v>39</v>
      </c>
      <c r="B1194" t="s">
        <v>32</v>
      </c>
      <c r="C1194" t="s">
        <v>33</v>
      </c>
      <c r="D1194">
        <v>3</v>
      </c>
      <c r="E1194" t="s">
        <v>34</v>
      </c>
      <c r="F1194">
        <v>2</v>
      </c>
      <c r="G1194">
        <v>2</v>
      </c>
      <c r="H1194" t="s">
        <v>35</v>
      </c>
      <c r="I1194">
        <v>3</v>
      </c>
      <c r="J1194" t="s">
        <v>57</v>
      </c>
      <c r="K1194">
        <v>3069</v>
      </c>
      <c r="L1194">
        <v>0</v>
      </c>
      <c r="M1194" t="s">
        <v>41</v>
      </c>
      <c r="N1194">
        <v>15</v>
      </c>
      <c r="O1194">
        <v>3</v>
      </c>
      <c r="P1194">
        <v>1</v>
      </c>
      <c r="Q1194">
        <v>11</v>
      </c>
      <c r="R1194">
        <v>3</v>
      </c>
      <c r="S1194">
        <v>10</v>
      </c>
      <c r="T1194">
        <v>0</v>
      </c>
      <c r="U1194">
        <v>7</v>
      </c>
      <c r="V1194" t="s">
        <v>37</v>
      </c>
      <c r="W1194" s="2">
        <v>40606</v>
      </c>
      <c r="Y1194" t="s">
        <v>54</v>
      </c>
      <c r="Z1194" t="s">
        <v>47</v>
      </c>
      <c r="AA1194">
        <v>5</v>
      </c>
      <c r="AB1194">
        <v>0</v>
      </c>
      <c r="AC1194" t="s">
        <v>31</v>
      </c>
      <c r="AD1194" t="s">
        <v>42</v>
      </c>
      <c r="AE1194" t="s">
        <v>43</v>
      </c>
      <c r="AF1194" s="3">
        <v>1523</v>
      </c>
      <c r="AG1194" s="3">
        <v>32</v>
      </c>
      <c r="AH1194">
        <v>80</v>
      </c>
      <c r="AI1194">
        <v>6</v>
      </c>
      <c r="AJ1194">
        <v>0</v>
      </c>
      <c r="AL1194">
        <v>0</v>
      </c>
      <c r="AM1194">
        <v>1</v>
      </c>
      <c r="AN1194" t="s">
        <v>768</v>
      </c>
      <c r="AO1194" t="s">
        <v>41</v>
      </c>
    </row>
    <row r="1195" spans="1:41" x14ac:dyDescent="0.25">
      <c r="A1195">
        <v>45</v>
      </c>
      <c r="B1195" t="s">
        <v>32</v>
      </c>
      <c r="C1195" t="s">
        <v>33</v>
      </c>
      <c r="D1195">
        <v>2</v>
      </c>
      <c r="E1195" t="s">
        <v>61</v>
      </c>
      <c r="F1195">
        <v>2</v>
      </c>
      <c r="G1195">
        <v>2</v>
      </c>
      <c r="H1195" t="s">
        <v>78</v>
      </c>
      <c r="I1195">
        <v>4</v>
      </c>
      <c r="J1195" t="s">
        <v>57</v>
      </c>
      <c r="K1195">
        <v>5770</v>
      </c>
      <c r="L1195">
        <v>1</v>
      </c>
      <c r="M1195" t="s">
        <v>41</v>
      </c>
      <c r="N1195">
        <v>19</v>
      </c>
      <c r="O1195">
        <v>3</v>
      </c>
      <c r="P1195">
        <v>2</v>
      </c>
      <c r="Q1195">
        <v>10</v>
      </c>
      <c r="R1195">
        <v>3</v>
      </c>
      <c r="S1195">
        <v>10</v>
      </c>
      <c r="T1195">
        <v>3</v>
      </c>
      <c r="U1195">
        <v>9</v>
      </c>
      <c r="V1195" t="s">
        <v>72</v>
      </c>
      <c r="W1195" s="1" t="s">
        <v>593</v>
      </c>
      <c r="Y1195" t="s">
        <v>69</v>
      </c>
      <c r="Z1195" t="s">
        <v>47</v>
      </c>
      <c r="AA1195">
        <v>1</v>
      </c>
      <c r="AB1195">
        <v>3</v>
      </c>
      <c r="AC1195" t="s">
        <v>31</v>
      </c>
      <c r="AD1195" t="s">
        <v>48</v>
      </c>
      <c r="AE1195" t="s">
        <v>49</v>
      </c>
      <c r="AF1195" s="3">
        <v>1728</v>
      </c>
      <c r="AG1195" s="3">
        <v>49</v>
      </c>
      <c r="AH1195">
        <v>80</v>
      </c>
      <c r="AI1195">
        <v>7</v>
      </c>
      <c r="AJ1195">
        <v>0</v>
      </c>
      <c r="AL1195">
        <v>0</v>
      </c>
      <c r="AM1195">
        <v>1</v>
      </c>
      <c r="AN1195" t="s">
        <v>768</v>
      </c>
      <c r="AO1195" t="s">
        <v>41</v>
      </c>
    </row>
    <row r="1196" spans="1:41" x14ac:dyDescent="0.25">
      <c r="A1196">
        <v>44</v>
      </c>
      <c r="B1196" t="s">
        <v>66</v>
      </c>
      <c r="C1196" t="s">
        <v>120</v>
      </c>
      <c r="D1196">
        <v>1</v>
      </c>
      <c r="E1196" t="s">
        <v>34</v>
      </c>
      <c r="F1196">
        <v>3</v>
      </c>
      <c r="G1196">
        <v>2</v>
      </c>
      <c r="H1196" t="s">
        <v>120</v>
      </c>
      <c r="I1196">
        <v>4</v>
      </c>
      <c r="J1196" t="s">
        <v>51</v>
      </c>
      <c r="K1196">
        <v>5743</v>
      </c>
      <c r="L1196">
        <v>4</v>
      </c>
      <c r="M1196" t="s">
        <v>31</v>
      </c>
      <c r="N1196">
        <v>11</v>
      </c>
      <c r="O1196">
        <v>3</v>
      </c>
      <c r="P1196">
        <v>0</v>
      </c>
      <c r="Q1196">
        <v>14</v>
      </c>
      <c r="R1196">
        <v>3</v>
      </c>
      <c r="S1196">
        <v>10</v>
      </c>
      <c r="T1196">
        <v>0</v>
      </c>
      <c r="U1196">
        <v>2</v>
      </c>
      <c r="V1196" t="s">
        <v>52</v>
      </c>
      <c r="W1196" s="1" t="s">
        <v>589</v>
      </c>
      <c r="Y1196" t="s">
        <v>63</v>
      </c>
      <c r="Z1196" t="s">
        <v>40</v>
      </c>
      <c r="AA1196">
        <v>3</v>
      </c>
      <c r="AB1196">
        <v>2</v>
      </c>
      <c r="AC1196" t="s">
        <v>31</v>
      </c>
      <c r="AD1196" t="s">
        <v>48</v>
      </c>
      <c r="AE1196" t="s">
        <v>49</v>
      </c>
      <c r="AF1196" s="3">
        <v>1798</v>
      </c>
      <c r="AG1196" s="3">
        <v>90</v>
      </c>
      <c r="AH1196">
        <v>80</v>
      </c>
      <c r="AI1196">
        <v>8</v>
      </c>
      <c r="AJ1196">
        <v>0</v>
      </c>
      <c r="AL1196">
        <v>0</v>
      </c>
      <c r="AM1196">
        <v>1</v>
      </c>
      <c r="AN1196" t="s">
        <v>768</v>
      </c>
      <c r="AO1196" t="s">
        <v>41</v>
      </c>
    </row>
    <row r="1197" spans="1:41" x14ac:dyDescent="0.25">
      <c r="A1197">
        <v>54</v>
      </c>
      <c r="B1197" t="s">
        <v>32</v>
      </c>
      <c r="C1197" t="s">
        <v>33</v>
      </c>
      <c r="D1197">
        <v>22</v>
      </c>
      <c r="E1197" t="s">
        <v>61</v>
      </c>
      <c r="F1197">
        <v>3</v>
      </c>
      <c r="G1197">
        <v>4</v>
      </c>
      <c r="H1197" t="s">
        <v>75</v>
      </c>
      <c r="I1197">
        <v>3</v>
      </c>
      <c r="J1197" t="s">
        <v>51</v>
      </c>
      <c r="K1197">
        <v>17426</v>
      </c>
      <c r="L1197">
        <v>3</v>
      </c>
      <c r="M1197" t="s">
        <v>41</v>
      </c>
      <c r="N1197">
        <v>25</v>
      </c>
      <c r="O1197">
        <v>4</v>
      </c>
      <c r="P1197">
        <v>1</v>
      </c>
      <c r="Q1197">
        <v>36</v>
      </c>
      <c r="R1197">
        <v>6</v>
      </c>
      <c r="S1197">
        <v>10</v>
      </c>
      <c r="T1197">
        <v>4</v>
      </c>
      <c r="U1197">
        <v>7</v>
      </c>
      <c r="V1197" t="s">
        <v>72</v>
      </c>
      <c r="W1197" s="1" t="s">
        <v>594</v>
      </c>
      <c r="Y1197" t="s">
        <v>46</v>
      </c>
      <c r="Z1197" t="s">
        <v>47</v>
      </c>
      <c r="AA1197">
        <v>1</v>
      </c>
      <c r="AB1197">
        <v>0</v>
      </c>
      <c r="AC1197" t="s">
        <v>41</v>
      </c>
      <c r="AD1197" t="s">
        <v>48</v>
      </c>
      <c r="AE1197" t="s">
        <v>43</v>
      </c>
      <c r="AF1197" s="3">
        <v>1592</v>
      </c>
      <c r="AG1197" s="3">
        <v>45</v>
      </c>
      <c r="AH1197">
        <v>80</v>
      </c>
      <c r="AI1197">
        <v>2</v>
      </c>
      <c r="AJ1197">
        <v>0</v>
      </c>
      <c r="AL1197">
        <v>0</v>
      </c>
      <c r="AM1197">
        <v>1</v>
      </c>
      <c r="AN1197" t="s">
        <v>768</v>
      </c>
      <c r="AO1197" t="s">
        <v>41</v>
      </c>
    </row>
    <row r="1198" spans="1:41" x14ac:dyDescent="0.25">
      <c r="A1198">
        <v>29</v>
      </c>
      <c r="B1198" t="s">
        <v>32</v>
      </c>
      <c r="C1198" t="s">
        <v>55</v>
      </c>
      <c r="D1198">
        <v>5</v>
      </c>
      <c r="E1198" t="s">
        <v>34</v>
      </c>
      <c r="F1198">
        <v>2</v>
      </c>
      <c r="G1198">
        <v>2</v>
      </c>
      <c r="H1198" t="s">
        <v>70</v>
      </c>
      <c r="I1198">
        <v>2</v>
      </c>
      <c r="J1198" t="s">
        <v>57</v>
      </c>
      <c r="K1198">
        <v>4187</v>
      </c>
      <c r="L1198">
        <v>1</v>
      </c>
      <c r="M1198" t="s">
        <v>31</v>
      </c>
      <c r="N1198">
        <v>13</v>
      </c>
      <c r="O1198">
        <v>3</v>
      </c>
      <c r="P1198">
        <v>1</v>
      </c>
      <c r="Q1198">
        <v>10</v>
      </c>
      <c r="R1198">
        <v>3</v>
      </c>
      <c r="S1198">
        <v>10</v>
      </c>
      <c r="T1198">
        <v>0</v>
      </c>
      <c r="U1198">
        <v>9</v>
      </c>
      <c r="V1198" t="s">
        <v>52</v>
      </c>
      <c r="W1198" s="2">
        <v>40699</v>
      </c>
      <c r="Y1198" t="s">
        <v>46</v>
      </c>
      <c r="Z1198" t="s">
        <v>47</v>
      </c>
      <c r="AA1198">
        <v>4</v>
      </c>
      <c r="AB1198">
        <v>3</v>
      </c>
      <c r="AC1198" t="s">
        <v>41</v>
      </c>
      <c r="AD1198" t="s">
        <v>65</v>
      </c>
      <c r="AE1198" t="s">
        <v>43</v>
      </c>
      <c r="AF1198" s="3">
        <v>1682</v>
      </c>
      <c r="AG1198" s="3">
        <v>80</v>
      </c>
      <c r="AH1198">
        <v>80</v>
      </c>
      <c r="AI1198">
        <v>2</v>
      </c>
      <c r="AJ1198">
        <v>0</v>
      </c>
      <c r="AL1198">
        <v>0</v>
      </c>
      <c r="AM1198">
        <v>1</v>
      </c>
      <c r="AN1198" t="s">
        <v>768</v>
      </c>
      <c r="AO1198" t="s">
        <v>41</v>
      </c>
    </row>
    <row r="1199" spans="1:41" x14ac:dyDescent="0.25">
      <c r="A1199">
        <v>31</v>
      </c>
      <c r="B1199" t="s">
        <v>32</v>
      </c>
      <c r="C1199" t="s">
        <v>55</v>
      </c>
      <c r="D1199">
        <v>5</v>
      </c>
      <c r="E1199" t="s">
        <v>61</v>
      </c>
      <c r="F1199">
        <v>3</v>
      </c>
      <c r="G1199">
        <v>2</v>
      </c>
      <c r="H1199" t="s">
        <v>70</v>
      </c>
      <c r="I1199">
        <v>4</v>
      </c>
      <c r="J1199" t="s">
        <v>51</v>
      </c>
      <c r="K1199">
        <v>5476</v>
      </c>
      <c r="L1199">
        <v>1</v>
      </c>
      <c r="M1199" t="s">
        <v>41</v>
      </c>
      <c r="N1199">
        <v>11</v>
      </c>
      <c r="O1199">
        <v>3</v>
      </c>
      <c r="P1199">
        <v>2</v>
      </c>
      <c r="Q1199">
        <v>10</v>
      </c>
      <c r="R1199">
        <v>2</v>
      </c>
      <c r="S1199">
        <v>10</v>
      </c>
      <c r="T1199">
        <v>0</v>
      </c>
      <c r="U1199">
        <v>2</v>
      </c>
      <c r="V1199" t="s">
        <v>52</v>
      </c>
      <c r="W1199" s="1" t="s">
        <v>595</v>
      </c>
      <c r="Y1199" t="s">
        <v>39</v>
      </c>
      <c r="Z1199" t="s">
        <v>47</v>
      </c>
      <c r="AA1199">
        <v>5</v>
      </c>
      <c r="AB1199">
        <v>2</v>
      </c>
      <c r="AC1199" t="s">
        <v>41</v>
      </c>
      <c r="AD1199" t="s">
        <v>48</v>
      </c>
      <c r="AE1199" t="s">
        <v>43</v>
      </c>
      <c r="AF1199" s="3">
        <v>2012</v>
      </c>
      <c r="AG1199" s="3">
        <v>83</v>
      </c>
      <c r="AH1199">
        <v>80</v>
      </c>
      <c r="AI1199">
        <v>0</v>
      </c>
      <c r="AJ1199">
        <v>0</v>
      </c>
      <c r="AL1199">
        <v>0</v>
      </c>
      <c r="AM1199">
        <v>1</v>
      </c>
      <c r="AN1199" t="s">
        <v>768</v>
      </c>
      <c r="AO1199" t="s">
        <v>41</v>
      </c>
    </row>
    <row r="1200" spans="1:41" x14ac:dyDescent="0.25">
      <c r="A1200">
        <v>34</v>
      </c>
      <c r="B1200" t="s">
        <v>32</v>
      </c>
      <c r="C1200" t="s">
        <v>33</v>
      </c>
      <c r="D1200">
        <v>19</v>
      </c>
      <c r="E1200" t="s">
        <v>61</v>
      </c>
      <c r="F1200">
        <v>2</v>
      </c>
      <c r="G1200">
        <v>1</v>
      </c>
      <c r="H1200" t="s">
        <v>44</v>
      </c>
      <c r="I1200">
        <v>4</v>
      </c>
      <c r="J1200" t="s">
        <v>51</v>
      </c>
      <c r="K1200">
        <v>2929</v>
      </c>
      <c r="L1200">
        <v>1</v>
      </c>
      <c r="M1200" t="s">
        <v>41</v>
      </c>
      <c r="N1200">
        <v>12</v>
      </c>
      <c r="O1200">
        <v>3</v>
      </c>
      <c r="P1200">
        <v>0</v>
      </c>
      <c r="Q1200">
        <v>10</v>
      </c>
      <c r="R1200">
        <v>3</v>
      </c>
      <c r="S1200">
        <v>10</v>
      </c>
      <c r="T1200">
        <v>8</v>
      </c>
      <c r="U1200">
        <v>7</v>
      </c>
      <c r="V1200" t="s">
        <v>72</v>
      </c>
      <c r="W1200" s="1" t="s">
        <v>596</v>
      </c>
      <c r="Y1200" t="s">
        <v>63</v>
      </c>
      <c r="Z1200" t="s">
        <v>47</v>
      </c>
      <c r="AA1200">
        <v>0</v>
      </c>
      <c r="AB1200">
        <v>2</v>
      </c>
      <c r="AC1200" t="s">
        <v>41</v>
      </c>
      <c r="AD1200" t="s">
        <v>42</v>
      </c>
      <c r="AE1200" t="s">
        <v>60</v>
      </c>
      <c r="AF1200" s="3">
        <v>1803</v>
      </c>
      <c r="AG1200" s="3">
        <v>95</v>
      </c>
      <c r="AH1200">
        <v>80</v>
      </c>
      <c r="AI1200">
        <v>0</v>
      </c>
      <c r="AJ1200">
        <v>0</v>
      </c>
      <c r="AL1200">
        <v>0</v>
      </c>
      <c r="AM1200">
        <v>1</v>
      </c>
      <c r="AN1200" t="s">
        <v>768</v>
      </c>
      <c r="AO1200" t="s">
        <v>41</v>
      </c>
    </row>
    <row r="1201" spans="1:41" x14ac:dyDescent="0.25">
      <c r="A1201">
        <v>43</v>
      </c>
      <c r="B1201" t="s">
        <v>32</v>
      </c>
      <c r="C1201" t="s">
        <v>55</v>
      </c>
      <c r="D1201">
        <v>2</v>
      </c>
      <c r="E1201" t="s">
        <v>34</v>
      </c>
      <c r="F1201">
        <v>3</v>
      </c>
      <c r="G1201">
        <v>2</v>
      </c>
      <c r="H1201" t="s">
        <v>70</v>
      </c>
      <c r="I1201">
        <v>4</v>
      </c>
      <c r="J1201" t="s">
        <v>51</v>
      </c>
      <c r="K1201">
        <v>7847</v>
      </c>
      <c r="L1201">
        <v>1</v>
      </c>
      <c r="M1201" t="s">
        <v>31</v>
      </c>
      <c r="N1201">
        <v>17</v>
      </c>
      <c r="O1201">
        <v>3</v>
      </c>
      <c r="P1201">
        <v>1</v>
      </c>
      <c r="Q1201">
        <v>10</v>
      </c>
      <c r="R1201">
        <v>3</v>
      </c>
      <c r="S1201">
        <v>10</v>
      </c>
      <c r="T1201">
        <v>8</v>
      </c>
      <c r="U1201">
        <v>8</v>
      </c>
      <c r="V1201" t="s">
        <v>37</v>
      </c>
      <c r="W1201" s="2">
        <v>40549</v>
      </c>
      <c r="Y1201" t="s">
        <v>63</v>
      </c>
      <c r="Z1201" t="s">
        <v>40</v>
      </c>
      <c r="AA1201">
        <v>5</v>
      </c>
      <c r="AB1201">
        <v>0</v>
      </c>
      <c r="AC1201" t="s">
        <v>31</v>
      </c>
      <c r="AD1201" t="s">
        <v>42</v>
      </c>
      <c r="AE1201" t="s">
        <v>43</v>
      </c>
      <c r="AF1201" s="3">
        <v>1596</v>
      </c>
      <c r="AG1201" s="3">
        <v>46</v>
      </c>
      <c r="AH1201">
        <v>80</v>
      </c>
      <c r="AI1201">
        <v>9</v>
      </c>
      <c r="AJ1201">
        <v>0</v>
      </c>
      <c r="AL1201">
        <v>0</v>
      </c>
      <c r="AM1201">
        <v>1</v>
      </c>
      <c r="AN1201" t="s">
        <v>768</v>
      </c>
      <c r="AO1201" t="s">
        <v>41</v>
      </c>
    </row>
    <row r="1202" spans="1:41" x14ac:dyDescent="0.25">
      <c r="A1202">
        <v>41</v>
      </c>
      <c r="B1202" t="s">
        <v>32</v>
      </c>
      <c r="C1202" t="s">
        <v>55</v>
      </c>
      <c r="D1202">
        <v>6</v>
      </c>
      <c r="E1202" t="s">
        <v>34</v>
      </c>
      <c r="F1202">
        <v>3</v>
      </c>
      <c r="G1202">
        <v>3</v>
      </c>
      <c r="H1202" t="s">
        <v>70</v>
      </c>
      <c r="I1202">
        <v>3</v>
      </c>
      <c r="J1202" t="s">
        <v>36</v>
      </c>
      <c r="K1202">
        <v>9241</v>
      </c>
      <c r="L1202">
        <v>1</v>
      </c>
      <c r="M1202" t="s">
        <v>41</v>
      </c>
      <c r="N1202">
        <v>12</v>
      </c>
      <c r="O1202">
        <v>3</v>
      </c>
      <c r="P1202">
        <v>0</v>
      </c>
      <c r="Q1202">
        <v>10</v>
      </c>
      <c r="R1202">
        <v>3</v>
      </c>
      <c r="S1202">
        <v>10</v>
      </c>
      <c r="T1202">
        <v>8</v>
      </c>
      <c r="U1202">
        <v>7</v>
      </c>
      <c r="V1202" t="s">
        <v>52</v>
      </c>
      <c r="W1202" s="2">
        <v>40792</v>
      </c>
      <c r="Y1202" t="s">
        <v>46</v>
      </c>
      <c r="Z1202" t="s">
        <v>47</v>
      </c>
      <c r="AA1202">
        <v>5</v>
      </c>
      <c r="AB1202">
        <v>3</v>
      </c>
      <c r="AC1202" t="s">
        <v>31</v>
      </c>
      <c r="AD1202" t="s">
        <v>67</v>
      </c>
      <c r="AE1202" t="s">
        <v>49</v>
      </c>
      <c r="AF1202" s="3">
        <v>1514</v>
      </c>
      <c r="AG1202" s="3">
        <v>96</v>
      </c>
      <c r="AH1202">
        <v>80</v>
      </c>
      <c r="AI1202">
        <v>6</v>
      </c>
      <c r="AJ1202">
        <v>0</v>
      </c>
      <c r="AL1202">
        <v>0</v>
      </c>
      <c r="AM1202">
        <v>1</v>
      </c>
      <c r="AN1202" t="s">
        <v>768</v>
      </c>
      <c r="AO1202" t="s">
        <v>41</v>
      </c>
    </row>
    <row r="1203" spans="1:41" x14ac:dyDescent="0.25">
      <c r="A1203">
        <v>46</v>
      </c>
      <c r="B1203" t="s">
        <v>32</v>
      </c>
      <c r="C1203" t="s">
        <v>33</v>
      </c>
      <c r="D1203">
        <v>13</v>
      </c>
      <c r="E1203" t="s">
        <v>34</v>
      </c>
      <c r="F1203">
        <v>3</v>
      </c>
      <c r="G1203">
        <v>2</v>
      </c>
      <c r="H1203" t="s">
        <v>89</v>
      </c>
      <c r="I1203">
        <v>2</v>
      </c>
      <c r="J1203" t="s">
        <v>36</v>
      </c>
      <c r="K1203">
        <v>5562</v>
      </c>
      <c r="L1203">
        <v>6</v>
      </c>
      <c r="M1203" t="s">
        <v>41</v>
      </c>
      <c r="N1203">
        <v>14</v>
      </c>
      <c r="O1203">
        <v>3</v>
      </c>
      <c r="P1203">
        <v>0</v>
      </c>
      <c r="Q1203">
        <v>19</v>
      </c>
      <c r="R1203">
        <v>3</v>
      </c>
      <c r="S1203">
        <v>10</v>
      </c>
      <c r="T1203">
        <v>0</v>
      </c>
      <c r="U1203">
        <v>9</v>
      </c>
      <c r="V1203" t="s">
        <v>72</v>
      </c>
      <c r="W1203" s="1" t="s">
        <v>597</v>
      </c>
      <c r="Y1203" t="s">
        <v>39</v>
      </c>
      <c r="Z1203" t="s">
        <v>47</v>
      </c>
      <c r="AA1203">
        <v>4</v>
      </c>
      <c r="AB1203">
        <v>2</v>
      </c>
      <c r="AC1203" t="s">
        <v>41</v>
      </c>
      <c r="AD1203" t="s">
        <v>42</v>
      </c>
      <c r="AE1203" t="s">
        <v>43</v>
      </c>
      <c r="AF1203" s="3">
        <v>1558</v>
      </c>
      <c r="AG1203" s="3">
        <v>91</v>
      </c>
      <c r="AH1203">
        <v>80</v>
      </c>
      <c r="AI1203">
        <v>0</v>
      </c>
      <c r="AJ1203">
        <v>0</v>
      </c>
      <c r="AL1203">
        <v>0</v>
      </c>
      <c r="AM1203">
        <v>1</v>
      </c>
      <c r="AN1203" t="s">
        <v>768</v>
      </c>
      <c r="AO1203" t="s">
        <v>41</v>
      </c>
    </row>
    <row r="1204" spans="1:41" x14ac:dyDescent="0.25">
      <c r="A1204">
        <v>30</v>
      </c>
      <c r="B1204" t="s">
        <v>32</v>
      </c>
      <c r="C1204" t="s">
        <v>33</v>
      </c>
      <c r="D1204">
        <v>16</v>
      </c>
      <c r="E1204" t="s">
        <v>34</v>
      </c>
      <c r="F1204">
        <v>3</v>
      </c>
      <c r="G1204">
        <v>1</v>
      </c>
      <c r="H1204" t="s">
        <v>44</v>
      </c>
      <c r="I1204">
        <v>4</v>
      </c>
      <c r="J1204" t="s">
        <v>51</v>
      </c>
      <c r="K1204">
        <v>2862</v>
      </c>
      <c r="L1204">
        <v>1</v>
      </c>
      <c r="M1204" t="s">
        <v>41</v>
      </c>
      <c r="N1204">
        <v>12</v>
      </c>
      <c r="O1204">
        <v>3</v>
      </c>
      <c r="P1204">
        <v>1</v>
      </c>
      <c r="Q1204">
        <v>10</v>
      </c>
      <c r="R1204">
        <v>2</v>
      </c>
      <c r="S1204">
        <v>10</v>
      </c>
      <c r="T1204">
        <v>0</v>
      </c>
      <c r="U1204">
        <v>8</v>
      </c>
      <c r="V1204" t="s">
        <v>37</v>
      </c>
      <c r="W1204" s="2">
        <v>40636</v>
      </c>
      <c r="Y1204" t="s">
        <v>46</v>
      </c>
      <c r="Z1204" t="s">
        <v>47</v>
      </c>
      <c r="AA1204">
        <v>3</v>
      </c>
      <c r="AB1204">
        <v>3</v>
      </c>
      <c r="AC1204" t="s">
        <v>31</v>
      </c>
      <c r="AD1204" t="s">
        <v>42</v>
      </c>
      <c r="AE1204" t="s">
        <v>49</v>
      </c>
      <c r="AF1204" s="3">
        <v>1618</v>
      </c>
      <c r="AG1204" s="3">
        <v>76</v>
      </c>
      <c r="AH1204">
        <v>80</v>
      </c>
      <c r="AI1204">
        <v>7</v>
      </c>
      <c r="AJ1204">
        <v>0</v>
      </c>
      <c r="AL1204">
        <v>0</v>
      </c>
      <c r="AM1204">
        <v>1</v>
      </c>
      <c r="AN1204" t="s">
        <v>768</v>
      </c>
      <c r="AO1204" t="s">
        <v>41</v>
      </c>
    </row>
    <row r="1205" spans="1:41" x14ac:dyDescent="0.25">
      <c r="A1205">
        <v>46</v>
      </c>
      <c r="B1205" t="s">
        <v>32</v>
      </c>
      <c r="C1205" t="s">
        <v>55</v>
      </c>
      <c r="D1205">
        <v>2</v>
      </c>
      <c r="E1205" t="s">
        <v>34</v>
      </c>
      <c r="F1205">
        <v>3</v>
      </c>
      <c r="G1205">
        <v>3</v>
      </c>
      <c r="H1205" t="s">
        <v>70</v>
      </c>
      <c r="I1205">
        <v>4</v>
      </c>
      <c r="J1205" t="s">
        <v>57</v>
      </c>
      <c r="K1205">
        <v>10368</v>
      </c>
      <c r="L1205">
        <v>4</v>
      </c>
      <c r="M1205" t="s">
        <v>31</v>
      </c>
      <c r="N1205">
        <v>12</v>
      </c>
      <c r="O1205">
        <v>3</v>
      </c>
      <c r="P1205">
        <v>1</v>
      </c>
      <c r="Q1205">
        <v>13</v>
      </c>
      <c r="R1205">
        <v>5</v>
      </c>
      <c r="S1205">
        <v>10</v>
      </c>
      <c r="T1205">
        <v>0</v>
      </c>
      <c r="U1205">
        <v>3</v>
      </c>
      <c r="V1205" t="s">
        <v>58</v>
      </c>
      <c r="W1205" s="1" t="s">
        <v>564</v>
      </c>
      <c r="Y1205" t="s">
        <v>46</v>
      </c>
      <c r="Z1205" t="s">
        <v>47</v>
      </c>
      <c r="AA1205">
        <v>0</v>
      </c>
      <c r="AB1205">
        <v>1</v>
      </c>
      <c r="AC1205" t="s">
        <v>31</v>
      </c>
      <c r="AD1205" t="s">
        <v>65</v>
      </c>
      <c r="AE1205" t="s">
        <v>43</v>
      </c>
      <c r="AF1205" s="3">
        <v>1698</v>
      </c>
      <c r="AG1205" s="3">
        <v>79</v>
      </c>
      <c r="AH1205">
        <v>80</v>
      </c>
      <c r="AI1205">
        <v>11</v>
      </c>
      <c r="AJ1205">
        <v>0</v>
      </c>
      <c r="AL1205">
        <v>0</v>
      </c>
      <c r="AM1205">
        <v>1</v>
      </c>
      <c r="AN1205" t="s">
        <v>768</v>
      </c>
      <c r="AO1205" t="s">
        <v>41</v>
      </c>
    </row>
    <row r="1206" spans="1:41" x14ac:dyDescent="0.25">
      <c r="A1206">
        <v>37</v>
      </c>
      <c r="B1206" t="s">
        <v>32</v>
      </c>
      <c r="C1206" t="s">
        <v>120</v>
      </c>
      <c r="D1206">
        <v>8</v>
      </c>
      <c r="E1206" t="s">
        <v>34</v>
      </c>
      <c r="F1206">
        <v>3</v>
      </c>
      <c r="G1206">
        <v>2</v>
      </c>
      <c r="H1206" t="s">
        <v>120</v>
      </c>
      <c r="I1206">
        <v>2</v>
      </c>
      <c r="J1206" t="s">
        <v>57</v>
      </c>
      <c r="K1206">
        <v>4071</v>
      </c>
      <c r="L1206">
        <v>2</v>
      </c>
      <c r="M1206" t="s">
        <v>41</v>
      </c>
      <c r="N1206">
        <v>13</v>
      </c>
      <c r="O1206">
        <v>3</v>
      </c>
      <c r="P1206">
        <v>0</v>
      </c>
      <c r="Q1206">
        <v>19</v>
      </c>
      <c r="R1206">
        <v>4</v>
      </c>
      <c r="S1206">
        <v>10</v>
      </c>
      <c r="T1206">
        <v>4</v>
      </c>
      <c r="U1206">
        <v>7</v>
      </c>
      <c r="V1206" t="s">
        <v>52</v>
      </c>
      <c r="W1206" s="1" t="s">
        <v>578</v>
      </c>
      <c r="Y1206" t="s">
        <v>54</v>
      </c>
      <c r="Z1206" t="s">
        <v>40</v>
      </c>
      <c r="AA1206">
        <v>2</v>
      </c>
      <c r="AB1206">
        <v>1</v>
      </c>
      <c r="AC1206" t="s">
        <v>41</v>
      </c>
      <c r="AD1206" t="s">
        <v>48</v>
      </c>
      <c r="AE1206" t="s">
        <v>43</v>
      </c>
      <c r="AF1206" s="3">
        <v>1770</v>
      </c>
      <c r="AG1206" s="3">
        <v>60</v>
      </c>
      <c r="AH1206">
        <v>80</v>
      </c>
      <c r="AI1206">
        <v>0</v>
      </c>
      <c r="AJ1206">
        <v>0</v>
      </c>
      <c r="AL1206">
        <v>0</v>
      </c>
      <c r="AM1206">
        <v>1</v>
      </c>
      <c r="AN1206" t="s">
        <v>768</v>
      </c>
      <c r="AO1206" t="s">
        <v>41</v>
      </c>
    </row>
    <row r="1207" spans="1:41" x14ac:dyDescent="0.25">
      <c r="A1207">
        <v>35</v>
      </c>
      <c r="B1207" t="s">
        <v>32</v>
      </c>
      <c r="C1207" t="s">
        <v>55</v>
      </c>
      <c r="D1207">
        <v>27</v>
      </c>
      <c r="E1207" t="s">
        <v>34</v>
      </c>
      <c r="F1207">
        <v>3</v>
      </c>
      <c r="G1207">
        <v>2</v>
      </c>
      <c r="H1207" t="s">
        <v>70</v>
      </c>
      <c r="I1207">
        <v>4</v>
      </c>
      <c r="J1207" t="s">
        <v>36</v>
      </c>
      <c r="K1207">
        <v>5813</v>
      </c>
      <c r="L1207">
        <v>1</v>
      </c>
      <c r="M1207" t="s">
        <v>31</v>
      </c>
      <c r="N1207">
        <v>18</v>
      </c>
      <c r="O1207">
        <v>3</v>
      </c>
      <c r="P1207">
        <v>0</v>
      </c>
      <c r="Q1207">
        <v>10</v>
      </c>
      <c r="R1207">
        <v>2</v>
      </c>
      <c r="S1207">
        <v>10</v>
      </c>
      <c r="T1207">
        <v>7</v>
      </c>
      <c r="U1207">
        <v>7</v>
      </c>
      <c r="V1207" t="s">
        <v>37</v>
      </c>
      <c r="W1207" s="1" t="s">
        <v>598</v>
      </c>
      <c r="Y1207" t="s">
        <v>69</v>
      </c>
      <c r="Z1207" t="s">
        <v>40</v>
      </c>
      <c r="AA1207">
        <v>4</v>
      </c>
      <c r="AB1207">
        <v>1</v>
      </c>
      <c r="AC1207" t="s">
        <v>31</v>
      </c>
      <c r="AD1207" t="s">
        <v>42</v>
      </c>
      <c r="AE1207" t="s">
        <v>43</v>
      </c>
      <c r="AF1207" s="3">
        <v>1631</v>
      </c>
      <c r="AG1207" s="3">
        <v>85</v>
      </c>
      <c r="AH1207">
        <v>80</v>
      </c>
      <c r="AI1207">
        <v>3</v>
      </c>
      <c r="AJ1207">
        <v>0</v>
      </c>
      <c r="AL1207">
        <v>0</v>
      </c>
      <c r="AM1207">
        <v>1</v>
      </c>
      <c r="AN1207" t="s">
        <v>768</v>
      </c>
      <c r="AO1207" t="s">
        <v>41</v>
      </c>
    </row>
    <row r="1208" spans="1:41" x14ac:dyDescent="0.25">
      <c r="A1208">
        <v>33</v>
      </c>
      <c r="B1208" t="s">
        <v>32</v>
      </c>
      <c r="C1208" t="s">
        <v>33</v>
      </c>
      <c r="D1208">
        <v>8</v>
      </c>
      <c r="E1208" t="s">
        <v>34</v>
      </c>
      <c r="F1208">
        <v>4</v>
      </c>
      <c r="G1208">
        <v>1</v>
      </c>
      <c r="H1208" t="s">
        <v>44</v>
      </c>
      <c r="I1208">
        <v>1</v>
      </c>
      <c r="J1208" t="s">
        <v>51</v>
      </c>
      <c r="K1208">
        <v>3143</v>
      </c>
      <c r="L1208">
        <v>6</v>
      </c>
      <c r="M1208" t="s">
        <v>41</v>
      </c>
      <c r="N1208">
        <v>19</v>
      </c>
      <c r="O1208">
        <v>3</v>
      </c>
      <c r="P1208">
        <v>1</v>
      </c>
      <c r="Q1208">
        <v>14</v>
      </c>
      <c r="R1208">
        <v>1</v>
      </c>
      <c r="S1208">
        <v>10</v>
      </c>
      <c r="T1208">
        <v>7</v>
      </c>
      <c r="U1208">
        <v>6</v>
      </c>
      <c r="V1208" t="s">
        <v>58</v>
      </c>
      <c r="W1208" s="2">
        <v>40607</v>
      </c>
      <c r="Y1208" t="s">
        <v>46</v>
      </c>
      <c r="Z1208" t="s">
        <v>40</v>
      </c>
      <c r="AA1208">
        <v>0</v>
      </c>
      <c r="AB1208">
        <v>0</v>
      </c>
      <c r="AC1208" t="s">
        <v>41</v>
      </c>
      <c r="AD1208" t="s">
        <v>67</v>
      </c>
      <c r="AE1208" t="s">
        <v>49</v>
      </c>
      <c r="AF1208" s="3">
        <v>1718</v>
      </c>
      <c r="AG1208" s="3">
        <v>62</v>
      </c>
      <c r="AH1208">
        <v>80</v>
      </c>
      <c r="AI1208">
        <v>2</v>
      </c>
      <c r="AJ1208">
        <v>0</v>
      </c>
      <c r="AL1208">
        <v>0</v>
      </c>
      <c r="AM1208">
        <v>1</v>
      </c>
      <c r="AN1208" t="s">
        <v>768</v>
      </c>
      <c r="AO1208" t="s">
        <v>41</v>
      </c>
    </row>
    <row r="1209" spans="1:41" x14ac:dyDescent="0.25">
      <c r="A1209">
        <v>37</v>
      </c>
      <c r="B1209" t="s">
        <v>32</v>
      </c>
      <c r="C1209" t="s">
        <v>33</v>
      </c>
      <c r="D1209">
        <v>10</v>
      </c>
      <c r="E1209" t="s">
        <v>34</v>
      </c>
      <c r="F1209">
        <v>3</v>
      </c>
      <c r="G1209">
        <v>2</v>
      </c>
      <c r="H1209" t="s">
        <v>78</v>
      </c>
      <c r="I1209">
        <v>1</v>
      </c>
      <c r="J1209" t="s">
        <v>36</v>
      </c>
      <c r="K1209">
        <v>4213</v>
      </c>
      <c r="L1209">
        <v>1</v>
      </c>
      <c r="M1209" t="s">
        <v>41</v>
      </c>
      <c r="N1209">
        <v>15</v>
      </c>
      <c r="O1209">
        <v>3</v>
      </c>
      <c r="P1209">
        <v>0</v>
      </c>
      <c r="Q1209">
        <v>10</v>
      </c>
      <c r="R1209">
        <v>4</v>
      </c>
      <c r="S1209">
        <v>10</v>
      </c>
      <c r="T1209">
        <v>0</v>
      </c>
      <c r="U1209">
        <v>8</v>
      </c>
      <c r="V1209" t="s">
        <v>58</v>
      </c>
      <c r="W1209" s="2">
        <v>40545</v>
      </c>
      <c r="Y1209" t="s">
        <v>39</v>
      </c>
      <c r="Z1209" t="s">
        <v>40</v>
      </c>
      <c r="AA1209">
        <v>4</v>
      </c>
      <c r="AB1209">
        <v>2</v>
      </c>
      <c r="AC1209" t="s">
        <v>31</v>
      </c>
      <c r="AD1209" t="s">
        <v>65</v>
      </c>
      <c r="AE1209" t="s">
        <v>60</v>
      </c>
      <c r="AF1209" s="3">
        <v>1435</v>
      </c>
      <c r="AG1209" s="3">
        <v>37</v>
      </c>
      <c r="AH1209">
        <v>80</v>
      </c>
      <c r="AI1209">
        <v>4</v>
      </c>
      <c r="AJ1209">
        <v>0</v>
      </c>
      <c r="AL1209">
        <v>0</v>
      </c>
      <c r="AM1209">
        <v>1</v>
      </c>
      <c r="AN1209" t="s">
        <v>768</v>
      </c>
      <c r="AO1209" t="s">
        <v>41</v>
      </c>
    </row>
    <row r="1210" spans="1:41" x14ac:dyDescent="0.25">
      <c r="A1210">
        <v>34</v>
      </c>
      <c r="B1210" t="s">
        <v>32</v>
      </c>
      <c r="C1210" t="s">
        <v>55</v>
      </c>
      <c r="D1210">
        <v>8</v>
      </c>
      <c r="E1210" t="s">
        <v>34</v>
      </c>
      <c r="F1210">
        <v>4</v>
      </c>
      <c r="G1210">
        <v>2</v>
      </c>
      <c r="H1210" t="s">
        <v>70</v>
      </c>
      <c r="I1210">
        <v>3</v>
      </c>
      <c r="J1210" t="s">
        <v>51</v>
      </c>
      <c r="K1210">
        <v>6799</v>
      </c>
      <c r="L1210">
        <v>1</v>
      </c>
      <c r="M1210" t="s">
        <v>41</v>
      </c>
      <c r="N1210">
        <v>21</v>
      </c>
      <c r="O1210">
        <v>4</v>
      </c>
      <c r="P1210">
        <v>2</v>
      </c>
      <c r="Q1210">
        <v>10</v>
      </c>
      <c r="R1210">
        <v>5</v>
      </c>
      <c r="S1210">
        <v>10</v>
      </c>
      <c r="T1210">
        <v>4</v>
      </c>
      <c r="U1210">
        <v>8</v>
      </c>
      <c r="V1210" t="s">
        <v>37</v>
      </c>
      <c r="W1210" s="2">
        <v>40883</v>
      </c>
      <c r="Y1210" t="s">
        <v>63</v>
      </c>
      <c r="Z1210" t="s">
        <v>40</v>
      </c>
      <c r="AA1210">
        <v>0</v>
      </c>
      <c r="AB1210">
        <v>3</v>
      </c>
      <c r="AC1210" t="s">
        <v>31</v>
      </c>
      <c r="AD1210" t="s">
        <v>48</v>
      </c>
      <c r="AE1210" t="s">
        <v>60</v>
      </c>
      <c r="AF1210" s="3">
        <v>1659</v>
      </c>
      <c r="AG1210" s="3">
        <v>77</v>
      </c>
      <c r="AH1210">
        <v>80</v>
      </c>
      <c r="AI1210">
        <v>3</v>
      </c>
      <c r="AJ1210">
        <v>0</v>
      </c>
      <c r="AL1210">
        <v>0</v>
      </c>
      <c r="AM1210">
        <v>1</v>
      </c>
      <c r="AN1210" t="s">
        <v>768</v>
      </c>
      <c r="AO1210" t="s">
        <v>41</v>
      </c>
    </row>
    <row r="1211" spans="1:41" x14ac:dyDescent="0.25">
      <c r="A1211">
        <v>36</v>
      </c>
      <c r="B1211" t="s">
        <v>32</v>
      </c>
      <c r="C1211" t="s">
        <v>55</v>
      </c>
      <c r="D1211">
        <v>10</v>
      </c>
      <c r="E1211" t="s">
        <v>61</v>
      </c>
      <c r="F1211">
        <v>2</v>
      </c>
      <c r="G1211">
        <v>2</v>
      </c>
      <c r="H1211" t="s">
        <v>70</v>
      </c>
      <c r="I1211">
        <v>3</v>
      </c>
      <c r="J1211" t="s">
        <v>51</v>
      </c>
      <c r="K1211">
        <v>5673</v>
      </c>
      <c r="L1211">
        <v>1</v>
      </c>
      <c r="M1211" t="s">
        <v>31</v>
      </c>
      <c r="N1211">
        <v>13</v>
      </c>
      <c r="O1211">
        <v>3</v>
      </c>
      <c r="P1211">
        <v>1</v>
      </c>
      <c r="Q1211">
        <v>10</v>
      </c>
      <c r="R1211">
        <v>4</v>
      </c>
      <c r="S1211">
        <v>10</v>
      </c>
      <c r="T1211">
        <v>1</v>
      </c>
      <c r="U1211">
        <v>7</v>
      </c>
      <c r="V1211" t="s">
        <v>52</v>
      </c>
      <c r="W1211" s="1" t="s">
        <v>576</v>
      </c>
      <c r="Y1211" t="s">
        <v>69</v>
      </c>
      <c r="Z1211" t="s">
        <v>47</v>
      </c>
      <c r="AA1211">
        <v>4</v>
      </c>
      <c r="AB1211">
        <v>1</v>
      </c>
      <c r="AC1211" t="s">
        <v>31</v>
      </c>
      <c r="AD1211" t="s">
        <v>67</v>
      </c>
      <c r="AE1211" t="s">
        <v>49</v>
      </c>
      <c r="AF1211" s="3">
        <v>1533</v>
      </c>
      <c r="AG1211" s="3">
        <v>97</v>
      </c>
      <c r="AH1211">
        <v>80</v>
      </c>
      <c r="AI1211">
        <v>3</v>
      </c>
      <c r="AJ1211">
        <v>0</v>
      </c>
      <c r="AL1211">
        <v>0</v>
      </c>
      <c r="AM1211">
        <v>1</v>
      </c>
      <c r="AN1211" t="s">
        <v>768</v>
      </c>
      <c r="AO1211" t="s">
        <v>41</v>
      </c>
    </row>
    <row r="1212" spans="1:41" x14ac:dyDescent="0.25">
      <c r="A1212">
        <v>31</v>
      </c>
      <c r="B1212" t="s">
        <v>32</v>
      </c>
      <c r="C1212" t="s">
        <v>33</v>
      </c>
      <c r="D1212">
        <v>20</v>
      </c>
      <c r="E1212" t="s">
        <v>34</v>
      </c>
      <c r="F1212">
        <v>3</v>
      </c>
      <c r="G1212">
        <v>2</v>
      </c>
      <c r="H1212" t="s">
        <v>35</v>
      </c>
      <c r="I1212">
        <v>3</v>
      </c>
      <c r="J1212" t="s">
        <v>57</v>
      </c>
      <c r="K1212">
        <v>4197</v>
      </c>
      <c r="L1212">
        <v>1</v>
      </c>
      <c r="M1212" t="s">
        <v>41</v>
      </c>
      <c r="N1212">
        <v>11</v>
      </c>
      <c r="O1212">
        <v>3</v>
      </c>
      <c r="P1212">
        <v>1</v>
      </c>
      <c r="Q1212">
        <v>10</v>
      </c>
      <c r="R1212">
        <v>2</v>
      </c>
      <c r="S1212">
        <v>10</v>
      </c>
      <c r="T1212">
        <v>0</v>
      </c>
      <c r="U1212">
        <v>2</v>
      </c>
      <c r="V1212" t="s">
        <v>58</v>
      </c>
      <c r="W1212" s="1" t="s">
        <v>579</v>
      </c>
      <c r="Y1212" t="s">
        <v>69</v>
      </c>
      <c r="Z1212" t="s">
        <v>47</v>
      </c>
      <c r="AA1212">
        <v>4</v>
      </c>
      <c r="AB1212">
        <v>1</v>
      </c>
      <c r="AC1212" t="s">
        <v>41</v>
      </c>
      <c r="AD1212" t="s">
        <v>67</v>
      </c>
      <c r="AE1212" t="s">
        <v>43</v>
      </c>
      <c r="AF1212" s="3">
        <v>1577</v>
      </c>
      <c r="AG1212" s="3">
        <v>35</v>
      </c>
      <c r="AH1212">
        <v>80</v>
      </c>
      <c r="AI1212">
        <v>0</v>
      </c>
      <c r="AJ1212">
        <v>0</v>
      </c>
      <c r="AL1212">
        <v>0</v>
      </c>
      <c r="AM1212">
        <v>1</v>
      </c>
      <c r="AN1212" t="s">
        <v>768</v>
      </c>
      <c r="AO1212" t="s">
        <v>41</v>
      </c>
    </row>
    <row r="1213" spans="1:41" x14ac:dyDescent="0.25">
      <c r="A1213">
        <v>36</v>
      </c>
      <c r="B1213" t="s">
        <v>66</v>
      </c>
      <c r="C1213" t="s">
        <v>120</v>
      </c>
      <c r="D1213">
        <v>2</v>
      </c>
      <c r="E1213" t="s">
        <v>34</v>
      </c>
      <c r="F1213">
        <v>2</v>
      </c>
      <c r="G1213">
        <v>2</v>
      </c>
      <c r="H1213" t="s">
        <v>120</v>
      </c>
      <c r="I1213">
        <v>4</v>
      </c>
      <c r="J1213" t="s">
        <v>36</v>
      </c>
      <c r="K1213">
        <v>3886</v>
      </c>
      <c r="L1213">
        <v>1</v>
      </c>
      <c r="M1213" t="s">
        <v>41</v>
      </c>
      <c r="N1213">
        <v>21</v>
      </c>
      <c r="O1213">
        <v>4</v>
      </c>
      <c r="P1213">
        <v>0</v>
      </c>
      <c r="Q1213">
        <v>10</v>
      </c>
      <c r="R1213">
        <v>2</v>
      </c>
      <c r="S1213">
        <v>10</v>
      </c>
      <c r="T1213">
        <v>0</v>
      </c>
      <c r="U1213">
        <v>8</v>
      </c>
      <c r="V1213" t="s">
        <v>58</v>
      </c>
      <c r="W1213" s="1" t="s">
        <v>572</v>
      </c>
      <c r="Y1213" t="s">
        <v>69</v>
      </c>
      <c r="Z1213" t="s">
        <v>47</v>
      </c>
      <c r="AA1213">
        <v>1</v>
      </c>
      <c r="AB1213">
        <v>3</v>
      </c>
      <c r="AC1213" t="s">
        <v>41</v>
      </c>
      <c r="AD1213" t="s">
        <v>48</v>
      </c>
      <c r="AE1213" t="s">
        <v>49</v>
      </c>
      <c r="AF1213" s="3">
        <v>2014</v>
      </c>
      <c r="AG1213" s="3">
        <v>52</v>
      </c>
      <c r="AH1213">
        <v>80</v>
      </c>
      <c r="AI1213">
        <v>7</v>
      </c>
      <c r="AJ1213">
        <v>0</v>
      </c>
      <c r="AL1213">
        <v>0</v>
      </c>
      <c r="AM1213">
        <v>1</v>
      </c>
      <c r="AN1213" t="s">
        <v>768</v>
      </c>
      <c r="AO1213" t="s">
        <v>41</v>
      </c>
    </row>
    <row r="1214" spans="1:41" x14ac:dyDescent="0.25">
      <c r="A1214">
        <v>33</v>
      </c>
      <c r="B1214" t="s">
        <v>32</v>
      </c>
      <c r="C1214" t="s">
        <v>55</v>
      </c>
      <c r="D1214">
        <v>10</v>
      </c>
      <c r="E1214" t="s">
        <v>34</v>
      </c>
      <c r="F1214">
        <v>3</v>
      </c>
      <c r="G1214">
        <v>2</v>
      </c>
      <c r="H1214" t="s">
        <v>70</v>
      </c>
      <c r="I1214">
        <v>3</v>
      </c>
      <c r="J1214" t="s">
        <v>36</v>
      </c>
      <c r="K1214">
        <v>5487</v>
      </c>
      <c r="L1214">
        <v>1</v>
      </c>
      <c r="M1214" t="s">
        <v>41</v>
      </c>
      <c r="N1214">
        <v>14</v>
      </c>
      <c r="O1214">
        <v>3</v>
      </c>
      <c r="P1214">
        <v>0</v>
      </c>
      <c r="Q1214">
        <v>10</v>
      </c>
      <c r="R1214">
        <v>2</v>
      </c>
      <c r="S1214">
        <v>10</v>
      </c>
      <c r="T1214">
        <v>0</v>
      </c>
      <c r="U1214">
        <v>9</v>
      </c>
      <c r="V1214" t="s">
        <v>58</v>
      </c>
      <c r="W1214" s="2">
        <v>40546</v>
      </c>
      <c r="Y1214" t="s">
        <v>63</v>
      </c>
      <c r="Z1214" t="s">
        <v>40</v>
      </c>
      <c r="AA1214">
        <v>0</v>
      </c>
      <c r="AB1214">
        <v>1</v>
      </c>
      <c r="AC1214" t="s">
        <v>31</v>
      </c>
      <c r="AD1214" t="s">
        <v>67</v>
      </c>
      <c r="AE1214" t="s">
        <v>60</v>
      </c>
      <c r="AF1214" s="3">
        <v>1981</v>
      </c>
      <c r="AG1214" s="3">
        <v>45</v>
      </c>
      <c r="AH1214">
        <v>80</v>
      </c>
      <c r="AI1214">
        <v>3</v>
      </c>
      <c r="AJ1214">
        <v>0</v>
      </c>
      <c r="AL1214">
        <v>0</v>
      </c>
      <c r="AM1214">
        <v>1</v>
      </c>
      <c r="AN1214" t="s">
        <v>768</v>
      </c>
      <c r="AO1214" t="s">
        <v>41</v>
      </c>
    </row>
    <row r="1215" spans="1:41" x14ac:dyDescent="0.25">
      <c r="A1215">
        <v>39</v>
      </c>
      <c r="B1215" t="s">
        <v>32</v>
      </c>
      <c r="C1215" t="s">
        <v>33</v>
      </c>
      <c r="D1215">
        <v>9</v>
      </c>
      <c r="E1215" t="s">
        <v>34</v>
      </c>
      <c r="F1215">
        <v>3</v>
      </c>
      <c r="G1215">
        <v>2</v>
      </c>
      <c r="H1215" t="s">
        <v>78</v>
      </c>
      <c r="I1215">
        <v>1</v>
      </c>
      <c r="J1215" t="s">
        <v>51</v>
      </c>
      <c r="K1215">
        <v>5151</v>
      </c>
      <c r="L1215">
        <v>1</v>
      </c>
      <c r="M1215" t="s">
        <v>41</v>
      </c>
      <c r="N1215">
        <v>25</v>
      </c>
      <c r="O1215">
        <v>4</v>
      </c>
      <c r="P1215">
        <v>1</v>
      </c>
      <c r="Q1215">
        <v>10</v>
      </c>
      <c r="R1215">
        <v>3</v>
      </c>
      <c r="S1215">
        <v>10</v>
      </c>
      <c r="T1215">
        <v>7</v>
      </c>
      <c r="U1215">
        <v>9</v>
      </c>
      <c r="V1215" t="s">
        <v>52</v>
      </c>
      <c r="W1215" s="2">
        <v>40576</v>
      </c>
      <c r="Y1215" t="s">
        <v>46</v>
      </c>
      <c r="Z1215" t="s">
        <v>47</v>
      </c>
      <c r="AA1215">
        <v>5</v>
      </c>
      <c r="AB1215">
        <v>2</v>
      </c>
      <c r="AC1215" t="s">
        <v>31</v>
      </c>
      <c r="AD1215" t="s">
        <v>42</v>
      </c>
      <c r="AE1215" t="s">
        <v>43</v>
      </c>
      <c r="AF1215" s="3">
        <v>2008</v>
      </c>
      <c r="AG1215" s="3">
        <v>48</v>
      </c>
      <c r="AH1215">
        <v>80</v>
      </c>
      <c r="AI1215">
        <v>7</v>
      </c>
      <c r="AJ1215">
        <v>0</v>
      </c>
      <c r="AL1215">
        <v>0</v>
      </c>
      <c r="AM1215">
        <v>1</v>
      </c>
      <c r="AN1215" t="s">
        <v>768</v>
      </c>
      <c r="AO1215" t="s">
        <v>41</v>
      </c>
    </row>
    <row r="1216" spans="1:41" x14ac:dyDescent="0.25">
      <c r="A1216">
        <v>31</v>
      </c>
      <c r="B1216" t="s">
        <v>66</v>
      </c>
      <c r="C1216" t="s">
        <v>33</v>
      </c>
      <c r="D1216">
        <v>1</v>
      </c>
      <c r="E1216" t="s">
        <v>34</v>
      </c>
      <c r="F1216">
        <v>1</v>
      </c>
      <c r="G1216">
        <v>2</v>
      </c>
      <c r="H1216" t="s">
        <v>44</v>
      </c>
      <c r="I1216">
        <v>1</v>
      </c>
      <c r="J1216" t="s">
        <v>51</v>
      </c>
      <c r="K1216">
        <v>5003</v>
      </c>
      <c r="L1216">
        <v>1</v>
      </c>
      <c r="M1216" t="s">
        <v>41</v>
      </c>
      <c r="N1216">
        <v>21</v>
      </c>
      <c r="O1216">
        <v>4</v>
      </c>
      <c r="P1216">
        <v>0</v>
      </c>
      <c r="Q1216">
        <v>10</v>
      </c>
      <c r="R1216">
        <v>6</v>
      </c>
      <c r="S1216">
        <v>10</v>
      </c>
      <c r="T1216">
        <v>8</v>
      </c>
      <c r="U1216">
        <v>7</v>
      </c>
      <c r="V1216" t="s">
        <v>37</v>
      </c>
      <c r="W1216" s="1" t="s">
        <v>585</v>
      </c>
      <c r="Y1216" t="s">
        <v>69</v>
      </c>
      <c r="Z1216" t="s">
        <v>40</v>
      </c>
      <c r="AA1216">
        <v>3</v>
      </c>
      <c r="AB1216">
        <v>3</v>
      </c>
      <c r="AC1216" t="s">
        <v>31</v>
      </c>
      <c r="AD1216" t="s">
        <v>67</v>
      </c>
      <c r="AE1216" t="s">
        <v>60</v>
      </c>
      <c r="AF1216" s="3">
        <v>1814</v>
      </c>
      <c r="AG1216" s="3">
        <v>85</v>
      </c>
      <c r="AH1216">
        <v>80</v>
      </c>
      <c r="AI1216">
        <v>2</v>
      </c>
      <c r="AJ1216">
        <v>0</v>
      </c>
      <c r="AL1216">
        <v>0</v>
      </c>
      <c r="AM1216">
        <v>1</v>
      </c>
      <c r="AN1216" t="s">
        <v>768</v>
      </c>
      <c r="AO1216" t="s">
        <v>41</v>
      </c>
    </row>
    <row r="1217" spans="1:41" x14ac:dyDescent="0.25">
      <c r="A1217">
        <v>35</v>
      </c>
      <c r="B1217" t="s">
        <v>32</v>
      </c>
      <c r="C1217" t="s">
        <v>55</v>
      </c>
      <c r="D1217">
        <v>7</v>
      </c>
      <c r="E1217" t="s">
        <v>61</v>
      </c>
      <c r="F1217">
        <v>3</v>
      </c>
      <c r="G1217">
        <v>2</v>
      </c>
      <c r="H1217" t="s">
        <v>70</v>
      </c>
      <c r="I1217">
        <v>4</v>
      </c>
      <c r="J1217" t="s">
        <v>51</v>
      </c>
      <c r="K1217">
        <v>5204</v>
      </c>
      <c r="L1217">
        <v>1</v>
      </c>
      <c r="M1217" t="s">
        <v>31</v>
      </c>
      <c r="N1217">
        <v>11</v>
      </c>
      <c r="O1217">
        <v>3</v>
      </c>
      <c r="P1217">
        <v>0</v>
      </c>
      <c r="Q1217">
        <v>10</v>
      </c>
      <c r="R1217">
        <v>2</v>
      </c>
      <c r="S1217">
        <v>10</v>
      </c>
      <c r="T1217">
        <v>0</v>
      </c>
      <c r="U1217">
        <v>9</v>
      </c>
      <c r="V1217" t="s">
        <v>72</v>
      </c>
      <c r="W1217" s="2">
        <v>40579</v>
      </c>
      <c r="Y1217" t="s">
        <v>69</v>
      </c>
      <c r="Z1217" t="s">
        <v>40</v>
      </c>
      <c r="AA1217">
        <v>0</v>
      </c>
      <c r="AB1217">
        <v>2</v>
      </c>
      <c r="AC1217" t="s">
        <v>41</v>
      </c>
      <c r="AD1217" t="s">
        <v>67</v>
      </c>
      <c r="AE1217" t="s">
        <v>49</v>
      </c>
      <c r="AF1217" s="3">
        <v>2048</v>
      </c>
      <c r="AG1217" s="3">
        <v>52</v>
      </c>
      <c r="AH1217">
        <v>80</v>
      </c>
      <c r="AI1217">
        <v>2</v>
      </c>
      <c r="AJ1217">
        <v>0</v>
      </c>
      <c r="AL1217">
        <v>0</v>
      </c>
      <c r="AM1217">
        <v>1</v>
      </c>
      <c r="AN1217" t="s">
        <v>768</v>
      </c>
      <c r="AO1217" t="s">
        <v>41</v>
      </c>
    </row>
    <row r="1218" spans="1:41" x14ac:dyDescent="0.25">
      <c r="A1218">
        <v>31</v>
      </c>
      <c r="B1218" t="s">
        <v>66</v>
      </c>
      <c r="C1218" t="s">
        <v>55</v>
      </c>
      <c r="D1218">
        <v>26</v>
      </c>
      <c r="E1218" t="s">
        <v>34</v>
      </c>
      <c r="F1218">
        <v>3</v>
      </c>
      <c r="G1218">
        <v>2</v>
      </c>
      <c r="H1218" t="s">
        <v>70</v>
      </c>
      <c r="I1218">
        <v>4</v>
      </c>
      <c r="J1218" t="s">
        <v>51</v>
      </c>
      <c r="K1218">
        <v>5617</v>
      </c>
      <c r="L1218">
        <v>1</v>
      </c>
      <c r="M1218" t="s">
        <v>31</v>
      </c>
      <c r="N1218">
        <v>11</v>
      </c>
      <c r="O1218">
        <v>3</v>
      </c>
      <c r="P1218">
        <v>0</v>
      </c>
      <c r="Q1218">
        <v>10</v>
      </c>
      <c r="R1218">
        <v>4</v>
      </c>
      <c r="S1218">
        <v>10</v>
      </c>
      <c r="T1218">
        <v>0</v>
      </c>
      <c r="U1218">
        <v>8</v>
      </c>
      <c r="V1218" t="s">
        <v>72</v>
      </c>
      <c r="W1218" s="1" t="s">
        <v>599</v>
      </c>
      <c r="Y1218" t="s">
        <v>63</v>
      </c>
      <c r="Z1218" t="s">
        <v>40</v>
      </c>
      <c r="AA1218">
        <v>1</v>
      </c>
      <c r="AB1218">
        <v>0</v>
      </c>
      <c r="AC1218" t="s">
        <v>41</v>
      </c>
      <c r="AD1218" t="s">
        <v>42</v>
      </c>
      <c r="AE1218" t="s">
        <v>43</v>
      </c>
      <c r="AF1218" s="3">
        <v>1952</v>
      </c>
      <c r="AG1218" s="3">
        <v>95</v>
      </c>
      <c r="AH1218">
        <v>80</v>
      </c>
      <c r="AI1218">
        <v>7</v>
      </c>
      <c r="AJ1218">
        <v>0</v>
      </c>
      <c r="AL1218">
        <v>0</v>
      </c>
      <c r="AM1218">
        <v>1</v>
      </c>
      <c r="AN1218" t="s">
        <v>768</v>
      </c>
      <c r="AO1218" t="s">
        <v>41</v>
      </c>
    </row>
    <row r="1219" spans="1:41" x14ac:dyDescent="0.25">
      <c r="A1219">
        <v>43</v>
      </c>
      <c r="B1219" t="s">
        <v>32</v>
      </c>
      <c r="C1219" t="s">
        <v>33</v>
      </c>
      <c r="D1219">
        <v>11</v>
      </c>
      <c r="E1219" t="s">
        <v>34</v>
      </c>
      <c r="F1219">
        <v>3</v>
      </c>
      <c r="G1219">
        <v>3</v>
      </c>
      <c r="H1219" t="s">
        <v>89</v>
      </c>
      <c r="I1219">
        <v>3</v>
      </c>
      <c r="J1219" t="s">
        <v>51</v>
      </c>
      <c r="K1219">
        <v>7510</v>
      </c>
      <c r="L1219">
        <v>1</v>
      </c>
      <c r="M1219" t="s">
        <v>41</v>
      </c>
      <c r="N1219">
        <v>17</v>
      </c>
      <c r="O1219">
        <v>3</v>
      </c>
      <c r="P1219">
        <v>1</v>
      </c>
      <c r="Q1219">
        <v>10</v>
      </c>
      <c r="R1219">
        <v>1</v>
      </c>
      <c r="S1219">
        <v>10</v>
      </c>
      <c r="T1219">
        <v>0</v>
      </c>
      <c r="U1219">
        <v>9</v>
      </c>
      <c r="V1219" t="s">
        <v>72</v>
      </c>
      <c r="W1219" s="1" t="s">
        <v>600</v>
      </c>
      <c r="Y1219" t="s">
        <v>54</v>
      </c>
      <c r="Z1219" t="s">
        <v>47</v>
      </c>
      <c r="AA1219">
        <v>1</v>
      </c>
      <c r="AB1219">
        <v>1</v>
      </c>
      <c r="AC1219" t="s">
        <v>41</v>
      </c>
      <c r="AD1219" t="s">
        <v>42</v>
      </c>
      <c r="AE1219" t="s">
        <v>43</v>
      </c>
      <c r="AF1219" s="3">
        <v>1727</v>
      </c>
      <c r="AG1219" s="3">
        <v>34</v>
      </c>
      <c r="AH1219">
        <v>80</v>
      </c>
      <c r="AI1219">
        <v>7</v>
      </c>
      <c r="AJ1219">
        <v>0</v>
      </c>
      <c r="AL1219">
        <v>0</v>
      </c>
      <c r="AM1219">
        <v>1</v>
      </c>
      <c r="AN1219" t="s">
        <v>768</v>
      </c>
      <c r="AO1219" t="s">
        <v>41</v>
      </c>
    </row>
    <row r="1220" spans="1:41" x14ac:dyDescent="0.25">
      <c r="A1220">
        <v>55</v>
      </c>
      <c r="B1220" t="s">
        <v>32</v>
      </c>
      <c r="C1220" t="s">
        <v>120</v>
      </c>
      <c r="D1220">
        <v>26</v>
      </c>
      <c r="E1220" t="s">
        <v>34</v>
      </c>
      <c r="F1220">
        <v>4</v>
      </c>
      <c r="G1220">
        <v>5</v>
      </c>
      <c r="H1220" t="s">
        <v>75</v>
      </c>
      <c r="I1220">
        <v>2</v>
      </c>
      <c r="J1220" t="s">
        <v>51</v>
      </c>
      <c r="K1220">
        <v>19636</v>
      </c>
      <c r="L1220">
        <v>4</v>
      </c>
      <c r="M1220" t="s">
        <v>31</v>
      </c>
      <c r="N1220">
        <v>18</v>
      </c>
      <c r="O1220">
        <v>3</v>
      </c>
      <c r="P1220">
        <v>1</v>
      </c>
      <c r="Q1220">
        <v>35</v>
      </c>
      <c r="R1220">
        <v>0</v>
      </c>
      <c r="S1220">
        <v>10</v>
      </c>
      <c r="T1220">
        <v>1</v>
      </c>
      <c r="U1220">
        <v>4</v>
      </c>
      <c r="V1220" t="s">
        <v>72</v>
      </c>
      <c r="W1220" s="2">
        <v>40851</v>
      </c>
      <c r="Y1220" t="s">
        <v>54</v>
      </c>
      <c r="Z1220" t="s">
        <v>40</v>
      </c>
      <c r="AA1220">
        <v>1</v>
      </c>
      <c r="AB1220">
        <v>3</v>
      </c>
      <c r="AC1220" t="s">
        <v>41</v>
      </c>
      <c r="AD1220" t="s">
        <v>67</v>
      </c>
      <c r="AE1220" t="s">
        <v>60</v>
      </c>
      <c r="AF1220" s="3">
        <v>1677</v>
      </c>
      <c r="AG1220" s="3">
        <v>36</v>
      </c>
      <c r="AH1220">
        <v>80</v>
      </c>
      <c r="AI1220">
        <v>7</v>
      </c>
      <c r="AJ1220">
        <v>0</v>
      </c>
      <c r="AL1220">
        <v>0</v>
      </c>
      <c r="AM1220">
        <v>1</v>
      </c>
      <c r="AN1220" t="s">
        <v>768</v>
      </c>
      <c r="AO1220" t="s">
        <v>41</v>
      </c>
    </row>
    <row r="1221" spans="1:41" x14ac:dyDescent="0.25">
      <c r="A1221">
        <v>40</v>
      </c>
      <c r="B1221" t="s">
        <v>66</v>
      </c>
      <c r="C1221" t="s">
        <v>33</v>
      </c>
      <c r="D1221">
        <v>11</v>
      </c>
      <c r="E1221" t="s">
        <v>61</v>
      </c>
      <c r="F1221">
        <v>3</v>
      </c>
      <c r="G1221">
        <v>2</v>
      </c>
      <c r="H1221" t="s">
        <v>35</v>
      </c>
      <c r="I1221">
        <v>3</v>
      </c>
      <c r="J1221" t="s">
        <v>51</v>
      </c>
      <c r="K1221">
        <v>6323</v>
      </c>
      <c r="L1221">
        <v>1</v>
      </c>
      <c r="M1221" t="s">
        <v>41</v>
      </c>
      <c r="N1221">
        <v>11</v>
      </c>
      <c r="O1221">
        <v>3</v>
      </c>
      <c r="P1221">
        <v>1</v>
      </c>
      <c r="Q1221">
        <v>10</v>
      </c>
      <c r="R1221">
        <v>2</v>
      </c>
      <c r="S1221">
        <v>10</v>
      </c>
      <c r="T1221">
        <v>9</v>
      </c>
      <c r="U1221">
        <v>4</v>
      </c>
      <c r="V1221" t="s">
        <v>37</v>
      </c>
      <c r="W1221" s="1" t="s">
        <v>560</v>
      </c>
      <c r="Y1221" t="s">
        <v>63</v>
      </c>
      <c r="Z1221" t="s">
        <v>40</v>
      </c>
      <c r="AA1221">
        <v>5</v>
      </c>
      <c r="AB1221">
        <v>3</v>
      </c>
      <c r="AC1221" t="s">
        <v>31</v>
      </c>
      <c r="AD1221" t="s">
        <v>48</v>
      </c>
      <c r="AE1221" t="s">
        <v>43</v>
      </c>
      <c r="AF1221" s="3">
        <v>1623</v>
      </c>
      <c r="AG1221" s="3">
        <v>97</v>
      </c>
      <c r="AH1221">
        <v>80</v>
      </c>
      <c r="AI1221">
        <v>2</v>
      </c>
      <c r="AJ1221">
        <v>0</v>
      </c>
      <c r="AL1221">
        <v>0</v>
      </c>
      <c r="AM1221">
        <v>1</v>
      </c>
      <c r="AN1221" t="s">
        <v>768</v>
      </c>
      <c r="AO1221" t="s">
        <v>41</v>
      </c>
    </row>
    <row r="1222" spans="1:41" x14ac:dyDescent="0.25">
      <c r="A1222">
        <v>35</v>
      </c>
      <c r="B1222" t="s">
        <v>32</v>
      </c>
      <c r="C1222" t="s">
        <v>33</v>
      </c>
      <c r="D1222">
        <v>9</v>
      </c>
      <c r="E1222" t="s">
        <v>34</v>
      </c>
      <c r="F1222">
        <v>3</v>
      </c>
      <c r="G1222">
        <v>2</v>
      </c>
      <c r="H1222" t="s">
        <v>44</v>
      </c>
      <c r="I1222">
        <v>3</v>
      </c>
      <c r="J1222" t="s">
        <v>36</v>
      </c>
      <c r="K1222">
        <v>5098</v>
      </c>
      <c r="L1222">
        <v>1</v>
      </c>
      <c r="M1222" t="s">
        <v>41</v>
      </c>
      <c r="N1222">
        <v>19</v>
      </c>
      <c r="O1222">
        <v>3</v>
      </c>
      <c r="P1222">
        <v>0</v>
      </c>
      <c r="Q1222">
        <v>10</v>
      </c>
      <c r="R1222">
        <v>5</v>
      </c>
      <c r="S1222">
        <v>10</v>
      </c>
      <c r="T1222">
        <v>0</v>
      </c>
      <c r="U1222">
        <v>8</v>
      </c>
      <c r="V1222" t="s">
        <v>37</v>
      </c>
      <c r="W1222" s="1" t="s">
        <v>601</v>
      </c>
      <c r="Y1222" t="s">
        <v>54</v>
      </c>
      <c r="Z1222" t="s">
        <v>40</v>
      </c>
      <c r="AA1222">
        <v>2</v>
      </c>
      <c r="AB1222">
        <v>0</v>
      </c>
      <c r="AC1222" t="s">
        <v>31</v>
      </c>
      <c r="AD1222" t="s">
        <v>48</v>
      </c>
      <c r="AE1222" t="s">
        <v>60</v>
      </c>
      <c r="AF1222" s="3">
        <v>1417</v>
      </c>
      <c r="AG1222" s="3">
        <v>100</v>
      </c>
      <c r="AH1222">
        <v>80</v>
      </c>
      <c r="AI1222">
        <v>7</v>
      </c>
      <c r="AJ1222">
        <v>0</v>
      </c>
      <c r="AL1222">
        <v>0</v>
      </c>
      <c r="AM1222">
        <v>1</v>
      </c>
      <c r="AN1222" t="s">
        <v>768</v>
      </c>
      <c r="AO1222" t="s">
        <v>41</v>
      </c>
    </row>
    <row r="1223" spans="1:41" x14ac:dyDescent="0.25">
      <c r="A1223">
        <v>56</v>
      </c>
      <c r="B1223" t="s">
        <v>32</v>
      </c>
      <c r="C1223" t="s">
        <v>33</v>
      </c>
      <c r="D1223">
        <v>7</v>
      </c>
      <c r="E1223" t="s">
        <v>34</v>
      </c>
      <c r="F1223">
        <v>3</v>
      </c>
      <c r="G1223">
        <v>1</v>
      </c>
      <c r="H1223" t="s">
        <v>35</v>
      </c>
      <c r="I1223">
        <v>3</v>
      </c>
      <c r="J1223" t="s">
        <v>51</v>
      </c>
      <c r="K1223">
        <v>2339</v>
      </c>
      <c r="L1223">
        <v>8</v>
      </c>
      <c r="M1223" t="s">
        <v>41</v>
      </c>
      <c r="N1223">
        <v>11</v>
      </c>
      <c r="O1223">
        <v>3</v>
      </c>
      <c r="P1223">
        <v>1</v>
      </c>
      <c r="Q1223">
        <v>14</v>
      </c>
      <c r="R1223">
        <v>4</v>
      </c>
      <c r="S1223">
        <v>10</v>
      </c>
      <c r="T1223">
        <v>9</v>
      </c>
      <c r="U1223">
        <v>8</v>
      </c>
      <c r="V1223" t="s">
        <v>52</v>
      </c>
      <c r="W1223" s="1" t="s">
        <v>602</v>
      </c>
      <c r="Y1223" t="s">
        <v>46</v>
      </c>
      <c r="Z1223" t="s">
        <v>47</v>
      </c>
      <c r="AA1223">
        <v>5</v>
      </c>
      <c r="AB1223">
        <v>3</v>
      </c>
      <c r="AC1223" t="s">
        <v>41</v>
      </c>
      <c r="AD1223" t="s">
        <v>65</v>
      </c>
      <c r="AE1223" t="s">
        <v>43</v>
      </c>
      <c r="AF1223" s="3">
        <v>1564</v>
      </c>
      <c r="AG1223" s="3">
        <v>68</v>
      </c>
      <c r="AH1223">
        <v>80</v>
      </c>
      <c r="AI1223">
        <v>0</v>
      </c>
      <c r="AJ1223">
        <v>0</v>
      </c>
      <c r="AL1223">
        <v>0</v>
      </c>
      <c r="AM1223">
        <v>1</v>
      </c>
      <c r="AN1223" t="s">
        <v>768</v>
      </c>
      <c r="AO1223" t="s">
        <v>41</v>
      </c>
    </row>
    <row r="1224" spans="1:41" x14ac:dyDescent="0.25">
      <c r="A1224">
        <v>38</v>
      </c>
      <c r="B1224" t="s">
        <v>32</v>
      </c>
      <c r="C1224" t="s">
        <v>55</v>
      </c>
      <c r="D1224">
        <v>10</v>
      </c>
      <c r="E1224" t="s">
        <v>61</v>
      </c>
      <c r="F1224">
        <v>3</v>
      </c>
      <c r="G1224">
        <v>2</v>
      </c>
      <c r="H1224" t="s">
        <v>70</v>
      </c>
      <c r="I1224">
        <v>4</v>
      </c>
      <c r="J1224" t="s">
        <v>51</v>
      </c>
      <c r="K1224">
        <v>5343</v>
      </c>
      <c r="L1224">
        <v>1</v>
      </c>
      <c r="M1224" t="s">
        <v>41</v>
      </c>
      <c r="N1224">
        <v>11</v>
      </c>
      <c r="O1224">
        <v>3</v>
      </c>
      <c r="P1224">
        <v>1</v>
      </c>
      <c r="Q1224">
        <v>10</v>
      </c>
      <c r="R1224">
        <v>1</v>
      </c>
      <c r="S1224">
        <v>10</v>
      </c>
      <c r="T1224">
        <v>1</v>
      </c>
      <c r="U1224">
        <v>9</v>
      </c>
      <c r="V1224" t="s">
        <v>37</v>
      </c>
      <c r="W1224" s="1" t="s">
        <v>596</v>
      </c>
      <c r="Y1224" t="s">
        <v>54</v>
      </c>
      <c r="Z1224" t="s">
        <v>47</v>
      </c>
      <c r="AA1224">
        <v>2</v>
      </c>
      <c r="AB1224">
        <v>1</v>
      </c>
      <c r="AC1224" t="s">
        <v>41</v>
      </c>
      <c r="AD1224" t="s">
        <v>42</v>
      </c>
      <c r="AE1224" t="s">
        <v>49</v>
      </c>
      <c r="AF1224" s="3">
        <v>1545</v>
      </c>
      <c r="AG1224" s="3">
        <v>44</v>
      </c>
      <c r="AH1224">
        <v>80</v>
      </c>
      <c r="AI1224">
        <v>3</v>
      </c>
      <c r="AJ1224">
        <v>0</v>
      </c>
      <c r="AL1224">
        <v>0</v>
      </c>
      <c r="AM1224">
        <v>1</v>
      </c>
      <c r="AN1224" t="s">
        <v>768</v>
      </c>
      <c r="AO1224" t="s">
        <v>41</v>
      </c>
    </row>
    <row r="1225" spans="1:41" x14ac:dyDescent="0.25">
      <c r="A1225">
        <v>35</v>
      </c>
      <c r="B1225" t="s">
        <v>66</v>
      </c>
      <c r="C1225" t="s">
        <v>33</v>
      </c>
      <c r="D1225">
        <v>18</v>
      </c>
      <c r="E1225" t="s">
        <v>34</v>
      </c>
      <c r="F1225">
        <v>3</v>
      </c>
      <c r="G1225">
        <v>2</v>
      </c>
      <c r="H1225" t="s">
        <v>89</v>
      </c>
      <c r="I1225">
        <v>3</v>
      </c>
      <c r="J1225" t="s">
        <v>51</v>
      </c>
      <c r="K1225">
        <v>5689</v>
      </c>
      <c r="L1225">
        <v>1</v>
      </c>
      <c r="M1225" t="s">
        <v>31</v>
      </c>
      <c r="N1225">
        <v>14</v>
      </c>
      <c r="O1225">
        <v>3</v>
      </c>
      <c r="P1225">
        <v>2</v>
      </c>
      <c r="Q1225">
        <v>10</v>
      </c>
      <c r="R1225">
        <v>2</v>
      </c>
      <c r="S1225">
        <v>10</v>
      </c>
      <c r="T1225">
        <v>0</v>
      </c>
      <c r="U1225">
        <v>2</v>
      </c>
      <c r="V1225" t="s">
        <v>52</v>
      </c>
      <c r="W1225" s="1" t="s">
        <v>601</v>
      </c>
      <c r="Y1225" t="s">
        <v>39</v>
      </c>
      <c r="Z1225" t="s">
        <v>47</v>
      </c>
      <c r="AA1225">
        <v>5</v>
      </c>
      <c r="AB1225">
        <v>1</v>
      </c>
      <c r="AC1225" t="s">
        <v>31</v>
      </c>
      <c r="AD1225" t="s">
        <v>67</v>
      </c>
      <c r="AE1225" t="s">
        <v>43</v>
      </c>
      <c r="AF1225" s="3">
        <v>1883</v>
      </c>
      <c r="AG1225" s="3">
        <v>59</v>
      </c>
      <c r="AH1225">
        <v>80</v>
      </c>
      <c r="AI1225">
        <v>2</v>
      </c>
      <c r="AJ1225">
        <v>0</v>
      </c>
      <c r="AL1225">
        <v>0</v>
      </c>
      <c r="AM1225">
        <v>1</v>
      </c>
      <c r="AN1225" t="s">
        <v>768</v>
      </c>
      <c r="AO1225" t="s">
        <v>41</v>
      </c>
    </row>
    <row r="1226" spans="1:41" x14ac:dyDescent="0.25">
      <c r="A1226">
        <v>31</v>
      </c>
      <c r="B1226" t="s">
        <v>32</v>
      </c>
      <c r="C1226" t="s">
        <v>33</v>
      </c>
      <c r="D1226">
        <v>8</v>
      </c>
      <c r="E1226" t="s">
        <v>61</v>
      </c>
      <c r="F1226">
        <v>3</v>
      </c>
      <c r="G1226">
        <v>2</v>
      </c>
      <c r="H1226" t="s">
        <v>78</v>
      </c>
      <c r="I1226">
        <v>4</v>
      </c>
      <c r="J1226" t="s">
        <v>36</v>
      </c>
      <c r="K1226">
        <v>4424</v>
      </c>
      <c r="L1226">
        <v>1</v>
      </c>
      <c r="M1226" t="s">
        <v>41</v>
      </c>
      <c r="N1226">
        <v>23</v>
      </c>
      <c r="O1226">
        <v>4</v>
      </c>
      <c r="P1226">
        <v>0</v>
      </c>
      <c r="Q1226">
        <v>11</v>
      </c>
      <c r="R1226">
        <v>2</v>
      </c>
      <c r="S1226">
        <v>11</v>
      </c>
      <c r="T1226">
        <v>1</v>
      </c>
      <c r="U1226">
        <v>8</v>
      </c>
      <c r="V1226" t="s">
        <v>72</v>
      </c>
      <c r="W1226" s="1" t="s">
        <v>603</v>
      </c>
      <c r="Y1226" t="s">
        <v>69</v>
      </c>
      <c r="Z1226" t="s">
        <v>47</v>
      </c>
      <c r="AA1226">
        <v>2</v>
      </c>
      <c r="AB1226">
        <v>0</v>
      </c>
      <c r="AC1226" t="s">
        <v>41</v>
      </c>
      <c r="AD1226" t="s">
        <v>67</v>
      </c>
      <c r="AE1226" t="s">
        <v>60</v>
      </c>
      <c r="AF1226" s="3">
        <v>2038</v>
      </c>
      <c r="AG1226" s="3">
        <v>78</v>
      </c>
      <c r="AH1226">
        <v>80</v>
      </c>
      <c r="AI1226">
        <v>2</v>
      </c>
      <c r="AJ1226">
        <v>0</v>
      </c>
      <c r="AL1226">
        <v>0</v>
      </c>
      <c r="AM1226">
        <v>1</v>
      </c>
      <c r="AN1226" t="s">
        <v>768</v>
      </c>
      <c r="AO1226" t="s">
        <v>41</v>
      </c>
    </row>
    <row r="1227" spans="1:41" x14ac:dyDescent="0.25">
      <c r="A1227">
        <v>30</v>
      </c>
      <c r="B1227" t="s">
        <v>32</v>
      </c>
      <c r="C1227" t="s">
        <v>33</v>
      </c>
      <c r="D1227">
        <v>2</v>
      </c>
      <c r="E1227" t="s">
        <v>34</v>
      </c>
      <c r="F1227">
        <v>2</v>
      </c>
      <c r="G1227">
        <v>2</v>
      </c>
      <c r="H1227" t="s">
        <v>89</v>
      </c>
      <c r="I1227">
        <v>4</v>
      </c>
      <c r="J1227" t="s">
        <v>51</v>
      </c>
      <c r="K1227">
        <v>4152</v>
      </c>
      <c r="L1227">
        <v>1</v>
      </c>
      <c r="M1227" t="s">
        <v>41</v>
      </c>
      <c r="N1227">
        <v>19</v>
      </c>
      <c r="O1227">
        <v>3</v>
      </c>
      <c r="P1227">
        <v>3</v>
      </c>
      <c r="Q1227">
        <v>11</v>
      </c>
      <c r="R1227">
        <v>3</v>
      </c>
      <c r="S1227">
        <v>11</v>
      </c>
      <c r="T1227">
        <v>10</v>
      </c>
      <c r="U1227">
        <v>8</v>
      </c>
      <c r="V1227" t="s">
        <v>58</v>
      </c>
      <c r="W1227" s="2">
        <v>40335</v>
      </c>
      <c r="Y1227" t="s">
        <v>54</v>
      </c>
      <c r="Z1227" t="s">
        <v>40</v>
      </c>
      <c r="AA1227">
        <v>4</v>
      </c>
      <c r="AB1227">
        <v>1</v>
      </c>
      <c r="AC1227" t="s">
        <v>31</v>
      </c>
      <c r="AD1227" t="s">
        <v>65</v>
      </c>
      <c r="AE1227" t="s">
        <v>60</v>
      </c>
      <c r="AF1227" s="3">
        <v>1475</v>
      </c>
      <c r="AG1227" s="3">
        <v>49</v>
      </c>
      <c r="AH1227">
        <v>80</v>
      </c>
      <c r="AI1227">
        <v>2</v>
      </c>
      <c r="AJ1227">
        <v>0</v>
      </c>
      <c r="AL1227">
        <v>0</v>
      </c>
      <c r="AM1227">
        <v>1</v>
      </c>
      <c r="AN1227" t="s">
        <v>768</v>
      </c>
      <c r="AO1227" t="s">
        <v>41</v>
      </c>
    </row>
    <row r="1228" spans="1:41" x14ac:dyDescent="0.25">
      <c r="A1228">
        <v>30</v>
      </c>
      <c r="B1228" t="s">
        <v>32</v>
      </c>
      <c r="C1228" t="s">
        <v>55</v>
      </c>
      <c r="D1228">
        <v>4</v>
      </c>
      <c r="E1228" t="s">
        <v>61</v>
      </c>
      <c r="F1228">
        <v>2</v>
      </c>
      <c r="G1228">
        <v>2</v>
      </c>
      <c r="H1228" t="s">
        <v>70</v>
      </c>
      <c r="I1228">
        <v>2</v>
      </c>
      <c r="J1228" t="s">
        <v>57</v>
      </c>
      <c r="K1228">
        <v>5209</v>
      </c>
      <c r="L1228">
        <v>1</v>
      </c>
      <c r="M1228" t="s">
        <v>31</v>
      </c>
      <c r="N1228">
        <v>12</v>
      </c>
      <c r="O1228">
        <v>3</v>
      </c>
      <c r="P1228">
        <v>3</v>
      </c>
      <c r="Q1228">
        <v>11</v>
      </c>
      <c r="R1228">
        <v>4</v>
      </c>
      <c r="S1228">
        <v>11</v>
      </c>
      <c r="T1228">
        <v>2</v>
      </c>
      <c r="U1228">
        <v>7</v>
      </c>
      <c r="V1228" t="s">
        <v>37</v>
      </c>
      <c r="W1228" s="1" t="s">
        <v>604</v>
      </c>
      <c r="Y1228" t="s">
        <v>39</v>
      </c>
      <c r="Z1228" t="s">
        <v>47</v>
      </c>
      <c r="AA1228">
        <v>1</v>
      </c>
      <c r="AB1228">
        <v>1</v>
      </c>
      <c r="AC1228" t="s">
        <v>31</v>
      </c>
      <c r="AD1228" t="s">
        <v>42</v>
      </c>
      <c r="AE1228" t="s">
        <v>60</v>
      </c>
      <c r="AF1228" s="3">
        <v>1860</v>
      </c>
      <c r="AG1228" s="3">
        <v>81</v>
      </c>
      <c r="AH1228">
        <v>80</v>
      </c>
      <c r="AI1228">
        <v>0</v>
      </c>
      <c r="AJ1228">
        <v>0</v>
      </c>
      <c r="AL1228">
        <v>0</v>
      </c>
      <c r="AM1228">
        <v>1</v>
      </c>
      <c r="AN1228" t="s">
        <v>768</v>
      </c>
      <c r="AO1228" t="s">
        <v>41</v>
      </c>
    </row>
    <row r="1229" spans="1:41" x14ac:dyDescent="0.25">
      <c r="A1229">
        <v>32</v>
      </c>
      <c r="B1229" t="s">
        <v>32</v>
      </c>
      <c r="C1229" t="s">
        <v>55</v>
      </c>
      <c r="D1229">
        <v>6</v>
      </c>
      <c r="E1229" t="s">
        <v>34</v>
      </c>
      <c r="F1229">
        <v>3</v>
      </c>
      <c r="G1229">
        <v>2</v>
      </c>
      <c r="H1229" t="s">
        <v>70</v>
      </c>
      <c r="I1229">
        <v>3</v>
      </c>
      <c r="J1229" t="s">
        <v>36</v>
      </c>
      <c r="K1229">
        <v>5010</v>
      </c>
      <c r="L1229">
        <v>1</v>
      </c>
      <c r="M1229" t="s">
        <v>41</v>
      </c>
      <c r="N1229">
        <v>16</v>
      </c>
      <c r="O1229">
        <v>3</v>
      </c>
      <c r="P1229">
        <v>0</v>
      </c>
      <c r="Q1229">
        <v>12</v>
      </c>
      <c r="R1229">
        <v>0</v>
      </c>
      <c r="S1229">
        <v>11</v>
      </c>
      <c r="T1229">
        <v>5</v>
      </c>
      <c r="U1229">
        <v>7</v>
      </c>
      <c r="V1229" t="s">
        <v>72</v>
      </c>
      <c r="W1229" s="1" t="s">
        <v>605</v>
      </c>
      <c r="Y1229" t="s">
        <v>69</v>
      </c>
      <c r="Z1229" t="s">
        <v>47</v>
      </c>
      <c r="AA1229">
        <v>2</v>
      </c>
      <c r="AB1229">
        <v>1</v>
      </c>
      <c r="AC1229" t="s">
        <v>41</v>
      </c>
      <c r="AD1229" t="s">
        <v>42</v>
      </c>
      <c r="AE1229" t="s">
        <v>43</v>
      </c>
      <c r="AF1229" s="3">
        <v>2007</v>
      </c>
      <c r="AG1229" s="3">
        <v>63</v>
      </c>
      <c r="AH1229">
        <v>80</v>
      </c>
      <c r="AI1229">
        <v>2</v>
      </c>
      <c r="AJ1229">
        <v>0</v>
      </c>
      <c r="AL1229">
        <v>0</v>
      </c>
      <c r="AM1229">
        <v>1</v>
      </c>
      <c r="AN1229" t="s">
        <v>768</v>
      </c>
      <c r="AO1229" t="s">
        <v>41</v>
      </c>
    </row>
    <row r="1230" spans="1:41" x14ac:dyDescent="0.25">
      <c r="A1230">
        <v>34</v>
      </c>
      <c r="B1230" t="s">
        <v>32</v>
      </c>
      <c r="C1230" t="s">
        <v>33</v>
      </c>
      <c r="D1230">
        <v>5</v>
      </c>
      <c r="E1230" t="s">
        <v>61</v>
      </c>
      <c r="F1230">
        <v>2</v>
      </c>
      <c r="G1230">
        <v>3</v>
      </c>
      <c r="H1230" t="s">
        <v>75</v>
      </c>
      <c r="I1230">
        <v>1</v>
      </c>
      <c r="J1230" t="s">
        <v>36</v>
      </c>
      <c r="K1230">
        <v>11631</v>
      </c>
      <c r="L1230">
        <v>2</v>
      </c>
      <c r="M1230" t="s">
        <v>41</v>
      </c>
      <c r="N1230">
        <v>12</v>
      </c>
      <c r="O1230">
        <v>3</v>
      </c>
      <c r="P1230">
        <v>0</v>
      </c>
      <c r="Q1230">
        <v>14</v>
      </c>
      <c r="R1230">
        <v>6</v>
      </c>
      <c r="S1230">
        <v>11</v>
      </c>
      <c r="T1230">
        <v>5</v>
      </c>
      <c r="U1230">
        <v>8</v>
      </c>
      <c r="V1230" t="s">
        <v>72</v>
      </c>
      <c r="W1230" s="2">
        <v>40299</v>
      </c>
      <c r="Y1230" t="s">
        <v>46</v>
      </c>
      <c r="Z1230" t="s">
        <v>40</v>
      </c>
      <c r="AA1230">
        <v>0</v>
      </c>
      <c r="AB1230">
        <v>1</v>
      </c>
      <c r="AC1230" t="s">
        <v>41</v>
      </c>
      <c r="AD1230" t="s">
        <v>42</v>
      </c>
      <c r="AE1230" t="s">
        <v>43</v>
      </c>
      <c r="AF1230" s="3">
        <v>1982</v>
      </c>
      <c r="AG1230" s="3">
        <v>78</v>
      </c>
      <c r="AH1230">
        <v>80</v>
      </c>
      <c r="AI1230">
        <v>2</v>
      </c>
      <c r="AJ1230">
        <v>0</v>
      </c>
      <c r="AL1230">
        <v>0</v>
      </c>
      <c r="AM1230">
        <v>1</v>
      </c>
      <c r="AN1230" t="s">
        <v>768</v>
      </c>
      <c r="AO1230" t="s">
        <v>41</v>
      </c>
    </row>
    <row r="1231" spans="1:41" x14ac:dyDescent="0.25">
      <c r="A1231">
        <v>30</v>
      </c>
      <c r="B1231" t="s">
        <v>32</v>
      </c>
      <c r="C1231" t="s">
        <v>120</v>
      </c>
      <c r="D1231">
        <v>9</v>
      </c>
      <c r="E1231" t="s">
        <v>34</v>
      </c>
      <c r="F1231">
        <v>3</v>
      </c>
      <c r="G1231">
        <v>2</v>
      </c>
      <c r="H1231" t="s">
        <v>120</v>
      </c>
      <c r="I1231">
        <v>4</v>
      </c>
      <c r="J1231" t="s">
        <v>51</v>
      </c>
      <c r="K1231">
        <v>6347</v>
      </c>
      <c r="L1231">
        <v>0</v>
      </c>
      <c r="M1231" t="s">
        <v>31</v>
      </c>
      <c r="N1231">
        <v>19</v>
      </c>
      <c r="O1231">
        <v>3</v>
      </c>
      <c r="P1231">
        <v>0</v>
      </c>
      <c r="Q1231">
        <v>12</v>
      </c>
      <c r="R1231">
        <v>2</v>
      </c>
      <c r="S1231">
        <v>11</v>
      </c>
      <c r="T1231">
        <v>4</v>
      </c>
      <c r="U1231">
        <v>7</v>
      </c>
      <c r="V1231" t="s">
        <v>52</v>
      </c>
      <c r="W1231" s="2">
        <v>40239</v>
      </c>
      <c r="Y1231" t="s">
        <v>46</v>
      </c>
      <c r="Z1231" t="s">
        <v>47</v>
      </c>
      <c r="AA1231">
        <v>5</v>
      </c>
      <c r="AB1231">
        <v>2</v>
      </c>
      <c r="AC1231" t="s">
        <v>41</v>
      </c>
      <c r="AD1231" t="s">
        <v>42</v>
      </c>
      <c r="AE1231" t="s">
        <v>60</v>
      </c>
      <c r="AF1231" s="3">
        <v>1472</v>
      </c>
      <c r="AG1231" s="3">
        <v>39</v>
      </c>
      <c r="AH1231">
        <v>80</v>
      </c>
      <c r="AI1231">
        <v>8</v>
      </c>
      <c r="AJ1231">
        <v>0</v>
      </c>
      <c r="AL1231">
        <v>0</v>
      </c>
      <c r="AM1231">
        <v>1</v>
      </c>
      <c r="AN1231" t="s">
        <v>768</v>
      </c>
      <c r="AO1231" t="s">
        <v>41</v>
      </c>
    </row>
    <row r="1232" spans="1:41" x14ac:dyDescent="0.25">
      <c r="A1232">
        <v>30</v>
      </c>
      <c r="B1232" t="s">
        <v>81</v>
      </c>
      <c r="C1232" t="s">
        <v>33</v>
      </c>
      <c r="D1232">
        <v>1</v>
      </c>
      <c r="E1232" t="s">
        <v>34</v>
      </c>
      <c r="F1232">
        <v>2</v>
      </c>
      <c r="G1232">
        <v>3</v>
      </c>
      <c r="H1232" t="s">
        <v>78</v>
      </c>
      <c r="I1232">
        <v>3</v>
      </c>
      <c r="J1232" t="s">
        <v>36</v>
      </c>
      <c r="K1232">
        <v>8474</v>
      </c>
      <c r="L1232">
        <v>1</v>
      </c>
      <c r="M1232" t="s">
        <v>41</v>
      </c>
      <c r="N1232">
        <v>22</v>
      </c>
      <c r="O1232">
        <v>4</v>
      </c>
      <c r="P1232">
        <v>0</v>
      </c>
      <c r="Q1232">
        <v>12</v>
      </c>
      <c r="R1232">
        <v>2</v>
      </c>
      <c r="S1232">
        <v>11</v>
      </c>
      <c r="T1232">
        <v>5</v>
      </c>
      <c r="U1232">
        <v>8</v>
      </c>
      <c r="V1232" t="s">
        <v>37</v>
      </c>
      <c r="W1232" s="1" t="s">
        <v>606</v>
      </c>
      <c r="Y1232" t="s">
        <v>46</v>
      </c>
      <c r="Z1232" t="s">
        <v>40</v>
      </c>
      <c r="AA1232">
        <v>4</v>
      </c>
      <c r="AB1232">
        <v>2</v>
      </c>
      <c r="AC1232" t="s">
        <v>41</v>
      </c>
      <c r="AD1232" t="s">
        <v>48</v>
      </c>
      <c r="AE1232" t="s">
        <v>60</v>
      </c>
      <c r="AF1232" s="3">
        <v>1453</v>
      </c>
      <c r="AG1232" s="3">
        <v>31</v>
      </c>
      <c r="AH1232">
        <v>80</v>
      </c>
      <c r="AI1232">
        <v>7</v>
      </c>
      <c r="AJ1232">
        <v>0</v>
      </c>
      <c r="AL1232">
        <v>0</v>
      </c>
      <c r="AM1232">
        <v>1</v>
      </c>
      <c r="AN1232" t="s">
        <v>768</v>
      </c>
      <c r="AO1232" t="s">
        <v>41</v>
      </c>
    </row>
    <row r="1233" spans="1:41" x14ac:dyDescent="0.25">
      <c r="A1233">
        <v>29</v>
      </c>
      <c r="B1233" t="s">
        <v>66</v>
      </c>
      <c r="C1233" t="s">
        <v>55</v>
      </c>
      <c r="D1233">
        <v>1</v>
      </c>
      <c r="E1233" t="s">
        <v>61</v>
      </c>
      <c r="F1233">
        <v>3</v>
      </c>
      <c r="G1233">
        <v>3</v>
      </c>
      <c r="H1233" t="s">
        <v>70</v>
      </c>
      <c r="I1233">
        <v>4</v>
      </c>
      <c r="J1233" t="s">
        <v>51</v>
      </c>
      <c r="K1233">
        <v>7918</v>
      </c>
      <c r="L1233">
        <v>1</v>
      </c>
      <c r="M1233" t="s">
        <v>41</v>
      </c>
      <c r="N1233">
        <v>14</v>
      </c>
      <c r="O1233">
        <v>3</v>
      </c>
      <c r="P1233">
        <v>1</v>
      </c>
      <c r="Q1233">
        <v>11</v>
      </c>
      <c r="R1233">
        <v>5</v>
      </c>
      <c r="S1233">
        <v>11</v>
      </c>
      <c r="T1233">
        <v>4</v>
      </c>
      <c r="U1233">
        <v>1</v>
      </c>
      <c r="V1233" t="s">
        <v>52</v>
      </c>
      <c r="W1233" s="1" t="s">
        <v>607</v>
      </c>
      <c r="Y1233" t="s">
        <v>54</v>
      </c>
      <c r="Z1233" t="s">
        <v>40</v>
      </c>
      <c r="AA1233">
        <v>3</v>
      </c>
      <c r="AB1233">
        <v>3</v>
      </c>
      <c r="AC1233" t="s">
        <v>31</v>
      </c>
      <c r="AD1233" t="s">
        <v>48</v>
      </c>
      <c r="AE1233" t="s">
        <v>49</v>
      </c>
      <c r="AF1233" s="3">
        <v>1754</v>
      </c>
      <c r="AG1233" s="3">
        <v>94</v>
      </c>
      <c r="AH1233">
        <v>80</v>
      </c>
      <c r="AI1233">
        <v>7</v>
      </c>
      <c r="AJ1233">
        <v>0</v>
      </c>
      <c r="AL1233">
        <v>0</v>
      </c>
      <c r="AM1233">
        <v>1</v>
      </c>
      <c r="AN1233" t="s">
        <v>768</v>
      </c>
      <c r="AO1233" t="s">
        <v>41</v>
      </c>
    </row>
    <row r="1234" spans="1:41" x14ac:dyDescent="0.25">
      <c r="A1234">
        <v>34</v>
      </c>
      <c r="B1234" t="s">
        <v>32</v>
      </c>
      <c r="C1234" t="s">
        <v>33</v>
      </c>
      <c r="D1234">
        <v>2</v>
      </c>
      <c r="E1234" t="s">
        <v>34</v>
      </c>
      <c r="F1234">
        <v>2</v>
      </c>
      <c r="G1234">
        <v>2</v>
      </c>
      <c r="H1234" t="s">
        <v>78</v>
      </c>
      <c r="I1234">
        <v>1</v>
      </c>
      <c r="J1234" t="s">
        <v>51</v>
      </c>
      <c r="K1234">
        <v>5957</v>
      </c>
      <c r="L1234">
        <v>6</v>
      </c>
      <c r="M1234" t="s">
        <v>41</v>
      </c>
      <c r="N1234">
        <v>13</v>
      </c>
      <c r="O1234">
        <v>3</v>
      </c>
      <c r="P1234">
        <v>1</v>
      </c>
      <c r="Q1234">
        <v>13</v>
      </c>
      <c r="R1234">
        <v>3</v>
      </c>
      <c r="S1234">
        <v>11</v>
      </c>
      <c r="T1234">
        <v>5</v>
      </c>
      <c r="U1234">
        <v>9</v>
      </c>
      <c r="V1234" t="s">
        <v>72</v>
      </c>
      <c r="W1234" s="1" t="s">
        <v>608</v>
      </c>
      <c r="Y1234" t="s">
        <v>46</v>
      </c>
      <c r="Z1234" t="s">
        <v>40</v>
      </c>
      <c r="AA1234">
        <v>3</v>
      </c>
      <c r="AB1234">
        <v>2</v>
      </c>
      <c r="AC1234" t="s">
        <v>31</v>
      </c>
      <c r="AD1234" t="s">
        <v>48</v>
      </c>
      <c r="AE1234" t="s">
        <v>60</v>
      </c>
      <c r="AF1234" s="3">
        <v>2037</v>
      </c>
      <c r="AG1234" s="3">
        <v>57</v>
      </c>
      <c r="AH1234">
        <v>80</v>
      </c>
      <c r="AI1234">
        <v>4</v>
      </c>
      <c r="AJ1234">
        <v>0</v>
      </c>
      <c r="AL1234">
        <v>0</v>
      </c>
      <c r="AM1234">
        <v>1</v>
      </c>
      <c r="AN1234" t="s">
        <v>768</v>
      </c>
      <c r="AO1234" t="s">
        <v>41</v>
      </c>
    </row>
    <row r="1235" spans="1:41" x14ac:dyDescent="0.25">
      <c r="A1235">
        <v>35</v>
      </c>
      <c r="B1235" t="s">
        <v>32</v>
      </c>
      <c r="C1235" t="s">
        <v>55</v>
      </c>
      <c r="D1235">
        <v>16</v>
      </c>
      <c r="E1235" t="s">
        <v>34</v>
      </c>
      <c r="F1235">
        <v>3</v>
      </c>
      <c r="G1235">
        <v>3</v>
      </c>
      <c r="H1235" t="s">
        <v>70</v>
      </c>
      <c r="I1235">
        <v>2</v>
      </c>
      <c r="J1235" t="s">
        <v>51</v>
      </c>
      <c r="K1235">
        <v>8020</v>
      </c>
      <c r="L1235">
        <v>0</v>
      </c>
      <c r="M1235" t="s">
        <v>41</v>
      </c>
      <c r="N1235">
        <v>15</v>
      </c>
      <c r="O1235">
        <v>3</v>
      </c>
      <c r="P1235">
        <v>2</v>
      </c>
      <c r="Q1235">
        <v>12</v>
      </c>
      <c r="R1235">
        <v>3</v>
      </c>
      <c r="S1235">
        <v>11</v>
      </c>
      <c r="T1235">
        <v>6</v>
      </c>
      <c r="U1235">
        <v>9</v>
      </c>
      <c r="V1235" t="s">
        <v>52</v>
      </c>
      <c r="W1235" s="1" t="s">
        <v>609</v>
      </c>
      <c r="Y1235" t="s">
        <v>63</v>
      </c>
      <c r="Z1235" t="s">
        <v>47</v>
      </c>
      <c r="AA1235">
        <v>1</v>
      </c>
      <c r="AB1235">
        <v>3</v>
      </c>
      <c r="AC1235" t="s">
        <v>31</v>
      </c>
      <c r="AD1235" t="s">
        <v>67</v>
      </c>
      <c r="AE1235" t="s">
        <v>49</v>
      </c>
      <c r="AF1235" s="3">
        <v>1951</v>
      </c>
      <c r="AG1235" s="3">
        <v>39</v>
      </c>
      <c r="AH1235">
        <v>80</v>
      </c>
      <c r="AI1235">
        <v>7</v>
      </c>
      <c r="AJ1235">
        <v>0</v>
      </c>
      <c r="AL1235">
        <v>0</v>
      </c>
      <c r="AM1235">
        <v>1</v>
      </c>
      <c r="AN1235" t="s">
        <v>768</v>
      </c>
      <c r="AO1235" t="s">
        <v>41</v>
      </c>
    </row>
    <row r="1236" spans="1:41" x14ac:dyDescent="0.25">
      <c r="A1236">
        <v>38</v>
      </c>
      <c r="B1236" t="s">
        <v>32</v>
      </c>
      <c r="C1236" t="s">
        <v>33</v>
      </c>
      <c r="D1236">
        <v>15</v>
      </c>
      <c r="E1236" t="s">
        <v>34</v>
      </c>
      <c r="F1236">
        <v>2</v>
      </c>
      <c r="G1236">
        <v>3</v>
      </c>
      <c r="H1236" t="s">
        <v>50</v>
      </c>
      <c r="I1236">
        <v>4</v>
      </c>
      <c r="J1236" t="s">
        <v>57</v>
      </c>
      <c r="K1236">
        <v>11510</v>
      </c>
      <c r="L1236">
        <v>0</v>
      </c>
      <c r="M1236" t="s">
        <v>31</v>
      </c>
      <c r="N1236">
        <v>14</v>
      </c>
      <c r="O1236">
        <v>3</v>
      </c>
      <c r="P1236">
        <v>1</v>
      </c>
      <c r="Q1236">
        <v>12</v>
      </c>
      <c r="R1236">
        <v>3</v>
      </c>
      <c r="S1236">
        <v>11</v>
      </c>
      <c r="T1236">
        <v>2</v>
      </c>
      <c r="U1236">
        <v>9</v>
      </c>
      <c r="V1236" t="s">
        <v>37</v>
      </c>
      <c r="W1236" s="1" t="s">
        <v>610</v>
      </c>
      <c r="Y1236" t="s">
        <v>63</v>
      </c>
      <c r="Z1236" t="s">
        <v>47</v>
      </c>
      <c r="AA1236">
        <v>1</v>
      </c>
      <c r="AB1236">
        <v>3</v>
      </c>
      <c r="AC1236" t="s">
        <v>41</v>
      </c>
      <c r="AD1236" t="s">
        <v>42</v>
      </c>
      <c r="AE1236" t="s">
        <v>60</v>
      </c>
      <c r="AF1236" s="3">
        <v>1497</v>
      </c>
      <c r="AG1236" s="3">
        <v>77</v>
      </c>
      <c r="AH1236">
        <v>80</v>
      </c>
      <c r="AI1236">
        <v>7</v>
      </c>
      <c r="AJ1236">
        <v>0</v>
      </c>
      <c r="AL1236">
        <v>0</v>
      </c>
      <c r="AM1236">
        <v>1</v>
      </c>
      <c r="AN1236" t="s">
        <v>768</v>
      </c>
      <c r="AO1236" t="s">
        <v>41</v>
      </c>
    </row>
    <row r="1237" spans="1:41" x14ac:dyDescent="0.25">
      <c r="A1237">
        <v>31</v>
      </c>
      <c r="B1237" t="s">
        <v>32</v>
      </c>
      <c r="C1237" t="s">
        <v>33</v>
      </c>
      <c r="D1237">
        <v>7</v>
      </c>
      <c r="E1237" t="s">
        <v>61</v>
      </c>
      <c r="F1237">
        <v>3</v>
      </c>
      <c r="G1237">
        <v>3</v>
      </c>
      <c r="H1237" t="s">
        <v>78</v>
      </c>
      <c r="I1237">
        <v>4</v>
      </c>
      <c r="J1237" t="s">
        <v>36</v>
      </c>
      <c r="K1237">
        <v>7143</v>
      </c>
      <c r="L1237">
        <v>1</v>
      </c>
      <c r="M1237" t="s">
        <v>31</v>
      </c>
      <c r="N1237">
        <v>14</v>
      </c>
      <c r="O1237">
        <v>3</v>
      </c>
      <c r="P1237">
        <v>0</v>
      </c>
      <c r="Q1237">
        <v>11</v>
      </c>
      <c r="R1237">
        <v>2</v>
      </c>
      <c r="S1237">
        <v>11</v>
      </c>
      <c r="T1237">
        <v>4</v>
      </c>
      <c r="U1237">
        <v>10</v>
      </c>
      <c r="V1237" t="s">
        <v>72</v>
      </c>
      <c r="W1237" s="1" t="s">
        <v>611</v>
      </c>
      <c r="Y1237" t="s">
        <v>46</v>
      </c>
      <c r="Z1237" t="s">
        <v>47</v>
      </c>
      <c r="AA1237">
        <v>4</v>
      </c>
      <c r="AB1237">
        <v>3</v>
      </c>
      <c r="AC1237" t="s">
        <v>31</v>
      </c>
      <c r="AD1237" t="s">
        <v>65</v>
      </c>
      <c r="AE1237" t="s">
        <v>49</v>
      </c>
      <c r="AF1237" s="3">
        <v>1670</v>
      </c>
      <c r="AG1237" s="3">
        <v>93</v>
      </c>
      <c r="AH1237">
        <v>80</v>
      </c>
      <c r="AI1237">
        <v>2</v>
      </c>
      <c r="AJ1237">
        <v>0</v>
      </c>
      <c r="AL1237">
        <v>0</v>
      </c>
      <c r="AM1237">
        <v>1</v>
      </c>
      <c r="AN1237" t="s">
        <v>768</v>
      </c>
      <c r="AO1237" t="s">
        <v>41</v>
      </c>
    </row>
    <row r="1238" spans="1:41" x14ac:dyDescent="0.25">
      <c r="A1238">
        <v>30</v>
      </c>
      <c r="B1238" t="s">
        <v>81</v>
      </c>
      <c r="C1238" t="s">
        <v>33</v>
      </c>
      <c r="D1238">
        <v>2</v>
      </c>
      <c r="E1238" t="s">
        <v>61</v>
      </c>
      <c r="F1238">
        <v>3</v>
      </c>
      <c r="G1238">
        <v>1</v>
      </c>
      <c r="H1238" t="s">
        <v>35</v>
      </c>
      <c r="I1238">
        <v>4</v>
      </c>
      <c r="J1238" t="s">
        <v>36</v>
      </c>
      <c r="K1238">
        <v>2564</v>
      </c>
      <c r="L1238">
        <v>0</v>
      </c>
      <c r="M1238" t="s">
        <v>41</v>
      </c>
      <c r="N1238">
        <v>14</v>
      </c>
      <c r="O1238">
        <v>3</v>
      </c>
      <c r="P1238">
        <v>0</v>
      </c>
      <c r="Q1238">
        <v>12</v>
      </c>
      <c r="R1238">
        <v>2</v>
      </c>
      <c r="S1238">
        <v>11</v>
      </c>
      <c r="T1238">
        <v>6</v>
      </c>
      <c r="U1238">
        <v>7</v>
      </c>
      <c r="V1238" t="s">
        <v>37</v>
      </c>
      <c r="W1238" s="1" t="s">
        <v>612</v>
      </c>
      <c r="Y1238" t="s">
        <v>54</v>
      </c>
      <c r="Z1238" t="s">
        <v>47</v>
      </c>
      <c r="AA1238">
        <v>0</v>
      </c>
      <c r="AB1238">
        <v>0</v>
      </c>
      <c r="AC1238" t="s">
        <v>41</v>
      </c>
      <c r="AD1238" t="s">
        <v>67</v>
      </c>
      <c r="AE1238" t="s">
        <v>43</v>
      </c>
      <c r="AF1238" s="3">
        <v>1466</v>
      </c>
      <c r="AG1238" s="3">
        <v>96</v>
      </c>
      <c r="AH1238">
        <v>80</v>
      </c>
      <c r="AI1238">
        <v>2</v>
      </c>
      <c r="AJ1238">
        <v>0</v>
      </c>
      <c r="AL1238">
        <v>0</v>
      </c>
      <c r="AM1238">
        <v>1</v>
      </c>
      <c r="AN1238" t="s">
        <v>768</v>
      </c>
      <c r="AO1238" t="s">
        <v>41</v>
      </c>
    </row>
    <row r="1239" spans="1:41" x14ac:dyDescent="0.25">
      <c r="A1239">
        <v>35</v>
      </c>
      <c r="B1239" t="s">
        <v>32</v>
      </c>
      <c r="C1239" t="s">
        <v>55</v>
      </c>
      <c r="D1239">
        <v>1</v>
      </c>
      <c r="E1239" t="s">
        <v>34</v>
      </c>
      <c r="F1239">
        <v>3</v>
      </c>
      <c r="G1239">
        <v>2</v>
      </c>
      <c r="H1239" t="s">
        <v>70</v>
      </c>
      <c r="I1239">
        <v>3</v>
      </c>
      <c r="J1239" t="s">
        <v>51</v>
      </c>
      <c r="K1239">
        <v>4717</v>
      </c>
      <c r="L1239">
        <v>9</v>
      </c>
      <c r="M1239" t="s">
        <v>41</v>
      </c>
      <c r="N1239">
        <v>11</v>
      </c>
      <c r="O1239">
        <v>3</v>
      </c>
      <c r="P1239">
        <v>0</v>
      </c>
      <c r="Q1239">
        <v>15</v>
      </c>
      <c r="R1239">
        <v>2</v>
      </c>
      <c r="S1239">
        <v>11</v>
      </c>
      <c r="T1239">
        <v>6</v>
      </c>
      <c r="U1239">
        <v>9</v>
      </c>
      <c r="V1239" t="s">
        <v>72</v>
      </c>
      <c r="W1239" s="1" t="s">
        <v>613</v>
      </c>
      <c r="Y1239" t="s">
        <v>69</v>
      </c>
      <c r="Z1239" t="s">
        <v>40</v>
      </c>
      <c r="AA1239">
        <v>5</v>
      </c>
      <c r="AB1239">
        <v>1</v>
      </c>
      <c r="AC1239" t="s">
        <v>41</v>
      </c>
      <c r="AD1239" t="s">
        <v>42</v>
      </c>
      <c r="AE1239" t="s">
        <v>43</v>
      </c>
      <c r="AF1239" s="3">
        <v>1548</v>
      </c>
      <c r="AG1239" s="3">
        <v>47</v>
      </c>
      <c r="AH1239">
        <v>80</v>
      </c>
      <c r="AI1239">
        <v>4</v>
      </c>
      <c r="AJ1239">
        <v>0</v>
      </c>
      <c r="AL1239">
        <v>0</v>
      </c>
      <c r="AM1239">
        <v>1</v>
      </c>
      <c r="AN1239" t="s">
        <v>768</v>
      </c>
      <c r="AO1239" t="s">
        <v>41</v>
      </c>
    </row>
    <row r="1240" spans="1:41" x14ac:dyDescent="0.25">
      <c r="A1240">
        <v>36</v>
      </c>
      <c r="B1240" t="s">
        <v>32</v>
      </c>
      <c r="C1240" t="s">
        <v>33</v>
      </c>
      <c r="D1240">
        <v>2</v>
      </c>
      <c r="E1240" t="s">
        <v>34</v>
      </c>
      <c r="F1240">
        <v>3</v>
      </c>
      <c r="G1240">
        <v>1</v>
      </c>
      <c r="H1240" t="s">
        <v>35</v>
      </c>
      <c r="I1240">
        <v>3</v>
      </c>
      <c r="J1240" t="s">
        <v>36</v>
      </c>
      <c r="K1240">
        <v>2519</v>
      </c>
      <c r="L1240">
        <v>4</v>
      </c>
      <c r="M1240" t="s">
        <v>41</v>
      </c>
      <c r="N1240">
        <v>21</v>
      </c>
      <c r="O1240">
        <v>4</v>
      </c>
      <c r="P1240">
        <v>0</v>
      </c>
      <c r="Q1240">
        <v>16</v>
      </c>
      <c r="R1240">
        <v>6</v>
      </c>
      <c r="S1240">
        <v>11</v>
      </c>
      <c r="T1240">
        <v>3</v>
      </c>
      <c r="U1240">
        <v>9</v>
      </c>
      <c r="V1240" t="s">
        <v>37</v>
      </c>
      <c r="W1240" s="1" t="s">
        <v>614</v>
      </c>
      <c r="Y1240" t="s">
        <v>69</v>
      </c>
      <c r="Z1240" t="s">
        <v>40</v>
      </c>
      <c r="AA1240">
        <v>0</v>
      </c>
      <c r="AB1240">
        <v>3</v>
      </c>
      <c r="AC1240" t="s">
        <v>41</v>
      </c>
      <c r="AD1240" t="s">
        <v>65</v>
      </c>
      <c r="AE1240" t="s">
        <v>49</v>
      </c>
      <c r="AF1240" s="3">
        <v>1560</v>
      </c>
      <c r="AG1240" s="3">
        <v>46</v>
      </c>
      <c r="AH1240">
        <v>80</v>
      </c>
      <c r="AI1240">
        <v>2</v>
      </c>
      <c r="AJ1240">
        <v>0</v>
      </c>
      <c r="AL1240">
        <v>0</v>
      </c>
      <c r="AM1240">
        <v>1</v>
      </c>
      <c r="AN1240" t="s">
        <v>768</v>
      </c>
      <c r="AO1240" t="s">
        <v>41</v>
      </c>
    </row>
    <row r="1241" spans="1:41" x14ac:dyDescent="0.25">
      <c r="A1241">
        <v>40</v>
      </c>
      <c r="B1241" t="s">
        <v>32</v>
      </c>
      <c r="C1241" t="s">
        <v>33</v>
      </c>
      <c r="D1241">
        <v>20</v>
      </c>
      <c r="E1241" t="s">
        <v>34</v>
      </c>
      <c r="F1241">
        <v>3</v>
      </c>
      <c r="G1241">
        <v>3</v>
      </c>
      <c r="H1241" t="s">
        <v>89</v>
      </c>
      <c r="I1241">
        <v>4</v>
      </c>
      <c r="J1241" t="s">
        <v>51</v>
      </c>
      <c r="K1241">
        <v>10322</v>
      </c>
      <c r="L1241">
        <v>4</v>
      </c>
      <c r="M1241" t="s">
        <v>41</v>
      </c>
      <c r="N1241">
        <v>20</v>
      </c>
      <c r="O1241">
        <v>4</v>
      </c>
      <c r="P1241">
        <v>1</v>
      </c>
      <c r="Q1241">
        <v>14</v>
      </c>
      <c r="R1241">
        <v>6</v>
      </c>
      <c r="S1241">
        <v>11</v>
      </c>
      <c r="T1241">
        <v>11</v>
      </c>
      <c r="U1241">
        <v>1</v>
      </c>
      <c r="V1241" t="s">
        <v>72</v>
      </c>
      <c r="W1241" s="2">
        <v>40365</v>
      </c>
      <c r="Y1241" t="s">
        <v>39</v>
      </c>
      <c r="Z1241" t="s">
        <v>47</v>
      </c>
      <c r="AA1241">
        <v>3</v>
      </c>
      <c r="AB1241">
        <v>3</v>
      </c>
      <c r="AC1241" t="s">
        <v>31</v>
      </c>
      <c r="AD1241" t="s">
        <v>67</v>
      </c>
      <c r="AE1241" t="s">
        <v>43</v>
      </c>
      <c r="AF1241" s="3">
        <v>1996</v>
      </c>
      <c r="AG1241" s="3">
        <v>54</v>
      </c>
      <c r="AH1241">
        <v>80</v>
      </c>
      <c r="AI1241">
        <v>2</v>
      </c>
      <c r="AJ1241">
        <v>0</v>
      </c>
      <c r="AL1241">
        <v>0</v>
      </c>
      <c r="AM1241">
        <v>1</v>
      </c>
      <c r="AN1241" t="s">
        <v>768</v>
      </c>
      <c r="AO1241" t="s">
        <v>41</v>
      </c>
    </row>
    <row r="1242" spans="1:41" x14ac:dyDescent="0.25">
      <c r="A1242">
        <v>36</v>
      </c>
      <c r="B1242" t="s">
        <v>81</v>
      </c>
      <c r="C1242" t="s">
        <v>33</v>
      </c>
      <c r="D1242">
        <v>18</v>
      </c>
      <c r="E1242" t="s">
        <v>34</v>
      </c>
      <c r="F1242">
        <v>3</v>
      </c>
      <c r="G1242">
        <v>2</v>
      </c>
      <c r="H1242" t="s">
        <v>78</v>
      </c>
      <c r="I1242">
        <v>4</v>
      </c>
      <c r="J1242" t="s">
        <v>36</v>
      </c>
      <c r="K1242">
        <v>7779</v>
      </c>
      <c r="L1242">
        <v>2</v>
      </c>
      <c r="M1242" t="s">
        <v>41</v>
      </c>
      <c r="N1242">
        <v>20</v>
      </c>
      <c r="O1242">
        <v>4</v>
      </c>
      <c r="P1242">
        <v>0</v>
      </c>
      <c r="Q1242">
        <v>18</v>
      </c>
      <c r="R1242">
        <v>0</v>
      </c>
      <c r="S1242">
        <v>11</v>
      </c>
      <c r="T1242">
        <v>0</v>
      </c>
      <c r="U1242">
        <v>9</v>
      </c>
      <c r="V1242" t="s">
        <v>52</v>
      </c>
      <c r="W1242" s="1" t="s">
        <v>615</v>
      </c>
      <c r="Y1242" t="s">
        <v>63</v>
      </c>
      <c r="Z1242" t="s">
        <v>47</v>
      </c>
      <c r="AA1242">
        <v>4</v>
      </c>
      <c r="AB1242">
        <v>3</v>
      </c>
      <c r="AC1242" t="s">
        <v>41</v>
      </c>
      <c r="AD1242" t="s">
        <v>48</v>
      </c>
      <c r="AE1242" t="s">
        <v>60</v>
      </c>
      <c r="AF1242" s="3">
        <v>1749</v>
      </c>
      <c r="AG1242" s="3">
        <v>51</v>
      </c>
      <c r="AH1242">
        <v>80</v>
      </c>
      <c r="AI1242">
        <v>2</v>
      </c>
      <c r="AJ1242">
        <v>0</v>
      </c>
      <c r="AL1242">
        <v>0</v>
      </c>
      <c r="AM1242">
        <v>1</v>
      </c>
      <c r="AN1242" t="s">
        <v>768</v>
      </c>
      <c r="AO1242" t="s">
        <v>41</v>
      </c>
    </row>
    <row r="1243" spans="1:41" x14ac:dyDescent="0.25">
      <c r="A1243">
        <v>29</v>
      </c>
      <c r="B1243" t="s">
        <v>32</v>
      </c>
      <c r="C1243" t="s">
        <v>55</v>
      </c>
      <c r="D1243">
        <v>23</v>
      </c>
      <c r="E1243" t="s">
        <v>61</v>
      </c>
      <c r="F1243">
        <v>2</v>
      </c>
      <c r="G1243">
        <v>3</v>
      </c>
      <c r="H1243" t="s">
        <v>70</v>
      </c>
      <c r="I1243">
        <v>1</v>
      </c>
      <c r="J1243" t="s">
        <v>51</v>
      </c>
      <c r="K1243">
        <v>7336</v>
      </c>
      <c r="L1243">
        <v>1</v>
      </c>
      <c r="M1243" t="s">
        <v>41</v>
      </c>
      <c r="N1243">
        <v>13</v>
      </c>
      <c r="O1243">
        <v>3</v>
      </c>
      <c r="P1243">
        <v>1</v>
      </c>
      <c r="Q1243">
        <v>11</v>
      </c>
      <c r="R1243">
        <v>3</v>
      </c>
      <c r="S1243">
        <v>11</v>
      </c>
      <c r="T1243">
        <v>3</v>
      </c>
      <c r="U1243">
        <v>10</v>
      </c>
      <c r="V1243" t="s">
        <v>72</v>
      </c>
      <c r="W1243" s="1" t="s">
        <v>616</v>
      </c>
      <c r="Y1243" t="s">
        <v>46</v>
      </c>
      <c r="Z1243" t="s">
        <v>47</v>
      </c>
      <c r="AA1243">
        <v>3</v>
      </c>
      <c r="AB1243">
        <v>2</v>
      </c>
      <c r="AC1243" t="s">
        <v>31</v>
      </c>
      <c r="AD1243" t="s">
        <v>67</v>
      </c>
      <c r="AE1243" t="s">
        <v>49</v>
      </c>
      <c r="AF1243" s="3">
        <v>2013</v>
      </c>
      <c r="AG1243" s="3">
        <v>68</v>
      </c>
      <c r="AH1243">
        <v>80</v>
      </c>
      <c r="AI1243">
        <v>2</v>
      </c>
      <c r="AJ1243">
        <v>0</v>
      </c>
      <c r="AL1243">
        <v>0</v>
      </c>
      <c r="AM1243">
        <v>1</v>
      </c>
      <c r="AN1243" t="s">
        <v>768</v>
      </c>
      <c r="AO1243" t="s">
        <v>41</v>
      </c>
    </row>
    <row r="1244" spans="1:41" x14ac:dyDescent="0.25">
      <c r="A1244">
        <v>60</v>
      </c>
      <c r="B1244" t="s">
        <v>32</v>
      </c>
      <c r="C1244" t="s">
        <v>55</v>
      </c>
      <c r="D1244">
        <v>7</v>
      </c>
      <c r="E1244" t="s">
        <v>34</v>
      </c>
      <c r="F1244">
        <v>4</v>
      </c>
      <c r="G1244">
        <v>2</v>
      </c>
      <c r="H1244" t="s">
        <v>70</v>
      </c>
      <c r="I1244">
        <v>4</v>
      </c>
      <c r="J1244" t="s">
        <v>57</v>
      </c>
      <c r="K1244">
        <v>5220</v>
      </c>
      <c r="L1244">
        <v>0</v>
      </c>
      <c r="M1244" t="s">
        <v>31</v>
      </c>
      <c r="N1244">
        <v>18</v>
      </c>
      <c r="O1244">
        <v>3</v>
      </c>
      <c r="P1244">
        <v>1</v>
      </c>
      <c r="Q1244">
        <v>12</v>
      </c>
      <c r="R1244">
        <v>3</v>
      </c>
      <c r="S1244">
        <v>11</v>
      </c>
      <c r="T1244">
        <v>1</v>
      </c>
      <c r="U1244">
        <v>9</v>
      </c>
      <c r="V1244" t="s">
        <v>52</v>
      </c>
      <c r="W1244" s="1" t="s">
        <v>617</v>
      </c>
      <c r="Y1244" t="s">
        <v>63</v>
      </c>
      <c r="Z1244" t="s">
        <v>47</v>
      </c>
      <c r="AA1244">
        <v>3</v>
      </c>
      <c r="AB1244">
        <v>1</v>
      </c>
      <c r="AC1244" t="s">
        <v>41</v>
      </c>
      <c r="AD1244" t="s">
        <v>67</v>
      </c>
      <c r="AE1244" t="s">
        <v>60</v>
      </c>
      <c r="AF1244" s="3">
        <v>1945</v>
      </c>
      <c r="AG1244" s="3">
        <v>71</v>
      </c>
      <c r="AH1244">
        <v>80</v>
      </c>
      <c r="AI1244">
        <v>3</v>
      </c>
      <c r="AJ1244">
        <v>0</v>
      </c>
      <c r="AL1244">
        <v>0</v>
      </c>
      <c r="AM1244">
        <v>1</v>
      </c>
      <c r="AN1244" t="s">
        <v>768</v>
      </c>
      <c r="AO1244" t="s">
        <v>41</v>
      </c>
    </row>
    <row r="1245" spans="1:41" x14ac:dyDescent="0.25">
      <c r="A1245">
        <v>30</v>
      </c>
      <c r="B1245" t="s">
        <v>32</v>
      </c>
      <c r="C1245" t="s">
        <v>33</v>
      </c>
      <c r="D1245">
        <v>1</v>
      </c>
      <c r="E1245" t="s">
        <v>34</v>
      </c>
      <c r="F1245">
        <v>3</v>
      </c>
      <c r="G1245">
        <v>1</v>
      </c>
      <c r="H1245" t="s">
        <v>44</v>
      </c>
      <c r="I1245">
        <v>2</v>
      </c>
      <c r="J1245" t="s">
        <v>51</v>
      </c>
      <c r="K1245">
        <v>3579</v>
      </c>
      <c r="L1245">
        <v>0</v>
      </c>
      <c r="M1245" t="s">
        <v>31</v>
      </c>
      <c r="N1245">
        <v>21</v>
      </c>
      <c r="O1245">
        <v>4</v>
      </c>
      <c r="P1245">
        <v>1</v>
      </c>
      <c r="Q1245">
        <v>12</v>
      </c>
      <c r="R1245">
        <v>2</v>
      </c>
      <c r="S1245">
        <v>11</v>
      </c>
      <c r="T1245">
        <v>5</v>
      </c>
      <c r="U1245">
        <v>7</v>
      </c>
      <c r="V1245" t="s">
        <v>72</v>
      </c>
      <c r="W1245" s="2">
        <v>40513</v>
      </c>
      <c r="Y1245" t="s">
        <v>54</v>
      </c>
      <c r="Z1245" t="s">
        <v>40</v>
      </c>
      <c r="AA1245">
        <v>0</v>
      </c>
      <c r="AB1245">
        <v>1</v>
      </c>
      <c r="AC1245" t="s">
        <v>41</v>
      </c>
      <c r="AD1245" t="s">
        <v>42</v>
      </c>
      <c r="AE1245" t="s">
        <v>49</v>
      </c>
      <c r="AF1245" s="3">
        <v>1568</v>
      </c>
      <c r="AG1245" s="3">
        <v>33</v>
      </c>
      <c r="AH1245">
        <v>80</v>
      </c>
      <c r="AI1245">
        <v>2</v>
      </c>
      <c r="AJ1245">
        <v>0</v>
      </c>
      <c r="AL1245">
        <v>0</v>
      </c>
      <c r="AM1245">
        <v>1</v>
      </c>
      <c r="AN1245" t="s">
        <v>768</v>
      </c>
      <c r="AO1245" t="s">
        <v>41</v>
      </c>
    </row>
    <row r="1246" spans="1:41" x14ac:dyDescent="0.25">
      <c r="A1246">
        <v>36</v>
      </c>
      <c r="B1246" t="s">
        <v>66</v>
      </c>
      <c r="C1246" t="s">
        <v>33</v>
      </c>
      <c r="D1246">
        <v>3</v>
      </c>
      <c r="E1246" t="s">
        <v>34</v>
      </c>
      <c r="F1246">
        <v>3</v>
      </c>
      <c r="G1246">
        <v>1</v>
      </c>
      <c r="H1246" t="s">
        <v>44</v>
      </c>
      <c r="I1246">
        <v>2</v>
      </c>
      <c r="J1246" t="s">
        <v>51</v>
      </c>
      <c r="K1246">
        <v>3692</v>
      </c>
      <c r="L1246">
        <v>1</v>
      </c>
      <c r="M1246" t="s">
        <v>41</v>
      </c>
      <c r="N1246">
        <v>12</v>
      </c>
      <c r="O1246">
        <v>3</v>
      </c>
      <c r="P1246">
        <v>0</v>
      </c>
      <c r="Q1246">
        <v>12</v>
      </c>
      <c r="R1246">
        <v>2</v>
      </c>
      <c r="S1246">
        <v>11</v>
      </c>
      <c r="T1246">
        <v>0</v>
      </c>
      <c r="U1246">
        <v>7</v>
      </c>
      <c r="V1246" t="s">
        <v>52</v>
      </c>
      <c r="W1246" s="1" t="s">
        <v>618</v>
      </c>
      <c r="Y1246" t="s">
        <v>39</v>
      </c>
      <c r="Z1246" t="s">
        <v>47</v>
      </c>
      <c r="AA1246">
        <v>4</v>
      </c>
      <c r="AB1246">
        <v>3</v>
      </c>
      <c r="AC1246" t="s">
        <v>31</v>
      </c>
      <c r="AD1246" t="s">
        <v>67</v>
      </c>
      <c r="AE1246" t="s">
        <v>49</v>
      </c>
      <c r="AF1246" s="3">
        <v>1582</v>
      </c>
      <c r="AG1246" s="3">
        <v>80</v>
      </c>
      <c r="AH1246">
        <v>80</v>
      </c>
      <c r="AI1246">
        <v>8</v>
      </c>
      <c r="AJ1246">
        <v>0</v>
      </c>
      <c r="AL1246">
        <v>0</v>
      </c>
      <c r="AM1246">
        <v>1</v>
      </c>
      <c r="AN1246" t="s">
        <v>768</v>
      </c>
      <c r="AO1246" t="s">
        <v>41</v>
      </c>
    </row>
    <row r="1247" spans="1:41" x14ac:dyDescent="0.25">
      <c r="A1247">
        <v>46</v>
      </c>
      <c r="B1247" t="s">
        <v>32</v>
      </c>
      <c r="C1247" t="s">
        <v>55</v>
      </c>
      <c r="D1247">
        <v>4</v>
      </c>
      <c r="E1247" t="s">
        <v>61</v>
      </c>
      <c r="F1247">
        <v>2</v>
      </c>
      <c r="G1247">
        <v>5</v>
      </c>
      <c r="H1247" t="s">
        <v>75</v>
      </c>
      <c r="I1247">
        <v>2</v>
      </c>
      <c r="J1247" t="s">
        <v>51</v>
      </c>
      <c r="K1247">
        <v>18789</v>
      </c>
      <c r="L1247">
        <v>2</v>
      </c>
      <c r="M1247" t="s">
        <v>41</v>
      </c>
      <c r="N1247">
        <v>14</v>
      </c>
      <c r="O1247">
        <v>3</v>
      </c>
      <c r="P1247">
        <v>1</v>
      </c>
      <c r="Q1247">
        <v>26</v>
      </c>
      <c r="R1247">
        <v>2</v>
      </c>
      <c r="S1247">
        <v>11</v>
      </c>
      <c r="T1247">
        <v>0</v>
      </c>
      <c r="U1247">
        <v>8</v>
      </c>
      <c r="V1247" t="s">
        <v>52</v>
      </c>
      <c r="W1247" s="1" t="s">
        <v>619</v>
      </c>
      <c r="Y1247" t="s">
        <v>54</v>
      </c>
      <c r="Z1247" t="s">
        <v>40</v>
      </c>
      <c r="AA1247">
        <v>0</v>
      </c>
      <c r="AB1247">
        <v>2</v>
      </c>
      <c r="AC1247" t="s">
        <v>41</v>
      </c>
      <c r="AD1247" t="s">
        <v>65</v>
      </c>
      <c r="AE1247" t="s">
        <v>49</v>
      </c>
      <c r="AF1247" s="3">
        <v>1739</v>
      </c>
      <c r="AG1247" s="3">
        <v>80</v>
      </c>
      <c r="AH1247">
        <v>80</v>
      </c>
      <c r="AI1247">
        <v>3</v>
      </c>
      <c r="AJ1247">
        <v>0</v>
      </c>
      <c r="AL1247">
        <v>0</v>
      </c>
      <c r="AM1247">
        <v>1</v>
      </c>
      <c r="AN1247" t="s">
        <v>768</v>
      </c>
      <c r="AO1247" t="s">
        <v>41</v>
      </c>
    </row>
    <row r="1248" spans="1:41" x14ac:dyDescent="0.25">
      <c r="A1248">
        <v>34</v>
      </c>
      <c r="B1248" t="s">
        <v>66</v>
      </c>
      <c r="C1248" t="s">
        <v>33</v>
      </c>
      <c r="D1248">
        <v>19</v>
      </c>
      <c r="E1248" t="s">
        <v>61</v>
      </c>
      <c r="F1248">
        <v>3</v>
      </c>
      <c r="G1248">
        <v>2</v>
      </c>
      <c r="H1248" t="s">
        <v>35</v>
      </c>
      <c r="I1248">
        <v>2</v>
      </c>
      <c r="J1248" t="s">
        <v>57</v>
      </c>
      <c r="K1248">
        <v>4444</v>
      </c>
      <c r="L1248">
        <v>4</v>
      </c>
      <c r="M1248" t="s">
        <v>41</v>
      </c>
      <c r="N1248">
        <v>13</v>
      </c>
      <c r="O1248">
        <v>3</v>
      </c>
      <c r="P1248">
        <v>2</v>
      </c>
      <c r="Q1248">
        <v>15</v>
      </c>
      <c r="R1248">
        <v>2</v>
      </c>
      <c r="S1248">
        <v>11</v>
      </c>
      <c r="T1248">
        <v>5</v>
      </c>
      <c r="U1248">
        <v>10</v>
      </c>
      <c r="V1248" t="s">
        <v>52</v>
      </c>
      <c r="W1248" s="1" t="s">
        <v>620</v>
      </c>
      <c r="Y1248" t="s">
        <v>39</v>
      </c>
      <c r="Z1248" t="s">
        <v>47</v>
      </c>
      <c r="AA1248">
        <v>1</v>
      </c>
      <c r="AB1248">
        <v>2</v>
      </c>
      <c r="AC1248" t="s">
        <v>31</v>
      </c>
      <c r="AD1248" t="s">
        <v>42</v>
      </c>
      <c r="AE1248" t="s">
        <v>60</v>
      </c>
      <c r="AF1248" s="3">
        <v>1492</v>
      </c>
      <c r="AG1248" s="3">
        <v>76</v>
      </c>
      <c r="AH1248">
        <v>80</v>
      </c>
      <c r="AI1248">
        <v>0</v>
      </c>
      <c r="AJ1248">
        <v>0</v>
      </c>
      <c r="AL1248">
        <v>0</v>
      </c>
      <c r="AM1248">
        <v>1</v>
      </c>
      <c r="AN1248" t="s">
        <v>768</v>
      </c>
      <c r="AO1248" t="s">
        <v>41</v>
      </c>
    </row>
    <row r="1249" spans="1:41" x14ac:dyDescent="0.25">
      <c r="A1249">
        <v>35</v>
      </c>
      <c r="B1249" t="s">
        <v>32</v>
      </c>
      <c r="C1249" t="s">
        <v>33</v>
      </c>
      <c r="D1249">
        <v>16</v>
      </c>
      <c r="E1249" t="s">
        <v>61</v>
      </c>
      <c r="F1249">
        <v>2</v>
      </c>
      <c r="G1249">
        <v>3</v>
      </c>
      <c r="H1249" t="s">
        <v>89</v>
      </c>
      <c r="I1249">
        <v>2</v>
      </c>
      <c r="J1249" t="s">
        <v>36</v>
      </c>
      <c r="K1249">
        <v>8606</v>
      </c>
      <c r="L1249">
        <v>1</v>
      </c>
      <c r="M1249" t="s">
        <v>41</v>
      </c>
      <c r="N1249">
        <v>19</v>
      </c>
      <c r="O1249">
        <v>3</v>
      </c>
      <c r="P1249">
        <v>0</v>
      </c>
      <c r="Q1249">
        <v>11</v>
      </c>
      <c r="R1249">
        <v>3</v>
      </c>
      <c r="S1249">
        <v>11</v>
      </c>
      <c r="T1249">
        <v>3</v>
      </c>
      <c r="U1249">
        <v>3</v>
      </c>
      <c r="V1249" t="s">
        <v>37</v>
      </c>
      <c r="W1249" s="1" t="s">
        <v>621</v>
      </c>
      <c r="Y1249" t="s">
        <v>46</v>
      </c>
      <c r="Z1249" t="s">
        <v>40</v>
      </c>
      <c r="AA1249">
        <v>5</v>
      </c>
      <c r="AB1249">
        <v>3</v>
      </c>
      <c r="AC1249" t="s">
        <v>31</v>
      </c>
      <c r="AD1249" t="s">
        <v>67</v>
      </c>
      <c r="AE1249" t="s">
        <v>43</v>
      </c>
      <c r="AF1249" s="3">
        <v>1446</v>
      </c>
      <c r="AG1249" s="3">
        <v>97</v>
      </c>
      <c r="AH1249">
        <v>80</v>
      </c>
      <c r="AI1249">
        <v>3</v>
      </c>
      <c r="AJ1249">
        <v>0</v>
      </c>
      <c r="AL1249">
        <v>0</v>
      </c>
      <c r="AM1249">
        <v>1</v>
      </c>
      <c r="AN1249" t="s">
        <v>768</v>
      </c>
      <c r="AO1249" t="s">
        <v>41</v>
      </c>
    </row>
    <row r="1250" spans="1:41" x14ac:dyDescent="0.25">
      <c r="A1250">
        <v>34</v>
      </c>
      <c r="B1250" t="s">
        <v>32</v>
      </c>
      <c r="C1250" t="s">
        <v>55</v>
      </c>
      <c r="D1250">
        <v>7</v>
      </c>
      <c r="E1250" t="s">
        <v>34</v>
      </c>
      <c r="F1250">
        <v>3</v>
      </c>
      <c r="G1250">
        <v>1</v>
      </c>
      <c r="H1250" t="s">
        <v>56</v>
      </c>
      <c r="I1250">
        <v>3</v>
      </c>
      <c r="J1250" t="s">
        <v>51</v>
      </c>
      <c r="K1250">
        <v>2308</v>
      </c>
      <c r="L1250">
        <v>0</v>
      </c>
      <c r="M1250" t="s">
        <v>31</v>
      </c>
      <c r="N1250">
        <v>25</v>
      </c>
      <c r="O1250">
        <v>4</v>
      </c>
      <c r="P1250">
        <v>1</v>
      </c>
      <c r="Q1250">
        <v>12</v>
      </c>
      <c r="R1250">
        <v>4</v>
      </c>
      <c r="S1250">
        <v>11</v>
      </c>
      <c r="T1250">
        <v>5</v>
      </c>
      <c r="U1250">
        <v>7</v>
      </c>
      <c r="V1250" t="s">
        <v>52</v>
      </c>
      <c r="W1250" s="1" t="s">
        <v>622</v>
      </c>
      <c r="Y1250" t="s">
        <v>46</v>
      </c>
      <c r="Z1250" t="s">
        <v>47</v>
      </c>
      <c r="AA1250">
        <v>1</v>
      </c>
      <c r="AB1250">
        <v>2</v>
      </c>
      <c r="AC1250" t="s">
        <v>31</v>
      </c>
      <c r="AD1250" t="s">
        <v>48</v>
      </c>
      <c r="AE1250" t="s">
        <v>60</v>
      </c>
      <c r="AF1250" s="3">
        <v>1588</v>
      </c>
      <c r="AG1250" s="3">
        <v>38</v>
      </c>
      <c r="AH1250">
        <v>80</v>
      </c>
      <c r="AI1250">
        <v>6</v>
      </c>
      <c r="AJ1250">
        <v>0</v>
      </c>
      <c r="AL1250">
        <v>0</v>
      </c>
      <c r="AM1250">
        <v>1</v>
      </c>
      <c r="AN1250" t="s">
        <v>768</v>
      </c>
      <c r="AO1250" t="s">
        <v>41</v>
      </c>
    </row>
    <row r="1251" spans="1:41" x14ac:dyDescent="0.25">
      <c r="A1251">
        <v>34</v>
      </c>
      <c r="B1251" t="s">
        <v>32</v>
      </c>
      <c r="C1251" t="s">
        <v>33</v>
      </c>
      <c r="D1251">
        <v>3</v>
      </c>
      <c r="E1251" t="s">
        <v>61</v>
      </c>
      <c r="F1251">
        <v>3</v>
      </c>
      <c r="G1251">
        <v>2</v>
      </c>
      <c r="H1251" t="s">
        <v>44</v>
      </c>
      <c r="I1251">
        <v>2</v>
      </c>
      <c r="J1251" t="s">
        <v>57</v>
      </c>
      <c r="K1251">
        <v>5433</v>
      </c>
      <c r="L1251">
        <v>1</v>
      </c>
      <c r="M1251" t="s">
        <v>41</v>
      </c>
      <c r="N1251">
        <v>12</v>
      </c>
      <c r="O1251">
        <v>3</v>
      </c>
      <c r="P1251">
        <v>1</v>
      </c>
      <c r="Q1251">
        <v>11</v>
      </c>
      <c r="R1251">
        <v>2</v>
      </c>
      <c r="S1251">
        <v>11</v>
      </c>
      <c r="T1251">
        <v>7</v>
      </c>
      <c r="U1251">
        <v>9</v>
      </c>
      <c r="V1251" t="s">
        <v>72</v>
      </c>
      <c r="W1251" s="1" t="s">
        <v>605</v>
      </c>
      <c r="Y1251" t="s">
        <v>39</v>
      </c>
      <c r="Z1251" t="s">
        <v>47</v>
      </c>
      <c r="AA1251">
        <v>0</v>
      </c>
      <c r="AB1251">
        <v>3</v>
      </c>
      <c r="AC1251" t="s">
        <v>41</v>
      </c>
      <c r="AD1251" t="s">
        <v>42</v>
      </c>
      <c r="AE1251" t="s">
        <v>49</v>
      </c>
      <c r="AF1251" s="3">
        <v>1787</v>
      </c>
      <c r="AG1251" s="3">
        <v>46</v>
      </c>
      <c r="AH1251">
        <v>80</v>
      </c>
      <c r="AI1251">
        <v>2</v>
      </c>
      <c r="AJ1251">
        <v>0</v>
      </c>
      <c r="AL1251">
        <v>0</v>
      </c>
      <c r="AM1251">
        <v>1</v>
      </c>
      <c r="AN1251" t="s">
        <v>768</v>
      </c>
      <c r="AO1251" t="s">
        <v>41</v>
      </c>
    </row>
    <row r="1252" spans="1:41" x14ac:dyDescent="0.25">
      <c r="A1252">
        <v>35</v>
      </c>
      <c r="B1252" t="s">
        <v>66</v>
      </c>
      <c r="C1252" t="s">
        <v>55</v>
      </c>
      <c r="D1252">
        <v>12</v>
      </c>
      <c r="E1252" t="s">
        <v>34</v>
      </c>
      <c r="F1252">
        <v>3</v>
      </c>
      <c r="G1252">
        <v>2</v>
      </c>
      <c r="H1252" t="s">
        <v>70</v>
      </c>
      <c r="I1252">
        <v>4</v>
      </c>
      <c r="J1252" t="s">
        <v>36</v>
      </c>
      <c r="K1252">
        <v>4581</v>
      </c>
      <c r="L1252">
        <v>3</v>
      </c>
      <c r="M1252" t="s">
        <v>31</v>
      </c>
      <c r="N1252">
        <v>24</v>
      </c>
      <c r="O1252">
        <v>4</v>
      </c>
      <c r="P1252">
        <v>0</v>
      </c>
      <c r="Q1252">
        <v>13</v>
      </c>
      <c r="R1252">
        <v>2</v>
      </c>
      <c r="S1252">
        <v>11</v>
      </c>
      <c r="T1252">
        <v>6</v>
      </c>
      <c r="U1252">
        <v>7</v>
      </c>
      <c r="V1252" t="s">
        <v>52</v>
      </c>
      <c r="W1252" s="1" t="s">
        <v>623</v>
      </c>
      <c r="Y1252" t="s">
        <v>39</v>
      </c>
      <c r="Z1252" t="s">
        <v>40</v>
      </c>
      <c r="AA1252">
        <v>4</v>
      </c>
      <c r="AB1252">
        <v>0</v>
      </c>
      <c r="AC1252" t="s">
        <v>31</v>
      </c>
      <c r="AD1252" t="s">
        <v>48</v>
      </c>
      <c r="AE1252" t="s">
        <v>60</v>
      </c>
      <c r="AF1252" s="3">
        <v>1908</v>
      </c>
      <c r="AG1252" s="3">
        <v>33</v>
      </c>
      <c r="AH1252">
        <v>80</v>
      </c>
      <c r="AI1252">
        <v>2</v>
      </c>
      <c r="AJ1252">
        <v>0</v>
      </c>
      <c r="AL1252">
        <v>0</v>
      </c>
      <c r="AM1252">
        <v>1</v>
      </c>
      <c r="AN1252" t="s">
        <v>768</v>
      </c>
      <c r="AO1252" t="s">
        <v>41</v>
      </c>
    </row>
    <row r="1253" spans="1:41" x14ac:dyDescent="0.25">
      <c r="A1253">
        <v>33</v>
      </c>
      <c r="B1253" t="s">
        <v>81</v>
      </c>
      <c r="C1253" t="s">
        <v>55</v>
      </c>
      <c r="D1253">
        <v>2</v>
      </c>
      <c r="E1253" t="s">
        <v>61</v>
      </c>
      <c r="F1253">
        <v>3</v>
      </c>
      <c r="G1253">
        <v>2</v>
      </c>
      <c r="H1253" t="s">
        <v>70</v>
      </c>
      <c r="I1253">
        <v>2</v>
      </c>
      <c r="J1253" t="s">
        <v>36</v>
      </c>
      <c r="K1253">
        <v>5147</v>
      </c>
      <c r="L1253">
        <v>8</v>
      </c>
      <c r="M1253" t="s">
        <v>41</v>
      </c>
      <c r="N1253">
        <v>15</v>
      </c>
      <c r="O1253">
        <v>3</v>
      </c>
      <c r="P1253">
        <v>0</v>
      </c>
      <c r="Q1253">
        <v>13</v>
      </c>
      <c r="R1253">
        <v>2</v>
      </c>
      <c r="S1253">
        <v>11</v>
      </c>
      <c r="T1253">
        <v>1</v>
      </c>
      <c r="U1253">
        <v>7</v>
      </c>
      <c r="V1253" t="s">
        <v>58</v>
      </c>
      <c r="W1253" s="2">
        <v>40515</v>
      </c>
      <c r="Y1253" t="s">
        <v>69</v>
      </c>
      <c r="Z1253" t="s">
        <v>40</v>
      </c>
      <c r="AA1253">
        <v>5</v>
      </c>
      <c r="AB1253">
        <v>2</v>
      </c>
      <c r="AC1253" t="s">
        <v>41</v>
      </c>
      <c r="AD1253" t="s">
        <v>67</v>
      </c>
      <c r="AE1253" t="s">
        <v>43</v>
      </c>
      <c r="AF1253" s="3">
        <v>1995</v>
      </c>
      <c r="AG1253" s="3">
        <v>86</v>
      </c>
      <c r="AH1253">
        <v>80</v>
      </c>
      <c r="AI1253">
        <v>13</v>
      </c>
      <c r="AJ1253">
        <v>0</v>
      </c>
      <c r="AL1253">
        <v>0</v>
      </c>
      <c r="AM1253">
        <v>1</v>
      </c>
      <c r="AN1253" t="s">
        <v>768</v>
      </c>
      <c r="AO1253" t="s">
        <v>41</v>
      </c>
    </row>
    <row r="1254" spans="1:41" x14ac:dyDescent="0.25">
      <c r="A1254">
        <v>38</v>
      </c>
      <c r="B1254" t="s">
        <v>81</v>
      </c>
      <c r="C1254" t="s">
        <v>120</v>
      </c>
      <c r="D1254">
        <v>2</v>
      </c>
      <c r="E1254" t="s">
        <v>34</v>
      </c>
      <c r="F1254">
        <v>3</v>
      </c>
      <c r="G1254">
        <v>1</v>
      </c>
      <c r="H1254" t="s">
        <v>120</v>
      </c>
      <c r="I1254">
        <v>2</v>
      </c>
      <c r="J1254" t="s">
        <v>57</v>
      </c>
      <c r="K1254">
        <v>2592</v>
      </c>
      <c r="L1254">
        <v>5</v>
      </c>
      <c r="M1254" t="s">
        <v>41</v>
      </c>
      <c r="N1254">
        <v>13</v>
      </c>
      <c r="O1254">
        <v>3</v>
      </c>
      <c r="P1254">
        <v>3</v>
      </c>
      <c r="Q1254">
        <v>13</v>
      </c>
      <c r="R1254">
        <v>3</v>
      </c>
      <c r="S1254">
        <v>11</v>
      </c>
      <c r="T1254">
        <v>3</v>
      </c>
      <c r="U1254">
        <v>8</v>
      </c>
      <c r="V1254" t="s">
        <v>72</v>
      </c>
      <c r="W1254" s="1" t="s">
        <v>624</v>
      </c>
      <c r="Y1254" t="s">
        <v>46</v>
      </c>
      <c r="Z1254" t="s">
        <v>40</v>
      </c>
      <c r="AA1254">
        <v>5</v>
      </c>
      <c r="AB1254">
        <v>3</v>
      </c>
      <c r="AC1254" t="s">
        <v>31</v>
      </c>
      <c r="AD1254" t="s">
        <v>65</v>
      </c>
      <c r="AE1254" t="s">
        <v>49</v>
      </c>
      <c r="AF1254" s="3">
        <v>1479</v>
      </c>
      <c r="AG1254" s="3">
        <v>96</v>
      </c>
      <c r="AH1254">
        <v>80</v>
      </c>
      <c r="AI1254">
        <v>1</v>
      </c>
      <c r="AJ1254">
        <v>0</v>
      </c>
      <c r="AL1254">
        <v>0</v>
      </c>
      <c r="AM1254">
        <v>1</v>
      </c>
      <c r="AN1254" t="s">
        <v>768</v>
      </c>
      <c r="AO1254" t="s">
        <v>41</v>
      </c>
    </row>
    <row r="1255" spans="1:41" x14ac:dyDescent="0.25">
      <c r="A1255">
        <v>29</v>
      </c>
      <c r="B1255" t="s">
        <v>66</v>
      </c>
      <c r="C1255" t="s">
        <v>33</v>
      </c>
      <c r="D1255">
        <v>20</v>
      </c>
      <c r="E1255" t="s">
        <v>34</v>
      </c>
      <c r="F1255">
        <v>3</v>
      </c>
      <c r="G1255">
        <v>1</v>
      </c>
      <c r="H1255" t="s">
        <v>35</v>
      </c>
      <c r="I1255">
        <v>4</v>
      </c>
      <c r="J1255" t="s">
        <v>51</v>
      </c>
      <c r="K1255">
        <v>3812</v>
      </c>
      <c r="L1255">
        <v>1</v>
      </c>
      <c r="M1255" t="s">
        <v>41</v>
      </c>
      <c r="N1255">
        <v>13</v>
      </c>
      <c r="O1255">
        <v>3</v>
      </c>
      <c r="P1255">
        <v>0</v>
      </c>
      <c r="Q1255">
        <v>11</v>
      </c>
      <c r="R1255">
        <v>3</v>
      </c>
      <c r="S1255">
        <v>11</v>
      </c>
      <c r="T1255">
        <v>3</v>
      </c>
      <c r="U1255">
        <v>10</v>
      </c>
      <c r="V1255" t="s">
        <v>72</v>
      </c>
      <c r="W1255" s="1" t="s">
        <v>625</v>
      </c>
      <c r="Y1255" t="s">
        <v>69</v>
      </c>
      <c r="Z1255" t="s">
        <v>40</v>
      </c>
      <c r="AA1255">
        <v>1</v>
      </c>
      <c r="AB1255">
        <v>2</v>
      </c>
      <c r="AC1255" t="s">
        <v>41</v>
      </c>
      <c r="AD1255" t="s">
        <v>65</v>
      </c>
      <c r="AE1255" t="s">
        <v>49</v>
      </c>
      <c r="AF1255" s="3">
        <v>1961</v>
      </c>
      <c r="AG1255" s="3">
        <v>59</v>
      </c>
      <c r="AH1255">
        <v>80</v>
      </c>
      <c r="AI1255">
        <v>0</v>
      </c>
      <c r="AJ1255">
        <v>0</v>
      </c>
      <c r="AL1255">
        <v>0</v>
      </c>
      <c r="AM1255">
        <v>1</v>
      </c>
      <c r="AN1255" t="s">
        <v>768</v>
      </c>
      <c r="AO1255" t="s">
        <v>41</v>
      </c>
    </row>
    <row r="1256" spans="1:41" x14ac:dyDescent="0.25">
      <c r="A1256">
        <v>31</v>
      </c>
      <c r="B1256" t="s">
        <v>81</v>
      </c>
      <c r="C1256" t="s">
        <v>33</v>
      </c>
      <c r="D1256">
        <v>10</v>
      </c>
      <c r="E1256" t="s">
        <v>61</v>
      </c>
      <c r="F1256">
        <v>3</v>
      </c>
      <c r="G1256">
        <v>3</v>
      </c>
      <c r="H1256" t="s">
        <v>50</v>
      </c>
      <c r="I1256">
        <v>3</v>
      </c>
      <c r="J1256" t="s">
        <v>51</v>
      </c>
      <c r="K1256">
        <v>11031</v>
      </c>
      <c r="L1256">
        <v>4</v>
      </c>
      <c r="M1256" t="s">
        <v>41</v>
      </c>
      <c r="N1256">
        <v>20</v>
      </c>
      <c r="O1256">
        <v>4</v>
      </c>
      <c r="P1256">
        <v>1</v>
      </c>
      <c r="Q1256">
        <v>13</v>
      </c>
      <c r="R1256">
        <v>2</v>
      </c>
      <c r="S1256">
        <v>11</v>
      </c>
      <c r="T1256">
        <v>4</v>
      </c>
      <c r="U1256">
        <v>8</v>
      </c>
      <c r="V1256" t="s">
        <v>72</v>
      </c>
      <c r="W1256" s="1" t="s">
        <v>626</v>
      </c>
      <c r="Y1256" t="s">
        <v>69</v>
      </c>
      <c r="Z1256" t="s">
        <v>47</v>
      </c>
      <c r="AA1256">
        <v>1</v>
      </c>
      <c r="AB1256">
        <v>2</v>
      </c>
      <c r="AC1256" t="s">
        <v>31</v>
      </c>
      <c r="AD1256" t="s">
        <v>42</v>
      </c>
      <c r="AE1256" t="s">
        <v>49</v>
      </c>
      <c r="AF1256" s="3">
        <v>1975</v>
      </c>
      <c r="AG1256" s="3">
        <v>77</v>
      </c>
      <c r="AH1256">
        <v>80</v>
      </c>
      <c r="AI1256">
        <v>8</v>
      </c>
      <c r="AJ1256">
        <v>0</v>
      </c>
      <c r="AL1256">
        <v>0</v>
      </c>
      <c r="AM1256">
        <v>1</v>
      </c>
      <c r="AN1256" t="s">
        <v>768</v>
      </c>
      <c r="AO1256" t="s">
        <v>41</v>
      </c>
    </row>
    <row r="1257" spans="1:41" x14ac:dyDescent="0.25">
      <c r="A1257">
        <v>40</v>
      </c>
      <c r="B1257" t="s">
        <v>32</v>
      </c>
      <c r="C1257" t="s">
        <v>55</v>
      </c>
      <c r="D1257">
        <v>2</v>
      </c>
      <c r="E1257" t="s">
        <v>61</v>
      </c>
      <c r="F1257">
        <v>3</v>
      </c>
      <c r="G1257">
        <v>2</v>
      </c>
      <c r="H1257" t="s">
        <v>70</v>
      </c>
      <c r="I1257">
        <v>2</v>
      </c>
      <c r="J1257" t="s">
        <v>51</v>
      </c>
      <c r="K1257">
        <v>5677</v>
      </c>
      <c r="L1257">
        <v>3</v>
      </c>
      <c r="M1257" t="s">
        <v>41</v>
      </c>
      <c r="N1257">
        <v>14</v>
      </c>
      <c r="O1257">
        <v>3</v>
      </c>
      <c r="P1257">
        <v>1</v>
      </c>
      <c r="Q1257">
        <v>15</v>
      </c>
      <c r="R1257">
        <v>4</v>
      </c>
      <c r="S1257">
        <v>11</v>
      </c>
      <c r="T1257">
        <v>5</v>
      </c>
      <c r="U1257">
        <v>10</v>
      </c>
      <c r="V1257" t="s">
        <v>58</v>
      </c>
      <c r="W1257" s="1" t="s">
        <v>627</v>
      </c>
      <c r="Y1257" t="s">
        <v>69</v>
      </c>
      <c r="Z1257" t="s">
        <v>47</v>
      </c>
      <c r="AA1257">
        <v>3</v>
      </c>
      <c r="AB1257">
        <v>2</v>
      </c>
      <c r="AC1257" t="s">
        <v>31</v>
      </c>
      <c r="AD1257" t="s">
        <v>67</v>
      </c>
      <c r="AE1257" t="s">
        <v>49</v>
      </c>
      <c r="AF1257" s="3">
        <v>1740</v>
      </c>
      <c r="AG1257" s="3">
        <v>88</v>
      </c>
      <c r="AH1257">
        <v>80</v>
      </c>
      <c r="AI1257">
        <v>8</v>
      </c>
      <c r="AJ1257">
        <v>0</v>
      </c>
      <c r="AL1257">
        <v>0</v>
      </c>
      <c r="AM1257">
        <v>1</v>
      </c>
      <c r="AN1257" t="s">
        <v>768</v>
      </c>
      <c r="AO1257" t="s">
        <v>41</v>
      </c>
    </row>
    <row r="1258" spans="1:41" x14ac:dyDescent="0.25">
      <c r="A1258">
        <v>34</v>
      </c>
      <c r="B1258" t="s">
        <v>32</v>
      </c>
      <c r="C1258" t="s">
        <v>33</v>
      </c>
      <c r="D1258">
        <v>7</v>
      </c>
      <c r="E1258" t="s">
        <v>61</v>
      </c>
      <c r="F1258">
        <v>3</v>
      </c>
      <c r="G1258">
        <v>3</v>
      </c>
      <c r="H1258" t="s">
        <v>50</v>
      </c>
      <c r="I1258">
        <v>2</v>
      </c>
      <c r="J1258" t="s">
        <v>36</v>
      </c>
      <c r="K1258">
        <v>11994</v>
      </c>
      <c r="L1258">
        <v>0</v>
      </c>
      <c r="M1258" t="s">
        <v>41</v>
      </c>
      <c r="N1258">
        <v>11</v>
      </c>
      <c r="O1258">
        <v>3</v>
      </c>
      <c r="P1258">
        <v>0</v>
      </c>
      <c r="Q1258">
        <v>13</v>
      </c>
      <c r="R1258">
        <v>4</v>
      </c>
      <c r="S1258">
        <v>12</v>
      </c>
      <c r="T1258">
        <v>2</v>
      </c>
      <c r="U1258">
        <v>11</v>
      </c>
      <c r="V1258" t="s">
        <v>58</v>
      </c>
      <c r="W1258" s="1" t="s">
        <v>628</v>
      </c>
      <c r="Y1258" t="s">
        <v>54</v>
      </c>
      <c r="Z1258" t="s">
        <v>47</v>
      </c>
      <c r="AA1258">
        <v>3</v>
      </c>
      <c r="AB1258">
        <v>2</v>
      </c>
      <c r="AC1258" t="s">
        <v>31</v>
      </c>
      <c r="AD1258" t="s">
        <v>42</v>
      </c>
      <c r="AE1258" t="s">
        <v>43</v>
      </c>
      <c r="AF1258" s="3">
        <v>1924</v>
      </c>
      <c r="AG1258" s="3">
        <v>43</v>
      </c>
      <c r="AH1258">
        <v>80</v>
      </c>
      <c r="AI1258">
        <v>4</v>
      </c>
      <c r="AJ1258">
        <v>0</v>
      </c>
      <c r="AL1258">
        <v>0</v>
      </c>
      <c r="AM1258">
        <v>1</v>
      </c>
      <c r="AN1258" t="s">
        <v>768</v>
      </c>
      <c r="AO1258" t="s">
        <v>41</v>
      </c>
    </row>
    <row r="1259" spans="1:41" x14ac:dyDescent="0.25">
      <c r="A1259">
        <v>30</v>
      </c>
      <c r="B1259" t="s">
        <v>66</v>
      </c>
      <c r="C1259" t="s">
        <v>33</v>
      </c>
      <c r="D1259">
        <v>1</v>
      </c>
      <c r="E1259" t="s">
        <v>61</v>
      </c>
      <c r="F1259">
        <v>3</v>
      </c>
      <c r="G1259">
        <v>2</v>
      </c>
      <c r="H1259" t="s">
        <v>35</v>
      </c>
      <c r="I1259">
        <v>4</v>
      </c>
      <c r="J1259" t="s">
        <v>36</v>
      </c>
      <c r="K1259">
        <v>4011</v>
      </c>
      <c r="L1259">
        <v>1</v>
      </c>
      <c r="M1259" t="s">
        <v>41</v>
      </c>
      <c r="N1259">
        <v>23</v>
      </c>
      <c r="O1259">
        <v>4</v>
      </c>
      <c r="P1259">
        <v>0</v>
      </c>
      <c r="Q1259">
        <v>12</v>
      </c>
      <c r="R1259">
        <v>2</v>
      </c>
      <c r="S1259">
        <v>12</v>
      </c>
      <c r="T1259">
        <v>3</v>
      </c>
      <c r="U1259">
        <v>7</v>
      </c>
      <c r="V1259" t="s">
        <v>37</v>
      </c>
      <c r="W1259" s="1" t="s">
        <v>629</v>
      </c>
      <c r="Y1259" t="s">
        <v>63</v>
      </c>
      <c r="Z1259" t="s">
        <v>47</v>
      </c>
      <c r="AA1259">
        <v>1</v>
      </c>
      <c r="AB1259">
        <v>1</v>
      </c>
      <c r="AC1259" t="s">
        <v>31</v>
      </c>
      <c r="AD1259" t="s">
        <v>48</v>
      </c>
      <c r="AE1259" t="s">
        <v>60</v>
      </c>
      <c r="AF1259" s="3">
        <v>1650</v>
      </c>
      <c r="AG1259" s="3">
        <v>42</v>
      </c>
      <c r="AH1259">
        <v>80</v>
      </c>
      <c r="AI1259">
        <v>2</v>
      </c>
      <c r="AJ1259">
        <v>0</v>
      </c>
      <c r="AL1259">
        <v>0</v>
      </c>
      <c r="AM1259">
        <v>1</v>
      </c>
      <c r="AN1259" t="s">
        <v>768</v>
      </c>
      <c r="AO1259" t="s">
        <v>41</v>
      </c>
    </row>
    <row r="1260" spans="1:41" x14ac:dyDescent="0.25">
      <c r="A1260">
        <v>40</v>
      </c>
      <c r="B1260" t="s">
        <v>32</v>
      </c>
      <c r="C1260" t="s">
        <v>55</v>
      </c>
      <c r="D1260">
        <v>4</v>
      </c>
      <c r="E1260" t="s">
        <v>34</v>
      </c>
      <c r="F1260">
        <v>2</v>
      </c>
      <c r="G1260">
        <v>3</v>
      </c>
      <c r="H1260" t="s">
        <v>70</v>
      </c>
      <c r="I1260">
        <v>4</v>
      </c>
      <c r="J1260" t="s">
        <v>51</v>
      </c>
      <c r="K1260">
        <v>10855</v>
      </c>
      <c r="L1260">
        <v>7</v>
      </c>
      <c r="M1260" t="s">
        <v>41</v>
      </c>
      <c r="N1260">
        <v>11</v>
      </c>
      <c r="O1260">
        <v>3</v>
      </c>
      <c r="P1260">
        <v>1</v>
      </c>
      <c r="Q1260">
        <v>15</v>
      </c>
      <c r="R1260">
        <v>2</v>
      </c>
      <c r="S1260">
        <v>12</v>
      </c>
      <c r="T1260">
        <v>2</v>
      </c>
      <c r="U1260">
        <v>11</v>
      </c>
      <c r="V1260" t="s">
        <v>37</v>
      </c>
      <c r="W1260" s="1" t="s">
        <v>630</v>
      </c>
      <c r="Y1260" t="s">
        <v>39</v>
      </c>
      <c r="Z1260" t="s">
        <v>40</v>
      </c>
      <c r="AA1260">
        <v>1</v>
      </c>
      <c r="AB1260">
        <v>1</v>
      </c>
      <c r="AC1260" t="s">
        <v>41</v>
      </c>
      <c r="AD1260" t="s">
        <v>67</v>
      </c>
      <c r="AE1260" t="s">
        <v>49</v>
      </c>
      <c r="AF1260" s="3">
        <v>1836</v>
      </c>
      <c r="AG1260" s="3">
        <v>46</v>
      </c>
      <c r="AH1260">
        <v>80</v>
      </c>
      <c r="AI1260">
        <v>3</v>
      </c>
      <c r="AJ1260">
        <v>0</v>
      </c>
      <c r="AL1260">
        <v>0</v>
      </c>
      <c r="AM1260">
        <v>1</v>
      </c>
      <c r="AN1260" t="s">
        <v>768</v>
      </c>
      <c r="AO1260" t="s">
        <v>41</v>
      </c>
    </row>
    <row r="1261" spans="1:41" x14ac:dyDescent="0.25">
      <c r="A1261">
        <v>30</v>
      </c>
      <c r="B1261" t="s">
        <v>81</v>
      </c>
      <c r="C1261" t="s">
        <v>33</v>
      </c>
      <c r="D1261">
        <v>9</v>
      </c>
      <c r="E1261" t="s">
        <v>34</v>
      </c>
      <c r="F1261">
        <v>3</v>
      </c>
      <c r="G1261">
        <v>2</v>
      </c>
      <c r="H1261" t="s">
        <v>35</v>
      </c>
      <c r="I1261">
        <v>1</v>
      </c>
      <c r="J1261" t="s">
        <v>57</v>
      </c>
      <c r="K1261">
        <v>3072</v>
      </c>
      <c r="L1261">
        <v>1</v>
      </c>
      <c r="M1261" t="s">
        <v>41</v>
      </c>
      <c r="N1261">
        <v>11</v>
      </c>
      <c r="O1261">
        <v>3</v>
      </c>
      <c r="P1261">
        <v>2</v>
      </c>
      <c r="Q1261">
        <v>12</v>
      </c>
      <c r="R1261">
        <v>4</v>
      </c>
      <c r="S1261">
        <v>12</v>
      </c>
      <c r="T1261">
        <v>6</v>
      </c>
      <c r="U1261">
        <v>10</v>
      </c>
      <c r="V1261" t="s">
        <v>37</v>
      </c>
      <c r="W1261" s="2">
        <v>40148</v>
      </c>
      <c r="Y1261" t="s">
        <v>39</v>
      </c>
      <c r="Z1261" t="s">
        <v>40</v>
      </c>
      <c r="AA1261">
        <v>3</v>
      </c>
      <c r="AB1261">
        <v>1</v>
      </c>
      <c r="AC1261" t="s">
        <v>41</v>
      </c>
      <c r="AD1261" t="s">
        <v>65</v>
      </c>
      <c r="AE1261" t="s">
        <v>49</v>
      </c>
      <c r="AF1261" s="3">
        <v>1478</v>
      </c>
      <c r="AG1261" s="3">
        <v>81</v>
      </c>
      <c r="AH1261">
        <v>80</v>
      </c>
      <c r="AI1261">
        <v>9</v>
      </c>
      <c r="AJ1261">
        <v>0</v>
      </c>
      <c r="AL1261">
        <v>0</v>
      </c>
      <c r="AM1261">
        <v>1</v>
      </c>
      <c r="AN1261" t="s">
        <v>768</v>
      </c>
      <c r="AO1261" t="s">
        <v>41</v>
      </c>
    </row>
    <row r="1262" spans="1:41" x14ac:dyDescent="0.25">
      <c r="A1262">
        <v>53</v>
      </c>
      <c r="B1262" t="s">
        <v>32</v>
      </c>
      <c r="C1262" t="s">
        <v>33</v>
      </c>
      <c r="D1262">
        <v>23</v>
      </c>
      <c r="E1262" t="s">
        <v>61</v>
      </c>
      <c r="F1262">
        <v>3</v>
      </c>
      <c r="G1262">
        <v>4</v>
      </c>
      <c r="H1262" t="s">
        <v>50</v>
      </c>
      <c r="I1262">
        <v>4</v>
      </c>
      <c r="J1262" t="s">
        <v>36</v>
      </c>
      <c r="K1262">
        <v>14275</v>
      </c>
      <c r="L1262">
        <v>6</v>
      </c>
      <c r="M1262" t="s">
        <v>41</v>
      </c>
      <c r="N1262">
        <v>18</v>
      </c>
      <c r="O1262">
        <v>3</v>
      </c>
      <c r="P1262">
        <v>0</v>
      </c>
      <c r="Q1262">
        <v>33</v>
      </c>
      <c r="R1262">
        <v>0</v>
      </c>
      <c r="S1262">
        <v>12</v>
      </c>
      <c r="T1262">
        <v>3</v>
      </c>
      <c r="U1262">
        <v>8</v>
      </c>
      <c r="V1262" t="s">
        <v>72</v>
      </c>
      <c r="W1262" s="1" t="s">
        <v>631</v>
      </c>
      <c r="Y1262" t="s">
        <v>54</v>
      </c>
      <c r="Z1262" t="s">
        <v>40</v>
      </c>
      <c r="AA1262">
        <v>4</v>
      </c>
      <c r="AB1262">
        <v>1</v>
      </c>
      <c r="AC1262" t="s">
        <v>31</v>
      </c>
      <c r="AD1262" t="s">
        <v>67</v>
      </c>
      <c r="AE1262" t="s">
        <v>43</v>
      </c>
      <c r="AF1262" s="3">
        <v>1680</v>
      </c>
      <c r="AG1262" s="3">
        <v>54</v>
      </c>
      <c r="AH1262">
        <v>80</v>
      </c>
      <c r="AI1262">
        <v>2</v>
      </c>
      <c r="AJ1262">
        <v>0</v>
      </c>
      <c r="AL1262">
        <v>0</v>
      </c>
      <c r="AM1262">
        <v>1</v>
      </c>
      <c r="AN1262" t="s">
        <v>768</v>
      </c>
      <c r="AO1262" t="s">
        <v>41</v>
      </c>
    </row>
    <row r="1263" spans="1:41" x14ac:dyDescent="0.25">
      <c r="A1263">
        <v>50</v>
      </c>
      <c r="B1263" t="s">
        <v>32</v>
      </c>
      <c r="C1263" t="s">
        <v>33</v>
      </c>
      <c r="D1263">
        <v>24</v>
      </c>
      <c r="E1263" t="s">
        <v>34</v>
      </c>
      <c r="F1263">
        <v>3</v>
      </c>
      <c r="G1263">
        <v>4</v>
      </c>
      <c r="H1263" t="s">
        <v>78</v>
      </c>
      <c r="I1263">
        <v>3</v>
      </c>
      <c r="J1263" t="s">
        <v>51</v>
      </c>
      <c r="K1263">
        <v>13973</v>
      </c>
      <c r="L1263">
        <v>3</v>
      </c>
      <c r="M1263" t="s">
        <v>31</v>
      </c>
      <c r="N1263">
        <v>18</v>
      </c>
      <c r="O1263">
        <v>3</v>
      </c>
      <c r="P1263">
        <v>1</v>
      </c>
      <c r="Q1263">
        <v>22</v>
      </c>
      <c r="R1263">
        <v>2</v>
      </c>
      <c r="S1263">
        <v>12</v>
      </c>
      <c r="T1263">
        <v>1</v>
      </c>
      <c r="U1263">
        <v>5</v>
      </c>
      <c r="V1263" t="s">
        <v>72</v>
      </c>
      <c r="W1263" s="2">
        <v>40150</v>
      </c>
      <c r="Y1263" t="s">
        <v>69</v>
      </c>
      <c r="Z1263" t="s">
        <v>40</v>
      </c>
      <c r="AA1263">
        <v>3</v>
      </c>
      <c r="AB1263">
        <v>2</v>
      </c>
      <c r="AC1263" t="s">
        <v>31</v>
      </c>
      <c r="AD1263" t="s">
        <v>65</v>
      </c>
      <c r="AE1263" t="s">
        <v>43</v>
      </c>
      <c r="AF1263" s="3">
        <v>1469</v>
      </c>
      <c r="AG1263" s="3">
        <v>84</v>
      </c>
      <c r="AH1263">
        <v>80</v>
      </c>
      <c r="AI1263">
        <v>4</v>
      </c>
      <c r="AJ1263">
        <v>0</v>
      </c>
      <c r="AL1263">
        <v>0</v>
      </c>
      <c r="AM1263">
        <v>1</v>
      </c>
      <c r="AN1263" t="s">
        <v>768</v>
      </c>
      <c r="AO1263" t="s">
        <v>41</v>
      </c>
    </row>
    <row r="1264" spans="1:41" x14ac:dyDescent="0.25">
      <c r="A1264">
        <v>44</v>
      </c>
      <c r="B1264" t="s">
        <v>32</v>
      </c>
      <c r="C1264" t="s">
        <v>55</v>
      </c>
      <c r="D1264">
        <v>28</v>
      </c>
      <c r="E1264" t="s">
        <v>61</v>
      </c>
      <c r="F1264">
        <v>4</v>
      </c>
      <c r="G1264">
        <v>4</v>
      </c>
      <c r="H1264" t="s">
        <v>70</v>
      </c>
      <c r="I1264">
        <v>4</v>
      </c>
      <c r="J1264" t="s">
        <v>51</v>
      </c>
      <c r="K1264">
        <v>13320</v>
      </c>
      <c r="L1264">
        <v>3</v>
      </c>
      <c r="M1264" t="s">
        <v>31</v>
      </c>
      <c r="N1264">
        <v>18</v>
      </c>
      <c r="O1264">
        <v>3</v>
      </c>
      <c r="P1264">
        <v>1</v>
      </c>
      <c r="Q1264">
        <v>23</v>
      </c>
      <c r="R1264">
        <v>2</v>
      </c>
      <c r="S1264">
        <v>12</v>
      </c>
      <c r="T1264">
        <v>11</v>
      </c>
      <c r="U1264">
        <v>11</v>
      </c>
      <c r="V1264" t="s">
        <v>37</v>
      </c>
      <c r="W1264" s="2">
        <v>40150</v>
      </c>
      <c r="Y1264" t="s">
        <v>54</v>
      </c>
      <c r="Z1264" t="s">
        <v>40</v>
      </c>
      <c r="AA1264">
        <v>4</v>
      </c>
      <c r="AB1264">
        <v>2</v>
      </c>
      <c r="AC1264" t="s">
        <v>41</v>
      </c>
      <c r="AD1264" t="s">
        <v>42</v>
      </c>
      <c r="AE1264" t="s">
        <v>43</v>
      </c>
      <c r="AF1264" s="3">
        <v>1708</v>
      </c>
      <c r="AG1264" s="3">
        <v>35</v>
      </c>
      <c r="AH1264">
        <v>80</v>
      </c>
      <c r="AI1264">
        <v>8</v>
      </c>
      <c r="AJ1264">
        <v>0</v>
      </c>
      <c r="AL1264">
        <v>0</v>
      </c>
      <c r="AM1264">
        <v>1</v>
      </c>
      <c r="AN1264" t="s">
        <v>768</v>
      </c>
      <c r="AO1264" t="s">
        <v>41</v>
      </c>
    </row>
    <row r="1265" spans="1:41" x14ac:dyDescent="0.25">
      <c r="A1265">
        <v>46</v>
      </c>
      <c r="B1265" t="s">
        <v>32</v>
      </c>
      <c r="C1265" t="s">
        <v>55</v>
      </c>
      <c r="D1265">
        <v>3</v>
      </c>
      <c r="E1265" t="s">
        <v>34</v>
      </c>
      <c r="F1265">
        <v>3</v>
      </c>
      <c r="G1265">
        <v>4</v>
      </c>
      <c r="H1265" t="s">
        <v>75</v>
      </c>
      <c r="I1265">
        <v>3</v>
      </c>
      <c r="J1265" t="s">
        <v>51</v>
      </c>
      <c r="K1265">
        <v>17465</v>
      </c>
      <c r="L1265">
        <v>3</v>
      </c>
      <c r="M1265" t="s">
        <v>41</v>
      </c>
      <c r="N1265">
        <v>12</v>
      </c>
      <c r="O1265">
        <v>3</v>
      </c>
      <c r="P1265">
        <v>1</v>
      </c>
      <c r="Q1265">
        <v>23</v>
      </c>
      <c r="R1265">
        <v>3</v>
      </c>
      <c r="S1265">
        <v>12</v>
      </c>
      <c r="T1265">
        <v>4</v>
      </c>
      <c r="U1265">
        <v>9</v>
      </c>
      <c r="V1265" t="s">
        <v>37</v>
      </c>
      <c r="W1265" s="1" t="s">
        <v>632</v>
      </c>
      <c r="Y1265" t="s">
        <v>69</v>
      </c>
      <c r="Z1265" t="s">
        <v>40</v>
      </c>
      <c r="AA1265">
        <v>5</v>
      </c>
      <c r="AB1265">
        <v>0</v>
      </c>
      <c r="AC1265" t="s">
        <v>31</v>
      </c>
      <c r="AD1265" t="s">
        <v>48</v>
      </c>
      <c r="AE1265" t="s">
        <v>43</v>
      </c>
      <c r="AF1265" s="3">
        <v>1965</v>
      </c>
      <c r="AG1265" s="3">
        <v>44</v>
      </c>
      <c r="AH1265">
        <v>80</v>
      </c>
      <c r="AI1265">
        <v>7</v>
      </c>
      <c r="AJ1265">
        <v>0</v>
      </c>
      <c r="AL1265">
        <v>0</v>
      </c>
      <c r="AM1265">
        <v>1</v>
      </c>
      <c r="AN1265" t="s">
        <v>768</v>
      </c>
      <c r="AO1265" t="s">
        <v>41</v>
      </c>
    </row>
    <row r="1266" spans="1:41" x14ac:dyDescent="0.25">
      <c r="A1266">
        <v>40</v>
      </c>
      <c r="B1266" t="s">
        <v>32</v>
      </c>
      <c r="C1266" t="s">
        <v>33</v>
      </c>
      <c r="D1266">
        <v>2</v>
      </c>
      <c r="E1266" t="s">
        <v>61</v>
      </c>
      <c r="F1266">
        <v>4</v>
      </c>
      <c r="G1266">
        <v>2</v>
      </c>
      <c r="H1266" t="s">
        <v>89</v>
      </c>
      <c r="I1266">
        <v>3</v>
      </c>
      <c r="J1266" t="s">
        <v>57</v>
      </c>
      <c r="K1266">
        <v>6377</v>
      </c>
      <c r="L1266">
        <v>5</v>
      </c>
      <c r="M1266" t="s">
        <v>41</v>
      </c>
      <c r="N1266">
        <v>20</v>
      </c>
      <c r="O1266">
        <v>4</v>
      </c>
      <c r="P1266">
        <v>3</v>
      </c>
      <c r="Q1266">
        <v>15</v>
      </c>
      <c r="R1266">
        <v>0</v>
      </c>
      <c r="S1266">
        <v>12</v>
      </c>
      <c r="T1266">
        <v>11</v>
      </c>
      <c r="U1266">
        <v>8</v>
      </c>
      <c r="V1266" t="s">
        <v>72</v>
      </c>
      <c r="W1266" s="2">
        <v>39874</v>
      </c>
      <c r="Y1266" t="s">
        <v>69</v>
      </c>
      <c r="Z1266" t="s">
        <v>47</v>
      </c>
      <c r="AA1266">
        <v>5</v>
      </c>
      <c r="AB1266">
        <v>3</v>
      </c>
      <c r="AC1266" t="s">
        <v>41</v>
      </c>
      <c r="AD1266" t="s">
        <v>42</v>
      </c>
      <c r="AE1266" t="s">
        <v>43</v>
      </c>
      <c r="AF1266" s="3">
        <v>1602</v>
      </c>
      <c r="AG1266" s="3">
        <v>56</v>
      </c>
      <c r="AH1266">
        <v>80</v>
      </c>
      <c r="AI1266">
        <v>0</v>
      </c>
      <c r="AJ1266">
        <v>0</v>
      </c>
      <c r="AL1266">
        <v>0</v>
      </c>
      <c r="AM1266">
        <v>1</v>
      </c>
      <c r="AN1266" t="s">
        <v>768</v>
      </c>
      <c r="AO1266" t="s">
        <v>41</v>
      </c>
    </row>
    <row r="1267" spans="1:41" x14ac:dyDescent="0.25">
      <c r="A1267">
        <v>42</v>
      </c>
      <c r="B1267" t="s">
        <v>66</v>
      </c>
      <c r="C1267" t="s">
        <v>33</v>
      </c>
      <c r="D1267">
        <v>9</v>
      </c>
      <c r="E1267" t="s">
        <v>61</v>
      </c>
      <c r="F1267">
        <v>3</v>
      </c>
      <c r="G1267">
        <v>1</v>
      </c>
      <c r="H1267" t="s">
        <v>35</v>
      </c>
      <c r="I1267">
        <v>4</v>
      </c>
      <c r="J1267" t="s">
        <v>36</v>
      </c>
      <c r="K1267">
        <v>3673</v>
      </c>
      <c r="L1267">
        <v>1</v>
      </c>
      <c r="M1267" t="s">
        <v>41</v>
      </c>
      <c r="N1267">
        <v>13</v>
      </c>
      <c r="O1267">
        <v>3</v>
      </c>
      <c r="P1267">
        <v>0</v>
      </c>
      <c r="Q1267">
        <v>12</v>
      </c>
      <c r="R1267">
        <v>3</v>
      </c>
      <c r="S1267">
        <v>12</v>
      </c>
      <c r="T1267">
        <v>5</v>
      </c>
      <c r="U1267">
        <v>8</v>
      </c>
      <c r="V1267" t="s">
        <v>58</v>
      </c>
      <c r="W1267" s="1" t="s">
        <v>632</v>
      </c>
      <c r="Y1267" t="s">
        <v>54</v>
      </c>
      <c r="Z1267" t="s">
        <v>47</v>
      </c>
      <c r="AA1267">
        <v>3</v>
      </c>
      <c r="AB1267">
        <v>2</v>
      </c>
      <c r="AC1267" t="s">
        <v>41</v>
      </c>
      <c r="AD1267" t="s">
        <v>65</v>
      </c>
      <c r="AE1267" t="s">
        <v>49</v>
      </c>
      <c r="AF1267" s="3">
        <v>1605</v>
      </c>
      <c r="AG1267" s="3">
        <v>85</v>
      </c>
      <c r="AH1267">
        <v>80</v>
      </c>
      <c r="AI1267">
        <v>2</v>
      </c>
      <c r="AJ1267">
        <v>0</v>
      </c>
      <c r="AL1267">
        <v>0</v>
      </c>
      <c r="AM1267">
        <v>1</v>
      </c>
      <c r="AN1267" t="s">
        <v>768</v>
      </c>
      <c r="AO1267" t="s">
        <v>41</v>
      </c>
    </row>
    <row r="1268" spans="1:41" x14ac:dyDescent="0.25">
      <c r="A1268">
        <v>57</v>
      </c>
      <c r="B1268" t="s">
        <v>32</v>
      </c>
      <c r="C1268" t="s">
        <v>33</v>
      </c>
      <c r="D1268">
        <v>1</v>
      </c>
      <c r="E1268" t="s">
        <v>34</v>
      </c>
      <c r="F1268">
        <v>4</v>
      </c>
      <c r="G1268">
        <v>2</v>
      </c>
      <c r="H1268" t="s">
        <v>44</v>
      </c>
      <c r="I1268">
        <v>3</v>
      </c>
      <c r="J1268" t="s">
        <v>51</v>
      </c>
      <c r="K1268">
        <v>4900</v>
      </c>
      <c r="L1268">
        <v>0</v>
      </c>
      <c r="M1268" t="s">
        <v>41</v>
      </c>
      <c r="N1268">
        <v>24</v>
      </c>
      <c r="O1268">
        <v>4</v>
      </c>
      <c r="P1268">
        <v>1</v>
      </c>
      <c r="Q1268">
        <v>13</v>
      </c>
      <c r="R1268">
        <v>2</v>
      </c>
      <c r="S1268">
        <v>12</v>
      </c>
      <c r="T1268">
        <v>2</v>
      </c>
      <c r="U1268">
        <v>8</v>
      </c>
      <c r="V1268" t="s">
        <v>37</v>
      </c>
      <c r="W1268" s="2">
        <v>39847</v>
      </c>
      <c r="Y1268" t="s">
        <v>46</v>
      </c>
      <c r="Z1268" t="s">
        <v>40</v>
      </c>
      <c r="AA1268">
        <v>0</v>
      </c>
      <c r="AB1268">
        <v>1</v>
      </c>
      <c r="AC1268" t="s">
        <v>41</v>
      </c>
      <c r="AD1268" t="s">
        <v>67</v>
      </c>
      <c r="AE1268" t="s">
        <v>49</v>
      </c>
      <c r="AF1268" s="3">
        <v>1937</v>
      </c>
      <c r="AG1268" s="3">
        <v>58</v>
      </c>
      <c r="AH1268">
        <v>80</v>
      </c>
      <c r="AI1268">
        <v>11</v>
      </c>
      <c r="AJ1268">
        <v>0</v>
      </c>
      <c r="AL1268">
        <v>0</v>
      </c>
      <c r="AM1268">
        <v>1</v>
      </c>
      <c r="AN1268" t="s">
        <v>768</v>
      </c>
      <c r="AO1268" t="s">
        <v>41</v>
      </c>
    </row>
    <row r="1269" spans="1:41" x14ac:dyDescent="0.25">
      <c r="A1269">
        <v>31</v>
      </c>
      <c r="B1269" t="s">
        <v>32</v>
      </c>
      <c r="C1269" t="s">
        <v>55</v>
      </c>
      <c r="D1269">
        <v>29</v>
      </c>
      <c r="E1269" t="s">
        <v>61</v>
      </c>
      <c r="F1269">
        <v>2</v>
      </c>
      <c r="G1269">
        <v>2</v>
      </c>
      <c r="H1269" t="s">
        <v>70</v>
      </c>
      <c r="I1269">
        <v>4</v>
      </c>
      <c r="J1269" t="s">
        <v>51</v>
      </c>
      <c r="K1269">
        <v>5468</v>
      </c>
      <c r="L1269">
        <v>1</v>
      </c>
      <c r="M1269" t="s">
        <v>41</v>
      </c>
      <c r="N1269">
        <v>14</v>
      </c>
      <c r="O1269">
        <v>3</v>
      </c>
      <c r="P1269">
        <v>2</v>
      </c>
      <c r="Q1269">
        <v>13</v>
      </c>
      <c r="R1269">
        <v>3</v>
      </c>
      <c r="S1269">
        <v>12</v>
      </c>
      <c r="T1269">
        <v>5</v>
      </c>
      <c r="U1269">
        <v>7</v>
      </c>
      <c r="V1269" t="s">
        <v>72</v>
      </c>
      <c r="W1269" s="1" t="s">
        <v>633</v>
      </c>
      <c r="Y1269" t="s">
        <v>46</v>
      </c>
      <c r="Z1269" t="s">
        <v>40</v>
      </c>
      <c r="AA1269">
        <v>2</v>
      </c>
      <c r="AB1269">
        <v>0</v>
      </c>
      <c r="AC1269" t="s">
        <v>41</v>
      </c>
      <c r="AD1269" t="s">
        <v>67</v>
      </c>
      <c r="AE1269" t="s">
        <v>60</v>
      </c>
      <c r="AF1269" s="3">
        <v>1646</v>
      </c>
      <c r="AG1269" s="3">
        <v>32</v>
      </c>
      <c r="AH1269">
        <v>80</v>
      </c>
      <c r="AI1269">
        <v>3</v>
      </c>
      <c r="AJ1269">
        <v>0</v>
      </c>
      <c r="AL1269">
        <v>0</v>
      </c>
      <c r="AM1269">
        <v>1</v>
      </c>
      <c r="AN1269" t="s">
        <v>768</v>
      </c>
      <c r="AO1269" t="s">
        <v>41</v>
      </c>
    </row>
    <row r="1270" spans="1:41" x14ac:dyDescent="0.25">
      <c r="A1270">
        <v>36</v>
      </c>
      <c r="B1270" t="s">
        <v>32</v>
      </c>
      <c r="C1270" t="s">
        <v>33</v>
      </c>
      <c r="D1270">
        <v>10</v>
      </c>
      <c r="E1270" t="s">
        <v>34</v>
      </c>
      <c r="F1270">
        <v>3</v>
      </c>
      <c r="G1270">
        <v>3</v>
      </c>
      <c r="H1270" t="s">
        <v>89</v>
      </c>
      <c r="I1270">
        <v>1</v>
      </c>
      <c r="J1270" t="s">
        <v>51</v>
      </c>
      <c r="K1270">
        <v>8321</v>
      </c>
      <c r="L1270">
        <v>7</v>
      </c>
      <c r="M1270" t="s">
        <v>31</v>
      </c>
      <c r="N1270">
        <v>13</v>
      </c>
      <c r="O1270">
        <v>3</v>
      </c>
      <c r="P1270">
        <v>1</v>
      </c>
      <c r="Q1270">
        <v>15</v>
      </c>
      <c r="R1270">
        <v>1</v>
      </c>
      <c r="S1270">
        <v>12</v>
      </c>
      <c r="T1270">
        <v>5</v>
      </c>
      <c r="U1270">
        <v>7</v>
      </c>
      <c r="V1270" t="s">
        <v>52</v>
      </c>
      <c r="W1270" s="1" t="s">
        <v>634</v>
      </c>
      <c r="Y1270" t="s">
        <v>39</v>
      </c>
      <c r="Z1270" t="s">
        <v>47</v>
      </c>
      <c r="AA1270">
        <v>1</v>
      </c>
      <c r="AB1270">
        <v>0</v>
      </c>
      <c r="AC1270" t="s">
        <v>41</v>
      </c>
      <c r="AD1270" t="s">
        <v>42</v>
      </c>
      <c r="AE1270" t="s">
        <v>49</v>
      </c>
      <c r="AF1270" s="3">
        <v>1850</v>
      </c>
      <c r="AG1270" s="3">
        <v>53</v>
      </c>
      <c r="AH1270">
        <v>80</v>
      </c>
      <c r="AI1270">
        <v>4</v>
      </c>
      <c r="AJ1270">
        <v>0</v>
      </c>
      <c r="AL1270">
        <v>0</v>
      </c>
      <c r="AM1270">
        <v>1</v>
      </c>
      <c r="AN1270" t="s">
        <v>768</v>
      </c>
      <c r="AO1270" t="s">
        <v>41</v>
      </c>
    </row>
    <row r="1271" spans="1:41" x14ac:dyDescent="0.25">
      <c r="A1271">
        <v>30</v>
      </c>
      <c r="B1271" t="s">
        <v>32</v>
      </c>
      <c r="C1271" t="s">
        <v>33</v>
      </c>
      <c r="D1271">
        <v>1</v>
      </c>
      <c r="E1271" t="s">
        <v>34</v>
      </c>
      <c r="F1271">
        <v>3</v>
      </c>
      <c r="G1271">
        <v>1</v>
      </c>
      <c r="H1271" t="s">
        <v>35</v>
      </c>
      <c r="I1271">
        <v>2</v>
      </c>
      <c r="J1271" t="s">
        <v>51</v>
      </c>
      <c r="K1271">
        <v>3748</v>
      </c>
      <c r="L1271">
        <v>1</v>
      </c>
      <c r="M1271" t="s">
        <v>41</v>
      </c>
      <c r="N1271">
        <v>13</v>
      </c>
      <c r="O1271">
        <v>3</v>
      </c>
      <c r="P1271">
        <v>0</v>
      </c>
      <c r="Q1271">
        <v>12</v>
      </c>
      <c r="R1271">
        <v>6</v>
      </c>
      <c r="S1271">
        <v>12</v>
      </c>
      <c r="T1271">
        <v>1</v>
      </c>
      <c r="U1271">
        <v>7</v>
      </c>
      <c r="V1271" t="s">
        <v>37</v>
      </c>
      <c r="W1271" s="2">
        <v>39819</v>
      </c>
      <c r="Y1271" t="s">
        <v>54</v>
      </c>
      <c r="Z1271" t="s">
        <v>47</v>
      </c>
      <c r="AA1271">
        <v>2</v>
      </c>
      <c r="AB1271">
        <v>1</v>
      </c>
      <c r="AC1271" t="s">
        <v>41</v>
      </c>
      <c r="AD1271" t="s">
        <v>48</v>
      </c>
      <c r="AE1271" t="s">
        <v>60</v>
      </c>
      <c r="AF1271" s="3">
        <v>1683</v>
      </c>
      <c r="AG1271" s="3">
        <v>44</v>
      </c>
      <c r="AH1271">
        <v>80</v>
      </c>
      <c r="AI1271">
        <v>2</v>
      </c>
      <c r="AJ1271">
        <v>0</v>
      </c>
      <c r="AL1271">
        <v>0</v>
      </c>
      <c r="AM1271">
        <v>1</v>
      </c>
      <c r="AN1271" t="s">
        <v>768</v>
      </c>
      <c r="AO1271" t="s">
        <v>41</v>
      </c>
    </row>
    <row r="1272" spans="1:41" x14ac:dyDescent="0.25">
      <c r="A1272">
        <v>38</v>
      </c>
      <c r="B1272" t="s">
        <v>81</v>
      </c>
      <c r="C1272" t="s">
        <v>33</v>
      </c>
      <c r="D1272">
        <v>6</v>
      </c>
      <c r="E1272" t="s">
        <v>61</v>
      </c>
      <c r="F1272">
        <v>1</v>
      </c>
      <c r="G1272">
        <v>2</v>
      </c>
      <c r="H1272" t="s">
        <v>44</v>
      </c>
      <c r="I1272">
        <v>4</v>
      </c>
      <c r="J1272" t="s">
        <v>57</v>
      </c>
      <c r="K1272">
        <v>5329</v>
      </c>
      <c r="L1272">
        <v>7</v>
      </c>
      <c r="M1272" t="s">
        <v>31</v>
      </c>
      <c r="N1272">
        <v>12</v>
      </c>
      <c r="O1272">
        <v>3</v>
      </c>
      <c r="P1272">
        <v>3</v>
      </c>
      <c r="Q1272">
        <v>17</v>
      </c>
      <c r="R1272">
        <v>3</v>
      </c>
      <c r="S1272">
        <v>13</v>
      </c>
      <c r="T1272">
        <v>1</v>
      </c>
      <c r="U1272">
        <v>9</v>
      </c>
      <c r="V1272" t="s">
        <v>58</v>
      </c>
      <c r="W1272" s="2">
        <v>39723</v>
      </c>
      <c r="Y1272" t="s">
        <v>39</v>
      </c>
      <c r="Z1272" t="s">
        <v>40</v>
      </c>
      <c r="AA1272">
        <v>2</v>
      </c>
      <c r="AB1272">
        <v>2</v>
      </c>
      <c r="AC1272" t="s">
        <v>31</v>
      </c>
      <c r="AD1272" t="s">
        <v>65</v>
      </c>
      <c r="AE1272" t="s">
        <v>60</v>
      </c>
      <c r="AF1272" s="3">
        <v>2040</v>
      </c>
      <c r="AG1272" s="3">
        <v>31</v>
      </c>
      <c r="AH1272">
        <v>80</v>
      </c>
      <c r="AI1272">
        <v>0</v>
      </c>
      <c r="AJ1272">
        <v>0</v>
      </c>
      <c r="AL1272">
        <v>0</v>
      </c>
      <c r="AM1272">
        <v>1</v>
      </c>
      <c r="AN1272" t="s">
        <v>768</v>
      </c>
      <c r="AO1272" t="s">
        <v>41</v>
      </c>
    </row>
    <row r="1273" spans="1:41" x14ac:dyDescent="0.25">
      <c r="A1273">
        <v>51</v>
      </c>
      <c r="B1273" t="s">
        <v>66</v>
      </c>
      <c r="C1273" t="s">
        <v>33</v>
      </c>
      <c r="D1273">
        <v>1</v>
      </c>
      <c r="E1273" t="s">
        <v>61</v>
      </c>
      <c r="F1273">
        <v>2</v>
      </c>
      <c r="G1273">
        <v>3</v>
      </c>
      <c r="H1273" t="s">
        <v>89</v>
      </c>
      <c r="I1273">
        <v>1</v>
      </c>
      <c r="J1273" t="s">
        <v>36</v>
      </c>
      <c r="K1273">
        <v>7484</v>
      </c>
      <c r="L1273">
        <v>3</v>
      </c>
      <c r="M1273" t="s">
        <v>41</v>
      </c>
      <c r="N1273">
        <v>20</v>
      </c>
      <c r="O1273">
        <v>4</v>
      </c>
      <c r="P1273">
        <v>0</v>
      </c>
      <c r="Q1273">
        <v>23</v>
      </c>
      <c r="R1273">
        <v>1</v>
      </c>
      <c r="S1273">
        <v>13</v>
      </c>
      <c r="T1273">
        <v>12</v>
      </c>
      <c r="U1273">
        <v>8</v>
      </c>
      <c r="V1273" t="s">
        <v>72</v>
      </c>
      <c r="W1273" s="2">
        <v>39724</v>
      </c>
      <c r="Y1273" t="s">
        <v>69</v>
      </c>
      <c r="Z1273" t="s">
        <v>40</v>
      </c>
      <c r="AA1273">
        <v>2</v>
      </c>
      <c r="AB1273">
        <v>3</v>
      </c>
      <c r="AC1273" t="s">
        <v>41</v>
      </c>
      <c r="AD1273" t="s">
        <v>65</v>
      </c>
      <c r="AE1273" t="s">
        <v>43</v>
      </c>
      <c r="AF1273" s="3">
        <v>1608</v>
      </c>
      <c r="AG1273" s="3">
        <v>31</v>
      </c>
      <c r="AH1273">
        <v>80</v>
      </c>
      <c r="AI1273">
        <v>7</v>
      </c>
      <c r="AJ1273">
        <v>0</v>
      </c>
      <c r="AL1273">
        <v>0</v>
      </c>
      <c r="AM1273">
        <v>1</v>
      </c>
      <c r="AN1273" t="s">
        <v>768</v>
      </c>
      <c r="AO1273" t="s">
        <v>41</v>
      </c>
    </row>
    <row r="1274" spans="1:41" x14ac:dyDescent="0.25">
      <c r="A1274">
        <v>36</v>
      </c>
      <c r="B1274" t="s">
        <v>32</v>
      </c>
      <c r="C1274" t="s">
        <v>33</v>
      </c>
      <c r="D1274">
        <v>5</v>
      </c>
      <c r="E1274" t="s">
        <v>34</v>
      </c>
      <c r="F1274">
        <v>3</v>
      </c>
      <c r="G1274">
        <v>2</v>
      </c>
      <c r="H1274" t="s">
        <v>35</v>
      </c>
      <c r="I1274">
        <v>2</v>
      </c>
      <c r="J1274" t="s">
        <v>36</v>
      </c>
      <c r="K1274">
        <v>5914</v>
      </c>
      <c r="L1274">
        <v>8</v>
      </c>
      <c r="M1274" t="s">
        <v>41</v>
      </c>
      <c r="N1274">
        <v>16</v>
      </c>
      <c r="O1274">
        <v>3</v>
      </c>
      <c r="P1274">
        <v>0</v>
      </c>
      <c r="Q1274">
        <v>16</v>
      </c>
      <c r="R1274">
        <v>3</v>
      </c>
      <c r="S1274">
        <v>13</v>
      </c>
      <c r="T1274">
        <v>3</v>
      </c>
      <c r="U1274">
        <v>7</v>
      </c>
      <c r="V1274" t="s">
        <v>37</v>
      </c>
      <c r="W1274" s="2">
        <v>39632</v>
      </c>
      <c r="Y1274" t="s">
        <v>69</v>
      </c>
      <c r="Z1274" t="s">
        <v>47</v>
      </c>
      <c r="AA1274">
        <v>0</v>
      </c>
      <c r="AB1274">
        <v>2</v>
      </c>
      <c r="AC1274" t="s">
        <v>31</v>
      </c>
      <c r="AD1274" t="s">
        <v>65</v>
      </c>
      <c r="AE1274" t="s">
        <v>49</v>
      </c>
      <c r="AF1274" s="3">
        <v>1827</v>
      </c>
      <c r="AG1274" s="3">
        <v>92</v>
      </c>
      <c r="AH1274">
        <v>80</v>
      </c>
      <c r="AI1274">
        <v>11</v>
      </c>
      <c r="AJ1274">
        <v>0</v>
      </c>
      <c r="AL1274">
        <v>0</v>
      </c>
      <c r="AM1274">
        <v>1</v>
      </c>
      <c r="AN1274" t="s">
        <v>768</v>
      </c>
      <c r="AO1274" t="s">
        <v>41</v>
      </c>
    </row>
    <row r="1275" spans="1:41" x14ac:dyDescent="0.25">
      <c r="A1275">
        <v>32</v>
      </c>
      <c r="B1275" t="s">
        <v>32</v>
      </c>
      <c r="C1275" t="s">
        <v>55</v>
      </c>
      <c r="D1275">
        <v>7</v>
      </c>
      <c r="E1275" t="s">
        <v>34</v>
      </c>
      <c r="F1275">
        <v>2</v>
      </c>
      <c r="G1275">
        <v>2</v>
      </c>
      <c r="H1275" t="s">
        <v>70</v>
      </c>
      <c r="I1275">
        <v>3</v>
      </c>
      <c r="J1275" t="s">
        <v>51</v>
      </c>
      <c r="K1275">
        <v>5484</v>
      </c>
      <c r="L1275">
        <v>1</v>
      </c>
      <c r="M1275" t="s">
        <v>41</v>
      </c>
      <c r="N1275">
        <v>14</v>
      </c>
      <c r="O1275">
        <v>3</v>
      </c>
      <c r="P1275">
        <v>1</v>
      </c>
      <c r="Q1275">
        <v>13</v>
      </c>
      <c r="R1275">
        <v>3</v>
      </c>
      <c r="S1275">
        <v>13</v>
      </c>
      <c r="T1275">
        <v>4</v>
      </c>
      <c r="U1275">
        <v>8</v>
      </c>
      <c r="V1275" t="s">
        <v>52</v>
      </c>
      <c r="W1275" s="2">
        <v>39697</v>
      </c>
      <c r="Y1275" t="s">
        <v>54</v>
      </c>
      <c r="Z1275" t="s">
        <v>47</v>
      </c>
      <c r="AA1275">
        <v>1</v>
      </c>
      <c r="AB1275">
        <v>1</v>
      </c>
      <c r="AC1275" t="s">
        <v>41</v>
      </c>
      <c r="AD1275" t="s">
        <v>42</v>
      </c>
      <c r="AE1275" t="s">
        <v>60</v>
      </c>
      <c r="AF1275" s="3">
        <v>1674</v>
      </c>
      <c r="AG1275" s="3">
        <v>74</v>
      </c>
      <c r="AH1275">
        <v>80</v>
      </c>
      <c r="AI1275">
        <v>2</v>
      </c>
      <c r="AJ1275">
        <v>0</v>
      </c>
      <c r="AL1275">
        <v>0</v>
      </c>
      <c r="AM1275">
        <v>1</v>
      </c>
      <c r="AN1275" t="s">
        <v>768</v>
      </c>
      <c r="AO1275" t="s">
        <v>41</v>
      </c>
    </row>
    <row r="1276" spans="1:41" x14ac:dyDescent="0.25">
      <c r="A1276">
        <v>32</v>
      </c>
      <c r="B1276" t="s">
        <v>32</v>
      </c>
      <c r="C1276" t="s">
        <v>55</v>
      </c>
      <c r="D1276">
        <v>8</v>
      </c>
      <c r="E1276" t="s">
        <v>61</v>
      </c>
      <c r="F1276">
        <v>2</v>
      </c>
      <c r="G1276">
        <v>2</v>
      </c>
      <c r="H1276" t="s">
        <v>70</v>
      </c>
      <c r="I1276">
        <v>2</v>
      </c>
      <c r="J1276" t="s">
        <v>51</v>
      </c>
      <c r="K1276">
        <v>5228</v>
      </c>
      <c r="L1276">
        <v>1</v>
      </c>
      <c r="M1276" t="s">
        <v>31</v>
      </c>
      <c r="N1276">
        <v>11</v>
      </c>
      <c r="O1276">
        <v>3</v>
      </c>
      <c r="P1276">
        <v>0</v>
      </c>
      <c r="Q1276">
        <v>13</v>
      </c>
      <c r="R1276">
        <v>2</v>
      </c>
      <c r="S1276">
        <v>13</v>
      </c>
      <c r="T1276">
        <v>11</v>
      </c>
      <c r="U1276">
        <v>9</v>
      </c>
      <c r="V1276" t="s">
        <v>58</v>
      </c>
      <c r="W1276" s="2">
        <v>39695</v>
      </c>
      <c r="Y1276" t="s">
        <v>39</v>
      </c>
      <c r="Z1276" t="s">
        <v>47</v>
      </c>
      <c r="AA1276">
        <v>2</v>
      </c>
      <c r="AB1276">
        <v>0</v>
      </c>
      <c r="AC1276" t="s">
        <v>41</v>
      </c>
      <c r="AD1276" t="s">
        <v>65</v>
      </c>
      <c r="AE1276" t="s">
        <v>43</v>
      </c>
      <c r="AF1276" s="3">
        <v>1974</v>
      </c>
      <c r="AG1276" s="3">
        <v>59</v>
      </c>
      <c r="AH1276">
        <v>80</v>
      </c>
      <c r="AI1276">
        <v>0</v>
      </c>
      <c r="AJ1276">
        <v>0</v>
      </c>
      <c r="AL1276">
        <v>0</v>
      </c>
      <c r="AM1276">
        <v>1</v>
      </c>
      <c r="AN1276" t="s">
        <v>768</v>
      </c>
      <c r="AO1276" t="s">
        <v>41</v>
      </c>
    </row>
    <row r="1277" spans="1:41" x14ac:dyDescent="0.25">
      <c r="A1277">
        <v>36</v>
      </c>
      <c r="B1277" t="s">
        <v>66</v>
      </c>
      <c r="C1277" t="s">
        <v>55</v>
      </c>
      <c r="D1277">
        <v>3</v>
      </c>
      <c r="E1277" t="s">
        <v>34</v>
      </c>
      <c r="F1277">
        <v>2</v>
      </c>
      <c r="G1277">
        <v>3</v>
      </c>
      <c r="H1277" t="s">
        <v>70</v>
      </c>
      <c r="I1277">
        <v>4</v>
      </c>
      <c r="J1277" t="s">
        <v>51</v>
      </c>
      <c r="K1277">
        <v>9699</v>
      </c>
      <c r="L1277">
        <v>4</v>
      </c>
      <c r="M1277" t="s">
        <v>41</v>
      </c>
      <c r="N1277">
        <v>11</v>
      </c>
      <c r="O1277">
        <v>3</v>
      </c>
      <c r="P1277">
        <v>1</v>
      </c>
      <c r="Q1277">
        <v>16</v>
      </c>
      <c r="R1277">
        <v>2</v>
      </c>
      <c r="S1277">
        <v>13</v>
      </c>
      <c r="T1277">
        <v>1</v>
      </c>
      <c r="U1277">
        <v>12</v>
      </c>
      <c r="V1277" t="s">
        <v>72</v>
      </c>
      <c r="W1277" s="2">
        <v>39573</v>
      </c>
      <c r="Y1277" t="s">
        <v>63</v>
      </c>
      <c r="Z1277" t="s">
        <v>47</v>
      </c>
      <c r="AA1277">
        <v>2</v>
      </c>
      <c r="AB1277">
        <v>0</v>
      </c>
      <c r="AC1277" t="s">
        <v>31</v>
      </c>
      <c r="AD1277" t="s">
        <v>67</v>
      </c>
      <c r="AE1277" t="s">
        <v>49</v>
      </c>
      <c r="AF1277" s="3">
        <v>1886</v>
      </c>
      <c r="AG1277" s="3">
        <v>44</v>
      </c>
      <c r="AH1277">
        <v>80</v>
      </c>
      <c r="AI1277">
        <v>2</v>
      </c>
      <c r="AJ1277">
        <v>0</v>
      </c>
      <c r="AL1277">
        <v>0</v>
      </c>
      <c r="AM1277">
        <v>1</v>
      </c>
      <c r="AN1277" t="s">
        <v>768</v>
      </c>
      <c r="AO1277" t="s">
        <v>41</v>
      </c>
    </row>
    <row r="1278" spans="1:41" x14ac:dyDescent="0.25">
      <c r="A1278">
        <v>31</v>
      </c>
      <c r="B1278" t="s">
        <v>32</v>
      </c>
      <c r="C1278" t="s">
        <v>33</v>
      </c>
      <c r="D1278">
        <v>7</v>
      </c>
      <c r="E1278" t="s">
        <v>61</v>
      </c>
      <c r="F1278">
        <v>3</v>
      </c>
      <c r="G1278">
        <v>2</v>
      </c>
      <c r="H1278" t="s">
        <v>78</v>
      </c>
      <c r="I1278">
        <v>1</v>
      </c>
      <c r="J1278" t="s">
        <v>51</v>
      </c>
      <c r="K1278">
        <v>4306</v>
      </c>
      <c r="L1278">
        <v>1</v>
      </c>
      <c r="M1278" t="s">
        <v>41</v>
      </c>
      <c r="N1278">
        <v>12</v>
      </c>
      <c r="O1278">
        <v>3</v>
      </c>
      <c r="P1278">
        <v>1</v>
      </c>
      <c r="Q1278">
        <v>13</v>
      </c>
      <c r="R1278">
        <v>5</v>
      </c>
      <c r="S1278">
        <v>13</v>
      </c>
      <c r="T1278">
        <v>3</v>
      </c>
      <c r="U1278">
        <v>12</v>
      </c>
      <c r="V1278" t="s">
        <v>58</v>
      </c>
      <c r="W1278" s="1" t="s">
        <v>635</v>
      </c>
      <c r="Y1278" t="s">
        <v>39</v>
      </c>
      <c r="Z1278" t="s">
        <v>47</v>
      </c>
      <c r="AA1278">
        <v>4</v>
      </c>
      <c r="AB1278">
        <v>0</v>
      </c>
      <c r="AC1278" t="s">
        <v>31</v>
      </c>
      <c r="AD1278" t="s">
        <v>67</v>
      </c>
      <c r="AE1278" t="s">
        <v>43</v>
      </c>
      <c r="AF1278" s="3">
        <v>1893</v>
      </c>
      <c r="AG1278" s="3">
        <v>90</v>
      </c>
      <c r="AH1278">
        <v>80</v>
      </c>
      <c r="AI1278">
        <v>0</v>
      </c>
      <c r="AJ1278">
        <v>0</v>
      </c>
      <c r="AL1278">
        <v>0</v>
      </c>
      <c r="AM1278">
        <v>1</v>
      </c>
      <c r="AN1278" t="s">
        <v>768</v>
      </c>
      <c r="AO1278" t="s">
        <v>41</v>
      </c>
    </row>
    <row r="1279" spans="1:41" x14ac:dyDescent="0.25">
      <c r="A1279">
        <v>37</v>
      </c>
      <c r="B1279" t="s">
        <v>81</v>
      </c>
      <c r="C1279" t="s">
        <v>33</v>
      </c>
      <c r="D1279">
        <v>25</v>
      </c>
      <c r="E1279" t="s">
        <v>61</v>
      </c>
      <c r="F1279">
        <v>3</v>
      </c>
      <c r="G1279">
        <v>2</v>
      </c>
      <c r="H1279" t="s">
        <v>44</v>
      </c>
      <c r="I1279">
        <v>3</v>
      </c>
      <c r="J1279" t="s">
        <v>51</v>
      </c>
      <c r="K1279">
        <v>4449</v>
      </c>
      <c r="L1279">
        <v>3</v>
      </c>
      <c r="M1279" t="s">
        <v>31</v>
      </c>
      <c r="N1279">
        <v>15</v>
      </c>
      <c r="O1279">
        <v>3</v>
      </c>
      <c r="P1279">
        <v>2</v>
      </c>
      <c r="Q1279">
        <v>15</v>
      </c>
      <c r="R1279">
        <v>2</v>
      </c>
      <c r="S1279">
        <v>13</v>
      </c>
      <c r="T1279">
        <v>10</v>
      </c>
      <c r="U1279">
        <v>7</v>
      </c>
      <c r="V1279" t="s">
        <v>37</v>
      </c>
      <c r="W1279" s="1" t="s">
        <v>636</v>
      </c>
      <c r="Y1279" t="s">
        <v>69</v>
      </c>
      <c r="Z1279" t="s">
        <v>40</v>
      </c>
      <c r="AA1279">
        <v>3</v>
      </c>
      <c r="AB1279">
        <v>1</v>
      </c>
      <c r="AC1279" t="s">
        <v>41</v>
      </c>
      <c r="AD1279" t="s">
        <v>65</v>
      </c>
      <c r="AE1279" t="s">
        <v>49</v>
      </c>
      <c r="AF1279" s="3">
        <v>1724</v>
      </c>
      <c r="AG1279" s="3">
        <v>92</v>
      </c>
      <c r="AH1279">
        <v>80</v>
      </c>
      <c r="AI1279">
        <v>0</v>
      </c>
      <c r="AJ1279">
        <v>0</v>
      </c>
      <c r="AL1279">
        <v>0</v>
      </c>
      <c r="AM1279">
        <v>1</v>
      </c>
      <c r="AN1279" t="s">
        <v>768</v>
      </c>
      <c r="AO1279" t="s">
        <v>41</v>
      </c>
    </row>
    <row r="1280" spans="1:41" x14ac:dyDescent="0.25">
      <c r="A1280">
        <v>31</v>
      </c>
      <c r="B1280" t="s">
        <v>32</v>
      </c>
      <c r="C1280" t="s">
        <v>33</v>
      </c>
      <c r="D1280">
        <v>9</v>
      </c>
      <c r="E1280" t="s">
        <v>34</v>
      </c>
      <c r="F1280">
        <v>3</v>
      </c>
      <c r="G1280">
        <v>3</v>
      </c>
      <c r="H1280" t="s">
        <v>78</v>
      </c>
      <c r="I1280">
        <v>2</v>
      </c>
      <c r="J1280" t="s">
        <v>57</v>
      </c>
      <c r="K1280">
        <v>10648</v>
      </c>
      <c r="L1280">
        <v>1</v>
      </c>
      <c r="M1280" t="s">
        <v>41</v>
      </c>
      <c r="N1280">
        <v>25</v>
      </c>
      <c r="O1280">
        <v>4</v>
      </c>
      <c r="P1280">
        <v>1</v>
      </c>
      <c r="Q1280">
        <v>13</v>
      </c>
      <c r="R1280">
        <v>6</v>
      </c>
      <c r="S1280">
        <v>13</v>
      </c>
      <c r="T1280">
        <v>0</v>
      </c>
      <c r="U1280">
        <v>8</v>
      </c>
      <c r="V1280" t="s">
        <v>58</v>
      </c>
      <c r="W1280" s="1" t="s">
        <v>637</v>
      </c>
      <c r="Y1280" t="s">
        <v>54</v>
      </c>
      <c r="Z1280" t="s">
        <v>47</v>
      </c>
      <c r="AA1280">
        <v>3</v>
      </c>
      <c r="AB1280">
        <v>3</v>
      </c>
      <c r="AC1280" t="s">
        <v>31</v>
      </c>
      <c r="AD1280" t="s">
        <v>65</v>
      </c>
      <c r="AE1280" t="s">
        <v>43</v>
      </c>
      <c r="AF1280" s="3">
        <v>2009</v>
      </c>
      <c r="AG1280" s="3">
        <v>95</v>
      </c>
      <c r="AH1280">
        <v>80</v>
      </c>
      <c r="AI1280">
        <v>7</v>
      </c>
      <c r="AJ1280">
        <v>0</v>
      </c>
      <c r="AL1280">
        <v>0</v>
      </c>
      <c r="AM1280">
        <v>1</v>
      </c>
      <c r="AN1280" t="s">
        <v>768</v>
      </c>
      <c r="AO1280" t="s">
        <v>41</v>
      </c>
    </row>
    <row r="1281" spans="1:41" x14ac:dyDescent="0.25">
      <c r="A1281">
        <v>33</v>
      </c>
      <c r="B1281" t="s">
        <v>66</v>
      </c>
      <c r="C1281" t="s">
        <v>33</v>
      </c>
      <c r="D1281">
        <v>6</v>
      </c>
      <c r="E1281" t="s">
        <v>34</v>
      </c>
      <c r="F1281">
        <v>3</v>
      </c>
      <c r="G1281">
        <v>2</v>
      </c>
      <c r="H1281" t="s">
        <v>89</v>
      </c>
      <c r="I1281">
        <v>4</v>
      </c>
      <c r="J1281" t="s">
        <v>57</v>
      </c>
      <c r="K1281">
        <v>7725</v>
      </c>
      <c r="L1281">
        <v>3</v>
      </c>
      <c r="M1281" t="s">
        <v>41</v>
      </c>
      <c r="N1281">
        <v>23</v>
      </c>
      <c r="O1281">
        <v>4</v>
      </c>
      <c r="P1281">
        <v>1</v>
      </c>
      <c r="Q1281">
        <v>15</v>
      </c>
      <c r="R1281">
        <v>2</v>
      </c>
      <c r="S1281">
        <v>13</v>
      </c>
      <c r="T1281">
        <v>4</v>
      </c>
      <c r="U1281">
        <v>7</v>
      </c>
      <c r="V1281" t="s">
        <v>37</v>
      </c>
      <c r="W1281" s="1" t="s">
        <v>638</v>
      </c>
      <c r="Y1281" t="s">
        <v>69</v>
      </c>
      <c r="Z1281" t="s">
        <v>47</v>
      </c>
      <c r="AA1281">
        <v>2</v>
      </c>
      <c r="AB1281">
        <v>0</v>
      </c>
      <c r="AC1281" t="s">
        <v>31</v>
      </c>
      <c r="AD1281" t="s">
        <v>42</v>
      </c>
      <c r="AE1281" t="s">
        <v>43</v>
      </c>
      <c r="AF1281" s="3">
        <v>1661</v>
      </c>
      <c r="AG1281" s="3">
        <v>41</v>
      </c>
      <c r="AH1281">
        <v>80</v>
      </c>
      <c r="AI1281">
        <v>11</v>
      </c>
      <c r="AJ1281">
        <v>0</v>
      </c>
      <c r="AL1281">
        <v>0</v>
      </c>
      <c r="AM1281">
        <v>1</v>
      </c>
      <c r="AN1281" t="s">
        <v>768</v>
      </c>
      <c r="AO1281" t="s">
        <v>41</v>
      </c>
    </row>
    <row r="1282" spans="1:41" x14ac:dyDescent="0.25">
      <c r="A1282">
        <v>33</v>
      </c>
      <c r="B1282" t="s">
        <v>32</v>
      </c>
      <c r="C1282" t="s">
        <v>33</v>
      </c>
      <c r="D1282">
        <v>7</v>
      </c>
      <c r="E1282" t="s">
        <v>34</v>
      </c>
      <c r="F1282">
        <v>3</v>
      </c>
      <c r="G1282">
        <v>3</v>
      </c>
      <c r="H1282" t="s">
        <v>50</v>
      </c>
      <c r="I1282">
        <v>3</v>
      </c>
      <c r="J1282" t="s">
        <v>51</v>
      </c>
      <c r="K1282">
        <v>11691</v>
      </c>
      <c r="L1282">
        <v>0</v>
      </c>
      <c r="M1282" t="s">
        <v>41</v>
      </c>
      <c r="N1282">
        <v>11</v>
      </c>
      <c r="O1282">
        <v>3</v>
      </c>
      <c r="P1282">
        <v>0</v>
      </c>
      <c r="Q1282">
        <v>14</v>
      </c>
      <c r="R1282">
        <v>3</v>
      </c>
      <c r="S1282">
        <v>13</v>
      </c>
      <c r="T1282">
        <v>3</v>
      </c>
      <c r="U1282">
        <v>7</v>
      </c>
      <c r="V1282" t="s">
        <v>37</v>
      </c>
      <c r="W1282" s="1" t="s">
        <v>639</v>
      </c>
      <c r="Y1282" t="s">
        <v>46</v>
      </c>
      <c r="Z1282" t="s">
        <v>47</v>
      </c>
      <c r="AA1282">
        <v>2</v>
      </c>
      <c r="AB1282">
        <v>3</v>
      </c>
      <c r="AC1282" t="s">
        <v>31</v>
      </c>
      <c r="AD1282" t="s">
        <v>48</v>
      </c>
      <c r="AE1282" t="s">
        <v>60</v>
      </c>
      <c r="AF1282" s="3">
        <v>1703</v>
      </c>
      <c r="AG1282" s="3">
        <v>96</v>
      </c>
      <c r="AH1282">
        <v>80</v>
      </c>
      <c r="AI1282">
        <v>7</v>
      </c>
      <c r="AJ1282">
        <v>0</v>
      </c>
      <c r="AL1282">
        <v>0</v>
      </c>
      <c r="AM1282">
        <v>1</v>
      </c>
      <c r="AN1282" t="s">
        <v>768</v>
      </c>
      <c r="AO1282" t="s">
        <v>41</v>
      </c>
    </row>
    <row r="1283" spans="1:41" x14ac:dyDescent="0.25">
      <c r="A1283">
        <v>35</v>
      </c>
      <c r="B1283" t="s">
        <v>32</v>
      </c>
      <c r="C1283" t="s">
        <v>33</v>
      </c>
      <c r="D1283">
        <v>25</v>
      </c>
      <c r="E1283" t="s">
        <v>34</v>
      </c>
      <c r="F1283">
        <v>2</v>
      </c>
      <c r="G1283">
        <v>3</v>
      </c>
      <c r="H1283" t="s">
        <v>78</v>
      </c>
      <c r="I1283">
        <v>2</v>
      </c>
      <c r="J1283" t="s">
        <v>51</v>
      </c>
      <c r="K1283">
        <v>10903</v>
      </c>
      <c r="L1283">
        <v>3</v>
      </c>
      <c r="M1283" t="s">
        <v>41</v>
      </c>
      <c r="N1283">
        <v>16</v>
      </c>
      <c r="O1283">
        <v>3</v>
      </c>
      <c r="P1283">
        <v>0</v>
      </c>
      <c r="Q1283">
        <v>16</v>
      </c>
      <c r="R1283">
        <v>2</v>
      </c>
      <c r="S1283">
        <v>13</v>
      </c>
      <c r="T1283">
        <v>4</v>
      </c>
      <c r="U1283">
        <v>8</v>
      </c>
      <c r="V1283" t="s">
        <v>52</v>
      </c>
      <c r="W1283" s="1" t="s">
        <v>640</v>
      </c>
      <c r="Y1283" t="s">
        <v>63</v>
      </c>
      <c r="Z1283" t="s">
        <v>40</v>
      </c>
      <c r="AA1283">
        <v>4</v>
      </c>
      <c r="AB1283">
        <v>1</v>
      </c>
      <c r="AC1283" t="s">
        <v>31</v>
      </c>
      <c r="AD1283" t="s">
        <v>67</v>
      </c>
      <c r="AE1283" t="s">
        <v>43</v>
      </c>
      <c r="AF1283" s="3">
        <v>1638</v>
      </c>
      <c r="AG1283" s="3">
        <v>54</v>
      </c>
      <c r="AH1283">
        <v>80</v>
      </c>
      <c r="AI1283">
        <v>4</v>
      </c>
      <c r="AJ1283">
        <v>0</v>
      </c>
      <c r="AL1283">
        <v>0</v>
      </c>
      <c r="AM1283">
        <v>1</v>
      </c>
      <c r="AN1283" t="s">
        <v>768</v>
      </c>
      <c r="AO1283" t="s">
        <v>41</v>
      </c>
    </row>
    <row r="1284" spans="1:41" x14ac:dyDescent="0.25">
      <c r="A1284">
        <v>33</v>
      </c>
      <c r="B1284" t="s">
        <v>66</v>
      </c>
      <c r="C1284" t="s">
        <v>33</v>
      </c>
      <c r="D1284">
        <v>29</v>
      </c>
      <c r="E1284" t="s">
        <v>61</v>
      </c>
      <c r="F1284">
        <v>2</v>
      </c>
      <c r="G1284">
        <v>2</v>
      </c>
      <c r="H1284" t="s">
        <v>44</v>
      </c>
      <c r="I1284">
        <v>3</v>
      </c>
      <c r="J1284" t="s">
        <v>36</v>
      </c>
      <c r="K1284">
        <v>4508</v>
      </c>
      <c r="L1284">
        <v>1</v>
      </c>
      <c r="M1284" t="s">
        <v>41</v>
      </c>
      <c r="N1284">
        <v>22</v>
      </c>
      <c r="O1284">
        <v>4</v>
      </c>
      <c r="P1284">
        <v>0</v>
      </c>
      <c r="Q1284">
        <v>14</v>
      </c>
      <c r="R1284">
        <v>4</v>
      </c>
      <c r="S1284">
        <v>13</v>
      </c>
      <c r="T1284">
        <v>3</v>
      </c>
      <c r="U1284">
        <v>8</v>
      </c>
      <c r="V1284" t="s">
        <v>37</v>
      </c>
      <c r="W1284" s="1" t="s">
        <v>641</v>
      </c>
      <c r="Y1284" t="s">
        <v>39</v>
      </c>
      <c r="Z1284" t="s">
        <v>40</v>
      </c>
      <c r="AA1284">
        <v>1</v>
      </c>
      <c r="AB1284">
        <v>3</v>
      </c>
      <c r="AC1284" t="s">
        <v>31</v>
      </c>
      <c r="AD1284" t="s">
        <v>48</v>
      </c>
      <c r="AE1284" t="s">
        <v>60</v>
      </c>
      <c r="AF1284" s="3">
        <v>1614</v>
      </c>
      <c r="AG1284" s="3">
        <v>76</v>
      </c>
      <c r="AH1284">
        <v>80</v>
      </c>
      <c r="AI1284">
        <v>2</v>
      </c>
      <c r="AJ1284">
        <v>0</v>
      </c>
      <c r="AL1284">
        <v>0</v>
      </c>
      <c r="AM1284">
        <v>1</v>
      </c>
      <c r="AN1284" t="s">
        <v>768</v>
      </c>
      <c r="AO1284" t="s">
        <v>41</v>
      </c>
    </row>
    <row r="1285" spans="1:41" x14ac:dyDescent="0.25">
      <c r="A1285">
        <v>34</v>
      </c>
      <c r="B1285" t="s">
        <v>66</v>
      </c>
      <c r="C1285" t="s">
        <v>33</v>
      </c>
      <c r="D1285">
        <v>1</v>
      </c>
      <c r="E1285" t="s">
        <v>34</v>
      </c>
      <c r="F1285">
        <v>2</v>
      </c>
      <c r="G1285">
        <v>2</v>
      </c>
      <c r="H1285" t="s">
        <v>89</v>
      </c>
      <c r="I1285">
        <v>1</v>
      </c>
      <c r="J1285" t="s">
        <v>36</v>
      </c>
      <c r="K1285">
        <v>5343</v>
      </c>
      <c r="L1285">
        <v>0</v>
      </c>
      <c r="M1285" t="s">
        <v>41</v>
      </c>
      <c r="N1285">
        <v>20</v>
      </c>
      <c r="O1285">
        <v>4</v>
      </c>
      <c r="P1285">
        <v>0</v>
      </c>
      <c r="Q1285">
        <v>14</v>
      </c>
      <c r="R1285">
        <v>3</v>
      </c>
      <c r="S1285">
        <v>13</v>
      </c>
      <c r="T1285">
        <v>4</v>
      </c>
      <c r="U1285">
        <v>9</v>
      </c>
      <c r="V1285" t="s">
        <v>58</v>
      </c>
      <c r="W1285" s="1" t="s">
        <v>640</v>
      </c>
      <c r="Y1285" t="s">
        <v>39</v>
      </c>
      <c r="Z1285" t="s">
        <v>40</v>
      </c>
      <c r="AA1285">
        <v>5</v>
      </c>
      <c r="AB1285">
        <v>1</v>
      </c>
      <c r="AC1285" t="s">
        <v>41</v>
      </c>
      <c r="AD1285" t="s">
        <v>65</v>
      </c>
      <c r="AE1285" t="s">
        <v>43</v>
      </c>
      <c r="AF1285" s="3">
        <v>1587</v>
      </c>
      <c r="AG1285" s="3">
        <v>51</v>
      </c>
      <c r="AH1285">
        <v>80</v>
      </c>
      <c r="AI1285">
        <v>2</v>
      </c>
      <c r="AJ1285">
        <v>0</v>
      </c>
      <c r="AL1285">
        <v>0</v>
      </c>
      <c r="AM1285">
        <v>1</v>
      </c>
      <c r="AN1285" t="s">
        <v>768</v>
      </c>
      <c r="AO1285" t="s">
        <v>41</v>
      </c>
    </row>
    <row r="1286" spans="1:41" x14ac:dyDescent="0.25">
      <c r="A1286">
        <v>35</v>
      </c>
      <c r="B1286" t="s">
        <v>81</v>
      </c>
      <c r="C1286" t="s">
        <v>55</v>
      </c>
      <c r="D1286">
        <v>8</v>
      </c>
      <c r="E1286" t="s">
        <v>61</v>
      </c>
      <c r="F1286">
        <v>2</v>
      </c>
      <c r="G1286">
        <v>3</v>
      </c>
      <c r="H1286" t="s">
        <v>70</v>
      </c>
      <c r="I1286">
        <v>4</v>
      </c>
      <c r="J1286" t="s">
        <v>51</v>
      </c>
      <c r="K1286">
        <v>10377</v>
      </c>
      <c r="L1286">
        <v>4</v>
      </c>
      <c r="M1286" t="s">
        <v>31</v>
      </c>
      <c r="N1286">
        <v>11</v>
      </c>
      <c r="O1286">
        <v>3</v>
      </c>
      <c r="P1286">
        <v>1</v>
      </c>
      <c r="Q1286">
        <v>16</v>
      </c>
      <c r="R1286">
        <v>6</v>
      </c>
      <c r="S1286">
        <v>13</v>
      </c>
      <c r="T1286">
        <v>4</v>
      </c>
      <c r="U1286">
        <v>12</v>
      </c>
      <c r="V1286" t="s">
        <v>58</v>
      </c>
      <c r="W1286" s="1" t="s">
        <v>642</v>
      </c>
      <c r="Y1286" t="s">
        <v>69</v>
      </c>
      <c r="Z1286" t="s">
        <v>40</v>
      </c>
      <c r="AA1286">
        <v>1</v>
      </c>
      <c r="AB1286">
        <v>0</v>
      </c>
      <c r="AC1286" t="s">
        <v>31</v>
      </c>
      <c r="AD1286" t="s">
        <v>42</v>
      </c>
      <c r="AE1286" t="s">
        <v>43</v>
      </c>
      <c r="AF1286" s="3">
        <v>1611</v>
      </c>
      <c r="AG1286" s="3">
        <v>50</v>
      </c>
      <c r="AH1286">
        <v>80</v>
      </c>
      <c r="AI1286">
        <v>7</v>
      </c>
      <c r="AJ1286">
        <v>0</v>
      </c>
      <c r="AL1286">
        <v>0</v>
      </c>
      <c r="AM1286">
        <v>1</v>
      </c>
      <c r="AN1286" t="s">
        <v>768</v>
      </c>
      <c r="AO1286" t="s">
        <v>41</v>
      </c>
    </row>
    <row r="1287" spans="1:41" x14ac:dyDescent="0.25">
      <c r="A1287">
        <v>31</v>
      </c>
      <c r="B1287" t="s">
        <v>32</v>
      </c>
      <c r="C1287" t="s">
        <v>55</v>
      </c>
      <c r="D1287">
        <v>8</v>
      </c>
      <c r="E1287" t="s">
        <v>34</v>
      </c>
      <c r="F1287">
        <v>3</v>
      </c>
      <c r="G1287">
        <v>3</v>
      </c>
      <c r="H1287" t="s">
        <v>70</v>
      </c>
      <c r="I1287">
        <v>4</v>
      </c>
      <c r="J1287" t="s">
        <v>57</v>
      </c>
      <c r="K1287">
        <v>10793</v>
      </c>
      <c r="L1287">
        <v>1</v>
      </c>
      <c r="M1287" t="s">
        <v>41</v>
      </c>
      <c r="N1287">
        <v>18</v>
      </c>
      <c r="O1287">
        <v>3</v>
      </c>
      <c r="P1287">
        <v>1</v>
      </c>
      <c r="Q1287">
        <v>13</v>
      </c>
      <c r="R1287">
        <v>5</v>
      </c>
      <c r="S1287">
        <v>13</v>
      </c>
      <c r="T1287">
        <v>9</v>
      </c>
      <c r="U1287">
        <v>9</v>
      </c>
      <c r="V1287" t="s">
        <v>58</v>
      </c>
      <c r="W1287" s="1" t="s">
        <v>643</v>
      </c>
      <c r="Y1287" t="s">
        <v>63</v>
      </c>
      <c r="Z1287" t="s">
        <v>40</v>
      </c>
      <c r="AA1287">
        <v>1</v>
      </c>
      <c r="AB1287">
        <v>1</v>
      </c>
      <c r="AC1287" t="s">
        <v>41</v>
      </c>
      <c r="AD1287" t="s">
        <v>65</v>
      </c>
      <c r="AE1287" t="s">
        <v>49</v>
      </c>
      <c r="AF1287" s="3">
        <v>1980</v>
      </c>
      <c r="AG1287" s="3">
        <v>77</v>
      </c>
      <c r="AH1287">
        <v>80</v>
      </c>
      <c r="AI1287">
        <v>2</v>
      </c>
      <c r="AJ1287">
        <v>0</v>
      </c>
      <c r="AL1287">
        <v>0</v>
      </c>
      <c r="AM1287">
        <v>1</v>
      </c>
      <c r="AN1287" t="s">
        <v>768</v>
      </c>
      <c r="AO1287" t="s">
        <v>41</v>
      </c>
    </row>
    <row r="1288" spans="1:41" x14ac:dyDescent="0.25">
      <c r="A1288">
        <v>34</v>
      </c>
      <c r="B1288" t="s">
        <v>32</v>
      </c>
      <c r="C1288" t="s">
        <v>55</v>
      </c>
      <c r="D1288">
        <v>3</v>
      </c>
      <c r="E1288" t="s">
        <v>34</v>
      </c>
      <c r="F1288">
        <v>1</v>
      </c>
      <c r="G1288">
        <v>2</v>
      </c>
      <c r="H1288" t="s">
        <v>70</v>
      </c>
      <c r="I1288">
        <v>1</v>
      </c>
      <c r="J1288" t="s">
        <v>36</v>
      </c>
      <c r="K1288">
        <v>4759</v>
      </c>
      <c r="L1288">
        <v>3</v>
      </c>
      <c r="M1288" t="s">
        <v>41</v>
      </c>
      <c r="N1288">
        <v>18</v>
      </c>
      <c r="O1288">
        <v>3</v>
      </c>
      <c r="P1288">
        <v>0</v>
      </c>
      <c r="Q1288">
        <v>15</v>
      </c>
      <c r="R1288">
        <v>2</v>
      </c>
      <c r="S1288">
        <v>13</v>
      </c>
      <c r="T1288">
        <v>3</v>
      </c>
      <c r="U1288">
        <v>12</v>
      </c>
      <c r="V1288" t="s">
        <v>72</v>
      </c>
      <c r="W1288" s="1" t="s">
        <v>644</v>
      </c>
      <c r="Y1288" t="s">
        <v>63</v>
      </c>
      <c r="Z1288" t="s">
        <v>40</v>
      </c>
      <c r="AA1288">
        <v>3</v>
      </c>
      <c r="AB1288">
        <v>3</v>
      </c>
      <c r="AC1288" t="s">
        <v>41</v>
      </c>
      <c r="AD1288" t="s">
        <v>67</v>
      </c>
      <c r="AE1288" t="s">
        <v>49</v>
      </c>
      <c r="AF1288" s="3">
        <v>1641</v>
      </c>
      <c r="AG1288" s="3">
        <v>84</v>
      </c>
      <c r="AH1288">
        <v>80</v>
      </c>
      <c r="AI1288">
        <v>2</v>
      </c>
      <c r="AJ1288">
        <v>0</v>
      </c>
      <c r="AL1288">
        <v>0</v>
      </c>
      <c r="AM1288">
        <v>1</v>
      </c>
      <c r="AN1288" t="s">
        <v>768</v>
      </c>
      <c r="AO1288" t="s">
        <v>41</v>
      </c>
    </row>
    <row r="1289" spans="1:41" x14ac:dyDescent="0.25">
      <c r="A1289">
        <v>46</v>
      </c>
      <c r="B1289" t="s">
        <v>32</v>
      </c>
      <c r="C1289" t="s">
        <v>55</v>
      </c>
      <c r="D1289">
        <v>3</v>
      </c>
      <c r="E1289" t="s">
        <v>61</v>
      </c>
      <c r="F1289">
        <v>3</v>
      </c>
      <c r="G1289">
        <v>4</v>
      </c>
      <c r="H1289" t="s">
        <v>75</v>
      </c>
      <c r="I1289">
        <v>2</v>
      </c>
      <c r="J1289" t="s">
        <v>51</v>
      </c>
      <c r="K1289">
        <v>16606</v>
      </c>
      <c r="L1289">
        <v>8</v>
      </c>
      <c r="M1289" t="s">
        <v>41</v>
      </c>
      <c r="N1289">
        <v>12</v>
      </c>
      <c r="O1289">
        <v>3</v>
      </c>
      <c r="P1289">
        <v>1</v>
      </c>
      <c r="Q1289">
        <v>23</v>
      </c>
      <c r="R1289">
        <v>2</v>
      </c>
      <c r="S1289">
        <v>13</v>
      </c>
      <c r="T1289">
        <v>5</v>
      </c>
      <c r="U1289">
        <v>1</v>
      </c>
      <c r="V1289" t="s">
        <v>58</v>
      </c>
      <c r="W1289" s="2">
        <v>39633</v>
      </c>
      <c r="Y1289" t="s">
        <v>46</v>
      </c>
      <c r="Z1289" t="s">
        <v>47</v>
      </c>
      <c r="AA1289">
        <v>5</v>
      </c>
      <c r="AB1289">
        <v>3</v>
      </c>
      <c r="AC1289" t="s">
        <v>31</v>
      </c>
      <c r="AD1289" t="s">
        <v>67</v>
      </c>
      <c r="AE1289" t="s">
        <v>60</v>
      </c>
      <c r="AF1289" s="3">
        <v>1815</v>
      </c>
      <c r="AG1289" s="3">
        <v>81</v>
      </c>
      <c r="AH1289">
        <v>80</v>
      </c>
      <c r="AI1289">
        <v>14</v>
      </c>
      <c r="AJ1289">
        <v>0</v>
      </c>
      <c r="AL1289">
        <v>0</v>
      </c>
      <c r="AM1289">
        <v>1</v>
      </c>
      <c r="AN1289" t="s">
        <v>768</v>
      </c>
      <c r="AO1289" t="s">
        <v>41</v>
      </c>
    </row>
    <row r="1290" spans="1:41" x14ac:dyDescent="0.25">
      <c r="A1290">
        <v>35</v>
      </c>
      <c r="B1290" t="s">
        <v>32</v>
      </c>
      <c r="C1290" t="s">
        <v>55</v>
      </c>
      <c r="D1290">
        <v>10</v>
      </c>
      <c r="E1290" t="s">
        <v>34</v>
      </c>
      <c r="F1290">
        <v>2</v>
      </c>
      <c r="G1290">
        <v>3</v>
      </c>
      <c r="H1290" t="s">
        <v>70</v>
      </c>
      <c r="I1290">
        <v>1</v>
      </c>
      <c r="J1290" t="s">
        <v>51</v>
      </c>
      <c r="K1290">
        <v>10306</v>
      </c>
      <c r="L1290">
        <v>9</v>
      </c>
      <c r="M1290" t="s">
        <v>41</v>
      </c>
      <c r="N1290">
        <v>17</v>
      </c>
      <c r="O1290">
        <v>3</v>
      </c>
      <c r="P1290">
        <v>0</v>
      </c>
      <c r="Q1290">
        <v>15</v>
      </c>
      <c r="R1290">
        <v>3</v>
      </c>
      <c r="S1290">
        <v>13</v>
      </c>
      <c r="T1290">
        <v>6</v>
      </c>
      <c r="U1290">
        <v>0</v>
      </c>
      <c r="V1290" t="s">
        <v>37</v>
      </c>
      <c r="W1290" s="1" t="s">
        <v>645</v>
      </c>
      <c r="Y1290" t="s">
        <v>46</v>
      </c>
      <c r="Z1290" t="s">
        <v>47</v>
      </c>
      <c r="AA1290">
        <v>4</v>
      </c>
      <c r="AB1290">
        <v>2</v>
      </c>
      <c r="AC1290" t="s">
        <v>31</v>
      </c>
      <c r="AD1290" t="s">
        <v>67</v>
      </c>
      <c r="AE1290" t="s">
        <v>49</v>
      </c>
      <c r="AF1290" s="3">
        <v>1912</v>
      </c>
      <c r="AG1290" s="3">
        <v>86</v>
      </c>
      <c r="AH1290">
        <v>80</v>
      </c>
      <c r="AI1290">
        <v>2</v>
      </c>
      <c r="AJ1290">
        <v>0</v>
      </c>
      <c r="AL1290">
        <v>0</v>
      </c>
      <c r="AM1290">
        <v>1</v>
      </c>
      <c r="AN1290" t="s">
        <v>768</v>
      </c>
      <c r="AO1290" t="s">
        <v>41</v>
      </c>
    </row>
    <row r="1291" spans="1:41" x14ac:dyDescent="0.25">
      <c r="A1291">
        <v>38</v>
      </c>
      <c r="B1291" t="s">
        <v>66</v>
      </c>
      <c r="C1291" t="s">
        <v>33</v>
      </c>
      <c r="D1291">
        <v>1</v>
      </c>
      <c r="E1291" t="s">
        <v>34</v>
      </c>
      <c r="F1291">
        <v>3</v>
      </c>
      <c r="G1291">
        <v>2</v>
      </c>
      <c r="H1291" t="s">
        <v>44</v>
      </c>
      <c r="I1291">
        <v>4</v>
      </c>
      <c r="J1291" t="s">
        <v>51</v>
      </c>
      <c r="K1291">
        <v>4735</v>
      </c>
      <c r="L1291">
        <v>7</v>
      </c>
      <c r="M1291" t="s">
        <v>41</v>
      </c>
      <c r="N1291">
        <v>15</v>
      </c>
      <c r="O1291">
        <v>3</v>
      </c>
      <c r="P1291">
        <v>2</v>
      </c>
      <c r="Q1291">
        <v>19</v>
      </c>
      <c r="R1291">
        <v>4</v>
      </c>
      <c r="S1291">
        <v>13</v>
      </c>
      <c r="T1291">
        <v>2</v>
      </c>
      <c r="U1291">
        <v>9</v>
      </c>
      <c r="V1291" t="s">
        <v>52</v>
      </c>
      <c r="W1291" s="2">
        <v>39509</v>
      </c>
      <c r="Y1291" t="s">
        <v>39</v>
      </c>
      <c r="Z1291" t="s">
        <v>47</v>
      </c>
      <c r="AA1291">
        <v>5</v>
      </c>
      <c r="AB1291">
        <v>3</v>
      </c>
      <c r="AC1291" t="s">
        <v>41</v>
      </c>
      <c r="AD1291" t="s">
        <v>65</v>
      </c>
      <c r="AE1291" t="s">
        <v>60</v>
      </c>
      <c r="AF1291" s="3">
        <v>1962</v>
      </c>
      <c r="AG1291" s="3">
        <v>55</v>
      </c>
      <c r="AH1291">
        <v>80</v>
      </c>
      <c r="AI1291">
        <v>8</v>
      </c>
      <c r="AJ1291">
        <v>0</v>
      </c>
      <c r="AL1291">
        <v>0</v>
      </c>
      <c r="AM1291">
        <v>1</v>
      </c>
      <c r="AN1291" t="s">
        <v>768</v>
      </c>
      <c r="AO1291" t="s">
        <v>41</v>
      </c>
    </row>
    <row r="1292" spans="1:41" x14ac:dyDescent="0.25">
      <c r="A1292">
        <v>36</v>
      </c>
      <c r="B1292" t="s">
        <v>32</v>
      </c>
      <c r="C1292" t="s">
        <v>55</v>
      </c>
      <c r="D1292">
        <v>2</v>
      </c>
      <c r="E1292" t="s">
        <v>61</v>
      </c>
      <c r="F1292">
        <v>3</v>
      </c>
      <c r="G1292">
        <v>2</v>
      </c>
      <c r="H1292" t="s">
        <v>56</v>
      </c>
      <c r="I1292">
        <v>4</v>
      </c>
      <c r="J1292" t="s">
        <v>36</v>
      </c>
      <c r="K1292">
        <v>4502</v>
      </c>
      <c r="L1292">
        <v>3</v>
      </c>
      <c r="M1292" t="s">
        <v>41</v>
      </c>
      <c r="N1292">
        <v>15</v>
      </c>
      <c r="O1292">
        <v>3</v>
      </c>
      <c r="P1292">
        <v>0</v>
      </c>
      <c r="Q1292">
        <v>17</v>
      </c>
      <c r="R1292">
        <v>2</v>
      </c>
      <c r="S1292">
        <v>13</v>
      </c>
      <c r="T1292">
        <v>6</v>
      </c>
      <c r="U1292">
        <v>7</v>
      </c>
      <c r="V1292" t="s">
        <v>58</v>
      </c>
      <c r="W1292" s="2">
        <v>39694</v>
      </c>
      <c r="Y1292" t="s">
        <v>46</v>
      </c>
      <c r="Z1292" t="s">
        <v>47</v>
      </c>
      <c r="AA1292">
        <v>0</v>
      </c>
      <c r="AB1292">
        <v>0</v>
      </c>
      <c r="AC1292" t="s">
        <v>31</v>
      </c>
      <c r="AD1292" t="s">
        <v>65</v>
      </c>
      <c r="AE1292" t="s">
        <v>43</v>
      </c>
      <c r="AF1292" s="3">
        <v>1915</v>
      </c>
      <c r="AG1292" s="3">
        <v>75</v>
      </c>
      <c r="AH1292">
        <v>80</v>
      </c>
      <c r="AI1292">
        <v>2</v>
      </c>
      <c r="AJ1292">
        <v>0</v>
      </c>
      <c r="AL1292">
        <v>0</v>
      </c>
      <c r="AM1292">
        <v>1</v>
      </c>
      <c r="AN1292" t="s">
        <v>768</v>
      </c>
      <c r="AO1292" t="s">
        <v>41</v>
      </c>
    </row>
    <row r="1293" spans="1:41" x14ac:dyDescent="0.25">
      <c r="A1293">
        <v>42</v>
      </c>
      <c r="B1293" t="s">
        <v>32</v>
      </c>
      <c r="C1293" t="s">
        <v>33</v>
      </c>
      <c r="D1293">
        <v>6</v>
      </c>
      <c r="E1293" t="s">
        <v>34</v>
      </c>
      <c r="F1293">
        <v>3</v>
      </c>
      <c r="G1293">
        <v>3</v>
      </c>
      <c r="H1293" t="s">
        <v>50</v>
      </c>
      <c r="I1293">
        <v>1</v>
      </c>
      <c r="J1293" t="s">
        <v>51</v>
      </c>
      <c r="K1293">
        <v>13348</v>
      </c>
      <c r="L1293">
        <v>9</v>
      </c>
      <c r="M1293" t="s">
        <v>41</v>
      </c>
      <c r="N1293">
        <v>13</v>
      </c>
      <c r="O1293">
        <v>3</v>
      </c>
      <c r="P1293">
        <v>1</v>
      </c>
      <c r="Q1293">
        <v>18</v>
      </c>
      <c r="R1293">
        <v>3</v>
      </c>
      <c r="S1293">
        <v>13</v>
      </c>
      <c r="T1293">
        <v>5</v>
      </c>
      <c r="U1293">
        <v>7</v>
      </c>
      <c r="V1293" t="s">
        <v>37</v>
      </c>
      <c r="W1293" s="1" t="s">
        <v>646</v>
      </c>
      <c r="Y1293" t="s">
        <v>63</v>
      </c>
      <c r="Z1293" t="s">
        <v>47</v>
      </c>
      <c r="AA1293">
        <v>2</v>
      </c>
      <c r="AB1293">
        <v>3</v>
      </c>
      <c r="AC1293" t="s">
        <v>31</v>
      </c>
      <c r="AD1293" t="s">
        <v>65</v>
      </c>
      <c r="AE1293" t="s">
        <v>60</v>
      </c>
      <c r="AF1293" s="3">
        <v>1880</v>
      </c>
      <c r="AG1293" s="3">
        <v>63</v>
      </c>
      <c r="AH1293">
        <v>80</v>
      </c>
      <c r="AI1293">
        <v>9</v>
      </c>
      <c r="AJ1293">
        <v>0</v>
      </c>
      <c r="AL1293">
        <v>0</v>
      </c>
      <c r="AM1293">
        <v>1</v>
      </c>
      <c r="AN1293" t="s">
        <v>768</v>
      </c>
      <c r="AO1293" t="s">
        <v>41</v>
      </c>
    </row>
    <row r="1294" spans="1:41" x14ac:dyDescent="0.25">
      <c r="A1294">
        <v>47</v>
      </c>
      <c r="B1294" t="s">
        <v>81</v>
      </c>
      <c r="C1294" t="s">
        <v>33</v>
      </c>
      <c r="D1294">
        <v>1</v>
      </c>
      <c r="E1294" t="s">
        <v>61</v>
      </c>
      <c r="F1294">
        <v>3</v>
      </c>
      <c r="G1294">
        <v>3</v>
      </c>
      <c r="H1294" t="s">
        <v>50</v>
      </c>
      <c r="I1294">
        <v>2</v>
      </c>
      <c r="J1294" t="s">
        <v>51</v>
      </c>
      <c r="K1294">
        <v>11957</v>
      </c>
      <c r="L1294">
        <v>0</v>
      </c>
      <c r="M1294" t="s">
        <v>41</v>
      </c>
      <c r="N1294">
        <v>18</v>
      </c>
      <c r="O1294">
        <v>3</v>
      </c>
      <c r="P1294">
        <v>2</v>
      </c>
      <c r="Q1294">
        <v>14</v>
      </c>
      <c r="R1294">
        <v>3</v>
      </c>
      <c r="S1294">
        <v>13</v>
      </c>
      <c r="T1294">
        <v>5</v>
      </c>
      <c r="U1294">
        <v>12</v>
      </c>
      <c r="V1294" t="s">
        <v>58</v>
      </c>
      <c r="W1294" s="1" t="s">
        <v>647</v>
      </c>
      <c r="Y1294" t="s">
        <v>54</v>
      </c>
      <c r="Z1294" t="s">
        <v>40</v>
      </c>
      <c r="AA1294">
        <v>3</v>
      </c>
      <c r="AB1294">
        <v>1</v>
      </c>
      <c r="AC1294" t="s">
        <v>31</v>
      </c>
      <c r="AD1294" t="s">
        <v>42</v>
      </c>
      <c r="AE1294" t="s">
        <v>49</v>
      </c>
      <c r="AF1294" s="3">
        <v>1503</v>
      </c>
      <c r="AG1294" s="3">
        <v>78</v>
      </c>
      <c r="AH1294">
        <v>80</v>
      </c>
      <c r="AI1294">
        <v>4</v>
      </c>
      <c r="AJ1294">
        <v>0</v>
      </c>
      <c r="AL1294">
        <v>0</v>
      </c>
      <c r="AM1294">
        <v>1</v>
      </c>
      <c r="AN1294" t="s">
        <v>768</v>
      </c>
      <c r="AO1294" t="s">
        <v>41</v>
      </c>
    </row>
    <row r="1295" spans="1:41" x14ac:dyDescent="0.25">
      <c r="A1295">
        <v>56</v>
      </c>
      <c r="B1295" t="s">
        <v>81</v>
      </c>
      <c r="C1295" t="s">
        <v>33</v>
      </c>
      <c r="D1295">
        <v>1</v>
      </c>
      <c r="E1295" t="s">
        <v>34</v>
      </c>
      <c r="F1295">
        <v>3</v>
      </c>
      <c r="G1295">
        <v>2</v>
      </c>
      <c r="H1295" t="s">
        <v>89</v>
      </c>
      <c r="I1295">
        <v>3</v>
      </c>
      <c r="J1295" t="s">
        <v>57</v>
      </c>
      <c r="K1295">
        <v>6306</v>
      </c>
      <c r="L1295">
        <v>1</v>
      </c>
      <c r="M1295" t="s">
        <v>41</v>
      </c>
      <c r="N1295">
        <v>21</v>
      </c>
      <c r="O1295">
        <v>4</v>
      </c>
      <c r="P1295">
        <v>1</v>
      </c>
      <c r="Q1295">
        <v>13</v>
      </c>
      <c r="R1295">
        <v>2</v>
      </c>
      <c r="S1295">
        <v>13</v>
      </c>
      <c r="T1295">
        <v>1</v>
      </c>
      <c r="U1295">
        <v>9</v>
      </c>
      <c r="V1295" t="s">
        <v>58</v>
      </c>
      <c r="W1295" s="1" t="s">
        <v>648</v>
      </c>
      <c r="Y1295" t="s">
        <v>63</v>
      </c>
      <c r="Z1295" t="s">
        <v>40</v>
      </c>
      <c r="AA1295">
        <v>5</v>
      </c>
      <c r="AB1295">
        <v>0</v>
      </c>
      <c r="AC1295" t="s">
        <v>31</v>
      </c>
      <c r="AD1295" t="s">
        <v>65</v>
      </c>
      <c r="AE1295" t="s">
        <v>49</v>
      </c>
      <c r="AF1295" s="3">
        <v>1938</v>
      </c>
      <c r="AG1295" s="3">
        <v>72</v>
      </c>
      <c r="AH1295">
        <v>80</v>
      </c>
      <c r="AI1295">
        <v>0</v>
      </c>
      <c r="AJ1295">
        <v>0</v>
      </c>
      <c r="AL1295">
        <v>0</v>
      </c>
      <c r="AM1295">
        <v>1</v>
      </c>
      <c r="AN1295" t="s">
        <v>768</v>
      </c>
      <c r="AO1295" t="s">
        <v>41</v>
      </c>
    </row>
    <row r="1296" spans="1:41" x14ac:dyDescent="0.25">
      <c r="A1296">
        <v>53</v>
      </c>
      <c r="B1296" t="s">
        <v>32</v>
      </c>
      <c r="C1296" t="s">
        <v>33</v>
      </c>
      <c r="D1296">
        <v>5</v>
      </c>
      <c r="E1296" t="s">
        <v>61</v>
      </c>
      <c r="F1296">
        <v>3</v>
      </c>
      <c r="G1296">
        <v>5</v>
      </c>
      <c r="H1296" t="s">
        <v>75</v>
      </c>
      <c r="I1296">
        <v>3</v>
      </c>
      <c r="J1296" t="s">
        <v>57</v>
      </c>
      <c r="K1296">
        <v>19094</v>
      </c>
      <c r="L1296">
        <v>4</v>
      </c>
      <c r="M1296" t="s">
        <v>41</v>
      </c>
      <c r="N1296">
        <v>11</v>
      </c>
      <c r="O1296">
        <v>3</v>
      </c>
      <c r="P1296">
        <v>1</v>
      </c>
      <c r="Q1296">
        <v>26</v>
      </c>
      <c r="R1296">
        <v>3</v>
      </c>
      <c r="S1296">
        <v>14</v>
      </c>
      <c r="T1296">
        <v>4</v>
      </c>
      <c r="U1296">
        <v>8</v>
      </c>
      <c r="V1296" t="s">
        <v>52</v>
      </c>
      <c r="W1296" s="1" t="s">
        <v>649</v>
      </c>
      <c r="Y1296" t="s">
        <v>69</v>
      </c>
      <c r="Z1296" t="s">
        <v>47</v>
      </c>
      <c r="AA1296">
        <v>5</v>
      </c>
      <c r="AB1296">
        <v>2</v>
      </c>
      <c r="AC1296" t="s">
        <v>31</v>
      </c>
      <c r="AD1296" t="s">
        <v>67</v>
      </c>
      <c r="AE1296" t="s">
        <v>60</v>
      </c>
      <c r="AF1296" s="3">
        <v>1445</v>
      </c>
      <c r="AG1296" s="3">
        <v>42</v>
      </c>
      <c r="AH1296">
        <v>80</v>
      </c>
      <c r="AI1296">
        <v>4</v>
      </c>
      <c r="AJ1296">
        <v>0</v>
      </c>
      <c r="AL1296">
        <v>0</v>
      </c>
      <c r="AM1296">
        <v>1</v>
      </c>
      <c r="AN1296" t="s">
        <v>768</v>
      </c>
      <c r="AO1296" t="s">
        <v>41</v>
      </c>
    </row>
    <row r="1297" spans="1:41" x14ac:dyDescent="0.25">
      <c r="A1297">
        <v>32</v>
      </c>
      <c r="B1297" t="s">
        <v>32</v>
      </c>
      <c r="C1297" t="s">
        <v>55</v>
      </c>
      <c r="D1297">
        <v>4</v>
      </c>
      <c r="E1297" t="s">
        <v>34</v>
      </c>
      <c r="F1297">
        <v>1</v>
      </c>
      <c r="G1297">
        <v>3</v>
      </c>
      <c r="H1297" t="s">
        <v>70</v>
      </c>
      <c r="I1297">
        <v>4</v>
      </c>
      <c r="J1297" t="s">
        <v>51</v>
      </c>
      <c r="K1297">
        <v>10400</v>
      </c>
      <c r="L1297">
        <v>1</v>
      </c>
      <c r="M1297" t="s">
        <v>41</v>
      </c>
      <c r="N1297">
        <v>11</v>
      </c>
      <c r="O1297">
        <v>3</v>
      </c>
      <c r="P1297">
        <v>0</v>
      </c>
      <c r="Q1297">
        <v>14</v>
      </c>
      <c r="R1297">
        <v>2</v>
      </c>
      <c r="S1297">
        <v>14</v>
      </c>
      <c r="T1297">
        <v>9</v>
      </c>
      <c r="U1297">
        <v>8</v>
      </c>
      <c r="V1297" t="s">
        <v>58</v>
      </c>
      <c r="W1297" s="2">
        <v>39417</v>
      </c>
      <c r="Y1297" t="s">
        <v>39</v>
      </c>
      <c r="Z1297" t="s">
        <v>47</v>
      </c>
      <c r="AA1297">
        <v>2</v>
      </c>
      <c r="AB1297">
        <v>3</v>
      </c>
      <c r="AC1297" t="s">
        <v>31</v>
      </c>
      <c r="AD1297" t="s">
        <v>42</v>
      </c>
      <c r="AE1297" t="s">
        <v>49</v>
      </c>
      <c r="AF1297" s="3">
        <v>1425</v>
      </c>
      <c r="AG1297" s="3">
        <v>99</v>
      </c>
      <c r="AH1297">
        <v>80</v>
      </c>
      <c r="AI1297">
        <v>4</v>
      </c>
      <c r="AJ1297">
        <v>0</v>
      </c>
      <c r="AL1297">
        <v>0</v>
      </c>
      <c r="AM1297">
        <v>1</v>
      </c>
      <c r="AN1297" t="s">
        <v>768</v>
      </c>
      <c r="AO1297" t="s">
        <v>41</v>
      </c>
    </row>
    <row r="1298" spans="1:41" x14ac:dyDescent="0.25">
      <c r="A1298">
        <v>41</v>
      </c>
      <c r="B1298" t="s">
        <v>81</v>
      </c>
      <c r="C1298" t="s">
        <v>55</v>
      </c>
      <c r="D1298">
        <v>10</v>
      </c>
      <c r="E1298" t="s">
        <v>34</v>
      </c>
      <c r="F1298">
        <v>3</v>
      </c>
      <c r="G1298">
        <v>2</v>
      </c>
      <c r="H1298" t="s">
        <v>70</v>
      </c>
      <c r="I1298">
        <v>4</v>
      </c>
      <c r="J1298" t="s">
        <v>36</v>
      </c>
      <c r="K1298">
        <v>6230</v>
      </c>
      <c r="L1298">
        <v>7</v>
      </c>
      <c r="M1298" t="s">
        <v>41</v>
      </c>
      <c r="N1298">
        <v>14</v>
      </c>
      <c r="O1298">
        <v>3</v>
      </c>
      <c r="P1298">
        <v>0</v>
      </c>
      <c r="Q1298">
        <v>16</v>
      </c>
      <c r="R1298">
        <v>3</v>
      </c>
      <c r="S1298">
        <v>14</v>
      </c>
      <c r="T1298">
        <v>1</v>
      </c>
      <c r="U1298">
        <v>10</v>
      </c>
      <c r="V1298" t="s">
        <v>52</v>
      </c>
      <c r="W1298" s="1" t="s">
        <v>650</v>
      </c>
      <c r="Y1298" t="s">
        <v>39</v>
      </c>
      <c r="Z1298" t="s">
        <v>40</v>
      </c>
      <c r="AA1298">
        <v>5</v>
      </c>
      <c r="AB1298">
        <v>1</v>
      </c>
      <c r="AC1298" t="s">
        <v>41</v>
      </c>
      <c r="AD1298" t="s">
        <v>65</v>
      </c>
      <c r="AE1298" t="s">
        <v>60</v>
      </c>
      <c r="AF1298" s="3">
        <v>1552</v>
      </c>
      <c r="AG1298" s="3">
        <v>72</v>
      </c>
      <c r="AH1298">
        <v>80</v>
      </c>
      <c r="AI1298">
        <v>2</v>
      </c>
      <c r="AJ1298">
        <v>0</v>
      </c>
      <c r="AL1298">
        <v>0</v>
      </c>
      <c r="AM1298">
        <v>1</v>
      </c>
      <c r="AN1298" t="s">
        <v>768</v>
      </c>
      <c r="AO1298" t="s">
        <v>41</v>
      </c>
    </row>
    <row r="1299" spans="1:41" x14ac:dyDescent="0.25">
      <c r="A1299">
        <v>53</v>
      </c>
      <c r="B1299" t="s">
        <v>32</v>
      </c>
      <c r="C1299" t="s">
        <v>55</v>
      </c>
      <c r="D1299">
        <v>1</v>
      </c>
      <c r="E1299" t="s">
        <v>61</v>
      </c>
      <c r="F1299">
        <v>3</v>
      </c>
      <c r="G1299">
        <v>2</v>
      </c>
      <c r="H1299" t="s">
        <v>70</v>
      </c>
      <c r="I1299">
        <v>1</v>
      </c>
      <c r="J1299" t="s">
        <v>36</v>
      </c>
      <c r="K1299">
        <v>8381</v>
      </c>
      <c r="L1299">
        <v>7</v>
      </c>
      <c r="M1299" t="s">
        <v>41</v>
      </c>
      <c r="N1299">
        <v>20</v>
      </c>
      <c r="O1299">
        <v>4</v>
      </c>
      <c r="P1299">
        <v>0</v>
      </c>
      <c r="Q1299">
        <v>18</v>
      </c>
      <c r="R1299">
        <v>2</v>
      </c>
      <c r="S1299">
        <v>14</v>
      </c>
      <c r="T1299">
        <v>8</v>
      </c>
      <c r="U1299">
        <v>10</v>
      </c>
      <c r="V1299" t="s">
        <v>58</v>
      </c>
      <c r="W1299" s="1" t="s">
        <v>651</v>
      </c>
      <c r="Y1299" t="s">
        <v>46</v>
      </c>
      <c r="Z1299" t="s">
        <v>47</v>
      </c>
      <c r="AA1299">
        <v>4</v>
      </c>
      <c r="AB1299">
        <v>1</v>
      </c>
      <c r="AC1299" t="s">
        <v>41</v>
      </c>
      <c r="AD1299" t="s">
        <v>67</v>
      </c>
      <c r="AE1299" t="s">
        <v>49</v>
      </c>
      <c r="AF1299" s="3">
        <v>1948</v>
      </c>
      <c r="AG1299" s="3">
        <v>48</v>
      </c>
      <c r="AH1299">
        <v>80</v>
      </c>
      <c r="AI1299">
        <v>2</v>
      </c>
      <c r="AJ1299">
        <v>0</v>
      </c>
      <c r="AL1299">
        <v>0</v>
      </c>
      <c r="AM1299">
        <v>1</v>
      </c>
      <c r="AN1299" t="s">
        <v>768</v>
      </c>
      <c r="AO1299" t="s">
        <v>41</v>
      </c>
    </row>
    <row r="1300" spans="1:41" x14ac:dyDescent="0.25">
      <c r="A1300">
        <v>32</v>
      </c>
      <c r="B1300" t="s">
        <v>32</v>
      </c>
      <c r="C1300" t="s">
        <v>33</v>
      </c>
      <c r="D1300">
        <v>4</v>
      </c>
      <c r="E1300" t="s">
        <v>61</v>
      </c>
      <c r="F1300">
        <v>2</v>
      </c>
      <c r="G1300">
        <v>2</v>
      </c>
      <c r="H1300" t="s">
        <v>78</v>
      </c>
      <c r="I1300">
        <v>3</v>
      </c>
      <c r="J1300" t="s">
        <v>51</v>
      </c>
      <c r="K1300">
        <v>6162</v>
      </c>
      <c r="L1300">
        <v>1</v>
      </c>
      <c r="M1300" t="s">
        <v>41</v>
      </c>
      <c r="N1300">
        <v>12</v>
      </c>
      <c r="O1300">
        <v>3</v>
      </c>
      <c r="P1300">
        <v>1</v>
      </c>
      <c r="Q1300">
        <v>14</v>
      </c>
      <c r="R1300">
        <v>3</v>
      </c>
      <c r="S1300">
        <v>14</v>
      </c>
      <c r="T1300">
        <v>6</v>
      </c>
      <c r="U1300">
        <v>8</v>
      </c>
      <c r="V1300" t="s">
        <v>58</v>
      </c>
      <c r="W1300" s="2">
        <v>39143</v>
      </c>
      <c r="Y1300" t="s">
        <v>39</v>
      </c>
      <c r="Z1300" t="s">
        <v>40</v>
      </c>
      <c r="AA1300">
        <v>3</v>
      </c>
      <c r="AB1300">
        <v>0</v>
      </c>
      <c r="AC1300" t="s">
        <v>41</v>
      </c>
      <c r="AD1300" t="s">
        <v>48</v>
      </c>
      <c r="AE1300" t="s">
        <v>49</v>
      </c>
      <c r="AF1300" s="3">
        <v>1737</v>
      </c>
      <c r="AG1300" s="3">
        <v>77</v>
      </c>
      <c r="AH1300">
        <v>80</v>
      </c>
      <c r="AI1300">
        <v>8</v>
      </c>
      <c r="AJ1300">
        <v>0</v>
      </c>
      <c r="AL1300">
        <v>0</v>
      </c>
      <c r="AM1300">
        <v>1</v>
      </c>
      <c r="AN1300" t="s">
        <v>768</v>
      </c>
      <c r="AO1300" t="s">
        <v>41</v>
      </c>
    </row>
    <row r="1301" spans="1:41" x14ac:dyDescent="0.25">
      <c r="A1301">
        <v>37</v>
      </c>
      <c r="B1301" t="s">
        <v>32</v>
      </c>
      <c r="C1301" t="s">
        <v>55</v>
      </c>
      <c r="D1301">
        <v>1</v>
      </c>
      <c r="E1301" t="s">
        <v>34</v>
      </c>
      <c r="F1301">
        <v>2</v>
      </c>
      <c r="G1301">
        <v>3</v>
      </c>
      <c r="H1301" t="s">
        <v>70</v>
      </c>
      <c r="I1301">
        <v>3</v>
      </c>
      <c r="J1301" t="s">
        <v>51</v>
      </c>
      <c r="K1301">
        <v>10609</v>
      </c>
      <c r="L1301">
        <v>5</v>
      </c>
      <c r="M1301" t="s">
        <v>41</v>
      </c>
      <c r="N1301">
        <v>11</v>
      </c>
      <c r="O1301">
        <v>3</v>
      </c>
      <c r="P1301">
        <v>0</v>
      </c>
      <c r="Q1301">
        <v>17</v>
      </c>
      <c r="R1301">
        <v>2</v>
      </c>
      <c r="S1301">
        <v>14</v>
      </c>
      <c r="T1301">
        <v>11</v>
      </c>
      <c r="U1301">
        <v>7</v>
      </c>
      <c r="V1301" t="s">
        <v>52</v>
      </c>
      <c r="W1301" s="1" t="s">
        <v>652</v>
      </c>
      <c r="Y1301" t="s">
        <v>54</v>
      </c>
      <c r="Z1301" t="s">
        <v>40</v>
      </c>
      <c r="AA1301">
        <v>4</v>
      </c>
      <c r="AB1301">
        <v>2</v>
      </c>
      <c r="AC1301" t="s">
        <v>31</v>
      </c>
      <c r="AD1301" t="s">
        <v>42</v>
      </c>
      <c r="AE1301" t="s">
        <v>43</v>
      </c>
      <c r="AF1301" s="3">
        <v>1774</v>
      </c>
      <c r="AG1301" s="3">
        <v>87</v>
      </c>
      <c r="AH1301">
        <v>80</v>
      </c>
      <c r="AI1301">
        <v>14</v>
      </c>
      <c r="AJ1301">
        <v>0</v>
      </c>
      <c r="AL1301">
        <v>0</v>
      </c>
      <c r="AM1301">
        <v>1</v>
      </c>
      <c r="AN1301" t="s">
        <v>768</v>
      </c>
      <c r="AO1301" t="s">
        <v>41</v>
      </c>
    </row>
    <row r="1302" spans="1:41" x14ac:dyDescent="0.25">
      <c r="A1302">
        <v>36</v>
      </c>
      <c r="B1302" t="s">
        <v>32</v>
      </c>
      <c r="C1302" t="s">
        <v>33</v>
      </c>
      <c r="D1302">
        <v>12</v>
      </c>
      <c r="E1302" t="s">
        <v>61</v>
      </c>
      <c r="F1302">
        <v>2</v>
      </c>
      <c r="G1302">
        <v>3</v>
      </c>
      <c r="H1302" t="s">
        <v>78</v>
      </c>
      <c r="I1302">
        <v>4</v>
      </c>
      <c r="J1302" t="s">
        <v>36</v>
      </c>
      <c r="K1302">
        <v>8858</v>
      </c>
      <c r="L1302">
        <v>0</v>
      </c>
      <c r="M1302" t="s">
        <v>41</v>
      </c>
      <c r="N1302">
        <v>11</v>
      </c>
      <c r="O1302">
        <v>3</v>
      </c>
      <c r="P1302">
        <v>0</v>
      </c>
      <c r="Q1302">
        <v>15</v>
      </c>
      <c r="R1302">
        <v>2</v>
      </c>
      <c r="S1302">
        <v>14</v>
      </c>
      <c r="T1302">
        <v>7</v>
      </c>
      <c r="U1302">
        <v>8</v>
      </c>
      <c r="V1302" t="s">
        <v>58</v>
      </c>
      <c r="W1302" s="2">
        <v>39419</v>
      </c>
      <c r="Y1302" t="s">
        <v>46</v>
      </c>
      <c r="Z1302" t="s">
        <v>40</v>
      </c>
      <c r="AA1302">
        <v>0</v>
      </c>
      <c r="AB1302">
        <v>3</v>
      </c>
      <c r="AC1302" t="s">
        <v>41</v>
      </c>
      <c r="AD1302" t="s">
        <v>48</v>
      </c>
      <c r="AE1302" t="s">
        <v>49</v>
      </c>
      <c r="AF1302" s="3">
        <v>1642</v>
      </c>
      <c r="AG1302" s="3">
        <v>37</v>
      </c>
      <c r="AH1302">
        <v>80</v>
      </c>
      <c r="AI1302">
        <v>7</v>
      </c>
      <c r="AJ1302">
        <v>0</v>
      </c>
      <c r="AL1302">
        <v>0</v>
      </c>
      <c r="AM1302">
        <v>1</v>
      </c>
      <c r="AN1302" t="s">
        <v>768</v>
      </c>
      <c r="AO1302" t="s">
        <v>41</v>
      </c>
    </row>
    <row r="1303" spans="1:41" x14ac:dyDescent="0.25">
      <c r="A1303">
        <v>37</v>
      </c>
      <c r="B1303" t="s">
        <v>32</v>
      </c>
      <c r="C1303" t="s">
        <v>33</v>
      </c>
      <c r="D1303">
        <v>1</v>
      </c>
      <c r="E1303" t="s">
        <v>61</v>
      </c>
      <c r="F1303">
        <v>2</v>
      </c>
      <c r="G1303">
        <v>2</v>
      </c>
      <c r="H1303" t="s">
        <v>78</v>
      </c>
      <c r="I1303">
        <v>4</v>
      </c>
      <c r="J1303" t="s">
        <v>51</v>
      </c>
      <c r="K1303">
        <v>6474</v>
      </c>
      <c r="L1303">
        <v>1</v>
      </c>
      <c r="M1303" t="s">
        <v>41</v>
      </c>
      <c r="N1303">
        <v>13</v>
      </c>
      <c r="O1303">
        <v>3</v>
      </c>
      <c r="P1303">
        <v>1</v>
      </c>
      <c r="Q1303">
        <v>14</v>
      </c>
      <c r="R1303">
        <v>2</v>
      </c>
      <c r="S1303">
        <v>14</v>
      </c>
      <c r="T1303">
        <v>3</v>
      </c>
      <c r="U1303">
        <v>11</v>
      </c>
      <c r="V1303" t="s">
        <v>58</v>
      </c>
      <c r="W1303" s="2">
        <v>39239</v>
      </c>
      <c r="Y1303" t="s">
        <v>54</v>
      </c>
      <c r="Z1303" t="s">
        <v>47</v>
      </c>
      <c r="AA1303">
        <v>1</v>
      </c>
      <c r="AB1303">
        <v>3</v>
      </c>
      <c r="AC1303" t="s">
        <v>31</v>
      </c>
      <c r="AD1303" t="s">
        <v>65</v>
      </c>
      <c r="AE1303" t="s">
        <v>49</v>
      </c>
      <c r="AF1303" s="3">
        <v>1972</v>
      </c>
      <c r="AG1303" s="3">
        <v>88</v>
      </c>
      <c r="AH1303">
        <v>80</v>
      </c>
      <c r="AI1303">
        <v>2</v>
      </c>
      <c r="AJ1303">
        <v>0</v>
      </c>
      <c r="AL1303">
        <v>0</v>
      </c>
      <c r="AM1303">
        <v>1</v>
      </c>
      <c r="AN1303" t="s">
        <v>768</v>
      </c>
      <c r="AO1303" t="s">
        <v>41</v>
      </c>
    </row>
    <row r="1304" spans="1:41" x14ac:dyDescent="0.25">
      <c r="A1304">
        <v>33</v>
      </c>
      <c r="B1304" t="s">
        <v>32</v>
      </c>
      <c r="C1304" t="s">
        <v>33</v>
      </c>
      <c r="D1304">
        <v>9</v>
      </c>
      <c r="E1304" t="s">
        <v>34</v>
      </c>
      <c r="F1304">
        <v>3</v>
      </c>
      <c r="G1304">
        <v>1</v>
      </c>
      <c r="H1304" t="s">
        <v>44</v>
      </c>
      <c r="I1304">
        <v>4</v>
      </c>
      <c r="J1304" t="s">
        <v>51</v>
      </c>
      <c r="K1304">
        <v>2781</v>
      </c>
      <c r="L1304">
        <v>0</v>
      </c>
      <c r="M1304" t="s">
        <v>41</v>
      </c>
      <c r="N1304">
        <v>13</v>
      </c>
      <c r="O1304">
        <v>3</v>
      </c>
      <c r="P1304">
        <v>1</v>
      </c>
      <c r="Q1304">
        <v>15</v>
      </c>
      <c r="R1304">
        <v>5</v>
      </c>
      <c r="S1304">
        <v>14</v>
      </c>
      <c r="T1304">
        <v>4</v>
      </c>
      <c r="U1304">
        <v>10</v>
      </c>
      <c r="V1304" t="s">
        <v>58</v>
      </c>
      <c r="W1304" s="2">
        <v>39117</v>
      </c>
      <c r="Y1304" t="s">
        <v>46</v>
      </c>
      <c r="Z1304" t="s">
        <v>40</v>
      </c>
      <c r="AA1304">
        <v>3</v>
      </c>
      <c r="AB1304">
        <v>3</v>
      </c>
      <c r="AC1304" t="s">
        <v>31</v>
      </c>
      <c r="AD1304" t="s">
        <v>67</v>
      </c>
      <c r="AE1304" t="s">
        <v>49</v>
      </c>
      <c r="AF1304" s="3">
        <v>1837</v>
      </c>
      <c r="AG1304" s="3">
        <v>87</v>
      </c>
      <c r="AH1304">
        <v>80</v>
      </c>
      <c r="AI1304">
        <v>2</v>
      </c>
      <c r="AJ1304">
        <v>0</v>
      </c>
      <c r="AL1304">
        <v>0</v>
      </c>
      <c r="AM1304">
        <v>1</v>
      </c>
      <c r="AN1304" t="s">
        <v>768</v>
      </c>
      <c r="AO1304" t="s">
        <v>41</v>
      </c>
    </row>
    <row r="1305" spans="1:41" x14ac:dyDescent="0.25">
      <c r="A1305">
        <v>34</v>
      </c>
      <c r="B1305" t="s">
        <v>32</v>
      </c>
      <c r="C1305" t="s">
        <v>33</v>
      </c>
      <c r="D1305">
        <v>2</v>
      </c>
      <c r="E1305" t="s">
        <v>61</v>
      </c>
      <c r="F1305">
        <v>3</v>
      </c>
      <c r="G1305">
        <v>2</v>
      </c>
      <c r="H1305" t="s">
        <v>89</v>
      </c>
      <c r="I1305">
        <v>4</v>
      </c>
      <c r="J1305" t="s">
        <v>36</v>
      </c>
      <c r="K1305">
        <v>6687</v>
      </c>
      <c r="L1305">
        <v>1</v>
      </c>
      <c r="M1305" t="s">
        <v>41</v>
      </c>
      <c r="N1305">
        <v>11</v>
      </c>
      <c r="O1305">
        <v>3</v>
      </c>
      <c r="P1305">
        <v>0</v>
      </c>
      <c r="Q1305">
        <v>14</v>
      </c>
      <c r="R1305">
        <v>2</v>
      </c>
      <c r="S1305">
        <v>14</v>
      </c>
      <c r="T1305">
        <v>4</v>
      </c>
      <c r="U1305">
        <v>11</v>
      </c>
      <c r="V1305" t="s">
        <v>72</v>
      </c>
      <c r="W1305" s="1" t="s">
        <v>653</v>
      </c>
      <c r="Y1305" t="s">
        <v>69</v>
      </c>
      <c r="Z1305" t="s">
        <v>40</v>
      </c>
      <c r="AA1305">
        <v>3</v>
      </c>
      <c r="AB1305">
        <v>3</v>
      </c>
      <c r="AC1305" t="s">
        <v>41</v>
      </c>
      <c r="AD1305" t="s">
        <v>65</v>
      </c>
      <c r="AE1305" t="s">
        <v>43</v>
      </c>
      <c r="AF1305" s="3">
        <v>1932</v>
      </c>
      <c r="AG1305" s="3">
        <v>86</v>
      </c>
      <c r="AH1305">
        <v>80</v>
      </c>
      <c r="AI1305">
        <v>10</v>
      </c>
      <c r="AJ1305">
        <v>0</v>
      </c>
      <c r="AL1305">
        <v>0</v>
      </c>
      <c r="AM1305">
        <v>1</v>
      </c>
      <c r="AN1305" t="s">
        <v>768</v>
      </c>
      <c r="AO1305" t="s">
        <v>41</v>
      </c>
    </row>
    <row r="1306" spans="1:41" x14ac:dyDescent="0.25">
      <c r="A1306">
        <v>34</v>
      </c>
      <c r="B1306" t="s">
        <v>66</v>
      </c>
      <c r="C1306" t="s">
        <v>33</v>
      </c>
      <c r="D1306">
        <v>15</v>
      </c>
      <c r="E1306" t="s">
        <v>34</v>
      </c>
      <c r="F1306">
        <v>3</v>
      </c>
      <c r="G1306">
        <v>4</v>
      </c>
      <c r="H1306" t="s">
        <v>50</v>
      </c>
      <c r="I1306">
        <v>1</v>
      </c>
      <c r="J1306" t="s">
        <v>57</v>
      </c>
      <c r="K1306">
        <v>17007</v>
      </c>
      <c r="L1306">
        <v>7</v>
      </c>
      <c r="M1306" t="s">
        <v>41</v>
      </c>
      <c r="N1306">
        <v>14</v>
      </c>
      <c r="O1306">
        <v>3</v>
      </c>
      <c r="P1306">
        <v>2</v>
      </c>
      <c r="Q1306">
        <v>16</v>
      </c>
      <c r="R1306">
        <v>3</v>
      </c>
      <c r="S1306">
        <v>14</v>
      </c>
      <c r="T1306">
        <v>6</v>
      </c>
      <c r="U1306">
        <v>9</v>
      </c>
      <c r="V1306" t="s">
        <v>52</v>
      </c>
      <c r="W1306" s="1" t="s">
        <v>654</v>
      </c>
      <c r="Y1306" t="s">
        <v>63</v>
      </c>
      <c r="Z1306" t="s">
        <v>40</v>
      </c>
      <c r="AA1306">
        <v>4</v>
      </c>
      <c r="AB1306">
        <v>3</v>
      </c>
      <c r="AC1306" t="s">
        <v>31</v>
      </c>
      <c r="AD1306" t="s">
        <v>42</v>
      </c>
      <c r="AE1306" t="s">
        <v>49</v>
      </c>
      <c r="AF1306" s="3">
        <v>1594</v>
      </c>
      <c r="AG1306" s="3">
        <v>80</v>
      </c>
      <c r="AH1306">
        <v>80</v>
      </c>
      <c r="AI1306">
        <v>2</v>
      </c>
      <c r="AJ1306">
        <v>0</v>
      </c>
      <c r="AL1306">
        <v>0</v>
      </c>
      <c r="AM1306">
        <v>1</v>
      </c>
      <c r="AN1306" t="s">
        <v>768</v>
      </c>
      <c r="AO1306" t="s">
        <v>41</v>
      </c>
    </row>
    <row r="1307" spans="1:41" x14ac:dyDescent="0.25">
      <c r="A1307">
        <v>54</v>
      </c>
      <c r="B1307" t="s">
        <v>66</v>
      </c>
      <c r="C1307" t="s">
        <v>33</v>
      </c>
      <c r="D1307">
        <v>11</v>
      </c>
      <c r="E1307" t="s">
        <v>61</v>
      </c>
      <c r="F1307">
        <v>3</v>
      </c>
      <c r="G1307">
        <v>4</v>
      </c>
      <c r="H1307" t="s">
        <v>75</v>
      </c>
      <c r="I1307">
        <v>4</v>
      </c>
      <c r="J1307" t="s">
        <v>57</v>
      </c>
      <c r="K1307">
        <v>16032</v>
      </c>
      <c r="L1307">
        <v>3</v>
      </c>
      <c r="M1307" t="s">
        <v>41</v>
      </c>
      <c r="N1307">
        <v>20</v>
      </c>
      <c r="O1307">
        <v>4</v>
      </c>
      <c r="P1307">
        <v>1</v>
      </c>
      <c r="Q1307">
        <v>26</v>
      </c>
      <c r="R1307">
        <v>2</v>
      </c>
      <c r="S1307">
        <v>14</v>
      </c>
      <c r="T1307">
        <v>1</v>
      </c>
      <c r="U1307">
        <v>12</v>
      </c>
      <c r="V1307" t="s">
        <v>72</v>
      </c>
      <c r="W1307" s="2">
        <v>39114</v>
      </c>
      <c r="Y1307" t="s">
        <v>63</v>
      </c>
      <c r="Z1307" t="s">
        <v>40</v>
      </c>
      <c r="AA1307">
        <v>3</v>
      </c>
      <c r="AB1307">
        <v>1</v>
      </c>
      <c r="AC1307" t="s">
        <v>41</v>
      </c>
      <c r="AD1307" t="s">
        <v>42</v>
      </c>
      <c r="AE1307" t="s">
        <v>43</v>
      </c>
      <c r="AF1307" s="3">
        <v>1606</v>
      </c>
      <c r="AG1307" s="3">
        <v>41</v>
      </c>
      <c r="AH1307">
        <v>80</v>
      </c>
      <c r="AI1307">
        <v>8</v>
      </c>
      <c r="AJ1307">
        <v>0</v>
      </c>
      <c r="AL1307">
        <v>0</v>
      </c>
      <c r="AM1307">
        <v>1</v>
      </c>
      <c r="AN1307" t="s">
        <v>768</v>
      </c>
      <c r="AO1307" t="s">
        <v>41</v>
      </c>
    </row>
    <row r="1308" spans="1:41" x14ac:dyDescent="0.25">
      <c r="A1308">
        <v>35</v>
      </c>
      <c r="B1308" t="s">
        <v>81</v>
      </c>
      <c r="C1308" t="s">
        <v>33</v>
      </c>
      <c r="D1308">
        <v>8</v>
      </c>
      <c r="E1308" t="s">
        <v>61</v>
      </c>
      <c r="F1308">
        <v>3</v>
      </c>
      <c r="G1308">
        <v>2</v>
      </c>
      <c r="H1308" t="s">
        <v>89</v>
      </c>
      <c r="I1308">
        <v>3</v>
      </c>
      <c r="J1308" t="s">
        <v>51</v>
      </c>
      <c r="K1308">
        <v>4148</v>
      </c>
      <c r="L1308">
        <v>1</v>
      </c>
      <c r="M1308" t="s">
        <v>41</v>
      </c>
      <c r="N1308">
        <v>12</v>
      </c>
      <c r="O1308">
        <v>3</v>
      </c>
      <c r="P1308">
        <v>1</v>
      </c>
      <c r="Q1308">
        <v>15</v>
      </c>
      <c r="R1308">
        <v>5</v>
      </c>
      <c r="S1308">
        <v>14</v>
      </c>
      <c r="T1308">
        <v>2</v>
      </c>
      <c r="U1308">
        <v>9</v>
      </c>
      <c r="V1308" t="s">
        <v>72</v>
      </c>
      <c r="W1308" s="1" t="s">
        <v>655</v>
      </c>
      <c r="Y1308" t="s">
        <v>39</v>
      </c>
      <c r="Z1308" t="s">
        <v>47</v>
      </c>
      <c r="AA1308">
        <v>3</v>
      </c>
      <c r="AB1308">
        <v>2</v>
      </c>
      <c r="AC1308" t="s">
        <v>31</v>
      </c>
      <c r="AD1308" t="s">
        <v>42</v>
      </c>
      <c r="AE1308" t="s">
        <v>49</v>
      </c>
      <c r="AF1308" s="3">
        <v>1547</v>
      </c>
      <c r="AG1308" s="3">
        <v>40</v>
      </c>
      <c r="AH1308">
        <v>80</v>
      </c>
      <c r="AI1308">
        <v>8</v>
      </c>
      <c r="AJ1308">
        <v>0</v>
      </c>
      <c r="AL1308">
        <v>0</v>
      </c>
      <c r="AM1308">
        <v>1</v>
      </c>
      <c r="AN1308" t="s">
        <v>768</v>
      </c>
      <c r="AO1308" t="s">
        <v>41</v>
      </c>
    </row>
    <row r="1309" spans="1:41" x14ac:dyDescent="0.25">
      <c r="A1309">
        <v>50</v>
      </c>
      <c r="B1309" t="s">
        <v>32</v>
      </c>
      <c r="C1309" t="s">
        <v>33</v>
      </c>
      <c r="D1309">
        <v>17</v>
      </c>
      <c r="E1309" t="s">
        <v>61</v>
      </c>
      <c r="F1309">
        <v>2</v>
      </c>
      <c r="G1309">
        <v>3</v>
      </c>
      <c r="H1309" t="s">
        <v>50</v>
      </c>
      <c r="I1309">
        <v>1</v>
      </c>
      <c r="J1309" t="s">
        <v>57</v>
      </c>
      <c r="K1309">
        <v>13269</v>
      </c>
      <c r="L1309">
        <v>5</v>
      </c>
      <c r="M1309" t="s">
        <v>41</v>
      </c>
      <c r="N1309">
        <v>15</v>
      </c>
      <c r="O1309">
        <v>3</v>
      </c>
      <c r="P1309">
        <v>3</v>
      </c>
      <c r="Q1309">
        <v>19</v>
      </c>
      <c r="R1309">
        <v>3</v>
      </c>
      <c r="S1309">
        <v>14</v>
      </c>
      <c r="T1309">
        <v>1</v>
      </c>
      <c r="U1309">
        <v>11</v>
      </c>
      <c r="V1309" t="s">
        <v>37</v>
      </c>
      <c r="W1309" s="1" t="s">
        <v>656</v>
      </c>
      <c r="Y1309" t="s">
        <v>63</v>
      </c>
      <c r="Z1309" t="s">
        <v>40</v>
      </c>
      <c r="AA1309">
        <v>0</v>
      </c>
      <c r="AB1309">
        <v>3</v>
      </c>
      <c r="AC1309" t="s">
        <v>41</v>
      </c>
      <c r="AD1309" t="s">
        <v>42</v>
      </c>
      <c r="AE1309" t="s">
        <v>49</v>
      </c>
      <c r="AF1309" s="3">
        <v>2049</v>
      </c>
      <c r="AG1309" s="3">
        <v>80</v>
      </c>
      <c r="AH1309">
        <v>80</v>
      </c>
      <c r="AI1309">
        <v>2</v>
      </c>
      <c r="AJ1309">
        <v>0</v>
      </c>
      <c r="AL1309">
        <v>0</v>
      </c>
      <c r="AM1309">
        <v>1</v>
      </c>
      <c r="AN1309" t="s">
        <v>768</v>
      </c>
      <c r="AO1309" t="s">
        <v>41</v>
      </c>
    </row>
    <row r="1310" spans="1:41" x14ac:dyDescent="0.25">
      <c r="A1310">
        <v>43</v>
      </c>
      <c r="B1310" t="s">
        <v>32</v>
      </c>
      <c r="C1310" t="s">
        <v>33</v>
      </c>
      <c r="D1310">
        <v>15</v>
      </c>
      <c r="E1310" t="s">
        <v>34</v>
      </c>
      <c r="F1310">
        <v>2</v>
      </c>
      <c r="G1310">
        <v>4</v>
      </c>
      <c r="H1310" t="s">
        <v>50</v>
      </c>
      <c r="I1310">
        <v>3</v>
      </c>
      <c r="J1310" t="s">
        <v>51</v>
      </c>
      <c r="K1310">
        <v>17603</v>
      </c>
      <c r="L1310">
        <v>1</v>
      </c>
      <c r="M1310" t="s">
        <v>41</v>
      </c>
      <c r="N1310">
        <v>24</v>
      </c>
      <c r="O1310">
        <v>4</v>
      </c>
      <c r="P1310">
        <v>1</v>
      </c>
      <c r="Q1310">
        <v>14</v>
      </c>
      <c r="R1310">
        <v>3</v>
      </c>
      <c r="S1310">
        <v>14</v>
      </c>
      <c r="T1310">
        <v>6</v>
      </c>
      <c r="U1310">
        <v>11</v>
      </c>
      <c r="V1310" t="s">
        <v>72</v>
      </c>
      <c r="W1310" s="2">
        <v>39389</v>
      </c>
      <c r="Y1310" t="s">
        <v>54</v>
      </c>
      <c r="Z1310" t="s">
        <v>47</v>
      </c>
      <c r="AA1310">
        <v>5</v>
      </c>
      <c r="AB1310">
        <v>3</v>
      </c>
      <c r="AC1310" t="s">
        <v>41</v>
      </c>
      <c r="AD1310" t="s">
        <v>67</v>
      </c>
      <c r="AE1310" t="s">
        <v>60</v>
      </c>
      <c r="AF1310" s="3">
        <v>1704</v>
      </c>
      <c r="AG1310" s="3">
        <v>79</v>
      </c>
      <c r="AH1310">
        <v>80</v>
      </c>
      <c r="AI1310">
        <v>4</v>
      </c>
      <c r="AJ1310">
        <v>0</v>
      </c>
      <c r="AL1310">
        <v>0</v>
      </c>
      <c r="AM1310">
        <v>1</v>
      </c>
      <c r="AN1310" t="s">
        <v>768</v>
      </c>
      <c r="AO1310" t="s">
        <v>41</v>
      </c>
    </row>
    <row r="1311" spans="1:41" x14ac:dyDescent="0.25">
      <c r="A1311">
        <v>33</v>
      </c>
      <c r="B1311" t="s">
        <v>32</v>
      </c>
      <c r="C1311" t="s">
        <v>33</v>
      </c>
      <c r="D1311">
        <v>21</v>
      </c>
      <c r="E1311" t="s">
        <v>34</v>
      </c>
      <c r="F1311">
        <v>4</v>
      </c>
      <c r="G1311">
        <v>1</v>
      </c>
      <c r="H1311" t="s">
        <v>35</v>
      </c>
      <c r="I1311">
        <v>2</v>
      </c>
      <c r="J1311" t="s">
        <v>51</v>
      </c>
      <c r="K1311">
        <v>2028</v>
      </c>
      <c r="L1311">
        <v>1</v>
      </c>
      <c r="M1311" t="s">
        <v>41</v>
      </c>
      <c r="N1311">
        <v>18</v>
      </c>
      <c r="O1311">
        <v>3</v>
      </c>
      <c r="P1311">
        <v>3</v>
      </c>
      <c r="Q1311">
        <v>14</v>
      </c>
      <c r="R1311">
        <v>6</v>
      </c>
      <c r="S1311">
        <v>14</v>
      </c>
      <c r="T1311">
        <v>2</v>
      </c>
      <c r="U1311">
        <v>13</v>
      </c>
      <c r="V1311" t="s">
        <v>58</v>
      </c>
      <c r="W1311" s="2">
        <v>39204</v>
      </c>
      <c r="Y1311" t="s">
        <v>69</v>
      </c>
      <c r="Z1311" t="s">
        <v>40</v>
      </c>
      <c r="AA1311">
        <v>3</v>
      </c>
      <c r="AB1311">
        <v>0</v>
      </c>
      <c r="AC1311" t="s">
        <v>41</v>
      </c>
      <c r="AD1311" t="s">
        <v>48</v>
      </c>
      <c r="AE1311" t="s">
        <v>60</v>
      </c>
      <c r="AF1311" s="3">
        <v>1496</v>
      </c>
      <c r="AG1311" s="3">
        <v>86</v>
      </c>
      <c r="AH1311">
        <v>80</v>
      </c>
      <c r="AI1311">
        <v>2</v>
      </c>
      <c r="AJ1311">
        <v>0</v>
      </c>
      <c r="AL1311">
        <v>0</v>
      </c>
      <c r="AM1311">
        <v>1</v>
      </c>
      <c r="AN1311" t="s">
        <v>768</v>
      </c>
      <c r="AO1311" t="s">
        <v>41</v>
      </c>
    </row>
    <row r="1312" spans="1:41" x14ac:dyDescent="0.25">
      <c r="A1312">
        <v>34</v>
      </c>
      <c r="B1312" t="s">
        <v>32</v>
      </c>
      <c r="C1312" t="s">
        <v>55</v>
      </c>
      <c r="D1312">
        <v>1</v>
      </c>
      <c r="E1312" t="s">
        <v>34</v>
      </c>
      <c r="F1312">
        <v>3</v>
      </c>
      <c r="G1312">
        <v>3</v>
      </c>
      <c r="H1312" t="s">
        <v>70</v>
      </c>
      <c r="I1312">
        <v>4</v>
      </c>
      <c r="J1312" t="s">
        <v>36</v>
      </c>
      <c r="K1312">
        <v>9888</v>
      </c>
      <c r="L1312">
        <v>1</v>
      </c>
      <c r="M1312" t="s">
        <v>41</v>
      </c>
      <c r="N1312">
        <v>21</v>
      </c>
      <c r="O1312">
        <v>4</v>
      </c>
      <c r="P1312">
        <v>0</v>
      </c>
      <c r="Q1312">
        <v>14</v>
      </c>
      <c r="R1312">
        <v>3</v>
      </c>
      <c r="S1312">
        <v>14</v>
      </c>
      <c r="T1312">
        <v>2</v>
      </c>
      <c r="U1312">
        <v>1</v>
      </c>
      <c r="V1312" t="s">
        <v>72</v>
      </c>
      <c r="W1312" s="1" t="s">
        <v>657</v>
      </c>
      <c r="Y1312" t="s">
        <v>69</v>
      </c>
      <c r="Z1312" t="s">
        <v>40</v>
      </c>
      <c r="AA1312">
        <v>1</v>
      </c>
      <c r="AB1312">
        <v>3</v>
      </c>
      <c r="AC1312" t="s">
        <v>41</v>
      </c>
      <c r="AD1312" t="s">
        <v>42</v>
      </c>
      <c r="AE1312" t="s">
        <v>60</v>
      </c>
      <c r="AF1312" s="3">
        <v>1539</v>
      </c>
      <c r="AG1312" s="3">
        <v>88</v>
      </c>
      <c r="AH1312">
        <v>80</v>
      </c>
      <c r="AI1312">
        <v>6</v>
      </c>
      <c r="AJ1312">
        <v>0</v>
      </c>
      <c r="AL1312">
        <v>0</v>
      </c>
      <c r="AM1312">
        <v>1</v>
      </c>
      <c r="AN1312" t="s">
        <v>768</v>
      </c>
      <c r="AO1312" t="s">
        <v>41</v>
      </c>
    </row>
    <row r="1313" spans="1:41" x14ac:dyDescent="0.25">
      <c r="A1313">
        <v>32</v>
      </c>
      <c r="B1313" t="s">
        <v>32</v>
      </c>
      <c r="C1313" t="s">
        <v>55</v>
      </c>
      <c r="D1313">
        <v>1</v>
      </c>
      <c r="E1313" t="s">
        <v>61</v>
      </c>
      <c r="F1313">
        <v>3</v>
      </c>
      <c r="G1313">
        <v>3</v>
      </c>
      <c r="H1313" t="s">
        <v>70</v>
      </c>
      <c r="I1313">
        <v>4</v>
      </c>
      <c r="J1313" t="s">
        <v>51</v>
      </c>
      <c r="K1313">
        <v>10422</v>
      </c>
      <c r="L1313">
        <v>1</v>
      </c>
      <c r="M1313" t="s">
        <v>41</v>
      </c>
      <c r="N1313">
        <v>19</v>
      </c>
      <c r="O1313">
        <v>3</v>
      </c>
      <c r="P1313">
        <v>2</v>
      </c>
      <c r="Q1313">
        <v>14</v>
      </c>
      <c r="R1313">
        <v>3</v>
      </c>
      <c r="S1313">
        <v>14</v>
      </c>
      <c r="T1313">
        <v>5</v>
      </c>
      <c r="U1313">
        <v>7</v>
      </c>
      <c r="V1313" t="s">
        <v>52</v>
      </c>
      <c r="W1313" s="1" t="s">
        <v>655</v>
      </c>
      <c r="Y1313" t="s">
        <v>54</v>
      </c>
      <c r="Z1313" t="s">
        <v>47</v>
      </c>
      <c r="AA1313">
        <v>0</v>
      </c>
      <c r="AB1313">
        <v>2</v>
      </c>
      <c r="AC1313" t="s">
        <v>41</v>
      </c>
      <c r="AD1313" t="s">
        <v>67</v>
      </c>
      <c r="AE1313" t="s">
        <v>43</v>
      </c>
      <c r="AF1313" s="3">
        <v>1753</v>
      </c>
      <c r="AG1313" s="3">
        <v>70</v>
      </c>
      <c r="AH1313">
        <v>80</v>
      </c>
      <c r="AI1313">
        <v>2</v>
      </c>
      <c r="AJ1313">
        <v>0</v>
      </c>
      <c r="AL1313">
        <v>0</v>
      </c>
      <c r="AM1313">
        <v>1</v>
      </c>
      <c r="AN1313" t="s">
        <v>768</v>
      </c>
      <c r="AO1313" t="s">
        <v>41</v>
      </c>
    </row>
    <row r="1314" spans="1:41" x14ac:dyDescent="0.25">
      <c r="A1314">
        <v>33</v>
      </c>
      <c r="B1314" t="s">
        <v>66</v>
      </c>
      <c r="C1314" t="s">
        <v>33</v>
      </c>
      <c r="D1314">
        <v>1</v>
      </c>
      <c r="E1314" t="s">
        <v>61</v>
      </c>
      <c r="F1314">
        <v>3</v>
      </c>
      <c r="G1314">
        <v>3</v>
      </c>
      <c r="H1314" t="s">
        <v>50</v>
      </c>
      <c r="I1314">
        <v>4</v>
      </c>
      <c r="J1314" t="s">
        <v>36</v>
      </c>
      <c r="K1314">
        <v>13458</v>
      </c>
      <c r="L1314">
        <v>1</v>
      </c>
      <c r="M1314" t="s">
        <v>31</v>
      </c>
      <c r="N1314">
        <v>12</v>
      </c>
      <c r="O1314">
        <v>3</v>
      </c>
      <c r="P1314">
        <v>0</v>
      </c>
      <c r="Q1314">
        <v>15</v>
      </c>
      <c r="R1314">
        <v>1</v>
      </c>
      <c r="S1314">
        <v>15</v>
      </c>
      <c r="T1314">
        <v>8</v>
      </c>
      <c r="U1314">
        <v>12</v>
      </c>
      <c r="V1314" t="s">
        <v>37</v>
      </c>
      <c r="W1314" s="1" t="s">
        <v>658</v>
      </c>
      <c r="Y1314" t="s">
        <v>63</v>
      </c>
      <c r="Z1314" t="s">
        <v>40</v>
      </c>
      <c r="AA1314">
        <v>0</v>
      </c>
      <c r="AB1314">
        <v>3</v>
      </c>
      <c r="AC1314" t="s">
        <v>31</v>
      </c>
      <c r="AD1314" t="s">
        <v>48</v>
      </c>
      <c r="AE1314" t="s">
        <v>49</v>
      </c>
      <c r="AF1314" s="3">
        <v>1927</v>
      </c>
      <c r="AG1314" s="3">
        <v>42</v>
      </c>
      <c r="AH1314">
        <v>80</v>
      </c>
      <c r="AI1314">
        <v>7</v>
      </c>
      <c r="AJ1314">
        <v>0</v>
      </c>
      <c r="AL1314">
        <v>0</v>
      </c>
      <c r="AM1314">
        <v>1</v>
      </c>
      <c r="AN1314" t="s">
        <v>768</v>
      </c>
      <c r="AO1314" t="s">
        <v>41</v>
      </c>
    </row>
    <row r="1315" spans="1:41" x14ac:dyDescent="0.25">
      <c r="A1315">
        <v>35</v>
      </c>
      <c r="B1315" t="s">
        <v>32</v>
      </c>
      <c r="C1315" t="s">
        <v>55</v>
      </c>
      <c r="D1315">
        <v>1</v>
      </c>
      <c r="E1315" t="s">
        <v>34</v>
      </c>
      <c r="F1315">
        <v>2</v>
      </c>
      <c r="G1315">
        <v>2</v>
      </c>
      <c r="H1315" t="s">
        <v>70</v>
      </c>
      <c r="I1315">
        <v>1</v>
      </c>
      <c r="J1315" t="s">
        <v>36</v>
      </c>
      <c r="K1315">
        <v>4312</v>
      </c>
      <c r="L1315">
        <v>0</v>
      </c>
      <c r="M1315" t="s">
        <v>41</v>
      </c>
      <c r="N1315">
        <v>14</v>
      </c>
      <c r="O1315">
        <v>3</v>
      </c>
      <c r="P1315">
        <v>0</v>
      </c>
      <c r="Q1315">
        <v>16</v>
      </c>
      <c r="R1315">
        <v>2</v>
      </c>
      <c r="S1315">
        <v>15</v>
      </c>
      <c r="T1315">
        <v>2</v>
      </c>
      <c r="U1315">
        <v>8</v>
      </c>
      <c r="V1315" t="s">
        <v>72</v>
      </c>
      <c r="W1315" s="1" t="s">
        <v>659</v>
      </c>
      <c r="Y1315" t="s">
        <v>63</v>
      </c>
      <c r="Z1315" t="s">
        <v>40</v>
      </c>
      <c r="AA1315">
        <v>5</v>
      </c>
      <c r="AB1315">
        <v>2</v>
      </c>
      <c r="AC1315" t="s">
        <v>41</v>
      </c>
      <c r="AD1315" t="s">
        <v>48</v>
      </c>
      <c r="AE1315" t="s">
        <v>60</v>
      </c>
      <c r="AF1315" s="3">
        <v>1973</v>
      </c>
      <c r="AG1315" s="3">
        <v>71</v>
      </c>
      <c r="AH1315">
        <v>80</v>
      </c>
      <c r="AI1315">
        <v>9</v>
      </c>
      <c r="AJ1315">
        <v>0</v>
      </c>
      <c r="AL1315">
        <v>0</v>
      </c>
      <c r="AM1315">
        <v>1</v>
      </c>
      <c r="AN1315" t="s">
        <v>768</v>
      </c>
      <c r="AO1315" t="s">
        <v>41</v>
      </c>
    </row>
    <row r="1316" spans="1:41" x14ac:dyDescent="0.25">
      <c r="A1316">
        <v>49</v>
      </c>
      <c r="B1316" t="s">
        <v>32</v>
      </c>
      <c r="C1316" t="s">
        <v>33</v>
      </c>
      <c r="D1316">
        <v>20</v>
      </c>
      <c r="E1316" t="s">
        <v>61</v>
      </c>
      <c r="F1316">
        <v>3</v>
      </c>
      <c r="G1316">
        <v>2</v>
      </c>
      <c r="H1316" t="s">
        <v>78</v>
      </c>
      <c r="I1316">
        <v>1</v>
      </c>
      <c r="J1316" t="s">
        <v>51</v>
      </c>
      <c r="K1316">
        <v>6567</v>
      </c>
      <c r="L1316">
        <v>1</v>
      </c>
      <c r="M1316" t="s">
        <v>41</v>
      </c>
      <c r="N1316">
        <v>14</v>
      </c>
      <c r="O1316">
        <v>3</v>
      </c>
      <c r="P1316">
        <v>0</v>
      </c>
      <c r="Q1316">
        <v>16</v>
      </c>
      <c r="R1316">
        <v>2</v>
      </c>
      <c r="S1316">
        <v>15</v>
      </c>
      <c r="T1316">
        <v>5</v>
      </c>
      <c r="U1316">
        <v>11</v>
      </c>
      <c r="V1316" t="s">
        <v>72</v>
      </c>
      <c r="W1316" s="2">
        <v>39024</v>
      </c>
      <c r="Y1316" t="s">
        <v>63</v>
      </c>
      <c r="Z1316" t="s">
        <v>47</v>
      </c>
      <c r="AA1316">
        <v>2</v>
      </c>
      <c r="AB1316">
        <v>1</v>
      </c>
      <c r="AC1316" t="s">
        <v>31</v>
      </c>
      <c r="AD1316" t="s">
        <v>65</v>
      </c>
      <c r="AE1316" t="s">
        <v>60</v>
      </c>
      <c r="AF1316" s="3">
        <v>1460</v>
      </c>
      <c r="AG1316" s="3">
        <v>95</v>
      </c>
      <c r="AH1316">
        <v>80</v>
      </c>
      <c r="AI1316">
        <v>7</v>
      </c>
      <c r="AJ1316">
        <v>0</v>
      </c>
      <c r="AL1316">
        <v>0</v>
      </c>
      <c r="AM1316">
        <v>1</v>
      </c>
      <c r="AN1316" t="s">
        <v>768</v>
      </c>
      <c r="AO1316" t="s">
        <v>41</v>
      </c>
    </row>
    <row r="1317" spans="1:41" x14ac:dyDescent="0.25">
      <c r="A1317">
        <v>39</v>
      </c>
      <c r="B1317" t="s">
        <v>32</v>
      </c>
      <c r="C1317" t="s">
        <v>55</v>
      </c>
      <c r="D1317">
        <v>4</v>
      </c>
      <c r="E1317" t="s">
        <v>61</v>
      </c>
      <c r="F1317">
        <v>2</v>
      </c>
      <c r="G1317">
        <v>2</v>
      </c>
      <c r="H1317" t="s">
        <v>70</v>
      </c>
      <c r="I1317">
        <v>3</v>
      </c>
      <c r="J1317" t="s">
        <v>51</v>
      </c>
      <c r="K1317">
        <v>5902</v>
      </c>
      <c r="L1317">
        <v>4</v>
      </c>
      <c r="M1317" t="s">
        <v>41</v>
      </c>
      <c r="N1317">
        <v>14</v>
      </c>
      <c r="O1317">
        <v>3</v>
      </c>
      <c r="P1317">
        <v>1</v>
      </c>
      <c r="Q1317">
        <v>17</v>
      </c>
      <c r="R1317">
        <v>1</v>
      </c>
      <c r="S1317">
        <v>15</v>
      </c>
      <c r="T1317">
        <v>5</v>
      </c>
      <c r="U1317">
        <v>9</v>
      </c>
      <c r="V1317" t="s">
        <v>52</v>
      </c>
      <c r="W1317" s="1" t="s">
        <v>660</v>
      </c>
      <c r="Y1317" t="s">
        <v>69</v>
      </c>
      <c r="Z1317" t="s">
        <v>40</v>
      </c>
      <c r="AA1317">
        <v>4</v>
      </c>
      <c r="AB1317">
        <v>2</v>
      </c>
      <c r="AC1317" t="s">
        <v>31</v>
      </c>
      <c r="AD1317" t="s">
        <v>42</v>
      </c>
      <c r="AE1317" t="s">
        <v>43</v>
      </c>
      <c r="AF1317" s="3">
        <v>1789</v>
      </c>
      <c r="AG1317" s="3">
        <v>46</v>
      </c>
      <c r="AH1317">
        <v>80</v>
      </c>
      <c r="AI1317">
        <v>1</v>
      </c>
      <c r="AJ1317">
        <v>0</v>
      </c>
      <c r="AL1317">
        <v>0</v>
      </c>
      <c r="AM1317">
        <v>1</v>
      </c>
      <c r="AN1317" t="s">
        <v>768</v>
      </c>
      <c r="AO1317" t="s">
        <v>41</v>
      </c>
    </row>
    <row r="1318" spans="1:41" x14ac:dyDescent="0.25">
      <c r="A1318">
        <v>36</v>
      </c>
      <c r="B1318" t="s">
        <v>32</v>
      </c>
      <c r="C1318" t="s">
        <v>33</v>
      </c>
      <c r="D1318">
        <v>6</v>
      </c>
      <c r="E1318" t="s">
        <v>34</v>
      </c>
      <c r="F1318">
        <v>3</v>
      </c>
      <c r="G1318">
        <v>1</v>
      </c>
      <c r="H1318" t="s">
        <v>35</v>
      </c>
      <c r="I1318">
        <v>4</v>
      </c>
      <c r="J1318" t="s">
        <v>51</v>
      </c>
      <c r="K1318">
        <v>3210</v>
      </c>
      <c r="L1318">
        <v>0</v>
      </c>
      <c r="M1318" t="s">
        <v>41</v>
      </c>
      <c r="N1318">
        <v>11</v>
      </c>
      <c r="O1318">
        <v>3</v>
      </c>
      <c r="P1318">
        <v>1</v>
      </c>
      <c r="Q1318">
        <v>16</v>
      </c>
      <c r="R1318">
        <v>4</v>
      </c>
      <c r="S1318">
        <v>15</v>
      </c>
      <c r="T1318">
        <v>10</v>
      </c>
      <c r="U1318">
        <v>11</v>
      </c>
      <c r="V1318" t="s">
        <v>37</v>
      </c>
      <c r="W1318" s="2">
        <v>38809</v>
      </c>
      <c r="Y1318" t="s">
        <v>54</v>
      </c>
      <c r="Z1318" t="s">
        <v>40</v>
      </c>
      <c r="AA1318">
        <v>4</v>
      </c>
      <c r="AB1318">
        <v>3</v>
      </c>
      <c r="AC1318" t="s">
        <v>41</v>
      </c>
      <c r="AD1318" t="s">
        <v>42</v>
      </c>
      <c r="AE1318" t="s">
        <v>49</v>
      </c>
      <c r="AF1318" s="3">
        <v>1998</v>
      </c>
      <c r="AG1318" s="3">
        <v>35</v>
      </c>
      <c r="AH1318">
        <v>80</v>
      </c>
      <c r="AI1318">
        <v>3</v>
      </c>
      <c r="AJ1318">
        <v>0</v>
      </c>
      <c r="AL1318">
        <v>0</v>
      </c>
      <c r="AM1318">
        <v>1</v>
      </c>
      <c r="AN1318" t="s">
        <v>768</v>
      </c>
      <c r="AO1318" t="s">
        <v>41</v>
      </c>
    </row>
    <row r="1319" spans="1:41" x14ac:dyDescent="0.25">
      <c r="A1319">
        <v>38</v>
      </c>
      <c r="B1319" t="s">
        <v>66</v>
      </c>
      <c r="C1319" t="s">
        <v>33</v>
      </c>
      <c r="D1319">
        <v>2</v>
      </c>
      <c r="E1319" t="s">
        <v>61</v>
      </c>
      <c r="F1319">
        <v>4</v>
      </c>
      <c r="G1319">
        <v>2</v>
      </c>
      <c r="H1319" t="s">
        <v>78</v>
      </c>
      <c r="I1319">
        <v>1</v>
      </c>
      <c r="J1319" t="s">
        <v>36</v>
      </c>
      <c r="K1319">
        <v>5980</v>
      </c>
      <c r="L1319">
        <v>6</v>
      </c>
      <c r="M1319" t="s">
        <v>31</v>
      </c>
      <c r="N1319">
        <v>12</v>
      </c>
      <c r="O1319">
        <v>3</v>
      </c>
      <c r="P1319">
        <v>0</v>
      </c>
      <c r="Q1319">
        <v>17</v>
      </c>
      <c r="R1319">
        <v>2</v>
      </c>
      <c r="S1319">
        <v>15</v>
      </c>
      <c r="T1319">
        <v>4</v>
      </c>
      <c r="U1319">
        <v>12</v>
      </c>
      <c r="V1319" t="s">
        <v>72</v>
      </c>
      <c r="W1319" s="2">
        <v>38753</v>
      </c>
      <c r="Y1319" t="s">
        <v>54</v>
      </c>
      <c r="Z1319" t="s">
        <v>47</v>
      </c>
      <c r="AA1319">
        <v>4</v>
      </c>
      <c r="AB1319">
        <v>1</v>
      </c>
      <c r="AC1319" t="s">
        <v>31</v>
      </c>
      <c r="AD1319" t="s">
        <v>48</v>
      </c>
      <c r="AE1319" t="s">
        <v>60</v>
      </c>
      <c r="AF1319" s="3">
        <v>1992</v>
      </c>
      <c r="AG1319" s="3">
        <v>57</v>
      </c>
      <c r="AH1319">
        <v>80</v>
      </c>
      <c r="AI1319">
        <v>2</v>
      </c>
      <c r="AJ1319">
        <v>0</v>
      </c>
      <c r="AL1319">
        <v>0</v>
      </c>
      <c r="AM1319">
        <v>1</v>
      </c>
      <c r="AN1319" t="s">
        <v>768</v>
      </c>
      <c r="AO1319" t="s">
        <v>41</v>
      </c>
    </row>
    <row r="1320" spans="1:41" x14ac:dyDescent="0.25">
      <c r="A1320">
        <v>38</v>
      </c>
      <c r="B1320" t="s">
        <v>32</v>
      </c>
      <c r="C1320" t="s">
        <v>33</v>
      </c>
      <c r="D1320">
        <v>1</v>
      </c>
      <c r="E1320" t="s">
        <v>61</v>
      </c>
      <c r="F1320">
        <v>3</v>
      </c>
      <c r="G1320">
        <v>3</v>
      </c>
      <c r="H1320" t="s">
        <v>50</v>
      </c>
      <c r="I1320">
        <v>1</v>
      </c>
      <c r="J1320" t="s">
        <v>51</v>
      </c>
      <c r="K1320">
        <v>13582</v>
      </c>
      <c r="L1320">
        <v>1</v>
      </c>
      <c r="M1320" t="s">
        <v>41</v>
      </c>
      <c r="N1320">
        <v>13</v>
      </c>
      <c r="O1320">
        <v>3</v>
      </c>
      <c r="P1320">
        <v>1</v>
      </c>
      <c r="Q1320">
        <v>15</v>
      </c>
      <c r="R1320">
        <v>3</v>
      </c>
      <c r="S1320">
        <v>15</v>
      </c>
      <c r="T1320">
        <v>5</v>
      </c>
      <c r="U1320">
        <v>11</v>
      </c>
      <c r="V1320" t="s">
        <v>37</v>
      </c>
      <c r="W1320" s="1" t="s">
        <v>661</v>
      </c>
      <c r="Y1320" t="s">
        <v>63</v>
      </c>
      <c r="Z1320" t="s">
        <v>40</v>
      </c>
      <c r="AA1320">
        <v>2</v>
      </c>
      <c r="AB1320">
        <v>3</v>
      </c>
      <c r="AC1320" t="s">
        <v>31</v>
      </c>
      <c r="AD1320" t="s">
        <v>67</v>
      </c>
      <c r="AE1320" t="s">
        <v>60</v>
      </c>
      <c r="AF1320" s="3">
        <v>1448</v>
      </c>
      <c r="AG1320" s="3">
        <v>90</v>
      </c>
      <c r="AH1320">
        <v>80</v>
      </c>
      <c r="AI1320">
        <v>2</v>
      </c>
      <c r="AJ1320">
        <v>0</v>
      </c>
      <c r="AL1320">
        <v>0</v>
      </c>
      <c r="AM1320">
        <v>1</v>
      </c>
      <c r="AN1320" t="s">
        <v>768</v>
      </c>
      <c r="AO1320" t="s">
        <v>41</v>
      </c>
    </row>
    <row r="1321" spans="1:41" x14ac:dyDescent="0.25">
      <c r="A1321">
        <v>48</v>
      </c>
      <c r="B1321" t="s">
        <v>32</v>
      </c>
      <c r="C1321" t="s">
        <v>33</v>
      </c>
      <c r="D1321">
        <v>4</v>
      </c>
      <c r="E1321" t="s">
        <v>34</v>
      </c>
      <c r="F1321">
        <v>2</v>
      </c>
      <c r="G1321">
        <v>3</v>
      </c>
      <c r="H1321" t="s">
        <v>89</v>
      </c>
      <c r="I1321">
        <v>3</v>
      </c>
      <c r="J1321" t="s">
        <v>36</v>
      </c>
      <c r="K1321">
        <v>10999</v>
      </c>
      <c r="L1321">
        <v>7</v>
      </c>
      <c r="M1321" t="s">
        <v>41</v>
      </c>
      <c r="N1321">
        <v>14</v>
      </c>
      <c r="O1321">
        <v>3</v>
      </c>
      <c r="P1321">
        <v>0</v>
      </c>
      <c r="Q1321">
        <v>27</v>
      </c>
      <c r="R1321">
        <v>3</v>
      </c>
      <c r="S1321">
        <v>15</v>
      </c>
      <c r="T1321">
        <v>4</v>
      </c>
      <c r="U1321">
        <v>8</v>
      </c>
      <c r="V1321" t="s">
        <v>58</v>
      </c>
      <c r="W1321" s="1" t="s">
        <v>662</v>
      </c>
      <c r="Y1321" t="s">
        <v>63</v>
      </c>
      <c r="Z1321" t="s">
        <v>47</v>
      </c>
      <c r="AA1321">
        <v>3</v>
      </c>
      <c r="AB1321">
        <v>1</v>
      </c>
      <c r="AC1321" t="s">
        <v>31</v>
      </c>
      <c r="AD1321" t="s">
        <v>65</v>
      </c>
      <c r="AE1321" t="s">
        <v>43</v>
      </c>
      <c r="AF1321" s="3">
        <v>1501</v>
      </c>
      <c r="AG1321" s="3">
        <v>30</v>
      </c>
      <c r="AH1321">
        <v>80</v>
      </c>
      <c r="AI1321">
        <v>2</v>
      </c>
      <c r="AJ1321">
        <v>0</v>
      </c>
      <c r="AL1321">
        <v>0</v>
      </c>
      <c r="AM1321">
        <v>1</v>
      </c>
      <c r="AN1321" t="s">
        <v>768</v>
      </c>
      <c r="AO1321" t="s">
        <v>41</v>
      </c>
    </row>
    <row r="1322" spans="1:41" x14ac:dyDescent="0.25">
      <c r="A1322">
        <v>34</v>
      </c>
      <c r="B1322" t="s">
        <v>32</v>
      </c>
      <c r="C1322" t="s">
        <v>55</v>
      </c>
      <c r="D1322">
        <v>1</v>
      </c>
      <c r="E1322" t="s">
        <v>34</v>
      </c>
      <c r="F1322">
        <v>4</v>
      </c>
      <c r="G1322">
        <v>2</v>
      </c>
      <c r="H1322" t="s">
        <v>70</v>
      </c>
      <c r="I1322">
        <v>4</v>
      </c>
      <c r="J1322" t="s">
        <v>57</v>
      </c>
      <c r="K1322">
        <v>9725</v>
      </c>
      <c r="L1322">
        <v>0</v>
      </c>
      <c r="M1322" t="s">
        <v>41</v>
      </c>
      <c r="N1322">
        <v>11</v>
      </c>
      <c r="O1322">
        <v>3</v>
      </c>
      <c r="P1322">
        <v>1</v>
      </c>
      <c r="Q1322">
        <v>16</v>
      </c>
      <c r="R1322">
        <v>2</v>
      </c>
      <c r="S1322">
        <v>15</v>
      </c>
      <c r="T1322">
        <v>0</v>
      </c>
      <c r="U1322">
        <v>9</v>
      </c>
      <c r="V1322" t="s">
        <v>52</v>
      </c>
      <c r="W1322" s="1" t="s">
        <v>663</v>
      </c>
      <c r="Y1322" t="s">
        <v>54</v>
      </c>
      <c r="Z1322" t="s">
        <v>47</v>
      </c>
      <c r="AA1322">
        <v>0</v>
      </c>
      <c r="AB1322">
        <v>1</v>
      </c>
      <c r="AC1322" t="s">
        <v>31</v>
      </c>
      <c r="AD1322" t="s">
        <v>42</v>
      </c>
      <c r="AE1322" t="s">
        <v>49</v>
      </c>
      <c r="AF1322" s="3">
        <v>1766</v>
      </c>
      <c r="AG1322" s="3">
        <v>60</v>
      </c>
      <c r="AH1322">
        <v>80</v>
      </c>
      <c r="AI1322">
        <v>0</v>
      </c>
      <c r="AJ1322">
        <v>0</v>
      </c>
      <c r="AL1322">
        <v>0</v>
      </c>
      <c r="AM1322">
        <v>1</v>
      </c>
      <c r="AN1322" t="s">
        <v>768</v>
      </c>
      <c r="AO1322" t="s">
        <v>41</v>
      </c>
    </row>
    <row r="1323" spans="1:41" x14ac:dyDescent="0.25">
      <c r="A1323">
        <v>53</v>
      </c>
      <c r="B1323" t="s">
        <v>66</v>
      </c>
      <c r="C1323" t="s">
        <v>55</v>
      </c>
      <c r="D1323">
        <v>2</v>
      </c>
      <c r="E1323" t="s">
        <v>61</v>
      </c>
      <c r="F1323">
        <v>2</v>
      </c>
      <c r="G1323">
        <v>3</v>
      </c>
      <c r="H1323" t="s">
        <v>70</v>
      </c>
      <c r="I1323">
        <v>2</v>
      </c>
      <c r="J1323" t="s">
        <v>51</v>
      </c>
      <c r="K1323">
        <v>7525</v>
      </c>
      <c r="L1323">
        <v>2</v>
      </c>
      <c r="M1323" t="s">
        <v>41</v>
      </c>
      <c r="N1323">
        <v>12</v>
      </c>
      <c r="O1323">
        <v>3</v>
      </c>
      <c r="P1323">
        <v>1</v>
      </c>
      <c r="Q1323">
        <v>30</v>
      </c>
      <c r="R1323">
        <v>2</v>
      </c>
      <c r="S1323">
        <v>15</v>
      </c>
      <c r="T1323">
        <v>6</v>
      </c>
      <c r="U1323">
        <v>12</v>
      </c>
      <c r="V1323" t="s">
        <v>58</v>
      </c>
      <c r="W1323" s="1" t="s">
        <v>664</v>
      </c>
      <c r="Y1323" t="s">
        <v>69</v>
      </c>
      <c r="Z1323" t="s">
        <v>47</v>
      </c>
      <c r="AA1323">
        <v>5</v>
      </c>
      <c r="AB1323">
        <v>2</v>
      </c>
      <c r="AC1323" t="s">
        <v>31</v>
      </c>
      <c r="AD1323" t="s">
        <v>67</v>
      </c>
      <c r="AE1323" t="s">
        <v>43</v>
      </c>
      <c r="AF1323" s="3">
        <v>1549</v>
      </c>
      <c r="AG1323" s="3">
        <v>79</v>
      </c>
      <c r="AH1323">
        <v>80</v>
      </c>
      <c r="AI1323">
        <v>14</v>
      </c>
      <c r="AJ1323">
        <v>0</v>
      </c>
      <c r="AL1323">
        <v>0</v>
      </c>
      <c r="AM1323">
        <v>1</v>
      </c>
      <c r="AN1323" t="s">
        <v>768</v>
      </c>
      <c r="AO1323" t="s">
        <v>41</v>
      </c>
    </row>
    <row r="1324" spans="1:41" x14ac:dyDescent="0.25">
      <c r="A1324">
        <v>45</v>
      </c>
      <c r="B1324" t="s">
        <v>81</v>
      </c>
      <c r="C1324" t="s">
        <v>55</v>
      </c>
      <c r="D1324">
        <v>9</v>
      </c>
      <c r="E1324" t="s">
        <v>61</v>
      </c>
      <c r="F1324">
        <v>2</v>
      </c>
      <c r="G1324">
        <v>2</v>
      </c>
      <c r="H1324" t="s">
        <v>70</v>
      </c>
      <c r="I1324">
        <v>3</v>
      </c>
      <c r="J1324" t="s">
        <v>51</v>
      </c>
      <c r="K1324">
        <v>5593</v>
      </c>
      <c r="L1324">
        <v>1</v>
      </c>
      <c r="M1324" t="s">
        <v>41</v>
      </c>
      <c r="N1324">
        <v>13</v>
      </c>
      <c r="O1324">
        <v>3</v>
      </c>
      <c r="P1324">
        <v>1</v>
      </c>
      <c r="Q1324">
        <v>15</v>
      </c>
      <c r="R1324">
        <v>2</v>
      </c>
      <c r="S1324">
        <v>15</v>
      </c>
      <c r="T1324">
        <v>4</v>
      </c>
      <c r="U1324">
        <v>12</v>
      </c>
      <c r="V1324" t="s">
        <v>58</v>
      </c>
      <c r="W1324" s="2">
        <v>38753</v>
      </c>
      <c r="Y1324" t="s">
        <v>39</v>
      </c>
      <c r="Z1324" t="s">
        <v>47</v>
      </c>
      <c r="AA1324">
        <v>3</v>
      </c>
      <c r="AB1324">
        <v>1</v>
      </c>
      <c r="AC1324" t="s">
        <v>41</v>
      </c>
      <c r="AD1324" t="s">
        <v>65</v>
      </c>
      <c r="AE1324" t="s">
        <v>43</v>
      </c>
      <c r="AF1324" s="3">
        <v>2053</v>
      </c>
      <c r="AG1324" s="3">
        <v>46</v>
      </c>
      <c r="AH1324">
        <v>80</v>
      </c>
      <c r="AI1324">
        <v>3</v>
      </c>
      <c r="AJ1324">
        <v>0</v>
      </c>
      <c r="AL1324">
        <v>0</v>
      </c>
      <c r="AM1324">
        <v>1</v>
      </c>
      <c r="AN1324" t="s">
        <v>768</v>
      </c>
      <c r="AO1324" t="s">
        <v>41</v>
      </c>
    </row>
    <row r="1325" spans="1:41" x14ac:dyDescent="0.25">
      <c r="A1325">
        <v>36</v>
      </c>
      <c r="B1325" t="s">
        <v>66</v>
      </c>
      <c r="C1325" t="s">
        <v>55</v>
      </c>
      <c r="D1325">
        <v>7</v>
      </c>
      <c r="E1325" t="s">
        <v>61</v>
      </c>
      <c r="F1325">
        <v>4</v>
      </c>
      <c r="G1325">
        <v>2</v>
      </c>
      <c r="H1325" t="s">
        <v>70</v>
      </c>
      <c r="I1325">
        <v>1</v>
      </c>
      <c r="J1325" t="s">
        <v>51</v>
      </c>
      <c r="K1325">
        <v>4639</v>
      </c>
      <c r="L1325">
        <v>2</v>
      </c>
      <c r="M1325" t="s">
        <v>41</v>
      </c>
      <c r="N1325">
        <v>16</v>
      </c>
      <c r="O1325">
        <v>3</v>
      </c>
      <c r="P1325">
        <v>1</v>
      </c>
      <c r="Q1325">
        <v>17</v>
      </c>
      <c r="R1325">
        <v>2</v>
      </c>
      <c r="S1325">
        <v>15</v>
      </c>
      <c r="T1325">
        <v>6</v>
      </c>
      <c r="U1325">
        <v>13</v>
      </c>
      <c r="V1325" t="s">
        <v>58</v>
      </c>
      <c r="W1325" s="1" t="s">
        <v>665</v>
      </c>
      <c r="Y1325" t="s">
        <v>69</v>
      </c>
      <c r="Z1325" t="s">
        <v>40</v>
      </c>
      <c r="AA1325">
        <v>4</v>
      </c>
      <c r="AB1325">
        <v>2</v>
      </c>
      <c r="AC1325" t="s">
        <v>31</v>
      </c>
      <c r="AD1325" t="s">
        <v>42</v>
      </c>
      <c r="AE1325" t="s">
        <v>60</v>
      </c>
      <c r="AF1325" s="3">
        <v>1790</v>
      </c>
      <c r="AG1325" s="3">
        <v>90</v>
      </c>
      <c r="AH1325">
        <v>80</v>
      </c>
      <c r="AI1325">
        <v>8</v>
      </c>
      <c r="AJ1325">
        <v>0</v>
      </c>
      <c r="AL1325">
        <v>0</v>
      </c>
      <c r="AM1325">
        <v>1</v>
      </c>
      <c r="AN1325" t="s">
        <v>768</v>
      </c>
      <c r="AO1325" t="s">
        <v>41</v>
      </c>
    </row>
    <row r="1326" spans="1:41" x14ac:dyDescent="0.25">
      <c r="A1326">
        <v>34</v>
      </c>
      <c r="B1326" t="s">
        <v>32</v>
      </c>
      <c r="C1326" t="s">
        <v>55</v>
      </c>
      <c r="D1326">
        <v>24</v>
      </c>
      <c r="E1326" t="s">
        <v>61</v>
      </c>
      <c r="F1326">
        <v>2</v>
      </c>
      <c r="G1326">
        <v>2</v>
      </c>
      <c r="H1326" t="s">
        <v>70</v>
      </c>
      <c r="I1326">
        <v>2</v>
      </c>
      <c r="J1326" t="s">
        <v>36</v>
      </c>
      <c r="K1326">
        <v>4599</v>
      </c>
      <c r="L1326">
        <v>0</v>
      </c>
      <c r="M1326" t="s">
        <v>31</v>
      </c>
      <c r="N1326">
        <v>23</v>
      </c>
      <c r="O1326">
        <v>4</v>
      </c>
      <c r="P1326">
        <v>0</v>
      </c>
      <c r="Q1326">
        <v>16</v>
      </c>
      <c r="R1326">
        <v>2</v>
      </c>
      <c r="S1326">
        <v>15</v>
      </c>
      <c r="T1326">
        <v>10</v>
      </c>
      <c r="U1326">
        <v>10</v>
      </c>
      <c r="V1326" t="s">
        <v>52</v>
      </c>
      <c r="W1326" s="1" t="s">
        <v>666</v>
      </c>
      <c r="Y1326" t="s">
        <v>63</v>
      </c>
      <c r="Z1326" t="s">
        <v>47</v>
      </c>
      <c r="AA1326">
        <v>0</v>
      </c>
      <c r="AB1326">
        <v>0</v>
      </c>
      <c r="AC1326" t="s">
        <v>41</v>
      </c>
      <c r="AD1326" t="s">
        <v>48</v>
      </c>
      <c r="AE1326" t="s">
        <v>60</v>
      </c>
      <c r="AF1326" s="3">
        <v>2003</v>
      </c>
      <c r="AG1326" s="3">
        <v>43</v>
      </c>
      <c r="AH1326">
        <v>80</v>
      </c>
      <c r="AI1326">
        <v>2</v>
      </c>
      <c r="AJ1326">
        <v>0</v>
      </c>
      <c r="AL1326">
        <v>0</v>
      </c>
      <c r="AM1326">
        <v>1</v>
      </c>
      <c r="AN1326" t="s">
        <v>768</v>
      </c>
      <c r="AO1326" t="s">
        <v>41</v>
      </c>
    </row>
    <row r="1327" spans="1:41" x14ac:dyDescent="0.25">
      <c r="A1327">
        <v>33</v>
      </c>
      <c r="B1327" t="s">
        <v>32</v>
      </c>
      <c r="C1327" t="s">
        <v>33</v>
      </c>
      <c r="D1327">
        <v>28</v>
      </c>
      <c r="E1327" t="s">
        <v>34</v>
      </c>
      <c r="F1327">
        <v>3</v>
      </c>
      <c r="G1327">
        <v>2</v>
      </c>
      <c r="H1327" t="s">
        <v>35</v>
      </c>
      <c r="I1327">
        <v>3</v>
      </c>
      <c r="J1327" t="s">
        <v>51</v>
      </c>
      <c r="K1327">
        <v>5207</v>
      </c>
      <c r="L1327">
        <v>1</v>
      </c>
      <c r="M1327" t="s">
        <v>31</v>
      </c>
      <c r="N1327">
        <v>12</v>
      </c>
      <c r="O1327">
        <v>3</v>
      </c>
      <c r="P1327">
        <v>1</v>
      </c>
      <c r="Q1327">
        <v>15</v>
      </c>
      <c r="R1327">
        <v>3</v>
      </c>
      <c r="S1327">
        <v>15</v>
      </c>
      <c r="T1327">
        <v>5</v>
      </c>
      <c r="U1327">
        <v>7</v>
      </c>
      <c r="V1327" t="s">
        <v>52</v>
      </c>
      <c r="W1327" s="1" t="s">
        <v>667</v>
      </c>
      <c r="Y1327" t="s">
        <v>63</v>
      </c>
      <c r="Z1327" t="s">
        <v>47</v>
      </c>
      <c r="AA1327">
        <v>0</v>
      </c>
      <c r="AB1327">
        <v>2</v>
      </c>
      <c r="AC1327" t="s">
        <v>41</v>
      </c>
      <c r="AD1327" t="s">
        <v>65</v>
      </c>
      <c r="AE1327" t="s">
        <v>49</v>
      </c>
      <c r="AF1327" s="3">
        <v>1465</v>
      </c>
      <c r="AG1327" s="3">
        <v>55</v>
      </c>
      <c r="AH1327">
        <v>80</v>
      </c>
      <c r="AI1327">
        <v>1</v>
      </c>
      <c r="AJ1327">
        <v>0</v>
      </c>
      <c r="AL1327">
        <v>0</v>
      </c>
      <c r="AM1327">
        <v>1</v>
      </c>
      <c r="AN1327" t="s">
        <v>768</v>
      </c>
      <c r="AO1327" t="s">
        <v>41</v>
      </c>
    </row>
    <row r="1328" spans="1:41" x14ac:dyDescent="0.25">
      <c r="A1328">
        <v>49</v>
      </c>
      <c r="B1328" t="s">
        <v>32</v>
      </c>
      <c r="C1328" t="s">
        <v>33</v>
      </c>
      <c r="D1328">
        <v>6</v>
      </c>
      <c r="E1328" t="s">
        <v>61</v>
      </c>
      <c r="F1328">
        <v>2</v>
      </c>
      <c r="G1328">
        <v>4</v>
      </c>
      <c r="H1328" t="s">
        <v>89</v>
      </c>
      <c r="I1328">
        <v>3</v>
      </c>
      <c r="J1328" t="s">
        <v>51</v>
      </c>
      <c r="K1328">
        <v>13966</v>
      </c>
      <c r="L1328">
        <v>2</v>
      </c>
      <c r="M1328" t="s">
        <v>31</v>
      </c>
      <c r="N1328">
        <v>19</v>
      </c>
      <c r="O1328">
        <v>3</v>
      </c>
      <c r="P1328">
        <v>1</v>
      </c>
      <c r="Q1328">
        <v>30</v>
      </c>
      <c r="R1328">
        <v>3</v>
      </c>
      <c r="S1328">
        <v>15</v>
      </c>
      <c r="T1328">
        <v>2</v>
      </c>
      <c r="U1328">
        <v>12</v>
      </c>
      <c r="V1328" t="s">
        <v>58</v>
      </c>
      <c r="W1328" s="2">
        <v>38780</v>
      </c>
      <c r="Y1328" t="s">
        <v>46</v>
      </c>
      <c r="Z1328" t="s">
        <v>47</v>
      </c>
      <c r="AA1328">
        <v>5</v>
      </c>
      <c r="AB1328">
        <v>3</v>
      </c>
      <c r="AC1328" t="s">
        <v>31</v>
      </c>
      <c r="AD1328" t="s">
        <v>42</v>
      </c>
      <c r="AE1328" t="s">
        <v>43</v>
      </c>
      <c r="AF1328" s="3">
        <v>1755</v>
      </c>
      <c r="AG1328" s="3">
        <v>97</v>
      </c>
      <c r="AH1328">
        <v>80</v>
      </c>
      <c r="AI1328">
        <v>0</v>
      </c>
      <c r="AJ1328">
        <v>0</v>
      </c>
      <c r="AL1328">
        <v>0</v>
      </c>
      <c r="AM1328">
        <v>1</v>
      </c>
      <c r="AN1328" t="s">
        <v>768</v>
      </c>
      <c r="AO1328" t="s">
        <v>41</v>
      </c>
    </row>
    <row r="1329" spans="1:41" x14ac:dyDescent="0.25">
      <c r="A1329">
        <v>34</v>
      </c>
      <c r="B1329" t="s">
        <v>32</v>
      </c>
      <c r="C1329" t="s">
        <v>33</v>
      </c>
      <c r="D1329">
        <v>5</v>
      </c>
      <c r="E1329" t="s">
        <v>34</v>
      </c>
      <c r="F1329">
        <v>2</v>
      </c>
      <c r="G1329">
        <v>2</v>
      </c>
      <c r="H1329" t="s">
        <v>35</v>
      </c>
      <c r="I1329">
        <v>4</v>
      </c>
      <c r="J1329" t="s">
        <v>51</v>
      </c>
      <c r="K1329">
        <v>3986</v>
      </c>
      <c r="L1329">
        <v>1</v>
      </c>
      <c r="M1329" t="s">
        <v>41</v>
      </c>
      <c r="N1329">
        <v>14</v>
      </c>
      <c r="O1329">
        <v>3</v>
      </c>
      <c r="P1329">
        <v>1</v>
      </c>
      <c r="Q1329">
        <v>15</v>
      </c>
      <c r="R1329">
        <v>3</v>
      </c>
      <c r="S1329">
        <v>15</v>
      </c>
      <c r="T1329">
        <v>4</v>
      </c>
      <c r="U1329">
        <v>13</v>
      </c>
      <c r="V1329" t="s">
        <v>72</v>
      </c>
      <c r="W1329" s="2">
        <v>38840</v>
      </c>
      <c r="Y1329" t="s">
        <v>46</v>
      </c>
      <c r="Z1329" t="s">
        <v>40</v>
      </c>
      <c r="AA1329">
        <v>3</v>
      </c>
      <c r="AB1329">
        <v>1</v>
      </c>
      <c r="AC1329" t="s">
        <v>41</v>
      </c>
      <c r="AD1329" t="s">
        <v>42</v>
      </c>
      <c r="AE1329" t="s">
        <v>60</v>
      </c>
      <c r="AF1329" s="3">
        <v>1586</v>
      </c>
      <c r="AG1329" s="3">
        <v>87</v>
      </c>
      <c r="AH1329">
        <v>80</v>
      </c>
      <c r="AI1329">
        <v>9</v>
      </c>
      <c r="AJ1329">
        <v>0</v>
      </c>
      <c r="AL1329">
        <v>0</v>
      </c>
      <c r="AM1329">
        <v>1</v>
      </c>
      <c r="AN1329" t="s">
        <v>768</v>
      </c>
      <c r="AO1329" t="s">
        <v>41</v>
      </c>
    </row>
    <row r="1330" spans="1:41" x14ac:dyDescent="0.25">
      <c r="A1330">
        <v>34</v>
      </c>
      <c r="B1330" t="s">
        <v>81</v>
      </c>
      <c r="C1330" t="s">
        <v>55</v>
      </c>
      <c r="D1330">
        <v>10</v>
      </c>
      <c r="E1330" t="s">
        <v>34</v>
      </c>
      <c r="F1330">
        <v>3</v>
      </c>
      <c r="G1330">
        <v>2</v>
      </c>
      <c r="H1330" t="s">
        <v>70</v>
      </c>
      <c r="I1330">
        <v>3</v>
      </c>
      <c r="J1330" t="s">
        <v>57</v>
      </c>
      <c r="K1330">
        <v>4001</v>
      </c>
      <c r="L1330">
        <v>1</v>
      </c>
      <c r="M1330" t="s">
        <v>31</v>
      </c>
      <c r="N1330">
        <v>14</v>
      </c>
      <c r="O1330">
        <v>3</v>
      </c>
      <c r="P1330">
        <v>1</v>
      </c>
      <c r="Q1330">
        <v>15</v>
      </c>
      <c r="R1330">
        <v>3</v>
      </c>
      <c r="S1330">
        <v>15</v>
      </c>
      <c r="T1330">
        <v>0</v>
      </c>
      <c r="U1330">
        <v>7</v>
      </c>
      <c r="V1330" t="s">
        <v>58</v>
      </c>
      <c r="W1330" s="2">
        <v>39027</v>
      </c>
      <c r="Y1330" t="s">
        <v>69</v>
      </c>
      <c r="Z1330" t="s">
        <v>47</v>
      </c>
      <c r="AA1330">
        <v>0</v>
      </c>
      <c r="AB1330">
        <v>2</v>
      </c>
      <c r="AC1330" t="s">
        <v>41</v>
      </c>
      <c r="AD1330" t="s">
        <v>65</v>
      </c>
      <c r="AE1330" t="s">
        <v>49</v>
      </c>
      <c r="AF1330" s="3">
        <v>2020</v>
      </c>
      <c r="AG1330" s="3">
        <v>42</v>
      </c>
      <c r="AH1330">
        <v>80</v>
      </c>
      <c r="AI1330">
        <v>3</v>
      </c>
      <c r="AJ1330">
        <v>0</v>
      </c>
      <c r="AL1330">
        <v>0</v>
      </c>
      <c r="AM1330">
        <v>1</v>
      </c>
      <c r="AN1330" t="s">
        <v>768</v>
      </c>
      <c r="AO1330" t="s">
        <v>41</v>
      </c>
    </row>
    <row r="1331" spans="1:41" x14ac:dyDescent="0.25">
      <c r="A1331">
        <v>34</v>
      </c>
      <c r="B1331" t="s">
        <v>66</v>
      </c>
      <c r="C1331" t="s">
        <v>33</v>
      </c>
      <c r="D1331">
        <v>22</v>
      </c>
      <c r="E1331" t="s">
        <v>34</v>
      </c>
      <c r="F1331">
        <v>2</v>
      </c>
      <c r="G1331">
        <v>2</v>
      </c>
      <c r="H1331" t="s">
        <v>44</v>
      </c>
      <c r="I1331">
        <v>4</v>
      </c>
      <c r="J1331" t="s">
        <v>51</v>
      </c>
      <c r="K1331">
        <v>5747</v>
      </c>
      <c r="L1331">
        <v>1</v>
      </c>
      <c r="M1331" t="s">
        <v>31</v>
      </c>
      <c r="N1331">
        <v>15</v>
      </c>
      <c r="O1331">
        <v>3</v>
      </c>
      <c r="P1331">
        <v>0</v>
      </c>
      <c r="Q1331">
        <v>16</v>
      </c>
      <c r="R1331">
        <v>3</v>
      </c>
      <c r="S1331">
        <v>15</v>
      </c>
      <c r="T1331">
        <v>6</v>
      </c>
      <c r="U1331">
        <v>11</v>
      </c>
      <c r="V1331" t="s">
        <v>37</v>
      </c>
      <c r="W1331" s="1" t="s">
        <v>668</v>
      </c>
      <c r="Y1331" t="s">
        <v>39</v>
      </c>
      <c r="Z1331" t="s">
        <v>40</v>
      </c>
      <c r="AA1331">
        <v>3</v>
      </c>
      <c r="AB1331">
        <v>3</v>
      </c>
      <c r="AC1331" t="s">
        <v>41</v>
      </c>
      <c r="AD1331" t="s">
        <v>42</v>
      </c>
      <c r="AE1331" t="s">
        <v>49</v>
      </c>
      <c r="AF1331" s="3">
        <v>1515</v>
      </c>
      <c r="AG1331" s="3">
        <v>69</v>
      </c>
      <c r="AH1331">
        <v>80</v>
      </c>
      <c r="AI1331">
        <v>0</v>
      </c>
      <c r="AJ1331">
        <v>0</v>
      </c>
      <c r="AL1331">
        <v>0</v>
      </c>
      <c r="AM1331">
        <v>1</v>
      </c>
      <c r="AN1331" t="s">
        <v>768</v>
      </c>
      <c r="AO1331" t="s">
        <v>41</v>
      </c>
    </row>
    <row r="1332" spans="1:41" x14ac:dyDescent="0.25">
      <c r="A1332">
        <v>38</v>
      </c>
      <c r="B1332" t="s">
        <v>32</v>
      </c>
      <c r="C1332" t="s">
        <v>55</v>
      </c>
      <c r="D1332">
        <v>1</v>
      </c>
      <c r="E1332" t="s">
        <v>34</v>
      </c>
      <c r="F1332">
        <v>3</v>
      </c>
      <c r="G1332">
        <v>2</v>
      </c>
      <c r="H1332" t="s">
        <v>70</v>
      </c>
      <c r="I1332">
        <v>2</v>
      </c>
      <c r="J1332" t="s">
        <v>51</v>
      </c>
      <c r="K1332">
        <v>4440</v>
      </c>
      <c r="L1332">
        <v>0</v>
      </c>
      <c r="M1332" t="s">
        <v>41</v>
      </c>
      <c r="N1332">
        <v>15</v>
      </c>
      <c r="O1332">
        <v>3</v>
      </c>
      <c r="P1332">
        <v>2</v>
      </c>
      <c r="Q1332">
        <v>16</v>
      </c>
      <c r="R1332">
        <v>3</v>
      </c>
      <c r="S1332">
        <v>15</v>
      </c>
      <c r="T1332">
        <v>5</v>
      </c>
      <c r="U1332">
        <v>8</v>
      </c>
      <c r="V1332" t="s">
        <v>58</v>
      </c>
      <c r="W1332" s="2">
        <v>39056</v>
      </c>
      <c r="Y1332" t="s">
        <v>54</v>
      </c>
      <c r="Z1332" t="s">
        <v>40</v>
      </c>
      <c r="AA1332">
        <v>1</v>
      </c>
      <c r="AB1332">
        <v>0</v>
      </c>
      <c r="AC1332" t="s">
        <v>31</v>
      </c>
      <c r="AD1332" t="s">
        <v>67</v>
      </c>
      <c r="AE1332" t="s">
        <v>43</v>
      </c>
      <c r="AF1332" s="3">
        <v>1669</v>
      </c>
      <c r="AG1332" s="3">
        <v>43</v>
      </c>
      <c r="AH1332">
        <v>80</v>
      </c>
      <c r="AI1332">
        <v>0</v>
      </c>
      <c r="AJ1332">
        <v>0</v>
      </c>
      <c r="AL1332">
        <v>0</v>
      </c>
      <c r="AM1332">
        <v>1</v>
      </c>
      <c r="AN1332" t="s">
        <v>768</v>
      </c>
      <c r="AO1332" t="s">
        <v>41</v>
      </c>
    </row>
    <row r="1333" spans="1:41" x14ac:dyDescent="0.25">
      <c r="A1333">
        <v>36</v>
      </c>
      <c r="B1333" t="s">
        <v>81</v>
      </c>
      <c r="C1333" t="s">
        <v>55</v>
      </c>
      <c r="D1333">
        <v>15</v>
      </c>
      <c r="E1333" t="s">
        <v>34</v>
      </c>
      <c r="F1333">
        <v>1</v>
      </c>
      <c r="G1333">
        <v>2</v>
      </c>
      <c r="H1333" t="s">
        <v>70</v>
      </c>
      <c r="I1333">
        <v>4</v>
      </c>
      <c r="J1333" t="s">
        <v>57</v>
      </c>
      <c r="K1333">
        <v>5406</v>
      </c>
      <c r="L1333">
        <v>1</v>
      </c>
      <c r="M1333" t="s">
        <v>41</v>
      </c>
      <c r="N1333">
        <v>24</v>
      </c>
      <c r="O1333">
        <v>4</v>
      </c>
      <c r="P1333">
        <v>1</v>
      </c>
      <c r="Q1333">
        <v>15</v>
      </c>
      <c r="R1333">
        <v>4</v>
      </c>
      <c r="S1333">
        <v>15</v>
      </c>
      <c r="T1333">
        <v>11</v>
      </c>
      <c r="U1333">
        <v>11</v>
      </c>
      <c r="V1333" t="s">
        <v>37</v>
      </c>
      <c r="W1333" s="1" t="s">
        <v>669</v>
      </c>
      <c r="Y1333" t="s">
        <v>54</v>
      </c>
      <c r="Z1333" t="s">
        <v>47</v>
      </c>
      <c r="AA1333">
        <v>0</v>
      </c>
      <c r="AB1333">
        <v>2</v>
      </c>
      <c r="AC1333" t="s">
        <v>31</v>
      </c>
      <c r="AD1333" t="s">
        <v>67</v>
      </c>
      <c r="AE1333" t="s">
        <v>49</v>
      </c>
      <c r="AF1333" s="3">
        <v>1732</v>
      </c>
      <c r="AG1333" s="3">
        <v>74</v>
      </c>
      <c r="AH1333">
        <v>80</v>
      </c>
      <c r="AI1333">
        <v>6</v>
      </c>
      <c r="AJ1333">
        <v>0</v>
      </c>
      <c r="AL1333">
        <v>0</v>
      </c>
      <c r="AM1333">
        <v>1</v>
      </c>
      <c r="AN1333" t="s">
        <v>768</v>
      </c>
      <c r="AO1333" t="s">
        <v>41</v>
      </c>
    </row>
    <row r="1334" spans="1:41" x14ac:dyDescent="0.25">
      <c r="A1334">
        <v>34</v>
      </c>
      <c r="B1334" t="s">
        <v>32</v>
      </c>
      <c r="C1334" t="s">
        <v>33</v>
      </c>
      <c r="D1334">
        <v>6</v>
      </c>
      <c r="E1334" t="s">
        <v>61</v>
      </c>
      <c r="F1334">
        <v>3</v>
      </c>
      <c r="G1334">
        <v>2</v>
      </c>
      <c r="H1334" t="s">
        <v>44</v>
      </c>
      <c r="I1334">
        <v>3</v>
      </c>
      <c r="J1334" t="s">
        <v>36</v>
      </c>
      <c r="K1334">
        <v>4809</v>
      </c>
      <c r="L1334">
        <v>1</v>
      </c>
      <c r="M1334" t="s">
        <v>41</v>
      </c>
      <c r="N1334">
        <v>14</v>
      </c>
      <c r="O1334">
        <v>3</v>
      </c>
      <c r="P1334">
        <v>0</v>
      </c>
      <c r="Q1334">
        <v>16</v>
      </c>
      <c r="R1334">
        <v>3</v>
      </c>
      <c r="S1334">
        <v>16</v>
      </c>
      <c r="T1334">
        <v>2</v>
      </c>
      <c r="U1334">
        <v>10</v>
      </c>
      <c r="V1334" t="s">
        <v>72</v>
      </c>
      <c r="W1334" s="1" t="s">
        <v>670</v>
      </c>
      <c r="Y1334" t="s">
        <v>46</v>
      </c>
      <c r="Z1334" t="s">
        <v>40</v>
      </c>
      <c r="AA1334">
        <v>5</v>
      </c>
      <c r="AB1334">
        <v>3</v>
      </c>
      <c r="AC1334" t="s">
        <v>41</v>
      </c>
      <c r="AD1334" t="s">
        <v>42</v>
      </c>
      <c r="AE1334" t="s">
        <v>60</v>
      </c>
      <c r="AF1334" s="3">
        <v>1943</v>
      </c>
      <c r="AG1334" s="3">
        <v>77</v>
      </c>
      <c r="AH1334">
        <v>80</v>
      </c>
      <c r="AI1334">
        <v>0</v>
      </c>
      <c r="AJ1334">
        <v>0</v>
      </c>
      <c r="AL1334">
        <v>0</v>
      </c>
      <c r="AM1334">
        <v>1</v>
      </c>
      <c r="AN1334" t="s">
        <v>768</v>
      </c>
      <c r="AO1334" t="s">
        <v>41</v>
      </c>
    </row>
    <row r="1335" spans="1:41" x14ac:dyDescent="0.25">
      <c r="A1335">
        <v>38</v>
      </c>
      <c r="B1335" t="s">
        <v>32</v>
      </c>
      <c r="C1335" t="s">
        <v>55</v>
      </c>
      <c r="D1335">
        <v>3</v>
      </c>
      <c r="E1335" t="s">
        <v>34</v>
      </c>
      <c r="F1335">
        <v>3</v>
      </c>
      <c r="G1335">
        <v>3</v>
      </c>
      <c r="H1335" t="s">
        <v>70</v>
      </c>
      <c r="I1335">
        <v>3</v>
      </c>
      <c r="J1335" t="s">
        <v>57</v>
      </c>
      <c r="K1335">
        <v>10609</v>
      </c>
      <c r="L1335">
        <v>0</v>
      </c>
      <c r="M1335" t="s">
        <v>41</v>
      </c>
      <c r="N1335">
        <v>12</v>
      </c>
      <c r="O1335">
        <v>3</v>
      </c>
      <c r="P1335">
        <v>2</v>
      </c>
      <c r="Q1335">
        <v>17</v>
      </c>
      <c r="R1335">
        <v>6</v>
      </c>
      <c r="S1335">
        <v>16</v>
      </c>
      <c r="T1335">
        <v>5</v>
      </c>
      <c r="U1335">
        <v>13</v>
      </c>
      <c r="V1335" t="s">
        <v>52</v>
      </c>
      <c r="W1335" s="1" t="s">
        <v>671</v>
      </c>
      <c r="Y1335" t="s">
        <v>39</v>
      </c>
      <c r="Z1335" t="s">
        <v>40</v>
      </c>
      <c r="AA1335">
        <v>0</v>
      </c>
      <c r="AB1335">
        <v>0</v>
      </c>
      <c r="AC1335" t="s">
        <v>31</v>
      </c>
      <c r="AD1335" t="s">
        <v>48</v>
      </c>
      <c r="AE1335" t="s">
        <v>43</v>
      </c>
      <c r="AF1335" s="3">
        <v>1535</v>
      </c>
      <c r="AG1335" s="3">
        <v>64</v>
      </c>
      <c r="AH1335">
        <v>80</v>
      </c>
      <c r="AI1335">
        <v>9</v>
      </c>
      <c r="AJ1335">
        <v>0</v>
      </c>
      <c r="AL1335">
        <v>0</v>
      </c>
      <c r="AM1335">
        <v>1</v>
      </c>
      <c r="AN1335" t="s">
        <v>768</v>
      </c>
      <c r="AO1335" t="s">
        <v>41</v>
      </c>
    </row>
    <row r="1336" spans="1:41" x14ac:dyDescent="0.25">
      <c r="A1336">
        <v>35</v>
      </c>
      <c r="B1336" t="s">
        <v>32</v>
      </c>
      <c r="C1336" t="s">
        <v>33</v>
      </c>
      <c r="D1336">
        <v>5</v>
      </c>
      <c r="E1336" t="s">
        <v>34</v>
      </c>
      <c r="F1336">
        <v>3</v>
      </c>
      <c r="G1336">
        <v>3</v>
      </c>
      <c r="H1336" t="s">
        <v>78</v>
      </c>
      <c r="I1336">
        <v>2</v>
      </c>
      <c r="J1336" t="s">
        <v>36</v>
      </c>
      <c r="K1336">
        <v>8095</v>
      </c>
      <c r="L1336">
        <v>0</v>
      </c>
      <c r="M1336" t="s">
        <v>41</v>
      </c>
      <c r="N1336">
        <v>13</v>
      </c>
      <c r="O1336">
        <v>3</v>
      </c>
      <c r="P1336">
        <v>0</v>
      </c>
      <c r="Q1336">
        <v>17</v>
      </c>
      <c r="R1336">
        <v>5</v>
      </c>
      <c r="S1336">
        <v>16</v>
      </c>
      <c r="T1336">
        <v>0</v>
      </c>
      <c r="U1336">
        <v>13</v>
      </c>
      <c r="V1336" t="s">
        <v>58</v>
      </c>
      <c r="W1336" s="1" t="s">
        <v>672</v>
      </c>
      <c r="Y1336" t="s">
        <v>54</v>
      </c>
      <c r="Z1336" t="s">
        <v>47</v>
      </c>
      <c r="AA1336">
        <v>5</v>
      </c>
      <c r="AB1336">
        <v>1</v>
      </c>
      <c r="AC1336" t="s">
        <v>41</v>
      </c>
      <c r="AD1336" t="s">
        <v>42</v>
      </c>
      <c r="AE1336" t="s">
        <v>43</v>
      </c>
      <c r="AF1336" s="3">
        <v>1591</v>
      </c>
      <c r="AG1336" s="3">
        <v>59</v>
      </c>
      <c r="AH1336">
        <v>80</v>
      </c>
      <c r="AI1336">
        <v>0</v>
      </c>
      <c r="AJ1336">
        <v>0</v>
      </c>
      <c r="AL1336">
        <v>0</v>
      </c>
      <c r="AM1336">
        <v>1</v>
      </c>
      <c r="AN1336" t="s">
        <v>768</v>
      </c>
      <c r="AO1336" t="s">
        <v>41</v>
      </c>
    </row>
    <row r="1337" spans="1:41" x14ac:dyDescent="0.25">
      <c r="A1337">
        <v>36</v>
      </c>
      <c r="B1337" t="s">
        <v>32</v>
      </c>
      <c r="C1337" t="s">
        <v>33</v>
      </c>
      <c r="D1337">
        <v>14</v>
      </c>
      <c r="E1337" t="s">
        <v>34</v>
      </c>
      <c r="F1337">
        <v>3</v>
      </c>
      <c r="G1337">
        <v>2</v>
      </c>
      <c r="H1337" t="s">
        <v>89</v>
      </c>
      <c r="I1337">
        <v>4</v>
      </c>
      <c r="J1337" t="s">
        <v>51</v>
      </c>
      <c r="K1337">
        <v>6586</v>
      </c>
      <c r="L1337">
        <v>0</v>
      </c>
      <c r="M1337" t="s">
        <v>31</v>
      </c>
      <c r="N1337">
        <v>17</v>
      </c>
      <c r="O1337">
        <v>3</v>
      </c>
      <c r="P1337">
        <v>1</v>
      </c>
      <c r="Q1337">
        <v>17</v>
      </c>
      <c r="R1337">
        <v>2</v>
      </c>
      <c r="S1337">
        <v>16</v>
      </c>
      <c r="T1337">
        <v>4</v>
      </c>
      <c r="U1337">
        <v>11</v>
      </c>
      <c r="V1337" t="s">
        <v>52</v>
      </c>
      <c r="W1337" s="2">
        <v>38661</v>
      </c>
      <c r="Y1337" t="s">
        <v>63</v>
      </c>
      <c r="Z1337" t="s">
        <v>40</v>
      </c>
      <c r="AA1337">
        <v>5</v>
      </c>
      <c r="AB1337">
        <v>2</v>
      </c>
      <c r="AC1337" t="s">
        <v>31</v>
      </c>
      <c r="AD1337" t="s">
        <v>42</v>
      </c>
      <c r="AE1337" t="s">
        <v>43</v>
      </c>
      <c r="AF1337" s="3">
        <v>1706</v>
      </c>
      <c r="AG1337" s="3">
        <v>73</v>
      </c>
      <c r="AH1337">
        <v>80</v>
      </c>
      <c r="AI1337">
        <v>9</v>
      </c>
      <c r="AJ1337">
        <v>0</v>
      </c>
      <c r="AL1337">
        <v>0</v>
      </c>
      <c r="AM1337">
        <v>1</v>
      </c>
      <c r="AN1337" t="s">
        <v>768</v>
      </c>
      <c r="AO1337" t="s">
        <v>41</v>
      </c>
    </row>
    <row r="1338" spans="1:41" x14ac:dyDescent="0.25">
      <c r="A1338">
        <v>36</v>
      </c>
      <c r="B1338" t="s">
        <v>32</v>
      </c>
      <c r="C1338" t="s">
        <v>55</v>
      </c>
      <c r="D1338">
        <v>3</v>
      </c>
      <c r="E1338" t="s">
        <v>34</v>
      </c>
      <c r="F1338">
        <v>2</v>
      </c>
      <c r="G1338">
        <v>3</v>
      </c>
      <c r="H1338" t="s">
        <v>70</v>
      </c>
      <c r="I1338">
        <v>4</v>
      </c>
      <c r="J1338" t="s">
        <v>51</v>
      </c>
      <c r="K1338">
        <v>10325</v>
      </c>
      <c r="L1338">
        <v>1</v>
      </c>
      <c r="M1338" t="s">
        <v>31</v>
      </c>
      <c r="N1338">
        <v>11</v>
      </c>
      <c r="O1338">
        <v>3</v>
      </c>
      <c r="P1338">
        <v>1</v>
      </c>
      <c r="Q1338">
        <v>16</v>
      </c>
      <c r="R1338">
        <v>6</v>
      </c>
      <c r="S1338">
        <v>16</v>
      </c>
      <c r="T1338">
        <v>3</v>
      </c>
      <c r="U1338">
        <v>7</v>
      </c>
      <c r="V1338" t="s">
        <v>52</v>
      </c>
      <c r="W1338" s="1" t="s">
        <v>673</v>
      </c>
      <c r="Y1338" t="s">
        <v>63</v>
      </c>
      <c r="Z1338" t="s">
        <v>47</v>
      </c>
      <c r="AA1338">
        <v>0</v>
      </c>
      <c r="AB1338">
        <v>0</v>
      </c>
      <c r="AC1338" t="s">
        <v>41</v>
      </c>
      <c r="AD1338" t="s">
        <v>65</v>
      </c>
      <c r="AE1338" t="s">
        <v>43</v>
      </c>
      <c r="AF1338" s="3">
        <v>1882</v>
      </c>
      <c r="AG1338" s="3">
        <v>64</v>
      </c>
      <c r="AH1338">
        <v>80</v>
      </c>
      <c r="AI1338">
        <v>3</v>
      </c>
      <c r="AJ1338">
        <v>0</v>
      </c>
      <c r="AL1338">
        <v>0</v>
      </c>
      <c r="AM1338">
        <v>1</v>
      </c>
      <c r="AN1338" t="s">
        <v>768</v>
      </c>
      <c r="AO1338" t="s">
        <v>41</v>
      </c>
    </row>
    <row r="1339" spans="1:41" x14ac:dyDescent="0.25">
      <c r="A1339">
        <v>35</v>
      </c>
      <c r="B1339" t="s">
        <v>32</v>
      </c>
      <c r="C1339" t="s">
        <v>33</v>
      </c>
      <c r="D1339">
        <v>25</v>
      </c>
      <c r="E1339" t="s">
        <v>61</v>
      </c>
      <c r="F1339">
        <v>3</v>
      </c>
      <c r="G1339">
        <v>3</v>
      </c>
      <c r="H1339" t="s">
        <v>89</v>
      </c>
      <c r="I1339">
        <v>3</v>
      </c>
      <c r="J1339" t="s">
        <v>57</v>
      </c>
      <c r="K1339">
        <v>10388</v>
      </c>
      <c r="L1339">
        <v>1</v>
      </c>
      <c r="M1339" t="s">
        <v>31</v>
      </c>
      <c r="N1339">
        <v>11</v>
      </c>
      <c r="O1339">
        <v>3</v>
      </c>
      <c r="P1339">
        <v>1</v>
      </c>
      <c r="Q1339">
        <v>16</v>
      </c>
      <c r="R1339">
        <v>3</v>
      </c>
      <c r="S1339">
        <v>16</v>
      </c>
      <c r="T1339">
        <v>10</v>
      </c>
      <c r="U1339">
        <v>1</v>
      </c>
      <c r="V1339" t="s">
        <v>52</v>
      </c>
      <c r="W1339" s="1" t="s">
        <v>674</v>
      </c>
      <c r="Y1339" t="s">
        <v>39</v>
      </c>
      <c r="Z1339" t="s">
        <v>47</v>
      </c>
      <c r="AA1339">
        <v>0</v>
      </c>
      <c r="AB1339">
        <v>3</v>
      </c>
      <c r="AC1339" t="s">
        <v>31</v>
      </c>
      <c r="AD1339" t="s">
        <v>67</v>
      </c>
      <c r="AE1339" t="s">
        <v>49</v>
      </c>
      <c r="AF1339" s="3">
        <v>2021</v>
      </c>
      <c r="AG1339" s="3">
        <v>58</v>
      </c>
      <c r="AH1339">
        <v>80</v>
      </c>
      <c r="AI1339">
        <v>2</v>
      </c>
      <c r="AJ1339">
        <v>0</v>
      </c>
      <c r="AL1339">
        <v>0</v>
      </c>
      <c r="AM1339">
        <v>1</v>
      </c>
      <c r="AN1339" t="s">
        <v>768</v>
      </c>
      <c r="AO1339" t="s">
        <v>41</v>
      </c>
    </row>
    <row r="1340" spans="1:41" x14ac:dyDescent="0.25">
      <c r="A1340">
        <v>46</v>
      </c>
      <c r="B1340" t="s">
        <v>32</v>
      </c>
      <c r="C1340" t="s">
        <v>33</v>
      </c>
      <c r="D1340">
        <v>8</v>
      </c>
      <c r="E1340" t="s">
        <v>61</v>
      </c>
      <c r="F1340">
        <v>2</v>
      </c>
      <c r="G1340">
        <v>2</v>
      </c>
      <c r="H1340" t="s">
        <v>44</v>
      </c>
      <c r="I1340">
        <v>1</v>
      </c>
      <c r="J1340" t="s">
        <v>57</v>
      </c>
      <c r="K1340">
        <v>4615</v>
      </c>
      <c r="L1340">
        <v>8</v>
      </c>
      <c r="M1340" t="s">
        <v>31</v>
      </c>
      <c r="N1340">
        <v>23</v>
      </c>
      <c r="O1340">
        <v>4</v>
      </c>
      <c r="P1340">
        <v>3</v>
      </c>
      <c r="Q1340">
        <v>19</v>
      </c>
      <c r="R1340">
        <v>2</v>
      </c>
      <c r="S1340">
        <v>16</v>
      </c>
      <c r="T1340">
        <v>1</v>
      </c>
      <c r="U1340">
        <v>7</v>
      </c>
      <c r="V1340" t="s">
        <v>72</v>
      </c>
      <c r="W1340" s="1" t="s">
        <v>675</v>
      </c>
      <c r="Y1340" t="s">
        <v>69</v>
      </c>
      <c r="Z1340" t="s">
        <v>47</v>
      </c>
      <c r="AA1340">
        <v>5</v>
      </c>
      <c r="AB1340">
        <v>0</v>
      </c>
      <c r="AC1340" t="s">
        <v>31</v>
      </c>
      <c r="AD1340" t="s">
        <v>67</v>
      </c>
      <c r="AE1340" t="s">
        <v>43</v>
      </c>
      <c r="AF1340" s="3">
        <v>1678</v>
      </c>
      <c r="AG1340" s="3">
        <v>80</v>
      </c>
      <c r="AH1340">
        <v>80</v>
      </c>
      <c r="AI1340">
        <v>0</v>
      </c>
      <c r="AJ1340">
        <v>0</v>
      </c>
      <c r="AL1340">
        <v>0</v>
      </c>
      <c r="AM1340">
        <v>1</v>
      </c>
      <c r="AN1340" t="s">
        <v>768</v>
      </c>
      <c r="AO1340" t="s">
        <v>41</v>
      </c>
    </row>
    <row r="1341" spans="1:41" x14ac:dyDescent="0.25">
      <c r="A1341">
        <v>36</v>
      </c>
      <c r="B1341" t="s">
        <v>32</v>
      </c>
      <c r="C1341" t="s">
        <v>33</v>
      </c>
      <c r="D1341">
        <v>2</v>
      </c>
      <c r="E1341" t="s">
        <v>61</v>
      </c>
      <c r="F1341">
        <v>3</v>
      </c>
      <c r="G1341">
        <v>2</v>
      </c>
      <c r="H1341" t="s">
        <v>78</v>
      </c>
      <c r="I1341">
        <v>2</v>
      </c>
      <c r="J1341" t="s">
        <v>36</v>
      </c>
      <c r="K1341">
        <v>5410</v>
      </c>
      <c r="L1341">
        <v>9</v>
      </c>
      <c r="M1341" t="s">
        <v>31</v>
      </c>
      <c r="N1341">
        <v>11</v>
      </c>
      <c r="O1341">
        <v>3</v>
      </c>
      <c r="P1341">
        <v>0</v>
      </c>
      <c r="Q1341">
        <v>18</v>
      </c>
      <c r="R1341">
        <v>2</v>
      </c>
      <c r="S1341">
        <v>16</v>
      </c>
      <c r="T1341">
        <v>5</v>
      </c>
      <c r="U1341">
        <v>12</v>
      </c>
      <c r="V1341" t="s">
        <v>72</v>
      </c>
      <c r="W1341" s="1" t="s">
        <v>676</v>
      </c>
      <c r="Y1341" t="s">
        <v>39</v>
      </c>
      <c r="Z1341" t="s">
        <v>40</v>
      </c>
      <c r="AA1341">
        <v>4</v>
      </c>
      <c r="AB1341">
        <v>2</v>
      </c>
      <c r="AC1341" t="s">
        <v>31</v>
      </c>
      <c r="AD1341" t="s">
        <v>67</v>
      </c>
      <c r="AE1341" t="s">
        <v>60</v>
      </c>
      <c r="AF1341" s="3">
        <v>1979</v>
      </c>
      <c r="AG1341" s="3">
        <v>40</v>
      </c>
      <c r="AH1341">
        <v>80</v>
      </c>
      <c r="AI1341">
        <v>7</v>
      </c>
      <c r="AJ1341">
        <v>0</v>
      </c>
      <c r="AL1341">
        <v>0</v>
      </c>
      <c r="AM1341">
        <v>1</v>
      </c>
      <c r="AN1341" t="s">
        <v>768</v>
      </c>
      <c r="AO1341" t="s">
        <v>41</v>
      </c>
    </row>
    <row r="1342" spans="1:41" x14ac:dyDescent="0.25">
      <c r="A1342">
        <v>35</v>
      </c>
      <c r="B1342" t="s">
        <v>32</v>
      </c>
      <c r="C1342" t="s">
        <v>33</v>
      </c>
      <c r="D1342">
        <v>18</v>
      </c>
      <c r="E1342" t="s">
        <v>34</v>
      </c>
      <c r="F1342">
        <v>4</v>
      </c>
      <c r="G1342">
        <v>2</v>
      </c>
      <c r="H1342" t="s">
        <v>44</v>
      </c>
      <c r="I1342">
        <v>1</v>
      </c>
      <c r="J1342" t="s">
        <v>51</v>
      </c>
      <c r="K1342">
        <v>5208</v>
      </c>
      <c r="L1342">
        <v>1</v>
      </c>
      <c r="M1342" t="s">
        <v>41</v>
      </c>
      <c r="N1342">
        <v>11</v>
      </c>
      <c r="O1342">
        <v>3</v>
      </c>
      <c r="P1342">
        <v>0</v>
      </c>
      <c r="Q1342">
        <v>16</v>
      </c>
      <c r="R1342">
        <v>2</v>
      </c>
      <c r="S1342">
        <v>16</v>
      </c>
      <c r="T1342">
        <v>1</v>
      </c>
      <c r="U1342">
        <v>10</v>
      </c>
      <c r="V1342" t="s">
        <v>52</v>
      </c>
      <c r="W1342" s="1" t="s">
        <v>677</v>
      </c>
      <c r="Y1342" t="s">
        <v>69</v>
      </c>
      <c r="Z1342" t="s">
        <v>40</v>
      </c>
      <c r="AA1342">
        <v>5</v>
      </c>
      <c r="AB1342">
        <v>1</v>
      </c>
      <c r="AC1342" t="s">
        <v>41</v>
      </c>
      <c r="AD1342" t="s">
        <v>42</v>
      </c>
      <c r="AE1342" t="s">
        <v>49</v>
      </c>
      <c r="AF1342" s="3">
        <v>1845</v>
      </c>
      <c r="AG1342" s="3">
        <v>67</v>
      </c>
      <c r="AH1342">
        <v>80</v>
      </c>
      <c r="AI1342">
        <v>7</v>
      </c>
      <c r="AJ1342">
        <v>0</v>
      </c>
      <c r="AL1342">
        <v>0</v>
      </c>
      <c r="AM1342">
        <v>1</v>
      </c>
      <c r="AN1342" t="s">
        <v>768</v>
      </c>
      <c r="AO1342" t="s">
        <v>41</v>
      </c>
    </row>
    <row r="1343" spans="1:41" x14ac:dyDescent="0.25">
      <c r="A1343">
        <v>58</v>
      </c>
      <c r="B1343" t="s">
        <v>81</v>
      </c>
      <c r="C1343" t="s">
        <v>55</v>
      </c>
      <c r="D1343">
        <v>2</v>
      </c>
      <c r="E1343" t="s">
        <v>34</v>
      </c>
      <c r="F1343">
        <v>3</v>
      </c>
      <c r="G1343">
        <v>4</v>
      </c>
      <c r="H1343" t="s">
        <v>75</v>
      </c>
      <c r="I1343">
        <v>2</v>
      </c>
      <c r="J1343" t="s">
        <v>57</v>
      </c>
      <c r="K1343">
        <v>16291</v>
      </c>
      <c r="L1343">
        <v>4</v>
      </c>
      <c r="M1343" t="s">
        <v>41</v>
      </c>
      <c r="N1343">
        <v>22</v>
      </c>
      <c r="O1343">
        <v>4</v>
      </c>
      <c r="P1343">
        <v>1</v>
      </c>
      <c r="Q1343">
        <v>37</v>
      </c>
      <c r="R1343">
        <v>0</v>
      </c>
      <c r="S1343">
        <v>16</v>
      </c>
      <c r="T1343">
        <v>14</v>
      </c>
      <c r="U1343">
        <v>14</v>
      </c>
      <c r="V1343" t="s">
        <v>72</v>
      </c>
      <c r="W1343" s="2">
        <v>38601</v>
      </c>
      <c r="Y1343" t="s">
        <v>46</v>
      </c>
      <c r="Z1343" t="s">
        <v>47</v>
      </c>
      <c r="AA1343">
        <v>4</v>
      </c>
      <c r="AB1343">
        <v>0</v>
      </c>
      <c r="AC1343" t="s">
        <v>41</v>
      </c>
      <c r="AD1343" t="s">
        <v>67</v>
      </c>
      <c r="AE1343" t="s">
        <v>43</v>
      </c>
      <c r="AF1343" s="3">
        <v>1520</v>
      </c>
      <c r="AG1343" s="3">
        <v>87</v>
      </c>
      <c r="AH1343">
        <v>80</v>
      </c>
      <c r="AI1343">
        <v>9</v>
      </c>
      <c r="AJ1343">
        <v>0</v>
      </c>
      <c r="AL1343">
        <v>0</v>
      </c>
      <c r="AM1343">
        <v>1</v>
      </c>
      <c r="AN1343" t="s">
        <v>768</v>
      </c>
      <c r="AO1343" t="s">
        <v>41</v>
      </c>
    </row>
    <row r="1344" spans="1:41" x14ac:dyDescent="0.25">
      <c r="A1344">
        <v>43</v>
      </c>
      <c r="B1344" t="s">
        <v>32</v>
      </c>
      <c r="C1344" t="s">
        <v>33</v>
      </c>
      <c r="D1344">
        <v>6</v>
      </c>
      <c r="E1344" t="s">
        <v>61</v>
      </c>
      <c r="F1344">
        <v>2</v>
      </c>
      <c r="G1344">
        <v>5</v>
      </c>
      <c r="H1344" t="s">
        <v>75</v>
      </c>
      <c r="I1344">
        <v>3</v>
      </c>
      <c r="J1344" t="s">
        <v>51</v>
      </c>
      <c r="K1344">
        <v>19392</v>
      </c>
      <c r="L1344">
        <v>7</v>
      </c>
      <c r="M1344" t="s">
        <v>41</v>
      </c>
      <c r="N1344">
        <v>13</v>
      </c>
      <c r="O1344">
        <v>3</v>
      </c>
      <c r="P1344">
        <v>0</v>
      </c>
      <c r="Q1344">
        <v>21</v>
      </c>
      <c r="R1344">
        <v>2</v>
      </c>
      <c r="S1344">
        <v>16</v>
      </c>
      <c r="T1344">
        <v>6</v>
      </c>
      <c r="U1344">
        <v>14</v>
      </c>
      <c r="V1344" t="s">
        <v>37</v>
      </c>
      <c r="W1344" s="1" t="s">
        <v>678</v>
      </c>
      <c r="Y1344" t="s">
        <v>54</v>
      </c>
      <c r="Z1344" t="s">
        <v>47</v>
      </c>
      <c r="AA1344">
        <v>2</v>
      </c>
      <c r="AB1344">
        <v>1</v>
      </c>
      <c r="AC1344" t="s">
        <v>31</v>
      </c>
      <c r="AD1344" t="s">
        <v>67</v>
      </c>
      <c r="AE1344" t="s">
        <v>49</v>
      </c>
      <c r="AF1344" s="3">
        <v>1675</v>
      </c>
      <c r="AG1344" s="3">
        <v>42</v>
      </c>
      <c r="AH1344">
        <v>80</v>
      </c>
      <c r="AI1344">
        <v>3</v>
      </c>
      <c r="AJ1344">
        <v>0</v>
      </c>
      <c r="AL1344">
        <v>0</v>
      </c>
      <c r="AM1344">
        <v>1</v>
      </c>
      <c r="AN1344" t="s">
        <v>768</v>
      </c>
      <c r="AO1344" t="s">
        <v>41</v>
      </c>
    </row>
    <row r="1345" spans="1:41" x14ac:dyDescent="0.25">
      <c r="A1345">
        <v>37</v>
      </c>
      <c r="B1345" t="s">
        <v>32</v>
      </c>
      <c r="C1345" t="s">
        <v>33</v>
      </c>
      <c r="D1345">
        <v>10</v>
      </c>
      <c r="E1345" t="s">
        <v>61</v>
      </c>
      <c r="F1345">
        <v>4</v>
      </c>
      <c r="G1345">
        <v>3</v>
      </c>
      <c r="H1345" t="s">
        <v>50</v>
      </c>
      <c r="I1345">
        <v>4</v>
      </c>
      <c r="J1345" t="s">
        <v>51</v>
      </c>
      <c r="K1345">
        <v>13744</v>
      </c>
      <c r="L1345">
        <v>1</v>
      </c>
      <c r="M1345" t="s">
        <v>31</v>
      </c>
      <c r="N1345">
        <v>25</v>
      </c>
      <c r="O1345">
        <v>4</v>
      </c>
      <c r="P1345">
        <v>1</v>
      </c>
      <c r="Q1345">
        <v>16</v>
      </c>
      <c r="R1345">
        <v>2</v>
      </c>
      <c r="S1345">
        <v>16</v>
      </c>
      <c r="T1345">
        <v>6</v>
      </c>
      <c r="U1345">
        <v>8</v>
      </c>
      <c r="V1345" t="s">
        <v>52</v>
      </c>
      <c r="W1345" s="1" t="s">
        <v>679</v>
      </c>
      <c r="Y1345" t="s">
        <v>54</v>
      </c>
      <c r="Z1345" t="s">
        <v>47</v>
      </c>
      <c r="AA1345">
        <v>5</v>
      </c>
      <c r="AB1345">
        <v>2</v>
      </c>
      <c r="AC1345" t="s">
        <v>41</v>
      </c>
      <c r="AD1345" t="s">
        <v>67</v>
      </c>
      <c r="AE1345" t="s">
        <v>60</v>
      </c>
      <c r="AF1345" s="3">
        <v>1736</v>
      </c>
      <c r="AG1345" s="3">
        <v>30</v>
      </c>
      <c r="AH1345">
        <v>80</v>
      </c>
      <c r="AI1345">
        <v>4</v>
      </c>
      <c r="AJ1345">
        <v>0</v>
      </c>
      <c r="AL1345">
        <v>0</v>
      </c>
      <c r="AM1345">
        <v>1</v>
      </c>
      <c r="AN1345" t="s">
        <v>768</v>
      </c>
      <c r="AO1345" t="s">
        <v>41</v>
      </c>
    </row>
    <row r="1346" spans="1:41" x14ac:dyDescent="0.25">
      <c r="A1346">
        <v>36</v>
      </c>
      <c r="B1346" t="s">
        <v>32</v>
      </c>
      <c r="C1346" t="s">
        <v>33</v>
      </c>
      <c r="D1346">
        <v>8</v>
      </c>
      <c r="E1346" t="s">
        <v>61</v>
      </c>
      <c r="F1346">
        <v>3</v>
      </c>
      <c r="G1346">
        <v>3</v>
      </c>
      <c r="H1346" t="s">
        <v>89</v>
      </c>
      <c r="I1346">
        <v>3</v>
      </c>
      <c r="J1346" t="s">
        <v>57</v>
      </c>
      <c r="K1346">
        <v>10096</v>
      </c>
      <c r="L1346">
        <v>1</v>
      </c>
      <c r="M1346" t="s">
        <v>41</v>
      </c>
      <c r="N1346">
        <v>13</v>
      </c>
      <c r="O1346">
        <v>3</v>
      </c>
      <c r="P1346">
        <v>3</v>
      </c>
      <c r="Q1346">
        <v>17</v>
      </c>
      <c r="R1346">
        <v>2</v>
      </c>
      <c r="S1346">
        <v>17</v>
      </c>
      <c r="T1346">
        <v>12</v>
      </c>
      <c r="U1346">
        <v>8</v>
      </c>
      <c r="V1346" t="s">
        <v>58</v>
      </c>
      <c r="W1346" s="2">
        <v>38201</v>
      </c>
      <c r="Y1346" t="s">
        <v>39</v>
      </c>
      <c r="Z1346" t="s">
        <v>47</v>
      </c>
      <c r="AA1346">
        <v>4</v>
      </c>
      <c r="AB1346">
        <v>1</v>
      </c>
      <c r="AC1346" t="s">
        <v>31</v>
      </c>
      <c r="AD1346" t="s">
        <v>65</v>
      </c>
      <c r="AE1346" t="s">
        <v>43</v>
      </c>
      <c r="AF1346" s="3">
        <v>1744</v>
      </c>
      <c r="AG1346" s="3">
        <v>56</v>
      </c>
      <c r="AH1346">
        <v>80</v>
      </c>
      <c r="AI1346">
        <v>0</v>
      </c>
      <c r="AJ1346">
        <v>0</v>
      </c>
      <c r="AL1346">
        <v>0</v>
      </c>
      <c r="AM1346">
        <v>1</v>
      </c>
      <c r="AN1346" t="s">
        <v>768</v>
      </c>
      <c r="AO1346" t="s">
        <v>41</v>
      </c>
    </row>
    <row r="1347" spans="1:41" x14ac:dyDescent="0.25">
      <c r="A1347">
        <v>45</v>
      </c>
      <c r="B1347" t="s">
        <v>32</v>
      </c>
      <c r="C1347" t="s">
        <v>33</v>
      </c>
      <c r="D1347">
        <v>9</v>
      </c>
      <c r="E1347" t="s">
        <v>34</v>
      </c>
      <c r="F1347">
        <v>3</v>
      </c>
      <c r="G1347">
        <v>2</v>
      </c>
      <c r="H1347" t="s">
        <v>35</v>
      </c>
      <c r="I1347">
        <v>2</v>
      </c>
      <c r="J1347" t="s">
        <v>57</v>
      </c>
      <c r="K1347">
        <v>2348</v>
      </c>
      <c r="L1347">
        <v>8</v>
      </c>
      <c r="M1347" t="s">
        <v>41</v>
      </c>
      <c r="N1347">
        <v>18</v>
      </c>
      <c r="O1347">
        <v>3</v>
      </c>
      <c r="P1347">
        <v>1</v>
      </c>
      <c r="Q1347">
        <v>20</v>
      </c>
      <c r="R1347">
        <v>2</v>
      </c>
      <c r="S1347">
        <v>17</v>
      </c>
      <c r="T1347">
        <v>0</v>
      </c>
      <c r="U1347">
        <v>15</v>
      </c>
      <c r="V1347" t="s">
        <v>52</v>
      </c>
      <c r="W1347" s="1" t="s">
        <v>680</v>
      </c>
      <c r="Y1347" t="s">
        <v>63</v>
      </c>
      <c r="Z1347" t="s">
        <v>47</v>
      </c>
      <c r="AA1347">
        <v>4</v>
      </c>
      <c r="AB1347">
        <v>3</v>
      </c>
      <c r="AC1347" t="s">
        <v>41</v>
      </c>
      <c r="AD1347" t="s">
        <v>42</v>
      </c>
      <c r="AE1347" t="s">
        <v>49</v>
      </c>
      <c r="AF1347" s="3">
        <v>1622</v>
      </c>
      <c r="AG1347" s="3">
        <v>39</v>
      </c>
      <c r="AH1347">
        <v>80</v>
      </c>
      <c r="AI1347">
        <v>3</v>
      </c>
      <c r="AJ1347">
        <v>0</v>
      </c>
      <c r="AL1347">
        <v>0</v>
      </c>
      <c r="AM1347">
        <v>1</v>
      </c>
      <c r="AN1347" t="s">
        <v>768</v>
      </c>
      <c r="AO1347" t="s">
        <v>41</v>
      </c>
    </row>
    <row r="1348" spans="1:41" x14ac:dyDescent="0.25">
      <c r="A1348">
        <v>43</v>
      </c>
      <c r="B1348" t="s">
        <v>32</v>
      </c>
      <c r="C1348" t="s">
        <v>55</v>
      </c>
      <c r="D1348">
        <v>16</v>
      </c>
      <c r="E1348" t="s">
        <v>61</v>
      </c>
      <c r="F1348">
        <v>3</v>
      </c>
      <c r="G1348">
        <v>4</v>
      </c>
      <c r="H1348" t="s">
        <v>75</v>
      </c>
      <c r="I1348">
        <v>4</v>
      </c>
      <c r="J1348" t="s">
        <v>51</v>
      </c>
      <c r="K1348">
        <v>16064</v>
      </c>
      <c r="L1348">
        <v>5</v>
      </c>
      <c r="M1348" t="s">
        <v>31</v>
      </c>
      <c r="N1348">
        <v>22</v>
      </c>
      <c r="O1348">
        <v>4</v>
      </c>
      <c r="P1348">
        <v>1</v>
      </c>
      <c r="Q1348">
        <v>22</v>
      </c>
      <c r="R1348">
        <v>3</v>
      </c>
      <c r="S1348">
        <v>17</v>
      </c>
      <c r="T1348">
        <v>1</v>
      </c>
      <c r="U1348">
        <v>9</v>
      </c>
      <c r="V1348" t="s">
        <v>52</v>
      </c>
      <c r="W1348" s="2">
        <v>38295</v>
      </c>
      <c r="Y1348" t="s">
        <v>54</v>
      </c>
      <c r="Z1348" t="s">
        <v>40</v>
      </c>
      <c r="AA1348">
        <v>1</v>
      </c>
      <c r="AB1348">
        <v>0</v>
      </c>
      <c r="AC1348" t="s">
        <v>41</v>
      </c>
      <c r="AD1348" t="s">
        <v>42</v>
      </c>
      <c r="AE1348" t="s">
        <v>43</v>
      </c>
      <c r="AF1348" s="3">
        <v>1581</v>
      </c>
      <c r="AG1348" s="3">
        <v>89</v>
      </c>
      <c r="AH1348">
        <v>80</v>
      </c>
      <c r="AI1348">
        <v>0</v>
      </c>
      <c r="AJ1348">
        <v>0</v>
      </c>
      <c r="AL1348">
        <v>0</v>
      </c>
      <c r="AM1348">
        <v>1</v>
      </c>
      <c r="AN1348" t="s">
        <v>768</v>
      </c>
      <c r="AO1348" t="s">
        <v>41</v>
      </c>
    </row>
    <row r="1349" spans="1:41" x14ac:dyDescent="0.25">
      <c r="A1349">
        <v>37</v>
      </c>
      <c r="B1349" t="s">
        <v>32</v>
      </c>
      <c r="C1349" t="s">
        <v>33</v>
      </c>
      <c r="D1349">
        <v>1</v>
      </c>
      <c r="E1349" t="s">
        <v>61</v>
      </c>
      <c r="F1349">
        <v>3</v>
      </c>
      <c r="G1349">
        <v>1</v>
      </c>
      <c r="H1349" t="s">
        <v>44</v>
      </c>
      <c r="I1349">
        <v>4</v>
      </c>
      <c r="J1349" t="s">
        <v>36</v>
      </c>
      <c r="K1349">
        <v>2115</v>
      </c>
      <c r="L1349">
        <v>1</v>
      </c>
      <c r="M1349" t="s">
        <v>41</v>
      </c>
      <c r="N1349">
        <v>12</v>
      </c>
      <c r="O1349">
        <v>3</v>
      </c>
      <c r="P1349">
        <v>0</v>
      </c>
      <c r="Q1349">
        <v>17</v>
      </c>
      <c r="R1349">
        <v>3</v>
      </c>
      <c r="S1349">
        <v>17</v>
      </c>
      <c r="T1349">
        <v>5</v>
      </c>
      <c r="U1349">
        <v>7</v>
      </c>
      <c r="V1349" t="s">
        <v>52</v>
      </c>
      <c r="W1349" s="1" t="s">
        <v>681</v>
      </c>
      <c r="Y1349" t="s">
        <v>39</v>
      </c>
      <c r="Z1349" t="s">
        <v>40</v>
      </c>
      <c r="AA1349">
        <v>3</v>
      </c>
      <c r="AB1349">
        <v>0</v>
      </c>
      <c r="AC1349" t="s">
        <v>41</v>
      </c>
      <c r="AD1349" t="s">
        <v>67</v>
      </c>
      <c r="AE1349" t="s">
        <v>60</v>
      </c>
      <c r="AF1349" s="3">
        <v>2034</v>
      </c>
      <c r="AG1349" s="3">
        <v>60</v>
      </c>
      <c r="AH1349">
        <v>80</v>
      </c>
      <c r="AI1349">
        <v>7</v>
      </c>
      <c r="AJ1349">
        <v>0</v>
      </c>
      <c r="AL1349">
        <v>0</v>
      </c>
      <c r="AM1349">
        <v>1</v>
      </c>
      <c r="AN1349" t="s">
        <v>768</v>
      </c>
      <c r="AO1349" t="s">
        <v>41</v>
      </c>
    </row>
    <row r="1350" spans="1:41" x14ac:dyDescent="0.25">
      <c r="A1350">
        <v>35</v>
      </c>
      <c r="B1350" t="s">
        <v>32</v>
      </c>
      <c r="C1350" t="s">
        <v>33</v>
      </c>
      <c r="D1350">
        <v>6</v>
      </c>
      <c r="E1350" t="s">
        <v>34</v>
      </c>
      <c r="F1350">
        <v>1</v>
      </c>
      <c r="G1350">
        <v>2</v>
      </c>
      <c r="H1350" t="s">
        <v>44</v>
      </c>
      <c r="I1350">
        <v>4</v>
      </c>
      <c r="J1350" t="s">
        <v>36</v>
      </c>
      <c r="K1350">
        <v>6646</v>
      </c>
      <c r="L1350">
        <v>1</v>
      </c>
      <c r="M1350" t="s">
        <v>41</v>
      </c>
      <c r="N1350">
        <v>13</v>
      </c>
      <c r="O1350">
        <v>3</v>
      </c>
      <c r="P1350">
        <v>0</v>
      </c>
      <c r="Q1350">
        <v>17</v>
      </c>
      <c r="R1350">
        <v>3</v>
      </c>
      <c r="S1350">
        <v>17</v>
      </c>
      <c r="T1350">
        <v>11</v>
      </c>
      <c r="U1350">
        <v>8</v>
      </c>
      <c r="V1350" t="s">
        <v>52</v>
      </c>
      <c r="W1350" s="1" t="s">
        <v>682</v>
      </c>
      <c r="Y1350" t="s">
        <v>69</v>
      </c>
      <c r="Z1350" t="s">
        <v>47</v>
      </c>
      <c r="AA1350">
        <v>0</v>
      </c>
      <c r="AB1350">
        <v>1</v>
      </c>
      <c r="AC1350" t="s">
        <v>31</v>
      </c>
      <c r="AD1350" t="s">
        <v>65</v>
      </c>
      <c r="AE1350" t="s">
        <v>43</v>
      </c>
      <c r="AF1350" s="3">
        <v>1441</v>
      </c>
      <c r="AG1350" s="3">
        <v>90</v>
      </c>
      <c r="AH1350">
        <v>80</v>
      </c>
      <c r="AI1350">
        <v>2</v>
      </c>
      <c r="AJ1350">
        <v>0</v>
      </c>
      <c r="AL1350">
        <v>0</v>
      </c>
      <c r="AM1350">
        <v>1</v>
      </c>
      <c r="AN1350" t="s">
        <v>768</v>
      </c>
      <c r="AO1350" t="s">
        <v>41</v>
      </c>
    </row>
    <row r="1351" spans="1:41" x14ac:dyDescent="0.25">
      <c r="A1351">
        <v>35</v>
      </c>
      <c r="B1351" t="s">
        <v>32</v>
      </c>
      <c r="C1351" t="s">
        <v>33</v>
      </c>
      <c r="D1351">
        <v>9</v>
      </c>
      <c r="E1351" t="s">
        <v>61</v>
      </c>
      <c r="F1351">
        <v>2</v>
      </c>
      <c r="G1351">
        <v>3</v>
      </c>
      <c r="H1351" t="s">
        <v>78</v>
      </c>
      <c r="I1351">
        <v>3</v>
      </c>
      <c r="J1351" t="s">
        <v>51</v>
      </c>
      <c r="K1351">
        <v>10685</v>
      </c>
      <c r="L1351">
        <v>1</v>
      </c>
      <c r="M1351" t="s">
        <v>31</v>
      </c>
      <c r="N1351">
        <v>20</v>
      </c>
      <c r="O1351">
        <v>4</v>
      </c>
      <c r="P1351">
        <v>1</v>
      </c>
      <c r="Q1351">
        <v>17</v>
      </c>
      <c r="R1351">
        <v>2</v>
      </c>
      <c r="S1351">
        <v>17</v>
      </c>
      <c r="T1351">
        <v>5</v>
      </c>
      <c r="U1351">
        <v>15</v>
      </c>
      <c r="V1351" t="s">
        <v>58</v>
      </c>
      <c r="W1351" s="2">
        <v>38326</v>
      </c>
      <c r="Y1351" t="s">
        <v>69</v>
      </c>
      <c r="Z1351" t="s">
        <v>40</v>
      </c>
      <c r="AA1351">
        <v>5</v>
      </c>
      <c r="AB1351">
        <v>1</v>
      </c>
      <c r="AC1351" t="s">
        <v>41</v>
      </c>
      <c r="AD1351" t="s">
        <v>42</v>
      </c>
      <c r="AE1351" t="s">
        <v>49</v>
      </c>
      <c r="AF1351" s="3">
        <v>1665</v>
      </c>
      <c r="AG1351" s="3">
        <v>91</v>
      </c>
      <c r="AH1351">
        <v>80</v>
      </c>
      <c r="AI1351">
        <v>8</v>
      </c>
      <c r="AJ1351">
        <v>0</v>
      </c>
      <c r="AL1351">
        <v>0</v>
      </c>
      <c r="AM1351">
        <v>1</v>
      </c>
      <c r="AN1351" t="s">
        <v>768</v>
      </c>
      <c r="AO1351" t="s">
        <v>41</v>
      </c>
    </row>
    <row r="1352" spans="1:41" x14ac:dyDescent="0.25">
      <c r="A1352">
        <v>53</v>
      </c>
      <c r="B1352" t="s">
        <v>32</v>
      </c>
      <c r="C1352" t="s">
        <v>55</v>
      </c>
      <c r="D1352">
        <v>2</v>
      </c>
      <c r="E1352" t="s">
        <v>34</v>
      </c>
      <c r="F1352">
        <v>3</v>
      </c>
      <c r="G1352">
        <v>4</v>
      </c>
      <c r="H1352" t="s">
        <v>75</v>
      </c>
      <c r="I1352">
        <v>3</v>
      </c>
      <c r="J1352" t="s">
        <v>57</v>
      </c>
      <c r="K1352">
        <v>14852</v>
      </c>
      <c r="L1352">
        <v>6</v>
      </c>
      <c r="M1352" t="s">
        <v>41</v>
      </c>
      <c r="N1352">
        <v>13</v>
      </c>
      <c r="O1352">
        <v>3</v>
      </c>
      <c r="P1352">
        <v>1</v>
      </c>
      <c r="Q1352">
        <v>22</v>
      </c>
      <c r="R1352">
        <v>3</v>
      </c>
      <c r="S1352">
        <v>17</v>
      </c>
      <c r="T1352">
        <v>15</v>
      </c>
      <c r="U1352">
        <v>2</v>
      </c>
      <c r="V1352" t="s">
        <v>72</v>
      </c>
      <c r="W1352" s="1" t="s">
        <v>683</v>
      </c>
      <c r="Y1352" t="s">
        <v>69</v>
      </c>
      <c r="Z1352" t="s">
        <v>47</v>
      </c>
      <c r="AA1352">
        <v>3</v>
      </c>
      <c r="AB1352">
        <v>3</v>
      </c>
      <c r="AC1352" t="s">
        <v>41</v>
      </c>
      <c r="AD1352" t="s">
        <v>42</v>
      </c>
      <c r="AE1352" t="s">
        <v>43</v>
      </c>
      <c r="AF1352" s="3">
        <v>1509</v>
      </c>
      <c r="AG1352" s="3">
        <v>43</v>
      </c>
      <c r="AH1352">
        <v>80</v>
      </c>
      <c r="AI1352">
        <v>2</v>
      </c>
      <c r="AJ1352">
        <v>0</v>
      </c>
      <c r="AL1352">
        <v>0</v>
      </c>
      <c r="AM1352">
        <v>1</v>
      </c>
      <c r="AN1352" t="s">
        <v>768</v>
      </c>
      <c r="AO1352" t="s">
        <v>41</v>
      </c>
    </row>
    <row r="1353" spans="1:41" x14ac:dyDescent="0.25">
      <c r="A1353">
        <v>36</v>
      </c>
      <c r="B1353" t="s">
        <v>32</v>
      </c>
      <c r="C1353" t="s">
        <v>33</v>
      </c>
      <c r="D1353">
        <v>16</v>
      </c>
      <c r="E1353" t="s">
        <v>61</v>
      </c>
      <c r="F1353">
        <v>4</v>
      </c>
      <c r="G1353">
        <v>1</v>
      </c>
      <c r="H1353" t="s">
        <v>35</v>
      </c>
      <c r="I1353">
        <v>1</v>
      </c>
      <c r="J1353" t="s">
        <v>36</v>
      </c>
      <c r="K1353">
        <v>2743</v>
      </c>
      <c r="L1353">
        <v>1</v>
      </c>
      <c r="M1353" t="s">
        <v>41</v>
      </c>
      <c r="N1353">
        <v>16</v>
      </c>
      <c r="O1353">
        <v>3</v>
      </c>
      <c r="P1353">
        <v>0</v>
      </c>
      <c r="Q1353">
        <v>18</v>
      </c>
      <c r="R1353">
        <v>1</v>
      </c>
      <c r="S1353">
        <v>17</v>
      </c>
      <c r="T1353">
        <v>15</v>
      </c>
      <c r="U1353">
        <v>14</v>
      </c>
      <c r="V1353" t="s">
        <v>52</v>
      </c>
      <c r="W1353" s="1" t="s">
        <v>684</v>
      </c>
      <c r="Y1353" t="s">
        <v>69</v>
      </c>
      <c r="Z1353" t="s">
        <v>47</v>
      </c>
      <c r="AA1353">
        <v>2</v>
      </c>
      <c r="AB1353">
        <v>1</v>
      </c>
      <c r="AC1353" t="s">
        <v>31</v>
      </c>
      <c r="AD1353" t="s">
        <v>48</v>
      </c>
      <c r="AE1353" t="s">
        <v>60</v>
      </c>
      <c r="AF1353" s="3">
        <v>1834</v>
      </c>
      <c r="AG1353" s="3">
        <v>67</v>
      </c>
      <c r="AH1353">
        <v>80</v>
      </c>
      <c r="AI1353">
        <v>2</v>
      </c>
      <c r="AJ1353">
        <v>0</v>
      </c>
      <c r="AL1353">
        <v>0</v>
      </c>
      <c r="AM1353">
        <v>1</v>
      </c>
      <c r="AN1353" t="s">
        <v>768</v>
      </c>
      <c r="AO1353" t="s">
        <v>41</v>
      </c>
    </row>
    <row r="1354" spans="1:41" x14ac:dyDescent="0.25">
      <c r="A1354">
        <v>47</v>
      </c>
      <c r="B1354" t="s">
        <v>32</v>
      </c>
      <c r="C1354" t="s">
        <v>33</v>
      </c>
      <c r="D1354">
        <v>25</v>
      </c>
      <c r="E1354" t="s">
        <v>34</v>
      </c>
      <c r="F1354">
        <v>3</v>
      </c>
      <c r="G1354">
        <v>3</v>
      </c>
      <c r="H1354" t="s">
        <v>89</v>
      </c>
      <c r="I1354">
        <v>3</v>
      </c>
      <c r="J1354" t="s">
        <v>36</v>
      </c>
      <c r="K1354">
        <v>8633</v>
      </c>
      <c r="L1354">
        <v>2</v>
      </c>
      <c r="M1354" t="s">
        <v>41</v>
      </c>
      <c r="N1354">
        <v>23</v>
      </c>
      <c r="O1354">
        <v>4</v>
      </c>
      <c r="P1354">
        <v>0</v>
      </c>
      <c r="Q1354">
        <v>25</v>
      </c>
      <c r="R1354">
        <v>3</v>
      </c>
      <c r="S1354">
        <v>17</v>
      </c>
      <c r="T1354">
        <v>12</v>
      </c>
      <c r="U1354">
        <v>11</v>
      </c>
      <c r="V1354" t="s">
        <v>72</v>
      </c>
      <c r="W1354" s="1" t="s">
        <v>685</v>
      </c>
      <c r="Y1354" t="s">
        <v>39</v>
      </c>
      <c r="Z1354" t="s">
        <v>40</v>
      </c>
      <c r="AA1354">
        <v>0</v>
      </c>
      <c r="AB1354">
        <v>2</v>
      </c>
      <c r="AC1354" t="s">
        <v>31</v>
      </c>
      <c r="AD1354" t="s">
        <v>67</v>
      </c>
      <c r="AE1354" t="s">
        <v>49</v>
      </c>
      <c r="AF1354" s="3">
        <v>1864</v>
      </c>
      <c r="AG1354" s="3">
        <v>36</v>
      </c>
      <c r="AH1354">
        <v>80</v>
      </c>
      <c r="AI1354">
        <v>8</v>
      </c>
      <c r="AJ1354">
        <v>0</v>
      </c>
      <c r="AL1354">
        <v>0</v>
      </c>
      <c r="AM1354">
        <v>1</v>
      </c>
      <c r="AN1354" t="s">
        <v>768</v>
      </c>
      <c r="AO1354" t="s">
        <v>41</v>
      </c>
    </row>
    <row r="1355" spans="1:41" x14ac:dyDescent="0.25">
      <c r="A1355">
        <v>39</v>
      </c>
      <c r="B1355" t="s">
        <v>32</v>
      </c>
      <c r="C1355" t="s">
        <v>33</v>
      </c>
      <c r="D1355">
        <v>1</v>
      </c>
      <c r="E1355" t="s">
        <v>34</v>
      </c>
      <c r="F1355">
        <v>4</v>
      </c>
      <c r="G1355">
        <v>3</v>
      </c>
      <c r="H1355" t="s">
        <v>89</v>
      </c>
      <c r="I1355">
        <v>4</v>
      </c>
      <c r="J1355" t="s">
        <v>57</v>
      </c>
      <c r="K1355">
        <v>9613</v>
      </c>
      <c r="L1355">
        <v>0</v>
      </c>
      <c r="M1355" t="s">
        <v>41</v>
      </c>
      <c r="N1355">
        <v>17</v>
      </c>
      <c r="O1355">
        <v>3</v>
      </c>
      <c r="P1355">
        <v>3</v>
      </c>
      <c r="Q1355">
        <v>19</v>
      </c>
      <c r="R1355">
        <v>5</v>
      </c>
      <c r="S1355">
        <v>18</v>
      </c>
      <c r="T1355">
        <v>3</v>
      </c>
      <c r="U1355">
        <v>7</v>
      </c>
      <c r="V1355" t="s">
        <v>72</v>
      </c>
      <c r="W1355" s="2">
        <v>37658</v>
      </c>
      <c r="Y1355" t="s">
        <v>39</v>
      </c>
      <c r="Z1355" t="s">
        <v>47</v>
      </c>
      <c r="AA1355">
        <v>4</v>
      </c>
      <c r="AB1355">
        <v>3</v>
      </c>
      <c r="AC1355" t="s">
        <v>31</v>
      </c>
      <c r="AD1355" t="s">
        <v>67</v>
      </c>
      <c r="AE1355" t="s">
        <v>43</v>
      </c>
      <c r="AF1355" s="3">
        <v>1909</v>
      </c>
      <c r="AG1355" s="3">
        <v>54</v>
      </c>
      <c r="AH1355">
        <v>80</v>
      </c>
      <c r="AI1355">
        <v>4</v>
      </c>
      <c r="AJ1355">
        <v>0</v>
      </c>
      <c r="AL1355">
        <v>0</v>
      </c>
      <c r="AM1355">
        <v>1</v>
      </c>
      <c r="AN1355" t="s">
        <v>768</v>
      </c>
      <c r="AO1355" t="s">
        <v>41</v>
      </c>
    </row>
    <row r="1356" spans="1:41" x14ac:dyDescent="0.25">
      <c r="A1356">
        <v>37</v>
      </c>
      <c r="B1356" t="s">
        <v>32</v>
      </c>
      <c r="C1356" t="s">
        <v>33</v>
      </c>
      <c r="D1356">
        <v>14</v>
      </c>
      <c r="E1356" t="s">
        <v>61</v>
      </c>
      <c r="F1356">
        <v>3</v>
      </c>
      <c r="G1356">
        <v>1</v>
      </c>
      <c r="H1356" t="s">
        <v>35</v>
      </c>
      <c r="I1356">
        <v>1</v>
      </c>
      <c r="J1356" t="s">
        <v>57</v>
      </c>
      <c r="K1356">
        <v>3034</v>
      </c>
      <c r="L1356">
        <v>1</v>
      </c>
      <c r="M1356" t="s">
        <v>41</v>
      </c>
      <c r="N1356">
        <v>12</v>
      </c>
      <c r="O1356">
        <v>3</v>
      </c>
      <c r="P1356">
        <v>1</v>
      </c>
      <c r="Q1356">
        <v>18</v>
      </c>
      <c r="R1356">
        <v>2</v>
      </c>
      <c r="S1356">
        <v>18</v>
      </c>
      <c r="T1356">
        <v>12</v>
      </c>
      <c r="U1356">
        <v>17</v>
      </c>
      <c r="V1356" t="s">
        <v>37</v>
      </c>
      <c r="W1356" s="2">
        <v>37744</v>
      </c>
      <c r="Y1356" t="s">
        <v>46</v>
      </c>
      <c r="Z1356" t="s">
        <v>40</v>
      </c>
      <c r="AA1356">
        <v>1</v>
      </c>
      <c r="AB1356">
        <v>3</v>
      </c>
      <c r="AC1356" t="s">
        <v>41</v>
      </c>
      <c r="AD1356" t="s">
        <v>42</v>
      </c>
      <c r="AE1356" t="s">
        <v>60</v>
      </c>
      <c r="AF1356" s="3">
        <v>1554</v>
      </c>
      <c r="AG1356" s="3">
        <v>98</v>
      </c>
      <c r="AH1356">
        <v>80</v>
      </c>
      <c r="AI1356">
        <v>3</v>
      </c>
      <c r="AJ1356">
        <v>0</v>
      </c>
      <c r="AL1356">
        <v>0</v>
      </c>
      <c r="AM1356">
        <v>1</v>
      </c>
      <c r="AN1356" t="s">
        <v>768</v>
      </c>
      <c r="AO1356" t="s">
        <v>41</v>
      </c>
    </row>
    <row r="1357" spans="1:41" x14ac:dyDescent="0.25">
      <c r="A1357">
        <v>60</v>
      </c>
      <c r="B1357" t="s">
        <v>66</v>
      </c>
      <c r="C1357" t="s">
        <v>55</v>
      </c>
      <c r="D1357">
        <v>28</v>
      </c>
      <c r="E1357" t="s">
        <v>61</v>
      </c>
      <c r="F1357">
        <v>2</v>
      </c>
      <c r="G1357">
        <v>3</v>
      </c>
      <c r="H1357" t="s">
        <v>70</v>
      </c>
      <c r="I1357">
        <v>1</v>
      </c>
      <c r="J1357" t="s">
        <v>51</v>
      </c>
      <c r="K1357">
        <v>10266</v>
      </c>
      <c r="L1357">
        <v>4</v>
      </c>
      <c r="M1357" t="s">
        <v>41</v>
      </c>
      <c r="N1357">
        <v>19</v>
      </c>
      <c r="O1357">
        <v>3</v>
      </c>
      <c r="P1357">
        <v>0</v>
      </c>
      <c r="Q1357">
        <v>22</v>
      </c>
      <c r="R1357">
        <v>5</v>
      </c>
      <c r="S1357">
        <v>18</v>
      </c>
      <c r="T1357">
        <v>13</v>
      </c>
      <c r="U1357">
        <v>11</v>
      </c>
      <c r="V1357" t="s">
        <v>72</v>
      </c>
      <c r="W1357" s="2">
        <v>37895</v>
      </c>
      <c r="Y1357" t="s">
        <v>63</v>
      </c>
      <c r="Z1357" t="s">
        <v>40</v>
      </c>
      <c r="AA1357">
        <v>3</v>
      </c>
      <c r="AB1357">
        <v>1</v>
      </c>
      <c r="AC1357" t="s">
        <v>41</v>
      </c>
      <c r="AD1357" t="s">
        <v>65</v>
      </c>
      <c r="AE1357" t="s">
        <v>60</v>
      </c>
      <c r="AF1357" s="3">
        <v>2035</v>
      </c>
      <c r="AG1357" s="3">
        <v>95</v>
      </c>
      <c r="AH1357">
        <v>80</v>
      </c>
      <c r="AI1357">
        <v>7</v>
      </c>
      <c r="AJ1357">
        <v>0</v>
      </c>
      <c r="AL1357">
        <v>0</v>
      </c>
      <c r="AM1357">
        <v>1</v>
      </c>
      <c r="AN1357" t="s">
        <v>768</v>
      </c>
      <c r="AO1357" t="s">
        <v>41</v>
      </c>
    </row>
    <row r="1358" spans="1:41" x14ac:dyDescent="0.25">
      <c r="A1358">
        <v>41</v>
      </c>
      <c r="B1358" t="s">
        <v>32</v>
      </c>
      <c r="C1358" t="s">
        <v>55</v>
      </c>
      <c r="D1358">
        <v>2</v>
      </c>
      <c r="E1358" t="s">
        <v>61</v>
      </c>
      <c r="F1358">
        <v>3</v>
      </c>
      <c r="G1358">
        <v>4</v>
      </c>
      <c r="H1358" t="s">
        <v>75</v>
      </c>
      <c r="I1358">
        <v>1</v>
      </c>
      <c r="J1358" t="s">
        <v>51</v>
      </c>
      <c r="K1358">
        <v>16595</v>
      </c>
      <c r="L1358">
        <v>7</v>
      </c>
      <c r="M1358" t="s">
        <v>41</v>
      </c>
      <c r="N1358">
        <v>16</v>
      </c>
      <c r="O1358">
        <v>3</v>
      </c>
      <c r="P1358">
        <v>1</v>
      </c>
      <c r="Q1358">
        <v>22</v>
      </c>
      <c r="R1358">
        <v>2</v>
      </c>
      <c r="S1358">
        <v>18</v>
      </c>
      <c r="T1358">
        <v>11</v>
      </c>
      <c r="U1358">
        <v>8</v>
      </c>
      <c r="V1358" t="s">
        <v>52</v>
      </c>
      <c r="W1358" s="2">
        <v>37957</v>
      </c>
      <c r="Y1358" t="s">
        <v>69</v>
      </c>
      <c r="Z1358" t="s">
        <v>47</v>
      </c>
      <c r="AA1358">
        <v>1</v>
      </c>
      <c r="AB1358">
        <v>3</v>
      </c>
      <c r="AC1358" t="s">
        <v>41</v>
      </c>
      <c r="AD1358" t="s">
        <v>42</v>
      </c>
      <c r="AE1358" t="s">
        <v>43</v>
      </c>
      <c r="AF1358" s="3">
        <v>2026</v>
      </c>
      <c r="AG1358" s="3">
        <v>57</v>
      </c>
      <c r="AH1358">
        <v>80</v>
      </c>
      <c r="AI1358">
        <v>12</v>
      </c>
      <c r="AJ1358">
        <v>0</v>
      </c>
      <c r="AL1358">
        <v>0</v>
      </c>
      <c r="AM1358">
        <v>1</v>
      </c>
      <c r="AN1358" t="s">
        <v>768</v>
      </c>
      <c r="AO1358" t="s">
        <v>41</v>
      </c>
    </row>
    <row r="1359" spans="1:41" x14ac:dyDescent="0.25">
      <c r="A1359">
        <v>40</v>
      </c>
      <c r="B1359" t="s">
        <v>66</v>
      </c>
      <c r="C1359" t="s">
        <v>55</v>
      </c>
      <c r="D1359">
        <v>5</v>
      </c>
      <c r="E1359" t="s">
        <v>34</v>
      </c>
      <c r="F1359">
        <v>2</v>
      </c>
      <c r="G1359">
        <v>3</v>
      </c>
      <c r="H1359" t="s">
        <v>70</v>
      </c>
      <c r="I1359">
        <v>1</v>
      </c>
      <c r="J1359" t="s">
        <v>51</v>
      </c>
      <c r="K1359">
        <v>10475</v>
      </c>
      <c r="L1359">
        <v>5</v>
      </c>
      <c r="M1359" t="s">
        <v>31</v>
      </c>
      <c r="N1359">
        <v>21</v>
      </c>
      <c r="O1359">
        <v>4</v>
      </c>
      <c r="P1359">
        <v>1</v>
      </c>
      <c r="Q1359">
        <v>20</v>
      </c>
      <c r="R1359">
        <v>2</v>
      </c>
      <c r="S1359">
        <v>18</v>
      </c>
      <c r="T1359">
        <v>1</v>
      </c>
      <c r="U1359">
        <v>12</v>
      </c>
      <c r="V1359" t="s">
        <v>37</v>
      </c>
      <c r="W1359" s="1" t="s">
        <v>686</v>
      </c>
      <c r="Y1359" t="s">
        <v>54</v>
      </c>
      <c r="Z1359" t="s">
        <v>40</v>
      </c>
      <c r="AA1359">
        <v>0</v>
      </c>
      <c r="AB1359">
        <v>2</v>
      </c>
      <c r="AC1359" t="s">
        <v>31</v>
      </c>
      <c r="AD1359" t="s">
        <v>67</v>
      </c>
      <c r="AE1359" t="s">
        <v>49</v>
      </c>
      <c r="AF1359" s="3">
        <v>1949</v>
      </c>
      <c r="AG1359" s="3">
        <v>66</v>
      </c>
      <c r="AH1359">
        <v>80</v>
      </c>
      <c r="AI1359">
        <v>4</v>
      </c>
      <c r="AJ1359">
        <v>0</v>
      </c>
      <c r="AL1359">
        <v>0</v>
      </c>
      <c r="AM1359">
        <v>1</v>
      </c>
      <c r="AN1359" t="s">
        <v>768</v>
      </c>
      <c r="AO1359" t="s">
        <v>41</v>
      </c>
    </row>
    <row r="1360" spans="1:41" x14ac:dyDescent="0.25">
      <c r="A1360">
        <v>36</v>
      </c>
      <c r="B1360" t="s">
        <v>32</v>
      </c>
      <c r="C1360" t="s">
        <v>55</v>
      </c>
      <c r="D1360">
        <v>1</v>
      </c>
      <c r="E1360" t="s">
        <v>34</v>
      </c>
      <c r="F1360">
        <v>3</v>
      </c>
      <c r="G1360">
        <v>2</v>
      </c>
      <c r="H1360" t="s">
        <v>70</v>
      </c>
      <c r="I1360">
        <v>4</v>
      </c>
      <c r="J1360" t="s">
        <v>51</v>
      </c>
      <c r="K1360">
        <v>6201</v>
      </c>
      <c r="L1360">
        <v>1</v>
      </c>
      <c r="M1360" t="s">
        <v>31</v>
      </c>
      <c r="N1360">
        <v>14</v>
      </c>
      <c r="O1360">
        <v>3</v>
      </c>
      <c r="P1360">
        <v>1</v>
      </c>
      <c r="Q1360">
        <v>18</v>
      </c>
      <c r="R1360">
        <v>1</v>
      </c>
      <c r="S1360">
        <v>18</v>
      </c>
      <c r="T1360">
        <v>4</v>
      </c>
      <c r="U1360">
        <v>11</v>
      </c>
      <c r="V1360" t="s">
        <v>72</v>
      </c>
      <c r="W1360" s="1" t="s">
        <v>687</v>
      </c>
      <c r="Y1360" t="s">
        <v>54</v>
      </c>
      <c r="Z1360" t="s">
        <v>47</v>
      </c>
      <c r="AA1360">
        <v>2</v>
      </c>
      <c r="AB1360">
        <v>0</v>
      </c>
      <c r="AC1360" t="s">
        <v>41</v>
      </c>
      <c r="AD1360" t="s">
        <v>42</v>
      </c>
      <c r="AE1360" t="s">
        <v>43</v>
      </c>
      <c r="AF1360" s="3">
        <v>1712</v>
      </c>
      <c r="AG1360" s="3">
        <v>74</v>
      </c>
      <c r="AH1360">
        <v>80</v>
      </c>
      <c r="AI1360">
        <v>15</v>
      </c>
      <c r="AJ1360">
        <v>0</v>
      </c>
      <c r="AL1360">
        <v>0</v>
      </c>
      <c r="AM1360">
        <v>1</v>
      </c>
      <c r="AN1360" t="s">
        <v>768</v>
      </c>
      <c r="AO1360" t="s">
        <v>41</v>
      </c>
    </row>
    <row r="1361" spans="1:41" x14ac:dyDescent="0.25">
      <c r="A1361">
        <v>41</v>
      </c>
      <c r="B1361" t="s">
        <v>32</v>
      </c>
      <c r="C1361" t="s">
        <v>33</v>
      </c>
      <c r="D1361">
        <v>6</v>
      </c>
      <c r="E1361" t="s">
        <v>34</v>
      </c>
      <c r="F1361">
        <v>3</v>
      </c>
      <c r="G1361">
        <v>1</v>
      </c>
      <c r="H1361" t="s">
        <v>35</v>
      </c>
      <c r="I1361">
        <v>1</v>
      </c>
      <c r="J1361" t="s">
        <v>36</v>
      </c>
      <c r="K1361">
        <v>4721</v>
      </c>
      <c r="L1361">
        <v>2</v>
      </c>
      <c r="M1361" t="s">
        <v>31</v>
      </c>
      <c r="N1361">
        <v>13</v>
      </c>
      <c r="O1361">
        <v>3</v>
      </c>
      <c r="P1361">
        <v>0</v>
      </c>
      <c r="Q1361">
        <v>20</v>
      </c>
      <c r="R1361">
        <v>3</v>
      </c>
      <c r="S1361">
        <v>18</v>
      </c>
      <c r="T1361">
        <v>2</v>
      </c>
      <c r="U1361">
        <v>17</v>
      </c>
      <c r="V1361" t="s">
        <v>72</v>
      </c>
      <c r="W1361" s="1" t="s">
        <v>688</v>
      </c>
      <c r="Y1361" t="s">
        <v>69</v>
      </c>
      <c r="Z1361" t="s">
        <v>47</v>
      </c>
      <c r="AA1361">
        <v>0</v>
      </c>
      <c r="AB1361">
        <v>0</v>
      </c>
      <c r="AC1361" t="s">
        <v>31</v>
      </c>
      <c r="AD1361" t="s">
        <v>67</v>
      </c>
      <c r="AE1361" t="s">
        <v>43</v>
      </c>
      <c r="AF1361" s="3">
        <v>1854</v>
      </c>
      <c r="AG1361" s="3">
        <v>38</v>
      </c>
      <c r="AH1361">
        <v>80</v>
      </c>
      <c r="AI1361">
        <v>3</v>
      </c>
      <c r="AJ1361">
        <v>0</v>
      </c>
      <c r="AL1361">
        <v>0</v>
      </c>
      <c r="AM1361">
        <v>1</v>
      </c>
      <c r="AN1361" t="s">
        <v>768</v>
      </c>
      <c r="AO1361" t="s">
        <v>41</v>
      </c>
    </row>
    <row r="1362" spans="1:41" x14ac:dyDescent="0.25">
      <c r="A1362">
        <v>41</v>
      </c>
      <c r="B1362" t="s">
        <v>66</v>
      </c>
      <c r="C1362" t="s">
        <v>33</v>
      </c>
      <c r="D1362">
        <v>9</v>
      </c>
      <c r="E1362" t="s">
        <v>34</v>
      </c>
      <c r="F1362">
        <v>3</v>
      </c>
      <c r="G1362">
        <v>5</v>
      </c>
      <c r="H1362" t="s">
        <v>50</v>
      </c>
      <c r="I1362">
        <v>3</v>
      </c>
      <c r="J1362" t="s">
        <v>57</v>
      </c>
      <c r="K1362">
        <v>19419</v>
      </c>
      <c r="L1362">
        <v>2</v>
      </c>
      <c r="M1362" t="s">
        <v>41</v>
      </c>
      <c r="N1362">
        <v>17</v>
      </c>
      <c r="O1362">
        <v>3</v>
      </c>
      <c r="P1362">
        <v>1</v>
      </c>
      <c r="Q1362">
        <v>21</v>
      </c>
      <c r="R1362">
        <v>2</v>
      </c>
      <c r="S1362">
        <v>18</v>
      </c>
      <c r="T1362">
        <v>0</v>
      </c>
      <c r="U1362">
        <v>11</v>
      </c>
      <c r="V1362" t="s">
        <v>58</v>
      </c>
      <c r="W1362" s="1" t="s">
        <v>689</v>
      </c>
      <c r="Y1362" t="s">
        <v>63</v>
      </c>
      <c r="Z1362" t="s">
        <v>47</v>
      </c>
      <c r="AA1362">
        <v>2</v>
      </c>
      <c r="AB1362">
        <v>2</v>
      </c>
      <c r="AC1362" t="s">
        <v>31</v>
      </c>
      <c r="AD1362" t="s">
        <v>67</v>
      </c>
      <c r="AE1362" t="s">
        <v>43</v>
      </c>
      <c r="AF1362" s="3">
        <v>1693</v>
      </c>
      <c r="AG1362" s="3">
        <v>76</v>
      </c>
      <c r="AH1362">
        <v>80</v>
      </c>
      <c r="AI1362">
        <v>7</v>
      </c>
      <c r="AJ1362">
        <v>0</v>
      </c>
      <c r="AL1362">
        <v>0</v>
      </c>
      <c r="AM1362">
        <v>1</v>
      </c>
      <c r="AN1362" t="s">
        <v>768</v>
      </c>
      <c r="AO1362" t="s">
        <v>41</v>
      </c>
    </row>
    <row r="1363" spans="1:41" x14ac:dyDescent="0.25">
      <c r="A1363">
        <v>50</v>
      </c>
      <c r="B1363" t="s">
        <v>81</v>
      </c>
      <c r="C1363" t="s">
        <v>55</v>
      </c>
      <c r="D1363">
        <v>1</v>
      </c>
      <c r="E1363" t="s">
        <v>61</v>
      </c>
      <c r="F1363">
        <v>3</v>
      </c>
      <c r="G1363">
        <v>2</v>
      </c>
      <c r="H1363" t="s">
        <v>70</v>
      </c>
      <c r="I1363">
        <v>3</v>
      </c>
      <c r="J1363" t="s">
        <v>51</v>
      </c>
      <c r="K1363">
        <v>6347</v>
      </c>
      <c r="L1363">
        <v>0</v>
      </c>
      <c r="M1363" t="s">
        <v>41</v>
      </c>
      <c r="N1363">
        <v>12</v>
      </c>
      <c r="O1363">
        <v>3</v>
      </c>
      <c r="P1363">
        <v>1</v>
      </c>
      <c r="Q1363">
        <v>19</v>
      </c>
      <c r="R1363">
        <v>3</v>
      </c>
      <c r="S1363">
        <v>18</v>
      </c>
      <c r="T1363">
        <v>0</v>
      </c>
      <c r="U1363">
        <v>13</v>
      </c>
      <c r="V1363" t="s">
        <v>72</v>
      </c>
      <c r="W1363" s="1" t="s">
        <v>690</v>
      </c>
      <c r="Y1363" t="s">
        <v>63</v>
      </c>
      <c r="Z1363" t="s">
        <v>47</v>
      </c>
      <c r="AA1363">
        <v>2</v>
      </c>
      <c r="AB1363">
        <v>2</v>
      </c>
      <c r="AC1363" t="s">
        <v>41</v>
      </c>
      <c r="AD1363" t="s">
        <v>42</v>
      </c>
      <c r="AE1363" t="s">
        <v>49</v>
      </c>
      <c r="AF1363" s="3">
        <v>1824</v>
      </c>
      <c r="AG1363" s="3">
        <v>52</v>
      </c>
      <c r="AH1363">
        <v>80</v>
      </c>
      <c r="AI1363">
        <v>9</v>
      </c>
      <c r="AJ1363">
        <v>0</v>
      </c>
      <c r="AL1363">
        <v>0</v>
      </c>
      <c r="AM1363">
        <v>1</v>
      </c>
      <c r="AN1363" t="s">
        <v>768</v>
      </c>
      <c r="AO1363" t="s">
        <v>41</v>
      </c>
    </row>
    <row r="1364" spans="1:41" x14ac:dyDescent="0.25">
      <c r="A1364">
        <v>39</v>
      </c>
      <c r="B1364" t="s">
        <v>66</v>
      </c>
      <c r="C1364" t="s">
        <v>33</v>
      </c>
      <c r="D1364">
        <v>2</v>
      </c>
      <c r="E1364" t="s">
        <v>34</v>
      </c>
      <c r="F1364">
        <v>3</v>
      </c>
      <c r="G1364">
        <v>4</v>
      </c>
      <c r="H1364" t="s">
        <v>89</v>
      </c>
      <c r="I1364">
        <v>4</v>
      </c>
      <c r="J1364" t="s">
        <v>57</v>
      </c>
      <c r="K1364">
        <v>12169</v>
      </c>
      <c r="L1364">
        <v>7</v>
      </c>
      <c r="M1364" t="s">
        <v>41</v>
      </c>
      <c r="N1364">
        <v>11</v>
      </c>
      <c r="O1364">
        <v>3</v>
      </c>
      <c r="P1364">
        <v>3</v>
      </c>
      <c r="Q1364">
        <v>21</v>
      </c>
      <c r="R1364">
        <v>4</v>
      </c>
      <c r="S1364">
        <v>18</v>
      </c>
      <c r="T1364">
        <v>11</v>
      </c>
      <c r="U1364">
        <v>5</v>
      </c>
      <c r="V1364" t="s">
        <v>52</v>
      </c>
      <c r="W1364" s="2">
        <v>37930</v>
      </c>
      <c r="Y1364" t="s">
        <v>69</v>
      </c>
      <c r="Z1364" t="s">
        <v>40</v>
      </c>
      <c r="AA1364">
        <v>4</v>
      </c>
      <c r="AB1364">
        <v>1</v>
      </c>
      <c r="AC1364" t="s">
        <v>31</v>
      </c>
      <c r="AD1364" t="s">
        <v>67</v>
      </c>
      <c r="AE1364" t="s">
        <v>43</v>
      </c>
      <c r="AF1364" s="3">
        <v>2036</v>
      </c>
      <c r="AG1364" s="3">
        <v>88</v>
      </c>
      <c r="AH1364">
        <v>80</v>
      </c>
      <c r="AI1364">
        <v>12</v>
      </c>
      <c r="AJ1364">
        <v>0</v>
      </c>
      <c r="AL1364">
        <v>0</v>
      </c>
      <c r="AM1364">
        <v>1</v>
      </c>
      <c r="AN1364" t="s">
        <v>768</v>
      </c>
      <c r="AO1364" t="s">
        <v>41</v>
      </c>
    </row>
    <row r="1365" spans="1:41" x14ac:dyDescent="0.25">
      <c r="A1365">
        <v>40</v>
      </c>
      <c r="B1365" t="s">
        <v>66</v>
      </c>
      <c r="C1365" t="s">
        <v>33</v>
      </c>
      <c r="D1365">
        <v>9</v>
      </c>
      <c r="E1365" t="s">
        <v>61</v>
      </c>
      <c r="F1365">
        <v>3</v>
      </c>
      <c r="G1365">
        <v>3</v>
      </c>
      <c r="H1365" t="s">
        <v>50</v>
      </c>
      <c r="I1365">
        <v>3</v>
      </c>
      <c r="J1365" t="s">
        <v>36</v>
      </c>
      <c r="K1365">
        <v>13499</v>
      </c>
      <c r="L1365">
        <v>9</v>
      </c>
      <c r="M1365" t="s">
        <v>41</v>
      </c>
      <c r="N1365">
        <v>17</v>
      </c>
      <c r="O1365">
        <v>3</v>
      </c>
      <c r="P1365">
        <v>0</v>
      </c>
      <c r="Q1365">
        <v>20</v>
      </c>
      <c r="R1365">
        <v>3</v>
      </c>
      <c r="S1365">
        <v>18</v>
      </c>
      <c r="T1365">
        <v>2</v>
      </c>
      <c r="U1365">
        <v>13</v>
      </c>
      <c r="V1365" t="s">
        <v>37</v>
      </c>
      <c r="W1365" s="1" t="s">
        <v>691</v>
      </c>
      <c r="Y1365" t="s">
        <v>63</v>
      </c>
      <c r="Z1365" t="s">
        <v>47</v>
      </c>
      <c r="AA1365">
        <v>0</v>
      </c>
      <c r="AB1365">
        <v>0</v>
      </c>
      <c r="AC1365" t="s">
        <v>41</v>
      </c>
      <c r="AD1365" t="s">
        <v>65</v>
      </c>
      <c r="AE1365" t="s">
        <v>43</v>
      </c>
      <c r="AF1365" s="3">
        <v>1890</v>
      </c>
      <c r="AG1365" s="3">
        <v>94</v>
      </c>
      <c r="AH1365">
        <v>80</v>
      </c>
      <c r="AI1365">
        <v>1</v>
      </c>
      <c r="AJ1365">
        <v>0</v>
      </c>
      <c r="AL1365">
        <v>0</v>
      </c>
      <c r="AM1365">
        <v>1</v>
      </c>
      <c r="AN1365" t="s">
        <v>768</v>
      </c>
      <c r="AO1365" t="s">
        <v>41</v>
      </c>
    </row>
    <row r="1366" spans="1:41" x14ac:dyDescent="0.25">
      <c r="A1366">
        <v>40</v>
      </c>
      <c r="B1366" t="s">
        <v>32</v>
      </c>
      <c r="C1366" t="s">
        <v>33</v>
      </c>
      <c r="D1366">
        <v>15</v>
      </c>
      <c r="E1366" t="s">
        <v>61</v>
      </c>
      <c r="F1366">
        <v>2</v>
      </c>
      <c r="G1366">
        <v>3</v>
      </c>
      <c r="H1366" t="s">
        <v>78</v>
      </c>
      <c r="I1366">
        <v>3</v>
      </c>
      <c r="J1366" t="s">
        <v>51</v>
      </c>
      <c r="K1366">
        <v>10435</v>
      </c>
      <c r="L1366">
        <v>1</v>
      </c>
      <c r="M1366" t="s">
        <v>41</v>
      </c>
      <c r="N1366">
        <v>13</v>
      </c>
      <c r="O1366">
        <v>3</v>
      </c>
      <c r="P1366">
        <v>2</v>
      </c>
      <c r="Q1366">
        <v>18</v>
      </c>
      <c r="R1366">
        <v>2</v>
      </c>
      <c r="S1366">
        <v>18</v>
      </c>
      <c r="T1366">
        <v>14</v>
      </c>
      <c r="U1366">
        <v>12</v>
      </c>
      <c r="V1366" t="s">
        <v>52</v>
      </c>
      <c r="W1366" s="1" t="s">
        <v>692</v>
      </c>
      <c r="Y1366" t="s">
        <v>54</v>
      </c>
      <c r="Z1366" t="s">
        <v>47</v>
      </c>
      <c r="AA1366">
        <v>4</v>
      </c>
      <c r="AB1366">
        <v>0</v>
      </c>
      <c r="AC1366" t="s">
        <v>41</v>
      </c>
      <c r="AD1366" t="s">
        <v>67</v>
      </c>
      <c r="AE1366" t="s">
        <v>60</v>
      </c>
      <c r="AF1366" s="3">
        <v>1970</v>
      </c>
      <c r="AG1366" s="3">
        <v>36</v>
      </c>
      <c r="AH1366">
        <v>80</v>
      </c>
      <c r="AI1366">
        <v>7</v>
      </c>
      <c r="AJ1366">
        <v>0</v>
      </c>
      <c r="AL1366">
        <v>0</v>
      </c>
      <c r="AM1366">
        <v>1</v>
      </c>
      <c r="AN1366" t="s">
        <v>768</v>
      </c>
      <c r="AO1366" t="s">
        <v>41</v>
      </c>
    </row>
    <row r="1367" spans="1:41" x14ac:dyDescent="0.25">
      <c r="A1367">
        <v>38</v>
      </c>
      <c r="B1367" t="s">
        <v>32</v>
      </c>
      <c r="C1367" t="s">
        <v>33</v>
      </c>
      <c r="D1367">
        <v>10</v>
      </c>
      <c r="E1367" t="s">
        <v>61</v>
      </c>
      <c r="F1367">
        <v>1</v>
      </c>
      <c r="G1367">
        <v>3</v>
      </c>
      <c r="H1367" t="s">
        <v>50</v>
      </c>
      <c r="I1367">
        <v>3</v>
      </c>
      <c r="J1367" t="s">
        <v>51</v>
      </c>
      <c r="K1367">
        <v>13206</v>
      </c>
      <c r="L1367">
        <v>3</v>
      </c>
      <c r="M1367" t="s">
        <v>41</v>
      </c>
      <c r="N1367">
        <v>12</v>
      </c>
      <c r="O1367">
        <v>3</v>
      </c>
      <c r="P1367">
        <v>1</v>
      </c>
      <c r="Q1367">
        <v>20</v>
      </c>
      <c r="R1367">
        <v>3</v>
      </c>
      <c r="S1367">
        <v>18</v>
      </c>
      <c r="T1367">
        <v>1</v>
      </c>
      <c r="U1367">
        <v>11</v>
      </c>
      <c r="V1367" t="s">
        <v>37</v>
      </c>
      <c r="W1367" s="2">
        <v>37807</v>
      </c>
      <c r="Y1367" t="s">
        <v>63</v>
      </c>
      <c r="Z1367" t="s">
        <v>47</v>
      </c>
      <c r="AA1367">
        <v>3</v>
      </c>
      <c r="AB1367">
        <v>1</v>
      </c>
      <c r="AC1367" t="s">
        <v>31</v>
      </c>
      <c r="AD1367" t="s">
        <v>48</v>
      </c>
      <c r="AE1367" t="s">
        <v>60</v>
      </c>
      <c r="AF1367" s="3">
        <v>1956</v>
      </c>
      <c r="AG1367" s="3">
        <v>48</v>
      </c>
      <c r="AH1367">
        <v>80</v>
      </c>
      <c r="AI1367">
        <v>8</v>
      </c>
      <c r="AJ1367">
        <v>0</v>
      </c>
      <c r="AL1367">
        <v>0</v>
      </c>
      <c r="AM1367">
        <v>1</v>
      </c>
      <c r="AN1367" t="s">
        <v>768</v>
      </c>
      <c r="AO1367" t="s">
        <v>41</v>
      </c>
    </row>
    <row r="1368" spans="1:41" x14ac:dyDescent="0.25">
      <c r="A1368">
        <v>45</v>
      </c>
      <c r="B1368" t="s">
        <v>81</v>
      </c>
      <c r="C1368" t="s">
        <v>55</v>
      </c>
      <c r="D1368">
        <v>6</v>
      </c>
      <c r="E1368" t="s">
        <v>61</v>
      </c>
      <c r="F1368">
        <v>2</v>
      </c>
      <c r="G1368">
        <v>3</v>
      </c>
      <c r="H1368" t="s">
        <v>70</v>
      </c>
      <c r="I1368">
        <v>4</v>
      </c>
      <c r="J1368" t="s">
        <v>36</v>
      </c>
      <c r="K1368">
        <v>8865</v>
      </c>
      <c r="L1368">
        <v>6</v>
      </c>
      <c r="M1368" t="s">
        <v>41</v>
      </c>
      <c r="N1368">
        <v>12</v>
      </c>
      <c r="O1368">
        <v>3</v>
      </c>
      <c r="P1368">
        <v>0</v>
      </c>
      <c r="Q1368">
        <v>23</v>
      </c>
      <c r="R1368">
        <v>2</v>
      </c>
      <c r="S1368">
        <v>19</v>
      </c>
      <c r="T1368">
        <v>12</v>
      </c>
      <c r="U1368">
        <v>8</v>
      </c>
      <c r="V1368" t="s">
        <v>37</v>
      </c>
      <c r="W1368" s="2">
        <v>37410</v>
      </c>
      <c r="Y1368" t="s">
        <v>69</v>
      </c>
      <c r="Z1368" t="s">
        <v>47</v>
      </c>
      <c r="AA1368">
        <v>3</v>
      </c>
      <c r="AB1368">
        <v>3</v>
      </c>
      <c r="AC1368" t="s">
        <v>31</v>
      </c>
      <c r="AD1368" t="s">
        <v>42</v>
      </c>
      <c r="AE1368" t="s">
        <v>43</v>
      </c>
      <c r="AF1368" s="3">
        <v>1644</v>
      </c>
      <c r="AG1368" s="3">
        <v>89</v>
      </c>
      <c r="AH1368">
        <v>80</v>
      </c>
      <c r="AI1368">
        <v>2</v>
      </c>
      <c r="AJ1368">
        <v>0</v>
      </c>
      <c r="AL1368">
        <v>0</v>
      </c>
      <c r="AM1368">
        <v>1</v>
      </c>
      <c r="AN1368" t="s">
        <v>768</v>
      </c>
      <c r="AO1368" t="s">
        <v>41</v>
      </c>
    </row>
    <row r="1369" spans="1:41" x14ac:dyDescent="0.25">
      <c r="A1369">
        <v>39</v>
      </c>
      <c r="B1369" t="s">
        <v>66</v>
      </c>
      <c r="C1369" t="s">
        <v>33</v>
      </c>
      <c r="D1369">
        <v>2</v>
      </c>
      <c r="E1369" t="s">
        <v>61</v>
      </c>
      <c r="F1369">
        <v>3</v>
      </c>
      <c r="G1369">
        <v>3</v>
      </c>
      <c r="H1369" t="s">
        <v>89</v>
      </c>
      <c r="I1369">
        <v>3</v>
      </c>
      <c r="J1369" t="s">
        <v>36</v>
      </c>
      <c r="K1369">
        <v>10938</v>
      </c>
      <c r="L1369">
        <v>0</v>
      </c>
      <c r="M1369" t="s">
        <v>41</v>
      </c>
      <c r="N1369">
        <v>25</v>
      </c>
      <c r="O1369">
        <v>4</v>
      </c>
      <c r="P1369">
        <v>0</v>
      </c>
      <c r="Q1369">
        <v>20</v>
      </c>
      <c r="R1369">
        <v>1</v>
      </c>
      <c r="S1369">
        <v>19</v>
      </c>
      <c r="T1369">
        <v>11</v>
      </c>
      <c r="U1369">
        <v>8</v>
      </c>
      <c r="V1369" t="s">
        <v>72</v>
      </c>
      <c r="W1369" s="1" t="s">
        <v>693</v>
      </c>
      <c r="Y1369" t="s">
        <v>54</v>
      </c>
      <c r="Z1369" t="s">
        <v>47</v>
      </c>
      <c r="AA1369">
        <v>2</v>
      </c>
      <c r="AB1369">
        <v>3</v>
      </c>
      <c r="AC1369" t="s">
        <v>31</v>
      </c>
      <c r="AD1369" t="s">
        <v>67</v>
      </c>
      <c r="AE1369" t="s">
        <v>43</v>
      </c>
      <c r="AF1369" s="3">
        <v>1849</v>
      </c>
      <c r="AG1369" s="3">
        <v>92</v>
      </c>
      <c r="AH1369">
        <v>80</v>
      </c>
      <c r="AI1369">
        <v>7</v>
      </c>
      <c r="AJ1369">
        <v>0</v>
      </c>
      <c r="AL1369">
        <v>0</v>
      </c>
      <c r="AM1369">
        <v>1</v>
      </c>
      <c r="AN1369" t="s">
        <v>768</v>
      </c>
      <c r="AO1369" t="s">
        <v>41</v>
      </c>
    </row>
    <row r="1370" spans="1:41" x14ac:dyDescent="0.25">
      <c r="A1370">
        <v>47</v>
      </c>
      <c r="B1370" t="s">
        <v>66</v>
      </c>
      <c r="C1370" t="s">
        <v>33</v>
      </c>
      <c r="D1370">
        <v>16</v>
      </c>
      <c r="E1370" t="s">
        <v>34</v>
      </c>
      <c r="F1370">
        <v>4</v>
      </c>
      <c r="G1370">
        <v>2</v>
      </c>
      <c r="H1370" t="s">
        <v>78</v>
      </c>
      <c r="I1370">
        <v>3</v>
      </c>
      <c r="J1370" t="s">
        <v>57</v>
      </c>
      <c r="K1370">
        <v>5067</v>
      </c>
      <c r="L1370">
        <v>1</v>
      </c>
      <c r="M1370" t="s">
        <v>31</v>
      </c>
      <c r="N1370">
        <v>19</v>
      </c>
      <c r="O1370">
        <v>3</v>
      </c>
      <c r="P1370">
        <v>0</v>
      </c>
      <c r="Q1370">
        <v>20</v>
      </c>
      <c r="R1370">
        <v>3</v>
      </c>
      <c r="S1370">
        <v>19</v>
      </c>
      <c r="T1370">
        <v>2</v>
      </c>
      <c r="U1370">
        <v>7</v>
      </c>
      <c r="V1370" t="s">
        <v>52</v>
      </c>
      <c r="W1370" s="2">
        <v>37350</v>
      </c>
      <c r="Y1370" t="s">
        <v>39</v>
      </c>
      <c r="Z1370" t="s">
        <v>40</v>
      </c>
      <c r="AA1370">
        <v>5</v>
      </c>
      <c r="AB1370">
        <v>3</v>
      </c>
      <c r="AC1370" t="s">
        <v>31</v>
      </c>
      <c r="AD1370" t="s">
        <v>67</v>
      </c>
      <c r="AE1370" t="s">
        <v>60</v>
      </c>
      <c r="AF1370" s="3">
        <v>1499</v>
      </c>
      <c r="AG1370" s="3">
        <v>46</v>
      </c>
      <c r="AH1370">
        <v>80</v>
      </c>
      <c r="AI1370">
        <v>3</v>
      </c>
      <c r="AJ1370">
        <v>0</v>
      </c>
      <c r="AL1370">
        <v>0</v>
      </c>
      <c r="AM1370">
        <v>1</v>
      </c>
      <c r="AN1370" t="s">
        <v>768</v>
      </c>
      <c r="AO1370" t="s">
        <v>41</v>
      </c>
    </row>
    <row r="1371" spans="1:41" x14ac:dyDescent="0.25">
      <c r="A1371">
        <v>38</v>
      </c>
      <c r="B1371" t="s">
        <v>32</v>
      </c>
      <c r="C1371" t="s">
        <v>33</v>
      </c>
      <c r="D1371">
        <v>17</v>
      </c>
      <c r="E1371" t="s">
        <v>61</v>
      </c>
      <c r="F1371">
        <v>2</v>
      </c>
      <c r="G1371">
        <v>3</v>
      </c>
      <c r="H1371" t="s">
        <v>89</v>
      </c>
      <c r="I1371">
        <v>3</v>
      </c>
      <c r="J1371" t="s">
        <v>51</v>
      </c>
      <c r="K1371">
        <v>8823</v>
      </c>
      <c r="L1371">
        <v>0</v>
      </c>
      <c r="M1371" t="s">
        <v>41</v>
      </c>
      <c r="N1371">
        <v>18</v>
      </c>
      <c r="O1371">
        <v>3</v>
      </c>
      <c r="P1371">
        <v>1</v>
      </c>
      <c r="Q1371">
        <v>20</v>
      </c>
      <c r="R1371">
        <v>4</v>
      </c>
      <c r="S1371">
        <v>19</v>
      </c>
      <c r="T1371">
        <v>1</v>
      </c>
      <c r="U1371">
        <v>9</v>
      </c>
      <c r="V1371" t="s">
        <v>58</v>
      </c>
      <c r="W1371" s="2">
        <v>37532</v>
      </c>
      <c r="Y1371" t="s">
        <v>63</v>
      </c>
      <c r="Z1371" t="s">
        <v>40</v>
      </c>
      <c r="AA1371">
        <v>4</v>
      </c>
      <c r="AB1371">
        <v>1</v>
      </c>
      <c r="AC1371" t="s">
        <v>31</v>
      </c>
      <c r="AD1371" t="s">
        <v>65</v>
      </c>
      <c r="AE1371" t="s">
        <v>60</v>
      </c>
      <c r="AF1371" s="3">
        <v>1697</v>
      </c>
      <c r="AG1371" s="3">
        <v>92</v>
      </c>
      <c r="AH1371">
        <v>80</v>
      </c>
      <c r="AI1371">
        <v>0</v>
      </c>
      <c r="AJ1371">
        <v>0</v>
      </c>
      <c r="AL1371">
        <v>0</v>
      </c>
      <c r="AM1371">
        <v>1</v>
      </c>
      <c r="AN1371" t="s">
        <v>768</v>
      </c>
      <c r="AO1371" t="s">
        <v>41</v>
      </c>
    </row>
    <row r="1372" spans="1:41" x14ac:dyDescent="0.25">
      <c r="A1372">
        <v>39</v>
      </c>
      <c r="B1372" t="s">
        <v>32</v>
      </c>
      <c r="C1372" t="s">
        <v>33</v>
      </c>
      <c r="D1372">
        <v>13</v>
      </c>
      <c r="E1372" t="s">
        <v>61</v>
      </c>
      <c r="F1372">
        <v>2</v>
      </c>
      <c r="G1372">
        <v>4</v>
      </c>
      <c r="H1372" t="s">
        <v>75</v>
      </c>
      <c r="I1372">
        <v>2</v>
      </c>
      <c r="J1372" t="s">
        <v>57</v>
      </c>
      <c r="K1372">
        <v>17123</v>
      </c>
      <c r="L1372">
        <v>6</v>
      </c>
      <c r="M1372" t="s">
        <v>31</v>
      </c>
      <c r="N1372">
        <v>13</v>
      </c>
      <c r="O1372">
        <v>3</v>
      </c>
      <c r="P1372">
        <v>2</v>
      </c>
      <c r="Q1372">
        <v>21</v>
      </c>
      <c r="R1372">
        <v>4</v>
      </c>
      <c r="S1372">
        <v>19</v>
      </c>
      <c r="T1372">
        <v>15</v>
      </c>
      <c r="U1372">
        <v>2</v>
      </c>
      <c r="V1372" t="s">
        <v>72</v>
      </c>
      <c r="W1372" s="1" t="s">
        <v>694</v>
      </c>
      <c r="Y1372" t="s">
        <v>54</v>
      </c>
      <c r="Z1372" t="s">
        <v>47</v>
      </c>
      <c r="AA1372">
        <v>0</v>
      </c>
      <c r="AB1372">
        <v>1</v>
      </c>
      <c r="AC1372" t="s">
        <v>31</v>
      </c>
      <c r="AD1372" t="s">
        <v>67</v>
      </c>
      <c r="AE1372" t="s">
        <v>60</v>
      </c>
      <c r="AF1372" s="3">
        <v>1664</v>
      </c>
      <c r="AG1372" s="3">
        <v>79</v>
      </c>
      <c r="AH1372">
        <v>80</v>
      </c>
      <c r="AI1372">
        <v>4</v>
      </c>
      <c r="AJ1372">
        <v>0</v>
      </c>
      <c r="AL1372">
        <v>0</v>
      </c>
      <c r="AM1372">
        <v>1</v>
      </c>
      <c r="AN1372" t="s">
        <v>768</v>
      </c>
      <c r="AO1372" t="s">
        <v>41</v>
      </c>
    </row>
    <row r="1373" spans="1:41" x14ac:dyDescent="0.25">
      <c r="A1373">
        <v>41</v>
      </c>
      <c r="B1373" t="s">
        <v>81</v>
      </c>
      <c r="C1373" t="s">
        <v>55</v>
      </c>
      <c r="D1373">
        <v>10</v>
      </c>
      <c r="E1373" t="s">
        <v>34</v>
      </c>
      <c r="F1373">
        <v>1</v>
      </c>
      <c r="G1373">
        <v>2</v>
      </c>
      <c r="H1373" t="s">
        <v>70</v>
      </c>
      <c r="I1373">
        <v>2</v>
      </c>
      <c r="J1373" t="s">
        <v>36</v>
      </c>
      <c r="K1373">
        <v>6151</v>
      </c>
      <c r="L1373">
        <v>1</v>
      </c>
      <c r="M1373" t="s">
        <v>41</v>
      </c>
      <c r="N1373">
        <v>13</v>
      </c>
      <c r="O1373">
        <v>3</v>
      </c>
      <c r="P1373">
        <v>0</v>
      </c>
      <c r="Q1373">
        <v>19</v>
      </c>
      <c r="R1373">
        <v>4</v>
      </c>
      <c r="S1373">
        <v>19</v>
      </c>
      <c r="T1373">
        <v>11</v>
      </c>
      <c r="U1373">
        <v>9</v>
      </c>
      <c r="V1373" t="s">
        <v>72</v>
      </c>
      <c r="W1373" s="1" t="s">
        <v>695</v>
      </c>
      <c r="Y1373" t="s">
        <v>39</v>
      </c>
      <c r="Z1373" t="s">
        <v>47</v>
      </c>
      <c r="AA1373">
        <v>3</v>
      </c>
      <c r="AB1373">
        <v>0</v>
      </c>
      <c r="AC1373" t="s">
        <v>41</v>
      </c>
      <c r="AD1373" t="s">
        <v>42</v>
      </c>
      <c r="AE1373" t="s">
        <v>43</v>
      </c>
      <c r="AF1373" s="3">
        <v>1772</v>
      </c>
      <c r="AG1373" s="3">
        <v>94</v>
      </c>
      <c r="AH1373">
        <v>80</v>
      </c>
      <c r="AI1373">
        <v>3</v>
      </c>
      <c r="AJ1373">
        <v>0</v>
      </c>
      <c r="AL1373">
        <v>0</v>
      </c>
      <c r="AM1373">
        <v>1</v>
      </c>
      <c r="AN1373" t="s">
        <v>768</v>
      </c>
      <c r="AO1373" t="s">
        <v>41</v>
      </c>
    </row>
    <row r="1374" spans="1:41" x14ac:dyDescent="0.25">
      <c r="A1374">
        <v>55</v>
      </c>
      <c r="B1374" t="s">
        <v>32</v>
      </c>
      <c r="C1374" t="s">
        <v>33</v>
      </c>
      <c r="D1374">
        <v>2</v>
      </c>
      <c r="E1374" t="s">
        <v>61</v>
      </c>
      <c r="F1374">
        <v>1</v>
      </c>
      <c r="G1374">
        <v>5</v>
      </c>
      <c r="H1374" t="s">
        <v>75</v>
      </c>
      <c r="I1374">
        <v>3</v>
      </c>
      <c r="J1374" t="s">
        <v>51</v>
      </c>
      <c r="K1374">
        <v>19187</v>
      </c>
      <c r="L1374">
        <v>4</v>
      </c>
      <c r="M1374" t="s">
        <v>41</v>
      </c>
      <c r="N1374">
        <v>14</v>
      </c>
      <c r="O1374">
        <v>3</v>
      </c>
      <c r="P1374">
        <v>1</v>
      </c>
      <c r="Q1374">
        <v>23</v>
      </c>
      <c r="R1374">
        <v>5</v>
      </c>
      <c r="S1374">
        <v>19</v>
      </c>
      <c r="T1374">
        <v>9</v>
      </c>
      <c r="U1374">
        <v>11</v>
      </c>
      <c r="V1374" t="s">
        <v>58</v>
      </c>
      <c r="W1374" s="2">
        <v>37594</v>
      </c>
      <c r="Y1374" t="s">
        <v>54</v>
      </c>
      <c r="Z1374" t="s">
        <v>40</v>
      </c>
      <c r="AA1374">
        <v>3</v>
      </c>
      <c r="AB1374">
        <v>0</v>
      </c>
      <c r="AC1374" t="s">
        <v>31</v>
      </c>
      <c r="AD1374" t="s">
        <v>67</v>
      </c>
      <c r="AE1374" t="s">
        <v>43</v>
      </c>
      <c r="AF1374" s="3">
        <v>1768</v>
      </c>
      <c r="AG1374" s="3">
        <v>57</v>
      </c>
      <c r="AH1374">
        <v>80</v>
      </c>
      <c r="AI1374">
        <v>3</v>
      </c>
      <c r="AJ1374">
        <v>0</v>
      </c>
      <c r="AL1374">
        <v>0</v>
      </c>
      <c r="AM1374">
        <v>1</v>
      </c>
      <c r="AN1374" t="s">
        <v>768</v>
      </c>
      <c r="AO1374" t="s">
        <v>41</v>
      </c>
    </row>
    <row r="1375" spans="1:41" x14ac:dyDescent="0.25">
      <c r="A1375">
        <v>55</v>
      </c>
      <c r="B1375" t="s">
        <v>32</v>
      </c>
      <c r="C1375" t="s">
        <v>55</v>
      </c>
      <c r="D1375">
        <v>13</v>
      </c>
      <c r="E1375" t="s">
        <v>34</v>
      </c>
      <c r="F1375">
        <v>4</v>
      </c>
      <c r="G1375">
        <v>4</v>
      </c>
      <c r="H1375" t="s">
        <v>70</v>
      </c>
      <c r="I1375">
        <v>3</v>
      </c>
      <c r="J1375" t="s">
        <v>36</v>
      </c>
      <c r="K1375">
        <v>13695</v>
      </c>
      <c r="L1375">
        <v>6</v>
      </c>
      <c r="M1375" t="s">
        <v>31</v>
      </c>
      <c r="N1375">
        <v>17</v>
      </c>
      <c r="O1375">
        <v>3</v>
      </c>
      <c r="P1375">
        <v>0</v>
      </c>
      <c r="Q1375">
        <v>24</v>
      </c>
      <c r="R1375">
        <v>2</v>
      </c>
      <c r="S1375">
        <v>19</v>
      </c>
      <c r="T1375">
        <v>3</v>
      </c>
      <c r="U1375">
        <v>8</v>
      </c>
      <c r="V1375" t="s">
        <v>72</v>
      </c>
      <c r="W1375" s="1" t="s">
        <v>696</v>
      </c>
      <c r="Y1375" t="s">
        <v>46</v>
      </c>
      <c r="Z1375" t="s">
        <v>40</v>
      </c>
      <c r="AA1375">
        <v>2</v>
      </c>
      <c r="AB1375">
        <v>0</v>
      </c>
      <c r="AC1375" t="s">
        <v>41</v>
      </c>
      <c r="AD1375" t="s">
        <v>65</v>
      </c>
      <c r="AE1375" t="s">
        <v>49</v>
      </c>
      <c r="AF1375" s="3">
        <v>1654</v>
      </c>
      <c r="AG1375" s="3">
        <v>66</v>
      </c>
      <c r="AH1375">
        <v>80</v>
      </c>
      <c r="AI1375">
        <v>4</v>
      </c>
      <c r="AJ1375">
        <v>0</v>
      </c>
      <c r="AL1375">
        <v>0</v>
      </c>
      <c r="AM1375">
        <v>1</v>
      </c>
      <c r="AN1375" t="s">
        <v>768</v>
      </c>
      <c r="AO1375" t="s">
        <v>41</v>
      </c>
    </row>
    <row r="1376" spans="1:41" x14ac:dyDescent="0.25">
      <c r="A1376">
        <v>56</v>
      </c>
      <c r="B1376" t="s">
        <v>32</v>
      </c>
      <c r="C1376" t="s">
        <v>33</v>
      </c>
      <c r="D1376">
        <v>23</v>
      </c>
      <c r="E1376" t="s">
        <v>34</v>
      </c>
      <c r="F1376">
        <v>3</v>
      </c>
      <c r="G1376">
        <v>4</v>
      </c>
      <c r="H1376" t="s">
        <v>78</v>
      </c>
      <c r="I1376">
        <v>2</v>
      </c>
      <c r="J1376" t="s">
        <v>51</v>
      </c>
      <c r="K1376">
        <v>13402</v>
      </c>
      <c r="L1376">
        <v>4</v>
      </c>
      <c r="M1376" t="s">
        <v>31</v>
      </c>
      <c r="N1376">
        <v>12</v>
      </c>
      <c r="O1376">
        <v>3</v>
      </c>
      <c r="P1376">
        <v>1</v>
      </c>
      <c r="Q1376">
        <v>33</v>
      </c>
      <c r="R1376">
        <v>0</v>
      </c>
      <c r="S1376">
        <v>19</v>
      </c>
      <c r="T1376">
        <v>15</v>
      </c>
      <c r="U1376">
        <v>9</v>
      </c>
      <c r="V1376" t="s">
        <v>37</v>
      </c>
      <c r="W1376" s="1" t="s">
        <v>697</v>
      </c>
      <c r="Y1376" t="s">
        <v>69</v>
      </c>
      <c r="Z1376" t="s">
        <v>47</v>
      </c>
      <c r="AA1376">
        <v>0</v>
      </c>
      <c r="AB1376">
        <v>3</v>
      </c>
      <c r="AC1376" t="s">
        <v>31</v>
      </c>
      <c r="AD1376" t="s">
        <v>65</v>
      </c>
      <c r="AE1376" t="s">
        <v>43</v>
      </c>
      <c r="AF1376" s="3">
        <v>1936</v>
      </c>
      <c r="AG1376" s="3">
        <v>87</v>
      </c>
      <c r="AH1376">
        <v>80</v>
      </c>
      <c r="AI1376">
        <v>0</v>
      </c>
      <c r="AJ1376">
        <v>0</v>
      </c>
      <c r="AL1376">
        <v>0</v>
      </c>
      <c r="AM1376">
        <v>1</v>
      </c>
      <c r="AN1376" t="s">
        <v>768</v>
      </c>
      <c r="AO1376" t="s">
        <v>41</v>
      </c>
    </row>
    <row r="1377" spans="1:41" x14ac:dyDescent="0.25">
      <c r="A1377">
        <v>46</v>
      </c>
      <c r="B1377" t="s">
        <v>32</v>
      </c>
      <c r="C1377" t="s">
        <v>55</v>
      </c>
      <c r="D1377">
        <v>3</v>
      </c>
      <c r="E1377" t="s">
        <v>61</v>
      </c>
      <c r="F1377">
        <v>4</v>
      </c>
      <c r="G1377">
        <v>4</v>
      </c>
      <c r="H1377" t="s">
        <v>70</v>
      </c>
      <c r="I1377">
        <v>1</v>
      </c>
      <c r="J1377" t="s">
        <v>57</v>
      </c>
      <c r="K1377">
        <v>13225</v>
      </c>
      <c r="L1377">
        <v>2</v>
      </c>
      <c r="M1377" t="s">
        <v>41</v>
      </c>
      <c r="N1377">
        <v>12</v>
      </c>
      <c r="O1377">
        <v>3</v>
      </c>
      <c r="P1377">
        <v>1</v>
      </c>
      <c r="Q1377">
        <v>25</v>
      </c>
      <c r="R1377">
        <v>5</v>
      </c>
      <c r="S1377">
        <v>19</v>
      </c>
      <c r="T1377">
        <v>2</v>
      </c>
      <c r="U1377">
        <v>8</v>
      </c>
      <c r="V1377" t="s">
        <v>52</v>
      </c>
      <c r="W1377" s="1" t="s">
        <v>698</v>
      </c>
      <c r="Y1377" t="s">
        <v>54</v>
      </c>
      <c r="Z1377" t="s">
        <v>47</v>
      </c>
      <c r="AA1377">
        <v>5</v>
      </c>
      <c r="AB1377">
        <v>0</v>
      </c>
      <c r="AC1377" t="s">
        <v>41</v>
      </c>
      <c r="AD1377" t="s">
        <v>67</v>
      </c>
      <c r="AE1377" t="s">
        <v>60</v>
      </c>
      <c r="AF1377" s="3">
        <v>1873</v>
      </c>
      <c r="AG1377" s="3">
        <v>98</v>
      </c>
      <c r="AH1377">
        <v>80</v>
      </c>
      <c r="AI1377">
        <v>2</v>
      </c>
      <c r="AJ1377">
        <v>0</v>
      </c>
      <c r="AL1377">
        <v>0</v>
      </c>
      <c r="AM1377">
        <v>1</v>
      </c>
      <c r="AN1377" t="s">
        <v>768</v>
      </c>
      <c r="AO1377" t="s">
        <v>41</v>
      </c>
    </row>
    <row r="1378" spans="1:41" x14ac:dyDescent="0.25">
      <c r="A1378">
        <v>40</v>
      </c>
      <c r="B1378" t="s">
        <v>32</v>
      </c>
      <c r="C1378" t="s">
        <v>33</v>
      </c>
      <c r="D1378">
        <v>1</v>
      </c>
      <c r="E1378" t="s">
        <v>34</v>
      </c>
      <c r="F1378">
        <v>3</v>
      </c>
      <c r="G1378">
        <v>4</v>
      </c>
      <c r="H1378" t="s">
        <v>75</v>
      </c>
      <c r="I1378">
        <v>1</v>
      </c>
      <c r="J1378" t="s">
        <v>57</v>
      </c>
      <c r="K1378">
        <v>16823</v>
      </c>
      <c r="L1378">
        <v>2</v>
      </c>
      <c r="M1378" t="s">
        <v>41</v>
      </c>
      <c r="N1378">
        <v>11</v>
      </c>
      <c r="O1378">
        <v>3</v>
      </c>
      <c r="P1378">
        <v>1</v>
      </c>
      <c r="Q1378">
        <v>22</v>
      </c>
      <c r="R1378">
        <v>3</v>
      </c>
      <c r="S1378">
        <v>19</v>
      </c>
      <c r="T1378">
        <v>11</v>
      </c>
      <c r="U1378">
        <v>16</v>
      </c>
      <c r="V1378" t="s">
        <v>37</v>
      </c>
      <c r="W1378" s="1" t="s">
        <v>699</v>
      </c>
      <c r="Y1378" t="s">
        <v>69</v>
      </c>
      <c r="Z1378" t="s">
        <v>47</v>
      </c>
      <c r="AA1378">
        <v>4</v>
      </c>
      <c r="AB1378">
        <v>2</v>
      </c>
      <c r="AC1378" t="s">
        <v>41</v>
      </c>
      <c r="AD1378" t="s">
        <v>42</v>
      </c>
      <c r="AE1378" t="s">
        <v>43</v>
      </c>
      <c r="AF1378" s="3">
        <v>1483</v>
      </c>
      <c r="AG1378" s="3">
        <v>93</v>
      </c>
      <c r="AH1378">
        <v>80</v>
      </c>
      <c r="AI1378">
        <v>9</v>
      </c>
      <c r="AJ1378">
        <v>0</v>
      </c>
      <c r="AL1378">
        <v>0</v>
      </c>
      <c r="AM1378">
        <v>1</v>
      </c>
      <c r="AN1378" t="s">
        <v>768</v>
      </c>
      <c r="AO1378" t="s">
        <v>41</v>
      </c>
    </row>
    <row r="1379" spans="1:41" x14ac:dyDescent="0.25">
      <c r="A1379">
        <v>51</v>
      </c>
      <c r="B1379" t="s">
        <v>32</v>
      </c>
      <c r="C1379" t="s">
        <v>33</v>
      </c>
      <c r="D1379">
        <v>6</v>
      </c>
      <c r="E1379" t="s">
        <v>34</v>
      </c>
      <c r="F1379">
        <v>3</v>
      </c>
      <c r="G1379">
        <v>5</v>
      </c>
      <c r="H1379" t="s">
        <v>50</v>
      </c>
      <c r="I1379">
        <v>3</v>
      </c>
      <c r="J1379" t="s">
        <v>36</v>
      </c>
      <c r="K1379">
        <v>19537</v>
      </c>
      <c r="L1379">
        <v>7</v>
      </c>
      <c r="M1379" t="s">
        <v>41</v>
      </c>
      <c r="N1379">
        <v>13</v>
      </c>
      <c r="O1379">
        <v>3</v>
      </c>
      <c r="P1379">
        <v>0</v>
      </c>
      <c r="Q1379">
        <v>23</v>
      </c>
      <c r="R1379">
        <v>5</v>
      </c>
      <c r="S1379">
        <v>20</v>
      </c>
      <c r="T1379">
        <v>15</v>
      </c>
      <c r="U1379">
        <v>15</v>
      </c>
      <c r="V1379" t="s">
        <v>58</v>
      </c>
      <c r="W1379" s="1" t="s">
        <v>700</v>
      </c>
      <c r="Y1379" t="s">
        <v>39</v>
      </c>
      <c r="Z1379" t="s">
        <v>40</v>
      </c>
      <c r="AA1379">
        <v>1</v>
      </c>
      <c r="AB1379">
        <v>1</v>
      </c>
      <c r="AC1379" t="s">
        <v>41</v>
      </c>
      <c r="AD1379" t="s">
        <v>48</v>
      </c>
      <c r="AE1379" t="s">
        <v>49</v>
      </c>
      <c r="AF1379" s="3">
        <v>1666</v>
      </c>
      <c r="AG1379" s="3">
        <v>65</v>
      </c>
      <c r="AH1379">
        <v>80</v>
      </c>
      <c r="AI1379">
        <v>10</v>
      </c>
      <c r="AJ1379">
        <v>0</v>
      </c>
      <c r="AL1379">
        <v>0</v>
      </c>
      <c r="AM1379">
        <v>1</v>
      </c>
      <c r="AN1379" t="s">
        <v>768</v>
      </c>
      <c r="AO1379" t="s">
        <v>41</v>
      </c>
    </row>
    <row r="1380" spans="1:41" x14ac:dyDescent="0.25">
      <c r="A1380">
        <v>40</v>
      </c>
      <c r="B1380" t="s">
        <v>66</v>
      </c>
      <c r="C1380" t="s">
        <v>33</v>
      </c>
      <c r="D1380">
        <v>26</v>
      </c>
      <c r="E1380" t="s">
        <v>61</v>
      </c>
      <c r="F1380">
        <v>3</v>
      </c>
      <c r="G1380">
        <v>2</v>
      </c>
      <c r="H1380" t="s">
        <v>44</v>
      </c>
      <c r="I1380">
        <v>2</v>
      </c>
      <c r="J1380" t="s">
        <v>57</v>
      </c>
      <c r="K1380">
        <v>5605</v>
      </c>
      <c r="L1380">
        <v>1</v>
      </c>
      <c r="M1380" t="s">
        <v>41</v>
      </c>
      <c r="N1380">
        <v>11</v>
      </c>
      <c r="O1380">
        <v>3</v>
      </c>
      <c r="P1380">
        <v>1</v>
      </c>
      <c r="Q1380">
        <v>20</v>
      </c>
      <c r="R1380">
        <v>2</v>
      </c>
      <c r="S1380">
        <v>20</v>
      </c>
      <c r="T1380">
        <v>2</v>
      </c>
      <c r="U1380">
        <v>13</v>
      </c>
      <c r="V1380" t="s">
        <v>52</v>
      </c>
      <c r="W1380" s="1" t="s">
        <v>701</v>
      </c>
      <c r="Y1380" t="s">
        <v>63</v>
      </c>
      <c r="Z1380" t="s">
        <v>40</v>
      </c>
      <c r="AA1380">
        <v>4</v>
      </c>
      <c r="AB1380">
        <v>3</v>
      </c>
      <c r="AC1380" t="s">
        <v>41</v>
      </c>
      <c r="AD1380" t="s">
        <v>42</v>
      </c>
      <c r="AE1380" t="s">
        <v>60</v>
      </c>
      <c r="AF1380" s="3">
        <v>1999</v>
      </c>
      <c r="AG1380" s="3">
        <v>76</v>
      </c>
      <c r="AH1380">
        <v>80</v>
      </c>
      <c r="AI1380">
        <v>3</v>
      </c>
      <c r="AJ1380">
        <v>0</v>
      </c>
      <c r="AL1380">
        <v>0</v>
      </c>
      <c r="AM1380">
        <v>1</v>
      </c>
      <c r="AN1380" t="s">
        <v>768</v>
      </c>
      <c r="AO1380" t="s">
        <v>41</v>
      </c>
    </row>
    <row r="1381" spans="1:41" x14ac:dyDescent="0.25">
      <c r="A1381">
        <v>40</v>
      </c>
      <c r="B1381" t="s">
        <v>32</v>
      </c>
      <c r="C1381" t="s">
        <v>33</v>
      </c>
      <c r="D1381">
        <v>4</v>
      </c>
      <c r="E1381" t="s">
        <v>61</v>
      </c>
      <c r="F1381">
        <v>3</v>
      </c>
      <c r="G1381">
        <v>5</v>
      </c>
      <c r="H1381" t="s">
        <v>75</v>
      </c>
      <c r="I1381">
        <v>3</v>
      </c>
      <c r="J1381" t="s">
        <v>51</v>
      </c>
      <c r="K1381">
        <v>19033</v>
      </c>
      <c r="L1381">
        <v>1</v>
      </c>
      <c r="M1381" t="s">
        <v>41</v>
      </c>
      <c r="N1381">
        <v>14</v>
      </c>
      <c r="O1381">
        <v>3</v>
      </c>
      <c r="P1381">
        <v>1</v>
      </c>
      <c r="Q1381">
        <v>21</v>
      </c>
      <c r="R1381">
        <v>2</v>
      </c>
      <c r="S1381">
        <v>20</v>
      </c>
      <c r="T1381">
        <v>9</v>
      </c>
      <c r="U1381">
        <v>9</v>
      </c>
      <c r="V1381" t="s">
        <v>58</v>
      </c>
      <c r="W1381" s="1" t="s">
        <v>702</v>
      </c>
      <c r="Y1381" t="s">
        <v>39</v>
      </c>
      <c r="Z1381" t="s">
        <v>47</v>
      </c>
      <c r="AA1381">
        <v>2</v>
      </c>
      <c r="AB1381">
        <v>1</v>
      </c>
      <c r="AC1381" t="s">
        <v>41</v>
      </c>
      <c r="AD1381" t="s">
        <v>65</v>
      </c>
      <c r="AE1381" t="s">
        <v>49</v>
      </c>
      <c r="AF1381" s="3">
        <v>1546</v>
      </c>
      <c r="AG1381" s="3">
        <v>97</v>
      </c>
      <c r="AH1381">
        <v>80</v>
      </c>
      <c r="AI1381">
        <v>4</v>
      </c>
      <c r="AJ1381">
        <v>0</v>
      </c>
      <c r="AL1381">
        <v>0</v>
      </c>
      <c r="AM1381">
        <v>1</v>
      </c>
      <c r="AN1381" t="s">
        <v>768</v>
      </c>
      <c r="AO1381" t="s">
        <v>41</v>
      </c>
    </row>
    <row r="1382" spans="1:41" x14ac:dyDescent="0.25">
      <c r="A1382">
        <v>45</v>
      </c>
      <c r="B1382" t="s">
        <v>81</v>
      </c>
      <c r="C1382" t="s">
        <v>33</v>
      </c>
      <c r="D1382">
        <v>2</v>
      </c>
      <c r="E1382" t="s">
        <v>34</v>
      </c>
      <c r="F1382">
        <v>2</v>
      </c>
      <c r="G1382">
        <v>4</v>
      </c>
      <c r="H1382" t="s">
        <v>75</v>
      </c>
      <c r="I1382">
        <v>4</v>
      </c>
      <c r="J1382" t="s">
        <v>51</v>
      </c>
      <c r="K1382">
        <v>16792</v>
      </c>
      <c r="L1382">
        <v>9</v>
      </c>
      <c r="M1382" t="s">
        <v>41</v>
      </c>
      <c r="N1382">
        <v>23</v>
      </c>
      <c r="O1382">
        <v>4</v>
      </c>
      <c r="P1382">
        <v>1</v>
      </c>
      <c r="Q1382">
        <v>22</v>
      </c>
      <c r="R1382">
        <v>1</v>
      </c>
      <c r="S1382">
        <v>20</v>
      </c>
      <c r="T1382">
        <v>11</v>
      </c>
      <c r="U1382">
        <v>8</v>
      </c>
      <c r="V1382" t="s">
        <v>58</v>
      </c>
      <c r="W1382" s="1" t="s">
        <v>701</v>
      </c>
      <c r="Y1382" t="s">
        <v>39</v>
      </c>
      <c r="Z1382" t="s">
        <v>40</v>
      </c>
      <c r="AA1382">
        <v>5</v>
      </c>
      <c r="AB1382">
        <v>2</v>
      </c>
      <c r="AC1382" t="s">
        <v>31</v>
      </c>
      <c r="AD1382" t="s">
        <v>48</v>
      </c>
      <c r="AE1382" t="s">
        <v>60</v>
      </c>
      <c r="AF1382" s="3">
        <v>1993</v>
      </c>
      <c r="AG1382" s="3">
        <v>84</v>
      </c>
      <c r="AH1382">
        <v>80</v>
      </c>
      <c r="AI1382">
        <v>14</v>
      </c>
      <c r="AJ1382">
        <v>0</v>
      </c>
      <c r="AL1382">
        <v>0</v>
      </c>
      <c r="AM1382">
        <v>1</v>
      </c>
      <c r="AN1382" t="s">
        <v>768</v>
      </c>
      <c r="AO1382" t="s">
        <v>41</v>
      </c>
    </row>
    <row r="1383" spans="1:41" x14ac:dyDescent="0.25">
      <c r="A1383">
        <v>45</v>
      </c>
      <c r="B1383" t="s">
        <v>32</v>
      </c>
      <c r="C1383" t="s">
        <v>33</v>
      </c>
      <c r="D1383">
        <v>20</v>
      </c>
      <c r="E1383" t="s">
        <v>34</v>
      </c>
      <c r="F1383">
        <v>3</v>
      </c>
      <c r="G1383">
        <v>4</v>
      </c>
      <c r="H1383" t="s">
        <v>89</v>
      </c>
      <c r="I1383">
        <v>4</v>
      </c>
      <c r="J1383" t="s">
        <v>51</v>
      </c>
      <c r="K1383">
        <v>13496</v>
      </c>
      <c r="L1383">
        <v>0</v>
      </c>
      <c r="M1383" t="s">
        <v>31</v>
      </c>
      <c r="N1383">
        <v>14</v>
      </c>
      <c r="O1383">
        <v>3</v>
      </c>
      <c r="P1383">
        <v>0</v>
      </c>
      <c r="Q1383">
        <v>21</v>
      </c>
      <c r="R1383">
        <v>2</v>
      </c>
      <c r="S1383">
        <v>20</v>
      </c>
      <c r="T1383">
        <v>4</v>
      </c>
      <c r="U1383">
        <v>10</v>
      </c>
      <c r="V1383" t="s">
        <v>58</v>
      </c>
      <c r="W1383" s="1" t="s">
        <v>703</v>
      </c>
      <c r="Y1383" t="s">
        <v>54</v>
      </c>
      <c r="Z1383" t="s">
        <v>47</v>
      </c>
      <c r="AA1383">
        <v>3</v>
      </c>
      <c r="AB1383">
        <v>2</v>
      </c>
      <c r="AC1383" t="s">
        <v>31</v>
      </c>
      <c r="AD1383" t="s">
        <v>42</v>
      </c>
      <c r="AE1383" t="s">
        <v>60</v>
      </c>
      <c r="AF1383" s="3">
        <v>1800</v>
      </c>
      <c r="AG1383" s="3">
        <v>65</v>
      </c>
      <c r="AH1383">
        <v>80</v>
      </c>
      <c r="AI1383">
        <v>3</v>
      </c>
      <c r="AJ1383">
        <v>0</v>
      </c>
      <c r="AL1383">
        <v>0</v>
      </c>
      <c r="AM1383">
        <v>1</v>
      </c>
      <c r="AN1383" t="s">
        <v>768</v>
      </c>
      <c r="AO1383" t="s">
        <v>41</v>
      </c>
    </row>
    <row r="1384" spans="1:41" x14ac:dyDescent="0.25">
      <c r="A1384">
        <v>42</v>
      </c>
      <c r="B1384" t="s">
        <v>32</v>
      </c>
      <c r="C1384" t="s">
        <v>55</v>
      </c>
      <c r="D1384">
        <v>1</v>
      </c>
      <c r="E1384" t="s">
        <v>34</v>
      </c>
      <c r="F1384">
        <v>3</v>
      </c>
      <c r="G1384">
        <v>2</v>
      </c>
      <c r="H1384" t="s">
        <v>70</v>
      </c>
      <c r="I1384">
        <v>3</v>
      </c>
      <c r="J1384" t="s">
        <v>51</v>
      </c>
      <c r="K1384">
        <v>4907</v>
      </c>
      <c r="L1384">
        <v>1</v>
      </c>
      <c r="M1384" t="s">
        <v>41</v>
      </c>
      <c r="N1384">
        <v>25</v>
      </c>
      <c r="O1384">
        <v>4</v>
      </c>
      <c r="P1384">
        <v>0</v>
      </c>
      <c r="Q1384">
        <v>20</v>
      </c>
      <c r="R1384">
        <v>3</v>
      </c>
      <c r="S1384">
        <v>20</v>
      </c>
      <c r="T1384">
        <v>11</v>
      </c>
      <c r="U1384">
        <v>6</v>
      </c>
      <c r="V1384" t="s">
        <v>72</v>
      </c>
      <c r="W1384" s="1" t="s">
        <v>704</v>
      </c>
      <c r="Y1384" t="s">
        <v>39</v>
      </c>
      <c r="Z1384" t="s">
        <v>47</v>
      </c>
      <c r="AA1384">
        <v>5</v>
      </c>
      <c r="AB1384">
        <v>2</v>
      </c>
      <c r="AC1384" t="s">
        <v>41</v>
      </c>
      <c r="AD1384" t="s">
        <v>48</v>
      </c>
      <c r="AE1384" t="s">
        <v>49</v>
      </c>
      <c r="AF1384" s="3">
        <v>1516</v>
      </c>
      <c r="AG1384" s="3">
        <v>64</v>
      </c>
      <c r="AH1384">
        <v>80</v>
      </c>
      <c r="AI1384">
        <v>2</v>
      </c>
      <c r="AJ1384">
        <v>0</v>
      </c>
      <c r="AL1384">
        <v>0</v>
      </c>
      <c r="AM1384">
        <v>1</v>
      </c>
      <c r="AN1384" t="s">
        <v>768</v>
      </c>
      <c r="AO1384" t="s">
        <v>41</v>
      </c>
    </row>
    <row r="1385" spans="1:41" x14ac:dyDescent="0.25">
      <c r="A1385">
        <v>42</v>
      </c>
      <c r="B1385" t="s">
        <v>66</v>
      </c>
      <c r="C1385" t="s">
        <v>55</v>
      </c>
      <c r="D1385">
        <v>26</v>
      </c>
      <c r="E1385" t="s">
        <v>61</v>
      </c>
      <c r="F1385">
        <v>3</v>
      </c>
      <c r="G1385">
        <v>4</v>
      </c>
      <c r="H1385" t="s">
        <v>70</v>
      </c>
      <c r="I1385">
        <v>2</v>
      </c>
      <c r="J1385" t="s">
        <v>51</v>
      </c>
      <c r="K1385">
        <v>13525</v>
      </c>
      <c r="L1385">
        <v>5</v>
      </c>
      <c r="M1385" t="s">
        <v>41</v>
      </c>
      <c r="N1385">
        <v>14</v>
      </c>
      <c r="O1385">
        <v>3</v>
      </c>
      <c r="P1385">
        <v>1</v>
      </c>
      <c r="Q1385">
        <v>23</v>
      </c>
      <c r="R1385">
        <v>2</v>
      </c>
      <c r="S1385">
        <v>20</v>
      </c>
      <c r="T1385">
        <v>4</v>
      </c>
      <c r="U1385">
        <v>8</v>
      </c>
      <c r="V1385" t="s">
        <v>37</v>
      </c>
      <c r="W1385" s="2">
        <v>36985</v>
      </c>
      <c r="Y1385" t="s">
        <v>39</v>
      </c>
      <c r="Z1385" t="s">
        <v>40</v>
      </c>
      <c r="AA1385">
        <v>5</v>
      </c>
      <c r="AB1385">
        <v>3</v>
      </c>
      <c r="AC1385" t="s">
        <v>31</v>
      </c>
      <c r="AD1385" t="s">
        <v>67</v>
      </c>
      <c r="AE1385" t="s">
        <v>43</v>
      </c>
      <c r="AF1385" s="3">
        <v>1966</v>
      </c>
      <c r="AG1385" s="3">
        <v>56</v>
      </c>
      <c r="AH1385">
        <v>80</v>
      </c>
      <c r="AI1385">
        <v>0</v>
      </c>
      <c r="AJ1385">
        <v>0</v>
      </c>
      <c r="AL1385">
        <v>0</v>
      </c>
      <c r="AM1385">
        <v>1</v>
      </c>
      <c r="AN1385" t="s">
        <v>768</v>
      </c>
      <c r="AO1385" t="s">
        <v>41</v>
      </c>
    </row>
    <row r="1386" spans="1:41" x14ac:dyDescent="0.25">
      <c r="A1386">
        <v>40</v>
      </c>
      <c r="B1386" t="s">
        <v>32</v>
      </c>
      <c r="C1386" t="s">
        <v>55</v>
      </c>
      <c r="D1386">
        <v>2</v>
      </c>
      <c r="E1386" t="s">
        <v>61</v>
      </c>
      <c r="F1386">
        <v>3</v>
      </c>
      <c r="G1386">
        <v>5</v>
      </c>
      <c r="H1386" t="s">
        <v>75</v>
      </c>
      <c r="I1386">
        <v>3</v>
      </c>
      <c r="J1386" t="s">
        <v>51</v>
      </c>
      <c r="K1386">
        <v>18041</v>
      </c>
      <c r="L1386">
        <v>0</v>
      </c>
      <c r="M1386" t="s">
        <v>41</v>
      </c>
      <c r="N1386">
        <v>14</v>
      </c>
      <c r="O1386">
        <v>3</v>
      </c>
      <c r="P1386">
        <v>0</v>
      </c>
      <c r="Q1386">
        <v>21</v>
      </c>
      <c r="R1386">
        <v>2</v>
      </c>
      <c r="S1386">
        <v>20</v>
      </c>
      <c r="T1386">
        <v>1</v>
      </c>
      <c r="U1386">
        <v>12</v>
      </c>
      <c r="V1386" t="s">
        <v>52</v>
      </c>
      <c r="W1386" s="1" t="s">
        <v>705</v>
      </c>
      <c r="Y1386" t="s">
        <v>63</v>
      </c>
      <c r="Z1386" t="s">
        <v>40</v>
      </c>
      <c r="AA1386">
        <v>2</v>
      </c>
      <c r="AB1386">
        <v>0</v>
      </c>
      <c r="AC1386" t="s">
        <v>31</v>
      </c>
      <c r="AD1386" t="s">
        <v>42</v>
      </c>
      <c r="AE1386" t="s">
        <v>60</v>
      </c>
      <c r="AF1386" s="3">
        <v>1595</v>
      </c>
      <c r="AG1386" s="3">
        <v>93</v>
      </c>
      <c r="AH1386">
        <v>80</v>
      </c>
      <c r="AI1386">
        <v>0</v>
      </c>
      <c r="AJ1386">
        <v>0</v>
      </c>
      <c r="AL1386">
        <v>0</v>
      </c>
      <c r="AM1386">
        <v>1</v>
      </c>
      <c r="AN1386" t="s">
        <v>768</v>
      </c>
      <c r="AO1386" t="s">
        <v>41</v>
      </c>
    </row>
    <row r="1387" spans="1:41" x14ac:dyDescent="0.25">
      <c r="A1387">
        <v>40</v>
      </c>
      <c r="B1387" t="s">
        <v>32</v>
      </c>
      <c r="C1387" t="s">
        <v>33</v>
      </c>
      <c r="D1387">
        <v>6</v>
      </c>
      <c r="E1387" t="s">
        <v>61</v>
      </c>
      <c r="F1387">
        <v>3</v>
      </c>
      <c r="G1387">
        <v>4</v>
      </c>
      <c r="H1387" t="s">
        <v>78</v>
      </c>
      <c r="I1387">
        <v>3</v>
      </c>
      <c r="J1387" t="s">
        <v>36</v>
      </c>
      <c r="K1387">
        <v>13237</v>
      </c>
      <c r="L1387">
        <v>7</v>
      </c>
      <c r="M1387" t="s">
        <v>41</v>
      </c>
      <c r="N1387">
        <v>15</v>
      </c>
      <c r="O1387">
        <v>3</v>
      </c>
      <c r="P1387">
        <v>0</v>
      </c>
      <c r="Q1387">
        <v>22</v>
      </c>
      <c r="R1387">
        <v>3</v>
      </c>
      <c r="S1387">
        <v>20</v>
      </c>
      <c r="T1387">
        <v>5</v>
      </c>
      <c r="U1387">
        <v>13</v>
      </c>
      <c r="V1387" t="s">
        <v>37</v>
      </c>
      <c r="W1387" s="2">
        <v>37073</v>
      </c>
      <c r="Y1387" t="s">
        <v>69</v>
      </c>
      <c r="Z1387" t="s">
        <v>47</v>
      </c>
      <c r="AA1387">
        <v>3</v>
      </c>
      <c r="AB1387">
        <v>0</v>
      </c>
      <c r="AC1387" t="s">
        <v>41</v>
      </c>
      <c r="AD1387" t="s">
        <v>42</v>
      </c>
      <c r="AE1387" t="s">
        <v>43</v>
      </c>
      <c r="AF1387" s="3">
        <v>1578</v>
      </c>
      <c r="AG1387" s="3">
        <v>60</v>
      </c>
      <c r="AH1387">
        <v>80</v>
      </c>
      <c r="AI1387">
        <v>6</v>
      </c>
      <c r="AJ1387">
        <v>0</v>
      </c>
      <c r="AL1387">
        <v>0</v>
      </c>
      <c r="AM1387">
        <v>1</v>
      </c>
      <c r="AN1387" t="s">
        <v>768</v>
      </c>
      <c r="AO1387" t="s">
        <v>41</v>
      </c>
    </row>
    <row r="1388" spans="1:41" x14ac:dyDescent="0.25">
      <c r="A1388">
        <v>50</v>
      </c>
      <c r="B1388" t="s">
        <v>32</v>
      </c>
      <c r="C1388" t="s">
        <v>33</v>
      </c>
      <c r="D1388">
        <v>28</v>
      </c>
      <c r="E1388" t="s">
        <v>34</v>
      </c>
      <c r="F1388">
        <v>4</v>
      </c>
      <c r="G1388">
        <v>1</v>
      </c>
      <c r="H1388" t="s">
        <v>35</v>
      </c>
      <c r="I1388">
        <v>3</v>
      </c>
      <c r="J1388" t="s">
        <v>51</v>
      </c>
      <c r="K1388">
        <v>3221</v>
      </c>
      <c r="L1388">
        <v>1</v>
      </c>
      <c r="M1388" t="s">
        <v>31</v>
      </c>
      <c r="N1388">
        <v>11</v>
      </c>
      <c r="O1388">
        <v>3</v>
      </c>
      <c r="P1388">
        <v>3</v>
      </c>
      <c r="Q1388">
        <v>20</v>
      </c>
      <c r="R1388">
        <v>3</v>
      </c>
      <c r="S1388">
        <v>20</v>
      </c>
      <c r="T1388">
        <v>3</v>
      </c>
      <c r="U1388">
        <v>8</v>
      </c>
      <c r="V1388" t="s">
        <v>58</v>
      </c>
      <c r="W1388" s="1" t="s">
        <v>706</v>
      </c>
      <c r="Y1388" t="s">
        <v>54</v>
      </c>
      <c r="Z1388" t="s">
        <v>47</v>
      </c>
      <c r="AA1388">
        <v>2</v>
      </c>
      <c r="AB1388">
        <v>2</v>
      </c>
      <c r="AC1388" t="s">
        <v>41</v>
      </c>
      <c r="AD1388" t="s">
        <v>48</v>
      </c>
      <c r="AE1388" t="s">
        <v>60</v>
      </c>
      <c r="AF1388" s="3">
        <v>1823</v>
      </c>
      <c r="AG1388" s="3">
        <v>92</v>
      </c>
      <c r="AH1388">
        <v>80</v>
      </c>
      <c r="AI1388">
        <v>8</v>
      </c>
      <c r="AJ1388">
        <v>0</v>
      </c>
      <c r="AL1388">
        <v>0</v>
      </c>
      <c r="AM1388">
        <v>1</v>
      </c>
      <c r="AN1388" t="s">
        <v>768</v>
      </c>
      <c r="AO1388" t="s">
        <v>41</v>
      </c>
    </row>
    <row r="1389" spans="1:41" x14ac:dyDescent="0.25">
      <c r="A1389">
        <v>39</v>
      </c>
      <c r="B1389" t="s">
        <v>32</v>
      </c>
      <c r="C1389" t="s">
        <v>33</v>
      </c>
      <c r="D1389">
        <v>2</v>
      </c>
      <c r="E1389" t="s">
        <v>61</v>
      </c>
      <c r="F1389">
        <v>2</v>
      </c>
      <c r="G1389">
        <v>2</v>
      </c>
      <c r="H1389" t="s">
        <v>89</v>
      </c>
      <c r="I1389">
        <v>3</v>
      </c>
      <c r="J1389" t="s">
        <v>36</v>
      </c>
      <c r="K1389">
        <v>4553</v>
      </c>
      <c r="L1389">
        <v>1</v>
      </c>
      <c r="M1389" t="s">
        <v>41</v>
      </c>
      <c r="N1389">
        <v>11</v>
      </c>
      <c r="O1389">
        <v>3</v>
      </c>
      <c r="P1389">
        <v>0</v>
      </c>
      <c r="Q1389">
        <v>20</v>
      </c>
      <c r="R1389">
        <v>4</v>
      </c>
      <c r="S1389">
        <v>20</v>
      </c>
      <c r="T1389">
        <v>11</v>
      </c>
      <c r="U1389">
        <v>10</v>
      </c>
      <c r="V1389" t="s">
        <v>72</v>
      </c>
      <c r="W1389" s="2">
        <v>37106</v>
      </c>
      <c r="Y1389" t="s">
        <v>46</v>
      </c>
      <c r="Z1389" t="s">
        <v>40</v>
      </c>
      <c r="AA1389">
        <v>5</v>
      </c>
      <c r="AB1389">
        <v>3</v>
      </c>
      <c r="AC1389" t="s">
        <v>41</v>
      </c>
      <c r="AD1389" t="s">
        <v>65</v>
      </c>
      <c r="AE1389" t="s">
        <v>60</v>
      </c>
      <c r="AF1389" s="3">
        <v>1950</v>
      </c>
      <c r="AG1389" s="3">
        <v>32</v>
      </c>
      <c r="AH1389">
        <v>80</v>
      </c>
      <c r="AI1389">
        <v>8</v>
      </c>
      <c r="AJ1389">
        <v>0</v>
      </c>
      <c r="AL1389">
        <v>0</v>
      </c>
      <c r="AM1389">
        <v>1</v>
      </c>
      <c r="AN1389" t="s">
        <v>768</v>
      </c>
      <c r="AO1389" t="s">
        <v>41</v>
      </c>
    </row>
    <row r="1390" spans="1:41" x14ac:dyDescent="0.25">
      <c r="A1390">
        <v>51</v>
      </c>
      <c r="B1390" t="s">
        <v>32</v>
      </c>
      <c r="C1390" t="s">
        <v>55</v>
      </c>
      <c r="D1390">
        <v>26</v>
      </c>
      <c r="E1390" t="s">
        <v>61</v>
      </c>
      <c r="F1390">
        <v>3</v>
      </c>
      <c r="G1390">
        <v>4</v>
      </c>
      <c r="H1390" t="s">
        <v>75</v>
      </c>
      <c r="I1390">
        <v>3</v>
      </c>
      <c r="J1390" t="s">
        <v>51</v>
      </c>
      <c r="K1390">
        <v>16307</v>
      </c>
      <c r="L1390">
        <v>2</v>
      </c>
      <c r="M1390" t="s">
        <v>41</v>
      </c>
      <c r="N1390">
        <v>14</v>
      </c>
      <c r="O1390">
        <v>3</v>
      </c>
      <c r="P1390">
        <v>1</v>
      </c>
      <c r="Q1390">
        <v>29</v>
      </c>
      <c r="R1390">
        <v>2</v>
      </c>
      <c r="S1390">
        <v>20</v>
      </c>
      <c r="T1390">
        <v>4</v>
      </c>
      <c r="U1390">
        <v>17</v>
      </c>
      <c r="V1390" t="s">
        <v>52</v>
      </c>
      <c r="W1390" s="1" t="s">
        <v>707</v>
      </c>
      <c r="Y1390" t="s">
        <v>63</v>
      </c>
      <c r="Z1390" t="s">
        <v>40</v>
      </c>
      <c r="AA1390">
        <v>0</v>
      </c>
      <c r="AB1390">
        <v>1</v>
      </c>
      <c r="AC1390" t="s">
        <v>31</v>
      </c>
      <c r="AD1390" t="s">
        <v>67</v>
      </c>
      <c r="AE1390" t="s">
        <v>60</v>
      </c>
      <c r="AF1390" s="3">
        <v>1775</v>
      </c>
      <c r="AG1390" s="3">
        <v>60</v>
      </c>
      <c r="AH1390">
        <v>80</v>
      </c>
      <c r="AI1390">
        <v>2</v>
      </c>
      <c r="AJ1390">
        <v>0</v>
      </c>
      <c r="AL1390">
        <v>0</v>
      </c>
      <c r="AM1390">
        <v>1</v>
      </c>
      <c r="AN1390" t="s">
        <v>768</v>
      </c>
      <c r="AO1390" t="s">
        <v>41</v>
      </c>
    </row>
    <row r="1391" spans="1:41" x14ac:dyDescent="0.25">
      <c r="A1391">
        <v>44</v>
      </c>
      <c r="B1391" t="s">
        <v>32</v>
      </c>
      <c r="C1391" t="s">
        <v>120</v>
      </c>
      <c r="D1391">
        <v>1</v>
      </c>
      <c r="E1391" t="s">
        <v>34</v>
      </c>
      <c r="F1391">
        <v>2</v>
      </c>
      <c r="G1391">
        <v>3</v>
      </c>
      <c r="H1391" t="s">
        <v>120</v>
      </c>
      <c r="I1391">
        <v>1</v>
      </c>
      <c r="J1391" t="s">
        <v>51</v>
      </c>
      <c r="K1391">
        <v>10482</v>
      </c>
      <c r="L1391">
        <v>9</v>
      </c>
      <c r="M1391" t="s">
        <v>41</v>
      </c>
      <c r="N1391">
        <v>14</v>
      </c>
      <c r="O1391">
        <v>3</v>
      </c>
      <c r="P1391">
        <v>1</v>
      </c>
      <c r="Q1391">
        <v>24</v>
      </c>
      <c r="R1391">
        <v>1</v>
      </c>
      <c r="S1391">
        <v>20</v>
      </c>
      <c r="T1391">
        <v>3</v>
      </c>
      <c r="U1391">
        <v>6</v>
      </c>
      <c r="V1391" t="s">
        <v>37</v>
      </c>
      <c r="W1391" s="2">
        <v>37013</v>
      </c>
      <c r="Y1391" t="s">
        <v>69</v>
      </c>
      <c r="Z1391" t="s">
        <v>47</v>
      </c>
      <c r="AA1391">
        <v>1</v>
      </c>
      <c r="AB1391">
        <v>2</v>
      </c>
      <c r="AC1391" t="s">
        <v>41</v>
      </c>
      <c r="AD1391" t="s">
        <v>65</v>
      </c>
      <c r="AE1391" t="s">
        <v>43</v>
      </c>
      <c r="AF1391" s="3">
        <v>1681</v>
      </c>
      <c r="AG1391" s="3">
        <v>36</v>
      </c>
      <c r="AH1391">
        <v>80</v>
      </c>
      <c r="AI1391">
        <v>5</v>
      </c>
      <c r="AJ1391">
        <v>0</v>
      </c>
      <c r="AL1391">
        <v>0</v>
      </c>
      <c r="AM1391">
        <v>1</v>
      </c>
      <c r="AN1391" t="s">
        <v>768</v>
      </c>
      <c r="AO1391" t="s">
        <v>41</v>
      </c>
    </row>
    <row r="1392" spans="1:41" x14ac:dyDescent="0.25">
      <c r="A1392">
        <v>40</v>
      </c>
      <c r="B1392" t="s">
        <v>32</v>
      </c>
      <c r="C1392" t="s">
        <v>33</v>
      </c>
      <c r="D1392">
        <v>14</v>
      </c>
      <c r="E1392" t="s">
        <v>34</v>
      </c>
      <c r="F1392">
        <v>2</v>
      </c>
      <c r="G1392">
        <v>5</v>
      </c>
      <c r="H1392" t="s">
        <v>50</v>
      </c>
      <c r="I1392">
        <v>3</v>
      </c>
      <c r="J1392" t="s">
        <v>36</v>
      </c>
      <c r="K1392">
        <v>19626</v>
      </c>
      <c r="L1392">
        <v>1</v>
      </c>
      <c r="M1392" t="s">
        <v>41</v>
      </c>
      <c r="N1392">
        <v>14</v>
      </c>
      <c r="O1392">
        <v>3</v>
      </c>
      <c r="P1392">
        <v>0</v>
      </c>
      <c r="Q1392">
        <v>21</v>
      </c>
      <c r="R1392">
        <v>2</v>
      </c>
      <c r="S1392">
        <v>20</v>
      </c>
      <c r="T1392">
        <v>4</v>
      </c>
      <c r="U1392">
        <v>9</v>
      </c>
      <c r="V1392" t="s">
        <v>72</v>
      </c>
      <c r="W1392" s="1" t="s">
        <v>704</v>
      </c>
      <c r="Y1392" t="s">
        <v>46</v>
      </c>
      <c r="Z1392" t="s">
        <v>47</v>
      </c>
      <c r="AA1392">
        <v>3</v>
      </c>
      <c r="AB1392">
        <v>2</v>
      </c>
      <c r="AC1392" t="s">
        <v>31</v>
      </c>
      <c r="AD1392" t="s">
        <v>65</v>
      </c>
      <c r="AE1392" t="s">
        <v>43</v>
      </c>
      <c r="AF1392" s="3">
        <v>2017</v>
      </c>
      <c r="AG1392" s="3">
        <v>42</v>
      </c>
      <c r="AH1392">
        <v>80</v>
      </c>
      <c r="AI1392">
        <v>11</v>
      </c>
      <c r="AJ1392">
        <v>0</v>
      </c>
      <c r="AL1392">
        <v>0</v>
      </c>
      <c r="AM1392">
        <v>1</v>
      </c>
      <c r="AN1392" t="s">
        <v>768</v>
      </c>
      <c r="AO1392" t="s">
        <v>41</v>
      </c>
    </row>
    <row r="1393" spans="1:41" x14ac:dyDescent="0.25">
      <c r="A1393">
        <v>44</v>
      </c>
      <c r="B1393" t="s">
        <v>32</v>
      </c>
      <c r="C1393" t="s">
        <v>33</v>
      </c>
      <c r="D1393">
        <v>29</v>
      </c>
      <c r="E1393" t="s">
        <v>34</v>
      </c>
      <c r="F1393">
        <v>3</v>
      </c>
      <c r="G1393">
        <v>2</v>
      </c>
      <c r="H1393" t="s">
        <v>44</v>
      </c>
      <c r="I1393">
        <v>4</v>
      </c>
      <c r="J1393" t="s">
        <v>36</v>
      </c>
      <c r="K1393">
        <v>4541</v>
      </c>
      <c r="L1393">
        <v>1</v>
      </c>
      <c r="M1393" t="s">
        <v>41</v>
      </c>
      <c r="N1393">
        <v>25</v>
      </c>
      <c r="O1393">
        <v>4</v>
      </c>
      <c r="P1393">
        <v>0</v>
      </c>
      <c r="Q1393">
        <v>20</v>
      </c>
      <c r="R1393">
        <v>3</v>
      </c>
      <c r="S1393">
        <v>20</v>
      </c>
      <c r="T1393">
        <v>13</v>
      </c>
      <c r="U1393">
        <v>17</v>
      </c>
      <c r="V1393" t="s">
        <v>37</v>
      </c>
      <c r="W1393" s="2">
        <v>36952</v>
      </c>
      <c r="Y1393" t="s">
        <v>39</v>
      </c>
      <c r="Z1393" t="s">
        <v>40</v>
      </c>
      <c r="AA1393">
        <v>3</v>
      </c>
      <c r="AB1393">
        <v>0</v>
      </c>
      <c r="AC1393" t="s">
        <v>31</v>
      </c>
      <c r="AD1393" t="s">
        <v>65</v>
      </c>
      <c r="AE1393" t="s">
        <v>60</v>
      </c>
      <c r="AF1393" s="3">
        <v>1423</v>
      </c>
      <c r="AG1393" s="3">
        <v>76</v>
      </c>
      <c r="AH1393">
        <v>80</v>
      </c>
      <c r="AI1393">
        <v>8</v>
      </c>
      <c r="AJ1393">
        <v>0</v>
      </c>
      <c r="AL1393">
        <v>0</v>
      </c>
      <c r="AM1393">
        <v>1</v>
      </c>
      <c r="AN1393" t="s">
        <v>768</v>
      </c>
      <c r="AO1393" t="s">
        <v>41</v>
      </c>
    </row>
    <row r="1394" spans="1:41" x14ac:dyDescent="0.25">
      <c r="A1394">
        <v>42</v>
      </c>
      <c r="B1394" t="s">
        <v>81</v>
      </c>
      <c r="C1394" t="s">
        <v>33</v>
      </c>
      <c r="D1394">
        <v>2</v>
      </c>
      <c r="E1394" t="s">
        <v>34</v>
      </c>
      <c r="F1394">
        <v>3</v>
      </c>
      <c r="G1394">
        <v>4</v>
      </c>
      <c r="H1394" t="s">
        <v>75</v>
      </c>
      <c r="I1394">
        <v>3</v>
      </c>
      <c r="J1394" t="s">
        <v>51</v>
      </c>
      <c r="K1394">
        <v>17861</v>
      </c>
      <c r="L1394">
        <v>0</v>
      </c>
      <c r="M1394" t="s">
        <v>31</v>
      </c>
      <c r="N1394">
        <v>13</v>
      </c>
      <c r="O1394">
        <v>3</v>
      </c>
      <c r="P1394">
        <v>0</v>
      </c>
      <c r="Q1394">
        <v>21</v>
      </c>
      <c r="R1394">
        <v>3</v>
      </c>
      <c r="S1394">
        <v>20</v>
      </c>
      <c r="T1394">
        <v>2</v>
      </c>
      <c r="U1394">
        <v>10</v>
      </c>
      <c r="V1394" t="s">
        <v>37</v>
      </c>
      <c r="W1394" s="1" t="s">
        <v>708</v>
      </c>
      <c r="Y1394" t="s">
        <v>39</v>
      </c>
      <c r="Z1394" t="s">
        <v>40</v>
      </c>
      <c r="AA1394">
        <v>4</v>
      </c>
      <c r="AB1394">
        <v>2</v>
      </c>
      <c r="AC1394" t="s">
        <v>41</v>
      </c>
      <c r="AD1394" t="s">
        <v>67</v>
      </c>
      <c r="AE1394" t="s">
        <v>43</v>
      </c>
      <c r="AF1394" s="3">
        <v>1847</v>
      </c>
      <c r="AG1394" s="3">
        <v>73</v>
      </c>
      <c r="AH1394">
        <v>80</v>
      </c>
      <c r="AI1394">
        <v>0</v>
      </c>
      <c r="AJ1394">
        <v>0</v>
      </c>
      <c r="AL1394">
        <v>0</v>
      </c>
      <c r="AM1394">
        <v>1</v>
      </c>
      <c r="AN1394" t="s">
        <v>768</v>
      </c>
      <c r="AO1394" t="s">
        <v>41</v>
      </c>
    </row>
    <row r="1395" spans="1:41" x14ac:dyDescent="0.25">
      <c r="A1395">
        <v>43</v>
      </c>
      <c r="B1395" t="s">
        <v>32</v>
      </c>
      <c r="C1395" t="s">
        <v>33</v>
      </c>
      <c r="D1395">
        <v>6</v>
      </c>
      <c r="E1395" t="s">
        <v>61</v>
      </c>
      <c r="F1395">
        <v>2</v>
      </c>
      <c r="G1395">
        <v>2</v>
      </c>
      <c r="H1395" t="s">
        <v>44</v>
      </c>
      <c r="I1395">
        <v>3</v>
      </c>
      <c r="J1395" t="s">
        <v>36</v>
      </c>
      <c r="K1395">
        <v>4081</v>
      </c>
      <c r="L1395">
        <v>1</v>
      </c>
      <c r="M1395" t="s">
        <v>31</v>
      </c>
      <c r="N1395">
        <v>14</v>
      </c>
      <c r="O1395">
        <v>3</v>
      </c>
      <c r="P1395">
        <v>0</v>
      </c>
      <c r="Q1395">
        <v>20</v>
      </c>
      <c r="R1395">
        <v>3</v>
      </c>
      <c r="S1395">
        <v>20</v>
      </c>
      <c r="T1395">
        <v>1</v>
      </c>
      <c r="U1395">
        <v>8</v>
      </c>
      <c r="V1395" t="s">
        <v>37</v>
      </c>
      <c r="W1395" s="2">
        <v>36892</v>
      </c>
      <c r="Y1395" t="s">
        <v>39</v>
      </c>
      <c r="Z1395" t="s">
        <v>40</v>
      </c>
      <c r="AA1395">
        <v>5</v>
      </c>
      <c r="AB1395">
        <v>1</v>
      </c>
      <c r="AC1395" t="s">
        <v>31</v>
      </c>
      <c r="AD1395" t="s">
        <v>42</v>
      </c>
      <c r="AE1395" t="s">
        <v>49</v>
      </c>
      <c r="AF1395" s="3">
        <v>2018</v>
      </c>
      <c r="AG1395" s="3">
        <v>85</v>
      </c>
      <c r="AH1395">
        <v>80</v>
      </c>
      <c r="AI1395">
        <v>3</v>
      </c>
      <c r="AJ1395">
        <v>0</v>
      </c>
      <c r="AL1395">
        <v>0</v>
      </c>
      <c r="AM1395">
        <v>1</v>
      </c>
      <c r="AN1395" t="s">
        <v>768</v>
      </c>
      <c r="AO1395" t="s">
        <v>41</v>
      </c>
    </row>
    <row r="1396" spans="1:41" x14ac:dyDescent="0.25">
      <c r="A1396">
        <v>42</v>
      </c>
      <c r="B1396" t="s">
        <v>32</v>
      </c>
      <c r="C1396" t="s">
        <v>120</v>
      </c>
      <c r="D1396">
        <v>10</v>
      </c>
      <c r="E1396" t="s">
        <v>61</v>
      </c>
      <c r="F1396">
        <v>3</v>
      </c>
      <c r="G1396">
        <v>4</v>
      </c>
      <c r="H1396" t="s">
        <v>75</v>
      </c>
      <c r="I1396">
        <v>1</v>
      </c>
      <c r="J1396" t="s">
        <v>51</v>
      </c>
      <c r="K1396">
        <v>16799</v>
      </c>
      <c r="L1396">
        <v>0</v>
      </c>
      <c r="M1396" t="s">
        <v>41</v>
      </c>
      <c r="N1396">
        <v>14</v>
      </c>
      <c r="O1396">
        <v>3</v>
      </c>
      <c r="P1396">
        <v>1</v>
      </c>
      <c r="Q1396">
        <v>21</v>
      </c>
      <c r="R1396">
        <v>5</v>
      </c>
      <c r="S1396">
        <v>20</v>
      </c>
      <c r="T1396">
        <v>0</v>
      </c>
      <c r="U1396">
        <v>9</v>
      </c>
      <c r="V1396" t="s">
        <v>37</v>
      </c>
      <c r="W1396" s="2">
        <v>37170</v>
      </c>
      <c r="Y1396" t="s">
        <v>46</v>
      </c>
      <c r="Z1396" t="s">
        <v>47</v>
      </c>
      <c r="AA1396">
        <v>4</v>
      </c>
      <c r="AB1396">
        <v>0</v>
      </c>
      <c r="AC1396" t="s">
        <v>31</v>
      </c>
      <c r="AD1396" t="s">
        <v>42</v>
      </c>
      <c r="AE1396" t="s">
        <v>43</v>
      </c>
      <c r="AF1396" s="3">
        <v>1835</v>
      </c>
      <c r="AG1396" s="3">
        <v>77</v>
      </c>
      <c r="AH1396">
        <v>80</v>
      </c>
      <c r="AI1396">
        <v>2</v>
      </c>
      <c r="AJ1396">
        <v>0</v>
      </c>
      <c r="AL1396">
        <v>0</v>
      </c>
      <c r="AM1396">
        <v>1</v>
      </c>
      <c r="AN1396" t="s">
        <v>768</v>
      </c>
      <c r="AO1396" t="s">
        <v>41</v>
      </c>
    </row>
    <row r="1397" spans="1:41" x14ac:dyDescent="0.25">
      <c r="A1397">
        <v>54</v>
      </c>
      <c r="B1397" t="s">
        <v>32</v>
      </c>
      <c r="C1397" t="s">
        <v>33</v>
      </c>
      <c r="D1397">
        <v>1</v>
      </c>
      <c r="E1397" t="s">
        <v>61</v>
      </c>
      <c r="F1397">
        <v>3</v>
      </c>
      <c r="G1397">
        <v>4</v>
      </c>
      <c r="H1397" t="s">
        <v>50</v>
      </c>
      <c r="I1397">
        <v>4</v>
      </c>
      <c r="J1397" t="s">
        <v>36</v>
      </c>
      <c r="K1397">
        <v>17328</v>
      </c>
      <c r="L1397">
        <v>6</v>
      </c>
      <c r="M1397" t="s">
        <v>41</v>
      </c>
      <c r="N1397">
        <v>19</v>
      </c>
      <c r="O1397">
        <v>3</v>
      </c>
      <c r="P1397">
        <v>0</v>
      </c>
      <c r="Q1397">
        <v>29</v>
      </c>
      <c r="R1397">
        <v>3</v>
      </c>
      <c r="S1397">
        <v>20</v>
      </c>
      <c r="T1397">
        <v>12</v>
      </c>
      <c r="U1397">
        <v>7</v>
      </c>
      <c r="V1397" t="s">
        <v>58</v>
      </c>
      <c r="W1397" s="2">
        <v>37170</v>
      </c>
      <c r="Y1397" t="s">
        <v>39</v>
      </c>
      <c r="Z1397" t="s">
        <v>40</v>
      </c>
      <c r="AA1397">
        <v>0</v>
      </c>
      <c r="AB1397">
        <v>2</v>
      </c>
      <c r="AC1397" t="s">
        <v>31</v>
      </c>
      <c r="AD1397" t="s">
        <v>67</v>
      </c>
      <c r="AE1397" t="s">
        <v>60</v>
      </c>
      <c r="AF1397" s="3">
        <v>1550</v>
      </c>
      <c r="AG1397" s="3">
        <v>38</v>
      </c>
      <c r="AH1397">
        <v>80</v>
      </c>
      <c r="AI1397">
        <v>7</v>
      </c>
      <c r="AJ1397">
        <v>0</v>
      </c>
      <c r="AL1397">
        <v>0</v>
      </c>
      <c r="AM1397">
        <v>1</v>
      </c>
      <c r="AN1397" t="s">
        <v>768</v>
      </c>
      <c r="AO1397" t="s">
        <v>41</v>
      </c>
    </row>
    <row r="1398" spans="1:41" x14ac:dyDescent="0.25">
      <c r="A1398">
        <v>47</v>
      </c>
      <c r="B1398" t="s">
        <v>32</v>
      </c>
      <c r="C1398" t="s">
        <v>33</v>
      </c>
      <c r="D1398">
        <v>2</v>
      </c>
      <c r="E1398" t="s">
        <v>61</v>
      </c>
      <c r="F1398">
        <v>3</v>
      </c>
      <c r="G1398">
        <v>4</v>
      </c>
      <c r="H1398" t="s">
        <v>50</v>
      </c>
      <c r="I1398">
        <v>3</v>
      </c>
      <c r="J1398" t="s">
        <v>51</v>
      </c>
      <c r="K1398">
        <v>17169</v>
      </c>
      <c r="L1398">
        <v>3</v>
      </c>
      <c r="M1398" t="s">
        <v>41</v>
      </c>
      <c r="N1398">
        <v>19</v>
      </c>
      <c r="O1398">
        <v>3</v>
      </c>
      <c r="P1398">
        <v>2</v>
      </c>
      <c r="Q1398">
        <v>26</v>
      </c>
      <c r="R1398">
        <v>2</v>
      </c>
      <c r="S1398">
        <v>20</v>
      </c>
      <c r="T1398">
        <v>5</v>
      </c>
      <c r="U1398">
        <v>6</v>
      </c>
      <c r="V1398" t="s">
        <v>58</v>
      </c>
      <c r="W1398" s="1" t="s">
        <v>709</v>
      </c>
      <c r="Y1398" t="s">
        <v>63</v>
      </c>
      <c r="Z1398" t="s">
        <v>40</v>
      </c>
      <c r="AA1398">
        <v>2</v>
      </c>
      <c r="AB1398">
        <v>0</v>
      </c>
      <c r="AC1398" t="s">
        <v>41</v>
      </c>
      <c r="AD1398" t="s">
        <v>67</v>
      </c>
      <c r="AE1398" t="s">
        <v>49</v>
      </c>
      <c r="AF1398" s="3">
        <v>2064</v>
      </c>
      <c r="AG1398" s="3">
        <v>87</v>
      </c>
      <c r="AH1398">
        <v>80</v>
      </c>
      <c r="AI1398">
        <v>2</v>
      </c>
      <c r="AJ1398">
        <v>0</v>
      </c>
      <c r="AL1398">
        <v>0</v>
      </c>
      <c r="AM1398">
        <v>1</v>
      </c>
      <c r="AN1398" t="s">
        <v>768</v>
      </c>
      <c r="AO1398" t="s">
        <v>41</v>
      </c>
    </row>
    <row r="1399" spans="1:41" x14ac:dyDescent="0.25">
      <c r="A1399">
        <v>44</v>
      </c>
      <c r="B1399" t="s">
        <v>32</v>
      </c>
      <c r="C1399" t="s">
        <v>33</v>
      </c>
      <c r="D1399">
        <v>28</v>
      </c>
      <c r="E1399" t="s">
        <v>34</v>
      </c>
      <c r="F1399">
        <v>3</v>
      </c>
      <c r="G1399">
        <v>4</v>
      </c>
      <c r="H1399" t="s">
        <v>50</v>
      </c>
      <c r="I1399">
        <v>1</v>
      </c>
      <c r="J1399" t="s">
        <v>51</v>
      </c>
      <c r="K1399">
        <v>16328</v>
      </c>
      <c r="L1399">
        <v>3</v>
      </c>
      <c r="M1399" t="s">
        <v>41</v>
      </c>
      <c r="N1399">
        <v>13</v>
      </c>
      <c r="O1399">
        <v>3</v>
      </c>
      <c r="P1399">
        <v>1</v>
      </c>
      <c r="Q1399">
        <v>24</v>
      </c>
      <c r="R1399">
        <v>1</v>
      </c>
      <c r="S1399">
        <v>20</v>
      </c>
      <c r="T1399">
        <v>14</v>
      </c>
      <c r="U1399">
        <v>17</v>
      </c>
      <c r="V1399" t="s">
        <v>37</v>
      </c>
      <c r="W1399" s="1" t="s">
        <v>710</v>
      </c>
      <c r="Y1399" t="s">
        <v>39</v>
      </c>
      <c r="Z1399" t="s">
        <v>40</v>
      </c>
      <c r="AA1399">
        <v>1</v>
      </c>
      <c r="AB1399">
        <v>2</v>
      </c>
      <c r="AC1399" t="s">
        <v>31</v>
      </c>
      <c r="AD1399" t="s">
        <v>48</v>
      </c>
      <c r="AE1399" t="s">
        <v>49</v>
      </c>
      <c r="AF1399" s="3">
        <v>1885</v>
      </c>
      <c r="AG1399" s="3">
        <v>78</v>
      </c>
      <c r="AH1399">
        <v>80</v>
      </c>
      <c r="AI1399">
        <v>3</v>
      </c>
      <c r="AJ1399">
        <v>0</v>
      </c>
      <c r="AL1399">
        <v>0</v>
      </c>
      <c r="AM1399">
        <v>1</v>
      </c>
      <c r="AN1399" t="s">
        <v>768</v>
      </c>
      <c r="AO1399" t="s">
        <v>41</v>
      </c>
    </row>
    <row r="1400" spans="1:41" x14ac:dyDescent="0.25">
      <c r="A1400">
        <v>42</v>
      </c>
      <c r="B1400" t="s">
        <v>66</v>
      </c>
      <c r="C1400" t="s">
        <v>33</v>
      </c>
      <c r="D1400">
        <v>2</v>
      </c>
      <c r="E1400" t="s">
        <v>34</v>
      </c>
      <c r="F1400">
        <v>3</v>
      </c>
      <c r="G1400">
        <v>3</v>
      </c>
      <c r="H1400" t="s">
        <v>89</v>
      </c>
      <c r="I1400">
        <v>4</v>
      </c>
      <c r="J1400" t="s">
        <v>51</v>
      </c>
      <c r="K1400">
        <v>10124</v>
      </c>
      <c r="L1400">
        <v>2</v>
      </c>
      <c r="M1400" t="s">
        <v>31</v>
      </c>
      <c r="N1400">
        <v>14</v>
      </c>
      <c r="O1400">
        <v>3</v>
      </c>
      <c r="P1400">
        <v>1</v>
      </c>
      <c r="Q1400">
        <v>24</v>
      </c>
      <c r="R1400">
        <v>3</v>
      </c>
      <c r="S1400">
        <v>20</v>
      </c>
      <c r="T1400">
        <v>13</v>
      </c>
      <c r="U1400">
        <v>9</v>
      </c>
      <c r="V1400" t="s">
        <v>37</v>
      </c>
      <c r="W1400" s="1" t="s">
        <v>711</v>
      </c>
      <c r="Y1400" t="s">
        <v>69</v>
      </c>
      <c r="Z1400" t="s">
        <v>47</v>
      </c>
      <c r="AA1400">
        <v>3</v>
      </c>
      <c r="AB1400">
        <v>2</v>
      </c>
      <c r="AC1400" t="s">
        <v>31</v>
      </c>
      <c r="AD1400" t="s">
        <v>67</v>
      </c>
      <c r="AE1400" t="s">
        <v>43</v>
      </c>
      <c r="AF1400" s="3">
        <v>1541</v>
      </c>
      <c r="AG1400" s="3">
        <v>55</v>
      </c>
      <c r="AH1400">
        <v>80</v>
      </c>
      <c r="AI1400">
        <v>10</v>
      </c>
      <c r="AJ1400">
        <v>0</v>
      </c>
      <c r="AL1400">
        <v>0</v>
      </c>
      <c r="AM1400">
        <v>1</v>
      </c>
      <c r="AN1400" t="s">
        <v>768</v>
      </c>
      <c r="AO1400" t="s">
        <v>41</v>
      </c>
    </row>
    <row r="1401" spans="1:41" x14ac:dyDescent="0.25">
      <c r="A1401">
        <v>38</v>
      </c>
      <c r="B1401" t="s">
        <v>66</v>
      </c>
      <c r="C1401" t="s">
        <v>33</v>
      </c>
      <c r="D1401">
        <v>8</v>
      </c>
      <c r="E1401" t="s">
        <v>61</v>
      </c>
      <c r="F1401">
        <v>2</v>
      </c>
      <c r="G1401">
        <v>2</v>
      </c>
      <c r="H1401" t="s">
        <v>44</v>
      </c>
      <c r="I1401">
        <v>2</v>
      </c>
      <c r="J1401" t="s">
        <v>57</v>
      </c>
      <c r="K1401">
        <v>2133</v>
      </c>
      <c r="L1401">
        <v>1</v>
      </c>
      <c r="M1401" t="s">
        <v>31</v>
      </c>
      <c r="N1401">
        <v>16</v>
      </c>
      <c r="O1401">
        <v>3</v>
      </c>
      <c r="P1401">
        <v>1</v>
      </c>
      <c r="Q1401">
        <v>20</v>
      </c>
      <c r="R1401">
        <v>3</v>
      </c>
      <c r="S1401">
        <v>20</v>
      </c>
      <c r="T1401">
        <v>0</v>
      </c>
      <c r="U1401">
        <v>7</v>
      </c>
      <c r="V1401" t="s">
        <v>52</v>
      </c>
      <c r="W1401" s="1" t="s">
        <v>712</v>
      </c>
      <c r="Y1401" t="s">
        <v>54</v>
      </c>
      <c r="Z1401" t="s">
        <v>40</v>
      </c>
      <c r="AA1401">
        <v>5</v>
      </c>
      <c r="AB1401">
        <v>1</v>
      </c>
      <c r="AC1401" t="s">
        <v>31</v>
      </c>
      <c r="AD1401" t="s">
        <v>48</v>
      </c>
      <c r="AE1401" t="s">
        <v>60</v>
      </c>
      <c r="AF1401" s="3">
        <v>1556</v>
      </c>
      <c r="AG1401" s="3">
        <v>70</v>
      </c>
      <c r="AH1401">
        <v>80</v>
      </c>
      <c r="AI1401">
        <v>2</v>
      </c>
      <c r="AJ1401">
        <v>0</v>
      </c>
      <c r="AL1401">
        <v>0</v>
      </c>
      <c r="AM1401">
        <v>1</v>
      </c>
      <c r="AN1401" t="s">
        <v>768</v>
      </c>
      <c r="AO1401" t="s">
        <v>41</v>
      </c>
    </row>
    <row r="1402" spans="1:41" x14ac:dyDescent="0.25">
      <c r="A1402">
        <v>39</v>
      </c>
      <c r="B1402" t="s">
        <v>32</v>
      </c>
      <c r="C1402" t="s">
        <v>55</v>
      </c>
      <c r="D1402">
        <v>15</v>
      </c>
      <c r="E1402" t="s">
        <v>34</v>
      </c>
      <c r="F1402">
        <v>3</v>
      </c>
      <c r="G1402">
        <v>4</v>
      </c>
      <c r="H1402" t="s">
        <v>70</v>
      </c>
      <c r="I1402">
        <v>1</v>
      </c>
      <c r="J1402" t="s">
        <v>36</v>
      </c>
      <c r="K1402">
        <v>13341</v>
      </c>
      <c r="L1402">
        <v>0</v>
      </c>
      <c r="M1402" t="s">
        <v>41</v>
      </c>
      <c r="N1402">
        <v>12</v>
      </c>
      <c r="O1402">
        <v>3</v>
      </c>
      <c r="P1402">
        <v>0</v>
      </c>
      <c r="Q1402">
        <v>21</v>
      </c>
      <c r="R1402">
        <v>3</v>
      </c>
      <c r="S1402">
        <v>20</v>
      </c>
      <c r="T1402">
        <v>11</v>
      </c>
      <c r="U1402">
        <v>10</v>
      </c>
      <c r="V1402" t="s">
        <v>37</v>
      </c>
      <c r="W1402" s="2">
        <v>37197</v>
      </c>
      <c r="Y1402" t="s">
        <v>46</v>
      </c>
      <c r="Z1402" t="s">
        <v>47</v>
      </c>
      <c r="AA1402">
        <v>2</v>
      </c>
      <c r="AB1402">
        <v>0</v>
      </c>
      <c r="AC1402" t="s">
        <v>31</v>
      </c>
      <c r="AD1402" t="s">
        <v>48</v>
      </c>
      <c r="AE1402" t="s">
        <v>43</v>
      </c>
      <c r="AF1402" s="3">
        <v>1747</v>
      </c>
      <c r="AG1402" s="3">
        <v>66</v>
      </c>
      <c r="AH1402">
        <v>80</v>
      </c>
      <c r="AI1402">
        <v>2</v>
      </c>
      <c r="AJ1402">
        <v>1</v>
      </c>
      <c r="AK1402">
        <v>1</v>
      </c>
      <c r="AL1402">
        <v>1</v>
      </c>
      <c r="AM1402">
        <v>0</v>
      </c>
      <c r="AN1402" t="s">
        <v>767</v>
      </c>
      <c r="AO1402" t="s">
        <v>31</v>
      </c>
    </row>
    <row r="1403" spans="1:41" x14ac:dyDescent="0.25">
      <c r="A1403">
        <v>42</v>
      </c>
      <c r="B1403" t="s">
        <v>81</v>
      </c>
      <c r="C1403" t="s">
        <v>33</v>
      </c>
      <c r="D1403">
        <v>23</v>
      </c>
      <c r="E1403" t="s">
        <v>34</v>
      </c>
      <c r="F1403">
        <v>2</v>
      </c>
      <c r="G1403">
        <v>2</v>
      </c>
      <c r="H1403" t="s">
        <v>44</v>
      </c>
      <c r="I1403">
        <v>3</v>
      </c>
      <c r="J1403" t="s">
        <v>36</v>
      </c>
      <c r="K1403">
        <v>4332</v>
      </c>
      <c r="L1403">
        <v>1</v>
      </c>
      <c r="M1403" t="s">
        <v>41</v>
      </c>
      <c r="N1403">
        <v>12</v>
      </c>
      <c r="O1403">
        <v>3</v>
      </c>
      <c r="P1403">
        <v>0</v>
      </c>
      <c r="Q1403">
        <v>20</v>
      </c>
      <c r="R1403">
        <v>2</v>
      </c>
      <c r="S1403">
        <v>20</v>
      </c>
      <c r="T1403">
        <v>3</v>
      </c>
      <c r="U1403">
        <v>7</v>
      </c>
      <c r="V1403" t="s">
        <v>58</v>
      </c>
      <c r="W1403" s="2">
        <v>36987</v>
      </c>
      <c r="Y1403" t="s">
        <v>63</v>
      </c>
      <c r="Z1403" t="s">
        <v>40</v>
      </c>
      <c r="AA1403">
        <v>1</v>
      </c>
      <c r="AB1403">
        <v>1</v>
      </c>
      <c r="AC1403" t="s">
        <v>31</v>
      </c>
      <c r="AD1403" t="s">
        <v>48</v>
      </c>
      <c r="AE1403" t="s">
        <v>43</v>
      </c>
      <c r="AF1403" s="3">
        <v>1944</v>
      </c>
      <c r="AG1403" s="3">
        <v>58</v>
      </c>
      <c r="AH1403">
        <v>80</v>
      </c>
      <c r="AI1403">
        <v>0</v>
      </c>
      <c r="AJ1403">
        <v>1</v>
      </c>
      <c r="AK1403">
        <v>1</v>
      </c>
      <c r="AL1403">
        <v>1</v>
      </c>
      <c r="AM1403">
        <v>0</v>
      </c>
      <c r="AN1403" t="s">
        <v>767</v>
      </c>
      <c r="AO1403" t="s">
        <v>31</v>
      </c>
    </row>
    <row r="1404" spans="1:41" x14ac:dyDescent="0.25">
      <c r="A1404">
        <v>41</v>
      </c>
      <c r="B1404" t="s">
        <v>32</v>
      </c>
      <c r="C1404" t="s">
        <v>33</v>
      </c>
      <c r="D1404">
        <v>28</v>
      </c>
      <c r="E1404" t="s">
        <v>61</v>
      </c>
      <c r="F1404">
        <v>2</v>
      </c>
      <c r="G1404">
        <v>4</v>
      </c>
      <c r="H1404" t="s">
        <v>78</v>
      </c>
      <c r="I1404">
        <v>2</v>
      </c>
      <c r="J1404" t="s">
        <v>51</v>
      </c>
      <c r="K1404">
        <v>13570</v>
      </c>
      <c r="L1404">
        <v>0</v>
      </c>
      <c r="M1404" t="s">
        <v>41</v>
      </c>
      <c r="N1404">
        <v>23</v>
      </c>
      <c r="O1404">
        <v>4</v>
      </c>
      <c r="P1404">
        <v>1</v>
      </c>
      <c r="Q1404">
        <v>21</v>
      </c>
      <c r="R1404">
        <v>3</v>
      </c>
      <c r="S1404">
        <v>20</v>
      </c>
      <c r="T1404">
        <v>0</v>
      </c>
      <c r="U1404">
        <v>10</v>
      </c>
      <c r="V1404" t="s">
        <v>52</v>
      </c>
      <c r="W1404" s="1" t="s">
        <v>713</v>
      </c>
      <c r="Y1404" t="s">
        <v>39</v>
      </c>
      <c r="Z1404" t="s">
        <v>47</v>
      </c>
      <c r="AA1404">
        <v>0</v>
      </c>
      <c r="AB1404">
        <v>1</v>
      </c>
      <c r="AC1404" t="s">
        <v>41</v>
      </c>
      <c r="AD1404" t="s">
        <v>42</v>
      </c>
      <c r="AE1404" t="s">
        <v>43</v>
      </c>
      <c r="AF1404" s="3">
        <v>1459</v>
      </c>
      <c r="AG1404" s="3">
        <v>100</v>
      </c>
      <c r="AH1404">
        <v>80</v>
      </c>
      <c r="AI1404">
        <v>8</v>
      </c>
      <c r="AJ1404">
        <v>1</v>
      </c>
      <c r="AK1404">
        <v>1</v>
      </c>
      <c r="AL1404">
        <v>1</v>
      </c>
      <c r="AM1404">
        <v>0</v>
      </c>
      <c r="AN1404" t="s">
        <v>767</v>
      </c>
      <c r="AO1404" t="s">
        <v>31</v>
      </c>
    </row>
    <row r="1405" spans="1:41" x14ac:dyDescent="0.25">
      <c r="A1405">
        <v>39</v>
      </c>
      <c r="B1405" t="s">
        <v>32</v>
      </c>
      <c r="C1405" t="s">
        <v>55</v>
      </c>
      <c r="D1405">
        <v>24</v>
      </c>
      <c r="E1405" t="s">
        <v>61</v>
      </c>
      <c r="F1405">
        <v>2</v>
      </c>
      <c r="G1405">
        <v>4</v>
      </c>
      <c r="H1405" t="s">
        <v>70</v>
      </c>
      <c r="I1405">
        <v>4</v>
      </c>
      <c r="J1405" t="s">
        <v>51</v>
      </c>
      <c r="K1405">
        <v>12031</v>
      </c>
      <c r="L1405">
        <v>0</v>
      </c>
      <c r="M1405" t="s">
        <v>41</v>
      </c>
      <c r="N1405">
        <v>11</v>
      </c>
      <c r="O1405">
        <v>3</v>
      </c>
      <c r="P1405">
        <v>1</v>
      </c>
      <c r="Q1405">
        <v>21</v>
      </c>
      <c r="R1405">
        <v>2</v>
      </c>
      <c r="S1405">
        <v>20</v>
      </c>
      <c r="T1405">
        <v>9</v>
      </c>
      <c r="U1405">
        <v>6</v>
      </c>
      <c r="V1405" t="s">
        <v>37</v>
      </c>
      <c r="W1405" s="2">
        <v>36895</v>
      </c>
      <c r="Y1405" t="s">
        <v>69</v>
      </c>
      <c r="Z1405" t="s">
        <v>40</v>
      </c>
      <c r="AA1405">
        <v>0</v>
      </c>
      <c r="AB1405">
        <v>0</v>
      </c>
      <c r="AC1405" t="s">
        <v>31</v>
      </c>
      <c r="AD1405" t="s">
        <v>67</v>
      </c>
      <c r="AE1405" t="s">
        <v>43</v>
      </c>
      <c r="AF1405" s="3">
        <v>1537</v>
      </c>
      <c r="AG1405" s="3">
        <v>33</v>
      </c>
      <c r="AH1405">
        <v>80</v>
      </c>
      <c r="AI1405">
        <v>2</v>
      </c>
      <c r="AJ1405">
        <v>1</v>
      </c>
      <c r="AK1405">
        <v>1</v>
      </c>
      <c r="AL1405">
        <v>1</v>
      </c>
      <c r="AM1405">
        <v>0</v>
      </c>
      <c r="AN1405" t="s">
        <v>767</v>
      </c>
      <c r="AO1405" t="s">
        <v>31</v>
      </c>
    </row>
    <row r="1406" spans="1:41" x14ac:dyDescent="0.25">
      <c r="A1406">
        <v>59</v>
      </c>
      <c r="B1406" t="s">
        <v>32</v>
      </c>
      <c r="C1406" t="s">
        <v>55</v>
      </c>
      <c r="D1406">
        <v>25</v>
      </c>
      <c r="E1406" t="s">
        <v>61</v>
      </c>
      <c r="F1406">
        <v>3</v>
      </c>
      <c r="G1406">
        <v>3</v>
      </c>
      <c r="H1406" t="s">
        <v>70</v>
      </c>
      <c r="I1406">
        <v>1</v>
      </c>
      <c r="J1406" t="s">
        <v>36</v>
      </c>
      <c r="K1406">
        <v>7637</v>
      </c>
      <c r="L1406">
        <v>7</v>
      </c>
      <c r="M1406" t="s">
        <v>41</v>
      </c>
      <c r="N1406">
        <v>11</v>
      </c>
      <c r="O1406">
        <v>3</v>
      </c>
      <c r="P1406">
        <v>0</v>
      </c>
      <c r="Q1406">
        <v>28</v>
      </c>
      <c r="R1406">
        <v>3</v>
      </c>
      <c r="S1406">
        <v>21</v>
      </c>
      <c r="T1406">
        <v>7</v>
      </c>
      <c r="U1406">
        <v>9</v>
      </c>
      <c r="V1406" t="s">
        <v>72</v>
      </c>
      <c r="W1406" s="1" t="s">
        <v>714</v>
      </c>
      <c r="Y1406" t="s">
        <v>63</v>
      </c>
      <c r="Z1406" t="s">
        <v>40</v>
      </c>
      <c r="AA1406">
        <v>2</v>
      </c>
      <c r="AB1406">
        <v>3</v>
      </c>
      <c r="AC1406" t="s">
        <v>31</v>
      </c>
      <c r="AD1406" t="s">
        <v>65</v>
      </c>
      <c r="AE1406" t="s">
        <v>49</v>
      </c>
      <c r="AF1406" s="3">
        <v>1487</v>
      </c>
      <c r="AG1406" s="3">
        <v>51</v>
      </c>
      <c r="AH1406">
        <v>80</v>
      </c>
      <c r="AI1406">
        <v>3</v>
      </c>
      <c r="AJ1406">
        <v>1</v>
      </c>
      <c r="AK1406">
        <v>1</v>
      </c>
      <c r="AL1406">
        <v>1</v>
      </c>
      <c r="AM1406">
        <v>0</v>
      </c>
      <c r="AN1406" t="s">
        <v>767</v>
      </c>
      <c r="AO1406" t="s">
        <v>31</v>
      </c>
    </row>
    <row r="1407" spans="1:41" x14ac:dyDescent="0.25">
      <c r="A1407">
        <v>40</v>
      </c>
      <c r="B1407" t="s">
        <v>32</v>
      </c>
      <c r="C1407" t="s">
        <v>33</v>
      </c>
      <c r="D1407">
        <v>2</v>
      </c>
      <c r="E1407" t="s">
        <v>34</v>
      </c>
      <c r="F1407">
        <v>3</v>
      </c>
      <c r="G1407">
        <v>5</v>
      </c>
      <c r="H1407" t="s">
        <v>50</v>
      </c>
      <c r="I1407">
        <v>3</v>
      </c>
      <c r="J1407" t="s">
        <v>57</v>
      </c>
      <c r="K1407">
        <v>19436</v>
      </c>
      <c r="L1407">
        <v>0</v>
      </c>
      <c r="M1407" t="s">
        <v>41</v>
      </c>
      <c r="N1407">
        <v>19</v>
      </c>
      <c r="O1407">
        <v>3</v>
      </c>
      <c r="P1407">
        <v>1</v>
      </c>
      <c r="Q1407">
        <v>22</v>
      </c>
      <c r="R1407">
        <v>5</v>
      </c>
      <c r="S1407">
        <v>21</v>
      </c>
      <c r="T1407">
        <v>3</v>
      </c>
      <c r="U1407">
        <v>9</v>
      </c>
      <c r="V1407" t="s">
        <v>58</v>
      </c>
      <c r="W1407" s="1" t="s">
        <v>715</v>
      </c>
      <c r="Y1407" t="s">
        <v>54</v>
      </c>
      <c r="Z1407" t="s">
        <v>40</v>
      </c>
      <c r="AA1407">
        <v>3</v>
      </c>
      <c r="AB1407">
        <v>2</v>
      </c>
      <c r="AC1407" t="s">
        <v>41</v>
      </c>
      <c r="AD1407" t="s">
        <v>67</v>
      </c>
      <c r="AE1407" t="s">
        <v>43</v>
      </c>
      <c r="AF1407" s="3">
        <v>1427</v>
      </c>
      <c r="AG1407" s="3">
        <v>50</v>
      </c>
      <c r="AH1407">
        <v>80</v>
      </c>
      <c r="AI1407">
        <v>0</v>
      </c>
      <c r="AJ1407">
        <v>1</v>
      </c>
      <c r="AK1407">
        <v>1</v>
      </c>
      <c r="AL1407">
        <v>1</v>
      </c>
      <c r="AM1407">
        <v>0</v>
      </c>
      <c r="AN1407" t="s">
        <v>767</v>
      </c>
      <c r="AO1407" t="s">
        <v>31</v>
      </c>
    </row>
    <row r="1408" spans="1:41" x14ac:dyDescent="0.25">
      <c r="A1408">
        <v>39</v>
      </c>
      <c r="B1408" t="s">
        <v>32</v>
      </c>
      <c r="C1408" t="s">
        <v>33</v>
      </c>
      <c r="D1408">
        <v>10</v>
      </c>
      <c r="E1408" t="s">
        <v>34</v>
      </c>
      <c r="F1408">
        <v>3</v>
      </c>
      <c r="G1408">
        <v>4</v>
      </c>
      <c r="H1408" t="s">
        <v>75</v>
      </c>
      <c r="I1408">
        <v>1</v>
      </c>
      <c r="J1408" t="s">
        <v>51</v>
      </c>
      <c r="K1408">
        <v>17068</v>
      </c>
      <c r="L1408">
        <v>1</v>
      </c>
      <c r="M1408" t="s">
        <v>31</v>
      </c>
      <c r="N1408">
        <v>14</v>
      </c>
      <c r="O1408">
        <v>3</v>
      </c>
      <c r="P1408">
        <v>0</v>
      </c>
      <c r="Q1408">
        <v>21</v>
      </c>
      <c r="R1408">
        <v>3</v>
      </c>
      <c r="S1408">
        <v>21</v>
      </c>
      <c r="T1408">
        <v>11</v>
      </c>
      <c r="U1408">
        <v>10</v>
      </c>
      <c r="V1408" t="s">
        <v>58</v>
      </c>
      <c r="W1408" s="2">
        <v>36831</v>
      </c>
      <c r="Y1408" t="s">
        <v>39</v>
      </c>
      <c r="Z1408" t="s">
        <v>47</v>
      </c>
      <c r="AA1408">
        <v>4</v>
      </c>
      <c r="AB1408">
        <v>0</v>
      </c>
      <c r="AC1408" t="s">
        <v>31</v>
      </c>
      <c r="AD1408" t="s">
        <v>65</v>
      </c>
      <c r="AE1408" t="s">
        <v>43</v>
      </c>
      <c r="AF1408" s="3">
        <v>1467</v>
      </c>
      <c r="AG1408" s="3">
        <v>52</v>
      </c>
      <c r="AH1408">
        <v>80</v>
      </c>
      <c r="AI1408">
        <v>2</v>
      </c>
      <c r="AJ1408">
        <v>1</v>
      </c>
      <c r="AK1408">
        <v>1</v>
      </c>
      <c r="AL1408">
        <v>1</v>
      </c>
      <c r="AM1408">
        <v>0</v>
      </c>
      <c r="AN1408" t="s">
        <v>767</v>
      </c>
      <c r="AO1408" t="s">
        <v>31</v>
      </c>
    </row>
    <row r="1409" spans="1:41" x14ac:dyDescent="0.25">
      <c r="A1409">
        <v>39</v>
      </c>
      <c r="B1409" t="s">
        <v>66</v>
      </c>
      <c r="C1409" t="s">
        <v>33</v>
      </c>
      <c r="D1409">
        <v>7</v>
      </c>
      <c r="E1409" t="s">
        <v>34</v>
      </c>
      <c r="F1409">
        <v>2</v>
      </c>
      <c r="G1409">
        <v>5</v>
      </c>
      <c r="H1409" t="s">
        <v>75</v>
      </c>
      <c r="I1409">
        <v>4</v>
      </c>
      <c r="J1409" t="s">
        <v>51</v>
      </c>
      <c r="K1409">
        <v>19272</v>
      </c>
      <c r="L1409">
        <v>1</v>
      </c>
      <c r="M1409" t="s">
        <v>41</v>
      </c>
      <c r="N1409">
        <v>15</v>
      </c>
      <c r="O1409">
        <v>3</v>
      </c>
      <c r="P1409">
        <v>1</v>
      </c>
      <c r="Q1409">
        <v>21</v>
      </c>
      <c r="R1409">
        <v>2</v>
      </c>
      <c r="S1409">
        <v>21</v>
      </c>
      <c r="T1409">
        <v>13</v>
      </c>
      <c r="U1409">
        <v>3</v>
      </c>
      <c r="V1409" t="s">
        <v>58</v>
      </c>
      <c r="W1409" s="1" t="s">
        <v>716</v>
      </c>
      <c r="Y1409" t="s">
        <v>54</v>
      </c>
      <c r="Z1409" t="s">
        <v>47</v>
      </c>
      <c r="AA1409">
        <v>3</v>
      </c>
      <c r="AB1409">
        <v>0</v>
      </c>
      <c r="AC1409" t="s">
        <v>41</v>
      </c>
      <c r="AD1409" t="s">
        <v>42</v>
      </c>
      <c r="AE1409" t="s">
        <v>49</v>
      </c>
      <c r="AF1409" s="3">
        <v>1572</v>
      </c>
      <c r="AG1409" s="3">
        <v>78</v>
      </c>
      <c r="AH1409">
        <v>80</v>
      </c>
      <c r="AI1409">
        <v>7</v>
      </c>
      <c r="AJ1409">
        <v>1</v>
      </c>
      <c r="AK1409">
        <v>1</v>
      </c>
      <c r="AL1409">
        <v>1</v>
      </c>
      <c r="AM1409">
        <v>0</v>
      </c>
      <c r="AN1409" t="s">
        <v>767</v>
      </c>
      <c r="AO1409" t="s">
        <v>31</v>
      </c>
    </row>
    <row r="1410" spans="1:41" x14ac:dyDescent="0.25">
      <c r="A1410">
        <v>39</v>
      </c>
      <c r="B1410" t="s">
        <v>66</v>
      </c>
      <c r="C1410" t="s">
        <v>33</v>
      </c>
      <c r="D1410">
        <v>1</v>
      </c>
      <c r="E1410" t="s">
        <v>34</v>
      </c>
      <c r="F1410">
        <v>3</v>
      </c>
      <c r="G1410">
        <v>5</v>
      </c>
      <c r="H1410" t="s">
        <v>75</v>
      </c>
      <c r="I1410">
        <v>3</v>
      </c>
      <c r="J1410" t="s">
        <v>57</v>
      </c>
      <c r="K1410">
        <v>19197</v>
      </c>
      <c r="L1410">
        <v>1</v>
      </c>
      <c r="M1410" t="s">
        <v>31</v>
      </c>
      <c r="N1410">
        <v>14</v>
      </c>
      <c r="O1410">
        <v>3</v>
      </c>
      <c r="P1410">
        <v>1</v>
      </c>
      <c r="Q1410">
        <v>21</v>
      </c>
      <c r="R1410">
        <v>3</v>
      </c>
      <c r="S1410">
        <v>21</v>
      </c>
      <c r="T1410">
        <v>1</v>
      </c>
      <c r="U1410">
        <v>6</v>
      </c>
      <c r="V1410" t="s">
        <v>37</v>
      </c>
      <c r="W1410" s="1" t="s">
        <v>717</v>
      </c>
      <c r="Y1410" t="s">
        <v>63</v>
      </c>
      <c r="Z1410" t="s">
        <v>47</v>
      </c>
      <c r="AA1410">
        <v>2</v>
      </c>
      <c r="AB1410">
        <v>1</v>
      </c>
      <c r="AC1410" t="s">
        <v>31</v>
      </c>
      <c r="AD1410" t="s">
        <v>65</v>
      </c>
      <c r="AE1410" t="s">
        <v>60</v>
      </c>
      <c r="AF1410" s="3">
        <v>1433</v>
      </c>
      <c r="AG1410" s="3">
        <v>34</v>
      </c>
      <c r="AH1410">
        <v>80</v>
      </c>
      <c r="AI1410">
        <v>0</v>
      </c>
      <c r="AJ1410">
        <v>1</v>
      </c>
      <c r="AK1410">
        <v>1</v>
      </c>
      <c r="AL1410">
        <v>1</v>
      </c>
      <c r="AM1410">
        <v>0</v>
      </c>
      <c r="AN1410" t="s">
        <v>767</v>
      </c>
      <c r="AO1410" t="s">
        <v>31</v>
      </c>
    </row>
    <row r="1411" spans="1:41" x14ac:dyDescent="0.25">
      <c r="A1411">
        <v>41</v>
      </c>
      <c r="B1411" t="s">
        <v>32</v>
      </c>
      <c r="C1411" t="s">
        <v>120</v>
      </c>
      <c r="D1411">
        <v>10</v>
      </c>
      <c r="E1411" t="s">
        <v>34</v>
      </c>
      <c r="F1411">
        <v>2</v>
      </c>
      <c r="G1411">
        <v>5</v>
      </c>
      <c r="H1411" t="s">
        <v>75</v>
      </c>
      <c r="I1411">
        <v>4</v>
      </c>
      <c r="J1411" t="s">
        <v>57</v>
      </c>
      <c r="K1411">
        <v>19141</v>
      </c>
      <c r="L1411">
        <v>3</v>
      </c>
      <c r="M1411" t="s">
        <v>41</v>
      </c>
      <c r="N1411">
        <v>15</v>
      </c>
      <c r="O1411">
        <v>3</v>
      </c>
      <c r="P1411">
        <v>3</v>
      </c>
      <c r="Q1411">
        <v>23</v>
      </c>
      <c r="R1411">
        <v>2</v>
      </c>
      <c r="S1411">
        <v>21</v>
      </c>
      <c r="T1411">
        <v>12</v>
      </c>
      <c r="U1411">
        <v>6</v>
      </c>
      <c r="V1411" t="s">
        <v>37</v>
      </c>
      <c r="W1411" s="2">
        <v>36739</v>
      </c>
      <c r="Y1411" t="s">
        <v>54</v>
      </c>
      <c r="Z1411" t="s">
        <v>47</v>
      </c>
      <c r="AA1411">
        <v>2</v>
      </c>
      <c r="AB1411">
        <v>0</v>
      </c>
      <c r="AC1411" t="s">
        <v>41</v>
      </c>
      <c r="AD1411" t="s">
        <v>48</v>
      </c>
      <c r="AE1411" t="s">
        <v>60</v>
      </c>
      <c r="AF1411" s="3">
        <v>1752</v>
      </c>
      <c r="AG1411" s="3">
        <v>52</v>
      </c>
      <c r="AH1411">
        <v>80</v>
      </c>
      <c r="AI1411">
        <v>2</v>
      </c>
      <c r="AJ1411">
        <v>1</v>
      </c>
      <c r="AK1411">
        <v>1</v>
      </c>
      <c r="AL1411">
        <v>1</v>
      </c>
      <c r="AM1411">
        <v>0</v>
      </c>
      <c r="AN1411" t="s">
        <v>767</v>
      </c>
      <c r="AO1411" t="s">
        <v>31</v>
      </c>
    </row>
    <row r="1412" spans="1:41" x14ac:dyDescent="0.25">
      <c r="A1412">
        <v>39</v>
      </c>
      <c r="B1412" t="s">
        <v>32</v>
      </c>
      <c r="C1412" t="s">
        <v>33</v>
      </c>
      <c r="D1412">
        <v>1</v>
      </c>
      <c r="E1412" t="s">
        <v>61</v>
      </c>
      <c r="F1412">
        <v>2</v>
      </c>
      <c r="G1412">
        <v>4</v>
      </c>
      <c r="H1412" t="s">
        <v>78</v>
      </c>
      <c r="I1412">
        <v>4</v>
      </c>
      <c r="J1412" t="s">
        <v>51</v>
      </c>
      <c r="K1412">
        <v>12742</v>
      </c>
      <c r="L1412">
        <v>1</v>
      </c>
      <c r="M1412" t="s">
        <v>41</v>
      </c>
      <c r="N1412">
        <v>16</v>
      </c>
      <c r="O1412">
        <v>3</v>
      </c>
      <c r="P1412">
        <v>1</v>
      </c>
      <c r="Q1412">
        <v>21</v>
      </c>
      <c r="R1412">
        <v>3</v>
      </c>
      <c r="S1412">
        <v>21</v>
      </c>
      <c r="T1412">
        <v>11</v>
      </c>
      <c r="U1412">
        <v>8</v>
      </c>
      <c r="V1412" t="s">
        <v>58</v>
      </c>
      <c r="W1412" s="2">
        <v>36678</v>
      </c>
      <c r="Y1412" t="s">
        <v>54</v>
      </c>
      <c r="Z1412" t="s">
        <v>40</v>
      </c>
      <c r="AA1412">
        <v>3</v>
      </c>
      <c r="AB1412">
        <v>0</v>
      </c>
      <c r="AC1412" t="s">
        <v>41</v>
      </c>
      <c r="AD1412" t="s">
        <v>42</v>
      </c>
      <c r="AE1412" t="s">
        <v>49</v>
      </c>
      <c r="AF1412" s="3">
        <v>1807</v>
      </c>
      <c r="AG1412" s="3">
        <v>93</v>
      </c>
      <c r="AH1412">
        <v>80</v>
      </c>
      <c r="AI1412">
        <v>1</v>
      </c>
      <c r="AJ1412">
        <v>1</v>
      </c>
      <c r="AK1412">
        <v>1</v>
      </c>
      <c r="AL1412">
        <v>1</v>
      </c>
      <c r="AM1412">
        <v>0</v>
      </c>
      <c r="AN1412" t="s">
        <v>767</v>
      </c>
      <c r="AO1412" t="s">
        <v>31</v>
      </c>
    </row>
    <row r="1413" spans="1:41" x14ac:dyDescent="0.25">
      <c r="A1413">
        <v>41</v>
      </c>
      <c r="B1413" t="s">
        <v>81</v>
      </c>
      <c r="C1413" t="s">
        <v>33</v>
      </c>
      <c r="D1413">
        <v>7</v>
      </c>
      <c r="E1413" t="s">
        <v>61</v>
      </c>
      <c r="F1413">
        <v>1</v>
      </c>
      <c r="G1413">
        <v>5</v>
      </c>
      <c r="H1413" t="s">
        <v>50</v>
      </c>
      <c r="I1413">
        <v>3</v>
      </c>
      <c r="J1413" t="s">
        <v>57</v>
      </c>
      <c r="K1413">
        <v>19973</v>
      </c>
      <c r="L1413">
        <v>1</v>
      </c>
      <c r="M1413" t="s">
        <v>41</v>
      </c>
      <c r="N1413">
        <v>22</v>
      </c>
      <c r="O1413">
        <v>4</v>
      </c>
      <c r="P1413">
        <v>2</v>
      </c>
      <c r="Q1413">
        <v>21</v>
      </c>
      <c r="R1413">
        <v>3</v>
      </c>
      <c r="S1413">
        <v>21</v>
      </c>
      <c r="T1413">
        <v>5</v>
      </c>
      <c r="U1413">
        <v>10</v>
      </c>
      <c r="V1413" t="s">
        <v>52</v>
      </c>
      <c r="W1413" s="1" t="s">
        <v>718</v>
      </c>
      <c r="Y1413" t="s">
        <v>69</v>
      </c>
      <c r="Z1413" t="s">
        <v>47</v>
      </c>
      <c r="AA1413">
        <v>3</v>
      </c>
      <c r="AB1413">
        <v>3</v>
      </c>
      <c r="AC1413" t="s">
        <v>41</v>
      </c>
      <c r="AD1413" t="s">
        <v>67</v>
      </c>
      <c r="AE1413" t="s">
        <v>43</v>
      </c>
      <c r="AF1413" s="3">
        <v>1504</v>
      </c>
      <c r="AG1413" s="3">
        <v>38</v>
      </c>
      <c r="AH1413">
        <v>80</v>
      </c>
      <c r="AI1413">
        <v>0</v>
      </c>
      <c r="AJ1413">
        <v>1</v>
      </c>
      <c r="AK1413">
        <v>1</v>
      </c>
      <c r="AL1413">
        <v>1</v>
      </c>
      <c r="AM1413">
        <v>0</v>
      </c>
      <c r="AN1413" t="s">
        <v>767</v>
      </c>
      <c r="AO1413" t="s">
        <v>31</v>
      </c>
    </row>
    <row r="1414" spans="1:41" x14ac:dyDescent="0.25">
      <c r="A1414">
        <v>39</v>
      </c>
      <c r="B1414" t="s">
        <v>66</v>
      </c>
      <c r="C1414" t="s">
        <v>33</v>
      </c>
      <c r="D1414">
        <v>22</v>
      </c>
      <c r="E1414" t="s">
        <v>61</v>
      </c>
      <c r="F1414">
        <v>3</v>
      </c>
      <c r="G1414">
        <v>3</v>
      </c>
      <c r="H1414" t="s">
        <v>78</v>
      </c>
      <c r="I1414">
        <v>1</v>
      </c>
      <c r="J1414" t="s">
        <v>36</v>
      </c>
      <c r="K1414">
        <v>10880</v>
      </c>
      <c r="L1414">
        <v>1</v>
      </c>
      <c r="M1414" t="s">
        <v>31</v>
      </c>
      <c r="N1414">
        <v>13</v>
      </c>
      <c r="O1414">
        <v>3</v>
      </c>
      <c r="P1414">
        <v>0</v>
      </c>
      <c r="Q1414">
        <v>21</v>
      </c>
      <c r="R1414">
        <v>2</v>
      </c>
      <c r="S1414">
        <v>21</v>
      </c>
      <c r="T1414">
        <v>2</v>
      </c>
      <c r="U1414">
        <v>8</v>
      </c>
      <c r="V1414" t="s">
        <v>52</v>
      </c>
      <c r="W1414" s="1" t="s">
        <v>719</v>
      </c>
      <c r="Y1414" t="s">
        <v>69</v>
      </c>
      <c r="Z1414" t="s">
        <v>40</v>
      </c>
      <c r="AA1414">
        <v>2</v>
      </c>
      <c r="AB1414">
        <v>0</v>
      </c>
      <c r="AC1414" t="s">
        <v>31</v>
      </c>
      <c r="AD1414" t="s">
        <v>48</v>
      </c>
      <c r="AE1414" t="s">
        <v>43</v>
      </c>
      <c r="AF1414" s="3">
        <v>2044</v>
      </c>
      <c r="AG1414" s="3">
        <v>94</v>
      </c>
      <c r="AH1414">
        <v>80</v>
      </c>
      <c r="AI1414">
        <v>3</v>
      </c>
      <c r="AJ1414">
        <v>1</v>
      </c>
      <c r="AK1414">
        <v>1</v>
      </c>
      <c r="AL1414">
        <v>1</v>
      </c>
      <c r="AM1414">
        <v>0</v>
      </c>
      <c r="AN1414" t="s">
        <v>767</v>
      </c>
      <c r="AO1414" t="s">
        <v>31</v>
      </c>
    </row>
    <row r="1415" spans="1:41" x14ac:dyDescent="0.25">
      <c r="A1415">
        <v>42</v>
      </c>
      <c r="B1415" t="s">
        <v>66</v>
      </c>
      <c r="C1415" t="s">
        <v>55</v>
      </c>
      <c r="D1415">
        <v>12</v>
      </c>
      <c r="E1415" t="s">
        <v>34</v>
      </c>
      <c r="F1415">
        <v>3</v>
      </c>
      <c r="G1415">
        <v>4</v>
      </c>
      <c r="H1415" t="s">
        <v>70</v>
      </c>
      <c r="I1415">
        <v>1</v>
      </c>
      <c r="J1415" t="s">
        <v>36</v>
      </c>
      <c r="K1415">
        <v>13758</v>
      </c>
      <c r="L1415">
        <v>0</v>
      </c>
      <c r="M1415" t="s">
        <v>31</v>
      </c>
      <c r="N1415">
        <v>12</v>
      </c>
      <c r="O1415">
        <v>3</v>
      </c>
      <c r="P1415">
        <v>0</v>
      </c>
      <c r="Q1415">
        <v>22</v>
      </c>
      <c r="R1415">
        <v>2</v>
      </c>
      <c r="S1415">
        <v>21</v>
      </c>
      <c r="T1415">
        <v>13</v>
      </c>
      <c r="U1415">
        <v>14</v>
      </c>
      <c r="V1415" t="s">
        <v>37</v>
      </c>
      <c r="W1415" s="2">
        <v>36861</v>
      </c>
      <c r="Y1415" t="s">
        <v>69</v>
      </c>
      <c r="Z1415" t="s">
        <v>40</v>
      </c>
      <c r="AA1415">
        <v>4</v>
      </c>
      <c r="AB1415">
        <v>1</v>
      </c>
      <c r="AC1415" t="s">
        <v>41</v>
      </c>
      <c r="AD1415" t="s">
        <v>42</v>
      </c>
      <c r="AE1415" t="s">
        <v>43</v>
      </c>
      <c r="AF1415" s="3">
        <v>1716</v>
      </c>
      <c r="AG1415" s="3">
        <v>82</v>
      </c>
      <c r="AH1415">
        <v>80</v>
      </c>
      <c r="AI1415">
        <v>5</v>
      </c>
      <c r="AJ1415">
        <v>1</v>
      </c>
      <c r="AK1415">
        <v>1</v>
      </c>
      <c r="AL1415">
        <v>1</v>
      </c>
      <c r="AM1415">
        <v>0</v>
      </c>
      <c r="AN1415" t="s">
        <v>767</v>
      </c>
      <c r="AO1415" t="s">
        <v>31</v>
      </c>
    </row>
    <row r="1416" spans="1:41" x14ac:dyDescent="0.25">
      <c r="A1416">
        <v>43</v>
      </c>
      <c r="B1416" t="s">
        <v>32</v>
      </c>
      <c r="C1416" t="s">
        <v>55</v>
      </c>
      <c r="D1416">
        <v>4</v>
      </c>
      <c r="E1416" t="s">
        <v>61</v>
      </c>
      <c r="F1416">
        <v>2</v>
      </c>
      <c r="G1416">
        <v>3</v>
      </c>
      <c r="H1416" t="s">
        <v>70</v>
      </c>
      <c r="I1416">
        <v>4</v>
      </c>
      <c r="J1416" t="s">
        <v>36</v>
      </c>
      <c r="K1416">
        <v>10231</v>
      </c>
      <c r="L1416">
        <v>3</v>
      </c>
      <c r="M1416" t="s">
        <v>41</v>
      </c>
      <c r="N1416">
        <v>14</v>
      </c>
      <c r="O1416">
        <v>3</v>
      </c>
      <c r="P1416">
        <v>0</v>
      </c>
      <c r="Q1416">
        <v>23</v>
      </c>
      <c r="R1416">
        <v>3</v>
      </c>
      <c r="S1416">
        <v>21</v>
      </c>
      <c r="T1416">
        <v>15</v>
      </c>
      <c r="U1416">
        <v>17</v>
      </c>
      <c r="V1416" t="s">
        <v>37</v>
      </c>
      <c r="W1416" s="1" t="s">
        <v>720</v>
      </c>
      <c r="Y1416" t="s">
        <v>39</v>
      </c>
      <c r="Z1416" t="s">
        <v>40</v>
      </c>
      <c r="AA1416">
        <v>3</v>
      </c>
      <c r="AB1416">
        <v>0</v>
      </c>
      <c r="AC1416" t="s">
        <v>41</v>
      </c>
      <c r="AD1416" t="s">
        <v>67</v>
      </c>
      <c r="AE1416" t="s">
        <v>60</v>
      </c>
      <c r="AF1416" s="3">
        <v>1486</v>
      </c>
      <c r="AG1416" s="3">
        <v>92</v>
      </c>
      <c r="AH1416">
        <v>80</v>
      </c>
      <c r="AI1416">
        <v>2</v>
      </c>
      <c r="AJ1416">
        <v>1</v>
      </c>
      <c r="AK1416">
        <v>1</v>
      </c>
      <c r="AL1416">
        <v>1</v>
      </c>
      <c r="AM1416">
        <v>0</v>
      </c>
      <c r="AN1416" t="s">
        <v>767</v>
      </c>
      <c r="AO1416" t="s">
        <v>31</v>
      </c>
    </row>
    <row r="1417" spans="1:41" x14ac:dyDescent="0.25">
      <c r="A1417">
        <v>40</v>
      </c>
      <c r="B1417" t="s">
        <v>32</v>
      </c>
      <c r="C1417" t="s">
        <v>120</v>
      </c>
      <c r="D1417">
        <v>6</v>
      </c>
      <c r="E1417" t="s">
        <v>34</v>
      </c>
      <c r="F1417">
        <v>3</v>
      </c>
      <c r="G1417">
        <v>4</v>
      </c>
      <c r="H1417" t="s">
        <v>75</v>
      </c>
      <c r="I1417">
        <v>4</v>
      </c>
      <c r="J1417" t="s">
        <v>36</v>
      </c>
      <c r="K1417">
        <v>16437</v>
      </c>
      <c r="L1417">
        <v>1</v>
      </c>
      <c r="M1417" t="s">
        <v>31</v>
      </c>
      <c r="N1417">
        <v>21</v>
      </c>
      <c r="O1417">
        <v>4</v>
      </c>
      <c r="P1417">
        <v>0</v>
      </c>
      <c r="Q1417">
        <v>21</v>
      </c>
      <c r="R1417">
        <v>2</v>
      </c>
      <c r="S1417">
        <v>21</v>
      </c>
      <c r="T1417">
        <v>7</v>
      </c>
      <c r="U1417">
        <v>7</v>
      </c>
      <c r="V1417" t="s">
        <v>52</v>
      </c>
      <c r="W1417" s="2">
        <v>36559</v>
      </c>
      <c r="Y1417" t="s">
        <v>69</v>
      </c>
      <c r="Z1417" t="s">
        <v>40</v>
      </c>
      <c r="AA1417">
        <v>4</v>
      </c>
      <c r="AB1417">
        <v>3</v>
      </c>
      <c r="AC1417" t="s">
        <v>41</v>
      </c>
      <c r="AD1417" t="s">
        <v>42</v>
      </c>
      <c r="AE1417" t="s">
        <v>60</v>
      </c>
      <c r="AF1417" s="3">
        <v>2023</v>
      </c>
      <c r="AG1417" s="3">
        <v>33</v>
      </c>
      <c r="AH1417">
        <v>80</v>
      </c>
      <c r="AI1417">
        <v>0</v>
      </c>
      <c r="AJ1417">
        <v>1</v>
      </c>
      <c r="AK1417">
        <v>1</v>
      </c>
      <c r="AL1417">
        <v>1</v>
      </c>
      <c r="AM1417">
        <v>0</v>
      </c>
      <c r="AN1417" t="s">
        <v>767</v>
      </c>
      <c r="AO1417" t="s">
        <v>31</v>
      </c>
    </row>
    <row r="1418" spans="1:41" x14ac:dyDescent="0.25">
      <c r="A1418">
        <v>45</v>
      </c>
      <c r="B1418" t="s">
        <v>32</v>
      </c>
      <c r="C1418" t="s">
        <v>33</v>
      </c>
      <c r="D1418">
        <v>28</v>
      </c>
      <c r="E1418" t="s">
        <v>61</v>
      </c>
      <c r="F1418">
        <v>2</v>
      </c>
      <c r="G1418">
        <v>4</v>
      </c>
      <c r="H1418" t="s">
        <v>50</v>
      </c>
      <c r="I1418">
        <v>2</v>
      </c>
      <c r="J1418" t="s">
        <v>36</v>
      </c>
      <c r="K1418">
        <v>16704</v>
      </c>
      <c r="L1418">
        <v>1</v>
      </c>
      <c r="M1418" t="s">
        <v>41</v>
      </c>
      <c r="N1418">
        <v>11</v>
      </c>
      <c r="O1418">
        <v>3</v>
      </c>
      <c r="P1418">
        <v>0</v>
      </c>
      <c r="Q1418">
        <v>21</v>
      </c>
      <c r="R1418">
        <v>2</v>
      </c>
      <c r="S1418">
        <v>21</v>
      </c>
      <c r="T1418">
        <v>8</v>
      </c>
      <c r="U1418">
        <v>6</v>
      </c>
      <c r="V1418" t="s">
        <v>72</v>
      </c>
      <c r="W1418" s="1" t="s">
        <v>721</v>
      </c>
      <c r="Y1418" t="s">
        <v>69</v>
      </c>
      <c r="Z1418" t="s">
        <v>40</v>
      </c>
      <c r="AA1418">
        <v>4</v>
      </c>
      <c r="AB1418">
        <v>2</v>
      </c>
      <c r="AC1418" t="s">
        <v>31</v>
      </c>
      <c r="AD1418" t="s">
        <v>48</v>
      </c>
      <c r="AE1418" t="s">
        <v>43</v>
      </c>
      <c r="AF1418" s="3">
        <v>1928</v>
      </c>
      <c r="AG1418" s="3">
        <v>45</v>
      </c>
      <c r="AH1418">
        <v>80</v>
      </c>
      <c r="AI1418">
        <v>0</v>
      </c>
      <c r="AJ1418">
        <v>1</v>
      </c>
      <c r="AK1418">
        <v>1</v>
      </c>
      <c r="AL1418">
        <v>1</v>
      </c>
      <c r="AM1418">
        <v>0</v>
      </c>
      <c r="AN1418" t="s">
        <v>767</v>
      </c>
      <c r="AO1418" t="s">
        <v>31</v>
      </c>
    </row>
    <row r="1419" spans="1:41" x14ac:dyDescent="0.25">
      <c r="A1419">
        <v>40</v>
      </c>
      <c r="B1419" t="s">
        <v>32</v>
      </c>
      <c r="C1419" t="s">
        <v>55</v>
      </c>
      <c r="D1419">
        <v>7</v>
      </c>
      <c r="E1419" t="s">
        <v>34</v>
      </c>
      <c r="F1419">
        <v>3</v>
      </c>
      <c r="G1419">
        <v>5</v>
      </c>
      <c r="H1419" t="s">
        <v>75</v>
      </c>
      <c r="I1419">
        <v>2</v>
      </c>
      <c r="J1419" t="s">
        <v>36</v>
      </c>
      <c r="K1419">
        <v>19833</v>
      </c>
      <c r="L1419">
        <v>1</v>
      </c>
      <c r="M1419" t="s">
        <v>41</v>
      </c>
      <c r="N1419">
        <v>14</v>
      </c>
      <c r="O1419">
        <v>3</v>
      </c>
      <c r="P1419">
        <v>0</v>
      </c>
      <c r="Q1419">
        <v>21</v>
      </c>
      <c r="R1419">
        <v>3</v>
      </c>
      <c r="S1419">
        <v>21</v>
      </c>
      <c r="T1419">
        <v>12</v>
      </c>
      <c r="U1419">
        <v>8</v>
      </c>
      <c r="V1419" t="s">
        <v>37</v>
      </c>
      <c r="W1419" s="2">
        <v>36741</v>
      </c>
      <c r="Y1419" t="s">
        <v>69</v>
      </c>
      <c r="Z1419" t="s">
        <v>40</v>
      </c>
      <c r="AA1419">
        <v>0</v>
      </c>
      <c r="AB1419">
        <v>1</v>
      </c>
      <c r="AC1419" t="s">
        <v>41</v>
      </c>
      <c r="AD1419" t="s">
        <v>65</v>
      </c>
      <c r="AE1419" t="s">
        <v>49</v>
      </c>
      <c r="AF1419" s="3">
        <v>1842</v>
      </c>
      <c r="AG1419" s="3">
        <v>89</v>
      </c>
      <c r="AH1419">
        <v>80</v>
      </c>
      <c r="AI1419">
        <v>0</v>
      </c>
      <c r="AJ1419">
        <v>1</v>
      </c>
      <c r="AK1419">
        <v>1</v>
      </c>
      <c r="AL1419">
        <v>1</v>
      </c>
      <c r="AM1419">
        <v>0</v>
      </c>
      <c r="AN1419" t="s">
        <v>767</v>
      </c>
      <c r="AO1419" t="s">
        <v>31</v>
      </c>
    </row>
    <row r="1420" spans="1:41" x14ac:dyDescent="0.25">
      <c r="A1420">
        <v>44</v>
      </c>
      <c r="B1420" t="s">
        <v>32</v>
      </c>
      <c r="C1420" t="s">
        <v>33</v>
      </c>
      <c r="D1420">
        <v>7</v>
      </c>
      <c r="E1420" t="s">
        <v>61</v>
      </c>
      <c r="F1420">
        <v>2</v>
      </c>
      <c r="G1420">
        <v>3</v>
      </c>
      <c r="H1420" t="s">
        <v>89</v>
      </c>
      <c r="I1420">
        <v>4</v>
      </c>
      <c r="J1420" t="s">
        <v>51</v>
      </c>
      <c r="K1420">
        <v>10248</v>
      </c>
      <c r="L1420">
        <v>3</v>
      </c>
      <c r="M1420" t="s">
        <v>41</v>
      </c>
      <c r="N1420">
        <v>14</v>
      </c>
      <c r="O1420">
        <v>3</v>
      </c>
      <c r="P1420">
        <v>1</v>
      </c>
      <c r="Q1420">
        <v>24</v>
      </c>
      <c r="R1420">
        <v>4</v>
      </c>
      <c r="S1420">
        <v>22</v>
      </c>
      <c r="T1420">
        <v>5</v>
      </c>
      <c r="U1420">
        <v>17</v>
      </c>
      <c r="V1420" t="s">
        <v>72</v>
      </c>
      <c r="W1420" s="1" t="s">
        <v>722</v>
      </c>
      <c r="Y1420" t="s">
        <v>46</v>
      </c>
      <c r="Z1420" t="s">
        <v>40</v>
      </c>
      <c r="AA1420">
        <v>4</v>
      </c>
      <c r="AB1420">
        <v>1</v>
      </c>
      <c r="AC1420" t="s">
        <v>41</v>
      </c>
      <c r="AD1420" t="s">
        <v>65</v>
      </c>
      <c r="AE1420" t="s">
        <v>43</v>
      </c>
      <c r="AF1420" s="3">
        <v>1714</v>
      </c>
      <c r="AG1420" s="3">
        <v>58</v>
      </c>
      <c r="AH1420">
        <v>80</v>
      </c>
      <c r="AI1420">
        <v>0</v>
      </c>
      <c r="AJ1420">
        <v>1</v>
      </c>
      <c r="AK1420">
        <v>1</v>
      </c>
      <c r="AL1420">
        <v>1</v>
      </c>
      <c r="AM1420">
        <v>0</v>
      </c>
      <c r="AN1420" t="s">
        <v>767</v>
      </c>
      <c r="AO1420" t="s">
        <v>31</v>
      </c>
    </row>
    <row r="1421" spans="1:41" x14ac:dyDescent="0.25">
      <c r="A1421">
        <v>41</v>
      </c>
      <c r="B1421" t="s">
        <v>32</v>
      </c>
      <c r="C1421" t="s">
        <v>33</v>
      </c>
      <c r="D1421">
        <v>12</v>
      </c>
      <c r="E1421" t="s">
        <v>61</v>
      </c>
      <c r="F1421">
        <v>3</v>
      </c>
      <c r="G1421">
        <v>5</v>
      </c>
      <c r="H1421" t="s">
        <v>50</v>
      </c>
      <c r="I1421">
        <v>3</v>
      </c>
      <c r="J1421" t="s">
        <v>51</v>
      </c>
      <c r="K1421">
        <v>19545</v>
      </c>
      <c r="L1421">
        <v>1</v>
      </c>
      <c r="M1421" t="s">
        <v>41</v>
      </c>
      <c r="N1421">
        <v>12</v>
      </c>
      <c r="O1421">
        <v>3</v>
      </c>
      <c r="P1421">
        <v>0</v>
      </c>
      <c r="Q1421">
        <v>23</v>
      </c>
      <c r="R1421">
        <v>0</v>
      </c>
      <c r="S1421">
        <v>22</v>
      </c>
      <c r="T1421">
        <v>15</v>
      </c>
      <c r="U1421">
        <v>8</v>
      </c>
      <c r="V1421" t="s">
        <v>72</v>
      </c>
      <c r="W1421" s="1" t="s">
        <v>723</v>
      </c>
      <c r="Y1421" t="s">
        <v>39</v>
      </c>
      <c r="Z1421" t="s">
        <v>40</v>
      </c>
      <c r="AA1421">
        <v>4</v>
      </c>
      <c r="AB1421">
        <v>2</v>
      </c>
      <c r="AC1421" t="s">
        <v>31</v>
      </c>
      <c r="AD1421" t="s">
        <v>67</v>
      </c>
      <c r="AE1421" t="s">
        <v>60</v>
      </c>
      <c r="AF1421" s="3">
        <v>1960</v>
      </c>
      <c r="AG1421" s="3">
        <v>32</v>
      </c>
      <c r="AH1421">
        <v>80</v>
      </c>
      <c r="AI1421">
        <v>1</v>
      </c>
      <c r="AJ1421">
        <v>1</v>
      </c>
      <c r="AK1421">
        <v>1</v>
      </c>
      <c r="AL1421">
        <v>1</v>
      </c>
      <c r="AM1421">
        <v>0</v>
      </c>
      <c r="AN1421" t="s">
        <v>767</v>
      </c>
      <c r="AO1421" t="s">
        <v>31</v>
      </c>
    </row>
    <row r="1422" spans="1:41" x14ac:dyDescent="0.25">
      <c r="A1422">
        <v>40</v>
      </c>
      <c r="B1422" t="s">
        <v>66</v>
      </c>
      <c r="C1422" t="s">
        <v>33</v>
      </c>
      <c r="D1422">
        <v>1</v>
      </c>
      <c r="E1422" t="s">
        <v>34</v>
      </c>
      <c r="F1422">
        <v>2</v>
      </c>
      <c r="G1422">
        <v>4</v>
      </c>
      <c r="H1422" t="s">
        <v>89</v>
      </c>
      <c r="I1422">
        <v>2</v>
      </c>
      <c r="J1422" t="s">
        <v>51</v>
      </c>
      <c r="K1422">
        <v>13503</v>
      </c>
      <c r="L1422">
        <v>1</v>
      </c>
      <c r="M1422" t="s">
        <v>41</v>
      </c>
      <c r="N1422">
        <v>22</v>
      </c>
      <c r="O1422">
        <v>4</v>
      </c>
      <c r="P1422">
        <v>1</v>
      </c>
      <c r="Q1422">
        <v>22</v>
      </c>
      <c r="R1422">
        <v>3</v>
      </c>
      <c r="S1422">
        <v>22</v>
      </c>
      <c r="T1422">
        <v>11</v>
      </c>
      <c r="U1422">
        <v>11</v>
      </c>
      <c r="V1422" t="s">
        <v>52</v>
      </c>
      <c r="W1422" s="1" t="s">
        <v>724</v>
      </c>
      <c r="Y1422" t="s">
        <v>39</v>
      </c>
      <c r="Z1422" t="s">
        <v>47</v>
      </c>
      <c r="AA1422">
        <v>2</v>
      </c>
      <c r="AB1422">
        <v>3</v>
      </c>
      <c r="AC1422" t="s">
        <v>41</v>
      </c>
      <c r="AD1422" t="s">
        <v>42</v>
      </c>
      <c r="AE1422" t="s">
        <v>43</v>
      </c>
      <c r="AF1422" s="3">
        <v>2032</v>
      </c>
      <c r="AG1422" s="3">
        <v>72</v>
      </c>
      <c r="AH1422">
        <v>80</v>
      </c>
      <c r="AI1422">
        <v>9</v>
      </c>
      <c r="AJ1422">
        <v>1</v>
      </c>
      <c r="AK1422">
        <v>1</v>
      </c>
      <c r="AL1422">
        <v>1</v>
      </c>
      <c r="AM1422">
        <v>0</v>
      </c>
      <c r="AN1422" t="s">
        <v>767</v>
      </c>
      <c r="AO1422" t="s">
        <v>31</v>
      </c>
    </row>
    <row r="1423" spans="1:41" x14ac:dyDescent="0.25">
      <c r="A1423">
        <v>42</v>
      </c>
      <c r="B1423" t="s">
        <v>32</v>
      </c>
      <c r="C1423" t="s">
        <v>33</v>
      </c>
      <c r="D1423">
        <v>4</v>
      </c>
      <c r="E1423" t="s">
        <v>34</v>
      </c>
      <c r="F1423">
        <v>3</v>
      </c>
      <c r="G1423">
        <v>5</v>
      </c>
      <c r="H1423" t="s">
        <v>75</v>
      </c>
      <c r="I1423">
        <v>4</v>
      </c>
      <c r="J1423" t="s">
        <v>51</v>
      </c>
      <c r="K1423">
        <v>19232</v>
      </c>
      <c r="L1423">
        <v>1</v>
      </c>
      <c r="M1423" t="s">
        <v>41</v>
      </c>
      <c r="N1423">
        <v>11</v>
      </c>
      <c r="O1423">
        <v>3</v>
      </c>
      <c r="P1423">
        <v>0</v>
      </c>
      <c r="Q1423">
        <v>22</v>
      </c>
      <c r="R1423">
        <v>3</v>
      </c>
      <c r="S1423">
        <v>22</v>
      </c>
      <c r="T1423">
        <v>11</v>
      </c>
      <c r="U1423">
        <v>15</v>
      </c>
      <c r="V1423" t="s">
        <v>72</v>
      </c>
      <c r="W1423" s="1" t="s">
        <v>725</v>
      </c>
      <c r="Y1423" t="s">
        <v>46</v>
      </c>
      <c r="Z1423" t="s">
        <v>47</v>
      </c>
      <c r="AA1423">
        <v>3</v>
      </c>
      <c r="AB1423">
        <v>2</v>
      </c>
      <c r="AC1423" t="s">
        <v>41</v>
      </c>
      <c r="AD1423" t="s">
        <v>48</v>
      </c>
      <c r="AE1423" t="s">
        <v>43</v>
      </c>
      <c r="AF1423" s="3">
        <v>1573</v>
      </c>
      <c r="AG1423" s="3">
        <v>81</v>
      </c>
      <c r="AH1423">
        <v>80</v>
      </c>
      <c r="AI1423">
        <v>2</v>
      </c>
      <c r="AJ1423">
        <v>1</v>
      </c>
      <c r="AK1423">
        <v>1</v>
      </c>
      <c r="AL1423">
        <v>1</v>
      </c>
      <c r="AM1423">
        <v>0</v>
      </c>
      <c r="AN1423" t="s">
        <v>767</v>
      </c>
      <c r="AO1423" t="s">
        <v>31</v>
      </c>
    </row>
    <row r="1424" spans="1:41" x14ac:dyDescent="0.25">
      <c r="A1424">
        <v>41</v>
      </c>
      <c r="B1424" t="s">
        <v>32</v>
      </c>
      <c r="C1424" t="s">
        <v>55</v>
      </c>
      <c r="D1424">
        <v>2</v>
      </c>
      <c r="E1424" t="s">
        <v>34</v>
      </c>
      <c r="F1424">
        <v>3</v>
      </c>
      <c r="G1424">
        <v>4</v>
      </c>
      <c r="H1424" t="s">
        <v>75</v>
      </c>
      <c r="I1424">
        <v>2</v>
      </c>
      <c r="J1424" t="s">
        <v>36</v>
      </c>
      <c r="K1424">
        <v>16015</v>
      </c>
      <c r="L1424">
        <v>1</v>
      </c>
      <c r="M1424" t="s">
        <v>41</v>
      </c>
      <c r="N1424">
        <v>19</v>
      </c>
      <c r="O1424">
        <v>3</v>
      </c>
      <c r="P1424">
        <v>0</v>
      </c>
      <c r="Q1424">
        <v>22</v>
      </c>
      <c r="R1424">
        <v>2</v>
      </c>
      <c r="S1424">
        <v>22</v>
      </c>
      <c r="T1424">
        <v>0</v>
      </c>
      <c r="U1424">
        <v>4</v>
      </c>
      <c r="V1424" t="s">
        <v>72</v>
      </c>
      <c r="W1424" s="1" t="s">
        <v>726</v>
      </c>
      <c r="Y1424" t="s">
        <v>54</v>
      </c>
      <c r="Z1424" t="s">
        <v>47</v>
      </c>
      <c r="AA1424">
        <v>1</v>
      </c>
      <c r="AB1424">
        <v>0</v>
      </c>
      <c r="AC1424" t="s">
        <v>31</v>
      </c>
      <c r="AD1424" t="s">
        <v>65</v>
      </c>
      <c r="AE1424" t="s">
        <v>60</v>
      </c>
      <c r="AF1424" s="3">
        <v>1522</v>
      </c>
      <c r="AG1424" s="3">
        <v>100</v>
      </c>
      <c r="AH1424">
        <v>80</v>
      </c>
      <c r="AI1424">
        <v>7</v>
      </c>
      <c r="AJ1424">
        <v>1</v>
      </c>
      <c r="AK1424">
        <v>1</v>
      </c>
      <c r="AL1424">
        <v>1</v>
      </c>
      <c r="AM1424">
        <v>0</v>
      </c>
      <c r="AN1424" t="s">
        <v>767</v>
      </c>
      <c r="AO1424" t="s">
        <v>31</v>
      </c>
    </row>
    <row r="1425" spans="1:41" x14ac:dyDescent="0.25">
      <c r="A1425">
        <v>41</v>
      </c>
      <c r="B1425" t="s">
        <v>32</v>
      </c>
      <c r="C1425" t="s">
        <v>120</v>
      </c>
      <c r="D1425">
        <v>1</v>
      </c>
      <c r="E1425" t="s">
        <v>34</v>
      </c>
      <c r="F1425">
        <v>2</v>
      </c>
      <c r="G1425">
        <v>5</v>
      </c>
      <c r="H1425" t="s">
        <v>75</v>
      </c>
      <c r="I1425">
        <v>3</v>
      </c>
      <c r="J1425" t="s">
        <v>51</v>
      </c>
      <c r="K1425">
        <v>19189</v>
      </c>
      <c r="L1425">
        <v>1</v>
      </c>
      <c r="M1425" t="s">
        <v>41</v>
      </c>
      <c r="N1425">
        <v>12</v>
      </c>
      <c r="O1425">
        <v>3</v>
      </c>
      <c r="P1425">
        <v>1</v>
      </c>
      <c r="Q1425">
        <v>22</v>
      </c>
      <c r="R1425">
        <v>3</v>
      </c>
      <c r="S1425">
        <v>22</v>
      </c>
      <c r="T1425">
        <v>2</v>
      </c>
      <c r="U1425">
        <v>10</v>
      </c>
      <c r="V1425" t="s">
        <v>37</v>
      </c>
      <c r="W1425" s="1" t="s">
        <v>727</v>
      </c>
      <c r="Y1425" t="s">
        <v>54</v>
      </c>
      <c r="Z1425" t="s">
        <v>40</v>
      </c>
      <c r="AA1425">
        <v>4</v>
      </c>
      <c r="AB1425">
        <v>0</v>
      </c>
      <c r="AC1425" t="s">
        <v>31</v>
      </c>
      <c r="AD1425" t="s">
        <v>67</v>
      </c>
      <c r="AE1425" t="s">
        <v>49</v>
      </c>
      <c r="AF1425" s="3">
        <v>1907</v>
      </c>
      <c r="AG1425" s="3">
        <v>97</v>
      </c>
      <c r="AH1425">
        <v>80</v>
      </c>
      <c r="AI1425">
        <v>2</v>
      </c>
      <c r="AJ1425">
        <v>1</v>
      </c>
      <c r="AK1425">
        <v>1</v>
      </c>
      <c r="AL1425">
        <v>1</v>
      </c>
      <c r="AM1425">
        <v>0</v>
      </c>
      <c r="AN1425" t="s">
        <v>767</v>
      </c>
      <c r="AO1425" t="s">
        <v>31</v>
      </c>
    </row>
    <row r="1426" spans="1:41" x14ac:dyDescent="0.25">
      <c r="A1426">
        <v>47</v>
      </c>
      <c r="B1426" t="s">
        <v>66</v>
      </c>
      <c r="C1426" t="s">
        <v>55</v>
      </c>
      <c r="D1426">
        <v>3</v>
      </c>
      <c r="E1426" t="s">
        <v>61</v>
      </c>
      <c r="F1426">
        <v>3</v>
      </c>
      <c r="G1426">
        <v>4</v>
      </c>
      <c r="H1426" t="s">
        <v>70</v>
      </c>
      <c r="I1426">
        <v>3</v>
      </c>
      <c r="J1426" t="s">
        <v>57</v>
      </c>
      <c r="K1426">
        <v>13770</v>
      </c>
      <c r="L1426">
        <v>9</v>
      </c>
      <c r="M1426" t="s">
        <v>31</v>
      </c>
      <c r="N1426">
        <v>12</v>
      </c>
      <c r="O1426">
        <v>3</v>
      </c>
      <c r="P1426">
        <v>2</v>
      </c>
      <c r="Q1426">
        <v>28</v>
      </c>
      <c r="R1426">
        <v>2</v>
      </c>
      <c r="S1426">
        <v>22</v>
      </c>
      <c r="T1426">
        <v>11</v>
      </c>
      <c r="U1426">
        <v>13</v>
      </c>
      <c r="V1426" t="s">
        <v>72</v>
      </c>
      <c r="W1426" s="2">
        <v>36496</v>
      </c>
      <c r="Y1426" t="s">
        <v>63</v>
      </c>
      <c r="Z1426" t="s">
        <v>40</v>
      </c>
      <c r="AA1426">
        <v>4</v>
      </c>
      <c r="AB1426">
        <v>3</v>
      </c>
      <c r="AC1426" t="s">
        <v>41</v>
      </c>
      <c r="AD1426" t="s">
        <v>48</v>
      </c>
      <c r="AE1426" t="s">
        <v>43</v>
      </c>
      <c r="AF1426" s="3">
        <v>1534</v>
      </c>
      <c r="AG1426" s="3">
        <v>86</v>
      </c>
      <c r="AH1426">
        <v>80</v>
      </c>
      <c r="AI1426">
        <v>4</v>
      </c>
      <c r="AJ1426">
        <v>1</v>
      </c>
      <c r="AK1426">
        <v>1</v>
      </c>
      <c r="AL1426">
        <v>1</v>
      </c>
      <c r="AM1426">
        <v>0</v>
      </c>
      <c r="AN1426" t="s">
        <v>767</v>
      </c>
      <c r="AO1426" t="s">
        <v>31</v>
      </c>
    </row>
    <row r="1427" spans="1:41" x14ac:dyDescent="0.25">
      <c r="A1427">
        <v>42</v>
      </c>
      <c r="B1427" t="s">
        <v>32</v>
      </c>
      <c r="C1427" t="s">
        <v>33</v>
      </c>
      <c r="D1427">
        <v>2</v>
      </c>
      <c r="E1427" t="s">
        <v>34</v>
      </c>
      <c r="F1427">
        <v>3</v>
      </c>
      <c r="G1427">
        <v>4</v>
      </c>
      <c r="H1427" t="s">
        <v>75</v>
      </c>
      <c r="I1427">
        <v>1</v>
      </c>
      <c r="J1427" t="s">
        <v>51</v>
      </c>
      <c r="K1427">
        <v>17665</v>
      </c>
      <c r="L1427">
        <v>0</v>
      </c>
      <c r="M1427" t="s">
        <v>41</v>
      </c>
      <c r="N1427">
        <v>17</v>
      </c>
      <c r="O1427">
        <v>3</v>
      </c>
      <c r="P1427">
        <v>1</v>
      </c>
      <c r="Q1427">
        <v>23</v>
      </c>
      <c r="R1427">
        <v>3</v>
      </c>
      <c r="S1427">
        <v>22</v>
      </c>
      <c r="T1427">
        <v>13</v>
      </c>
      <c r="U1427">
        <v>7</v>
      </c>
      <c r="V1427" t="s">
        <v>37</v>
      </c>
      <c r="W1427" s="2">
        <v>36466</v>
      </c>
      <c r="Y1427" t="s">
        <v>54</v>
      </c>
      <c r="Z1427" t="s">
        <v>40</v>
      </c>
      <c r="AA1427">
        <v>0</v>
      </c>
      <c r="AB1427">
        <v>0</v>
      </c>
      <c r="AC1427" t="s">
        <v>31</v>
      </c>
      <c r="AD1427" t="s">
        <v>67</v>
      </c>
      <c r="AE1427" t="s">
        <v>43</v>
      </c>
      <c r="AF1427" s="3">
        <v>1809</v>
      </c>
      <c r="AG1427" s="3">
        <v>58</v>
      </c>
      <c r="AH1427">
        <v>80</v>
      </c>
      <c r="AI1427">
        <v>3</v>
      </c>
      <c r="AJ1427">
        <v>1</v>
      </c>
      <c r="AK1427">
        <v>1</v>
      </c>
      <c r="AL1427">
        <v>1</v>
      </c>
      <c r="AM1427">
        <v>0</v>
      </c>
      <c r="AN1427" t="s">
        <v>767</v>
      </c>
      <c r="AO1427" t="s">
        <v>31</v>
      </c>
    </row>
    <row r="1428" spans="1:41" x14ac:dyDescent="0.25">
      <c r="A1428">
        <v>44</v>
      </c>
      <c r="B1428" t="s">
        <v>32</v>
      </c>
      <c r="C1428" t="s">
        <v>55</v>
      </c>
      <c r="D1428">
        <v>5</v>
      </c>
      <c r="E1428" t="s">
        <v>34</v>
      </c>
      <c r="F1428">
        <v>3</v>
      </c>
      <c r="G1428">
        <v>5</v>
      </c>
      <c r="H1428" t="s">
        <v>75</v>
      </c>
      <c r="I1428">
        <v>2</v>
      </c>
      <c r="J1428" t="s">
        <v>51</v>
      </c>
      <c r="K1428">
        <v>18213</v>
      </c>
      <c r="L1428">
        <v>7</v>
      </c>
      <c r="M1428" t="s">
        <v>41</v>
      </c>
      <c r="N1428">
        <v>11</v>
      </c>
      <c r="O1428">
        <v>3</v>
      </c>
      <c r="P1428">
        <v>1</v>
      </c>
      <c r="Q1428">
        <v>26</v>
      </c>
      <c r="R1428">
        <v>5</v>
      </c>
      <c r="S1428">
        <v>22</v>
      </c>
      <c r="T1428">
        <v>3</v>
      </c>
      <c r="U1428">
        <v>10</v>
      </c>
      <c r="V1428" t="s">
        <v>72</v>
      </c>
      <c r="W1428" s="1" t="s">
        <v>728</v>
      </c>
      <c r="Y1428" t="s">
        <v>46</v>
      </c>
      <c r="Z1428" t="s">
        <v>40</v>
      </c>
      <c r="AA1428">
        <v>4</v>
      </c>
      <c r="AB1428">
        <v>0</v>
      </c>
      <c r="AC1428" t="s">
        <v>31</v>
      </c>
      <c r="AD1428" t="s">
        <v>65</v>
      </c>
      <c r="AE1428" t="s">
        <v>49</v>
      </c>
      <c r="AF1428" s="3">
        <v>1692</v>
      </c>
      <c r="AG1428" s="3">
        <v>95</v>
      </c>
      <c r="AH1428">
        <v>80</v>
      </c>
      <c r="AI1428">
        <v>0</v>
      </c>
      <c r="AJ1428">
        <v>1</v>
      </c>
      <c r="AK1428">
        <v>1</v>
      </c>
      <c r="AL1428">
        <v>1</v>
      </c>
      <c r="AM1428">
        <v>0</v>
      </c>
      <c r="AN1428" t="s">
        <v>767</v>
      </c>
      <c r="AO1428" t="s">
        <v>31</v>
      </c>
    </row>
    <row r="1429" spans="1:41" x14ac:dyDescent="0.25">
      <c r="A1429">
        <v>44</v>
      </c>
      <c r="B1429" t="s">
        <v>32</v>
      </c>
      <c r="C1429" t="s">
        <v>33</v>
      </c>
      <c r="D1429">
        <v>7</v>
      </c>
      <c r="E1429" t="s">
        <v>61</v>
      </c>
      <c r="F1429">
        <v>3</v>
      </c>
      <c r="G1429">
        <v>5</v>
      </c>
      <c r="H1429" t="s">
        <v>50</v>
      </c>
      <c r="I1429">
        <v>4</v>
      </c>
      <c r="J1429" t="s">
        <v>57</v>
      </c>
      <c r="K1429">
        <v>19049</v>
      </c>
      <c r="L1429">
        <v>0</v>
      </c>
      <c r="M1429" t="s">
        <v>31</v>
      </c>
      <c r="N1429">
        <v>14</v>
      </c>
      <c r="O1429">
        <v>3</v>
      </c>
      <c r="P1429">
        <v>1</v>
      </c>
      <c r="Q1429">
        <v>23</v>
      </c>
      <c r="R1429">
        <v>4</v>
      </c>
      <c r="S1429">
        <v>22</v>
      </c>
      <c r="T1429">
        <v>1</v>
      </c>
      <c r="U1429">
        <v>10</v>
      </c>
      <c r="V1429" t="s">
        <v>72</v>
      </c>
      <c r="W1429" s="2">
        <v>36316</v>
      </c>
      <c r="Y1429" t="s">
        <v>63</v>
      </c>
      <c r="Z1429" t="s">
        <v>40</v>
      </c>
      <c r="AA1429">
        <v>5</v>
      </c>
      <c r="AB1429">
        <v>2</v>
      </c>
      <c r="AC1429" t="s">
        <v>41</v>
      </c>
      <c r="AD1429" t="s">
        <v>42</v>
      </c>
      <c r="AE1429" t="s">
        <v>49</v>
      </c>
      <c r="AF1429" s="3">
        <v>1457</v>
      </c>
      <c r="AG1429" s="3">
        <v>52</v>
      </c>
      <c r="AH1429">
        <v>80</v>
      </c>
      <c r="AI1429">
        <v>7</v>
      </c>
      <c r="AJ1429">
        <v>1</v>
      </c>
      <c r="AK1429">
        <v>1</v>
      </c>
      <c r="AL1429">
        <v>1</v>
      </c>
      <c r="AM1429">
        <v>0</v>
      </c>
      <c r="AN1429" t="s">
        <v>767</v>
      </c>
      <c r="AO1429" t="s">
        <v>31</v>
      </c>
    </row>
    <row r="1430" spans="1:41" x14ac:dyDescent="0.25">
      <c r="A1430">
        <v>41</v>
      </c>
      <c r="B1430" t="s">
        <v>32</v>
      </c>
      <c r="C1430" t="s">
        <v>55</v>
      </c>
      <c r="D1430">
        <v>4</v>
      </c>
      <c r="E1430" t="s">
        <v>61</v>
      </c>
      <c r="F1430">
        <v>3</v>
      </c>
      <c r="G1430">
        <v>3</v>
      </c>
      <c r="H1430" t="s">
        <v>70</v>
      </c>
      <c r="I1430">
        <v>3</v>
      </c>
      <c r="J1430" t="s">
        <v>57</v>
      </c>
      <c r="K1430">
        <v>10447</v>
      </c>
      <c r="L1430">
        <v>0</v>
      </c>
      <c r="M1430" t="s">
        <v>31</v>
      </c>
      <c r="N1430">
        <v>13</v>
      </c>
      <c r="O1430">
        <v>3</v>
      </c>
      <c r="P1430">
        <v>1</v>
      </c>
      <c r="Q1430">
        <v>23</v>
      </c>
      <c r="R1430">
        <v>3</v>
      </c>
      <c r="S1430">
        <v>22</v>
      </c>
      <c r="T1430">
        <v>13</v>
      </c>
      <c r="U1430">
        <v>5</v>
      </c>
      <c r="V1430" t="s">
        <v>72</v>
      </c>
      <c r="W1430" s="2">
        <v>36223</v>
      </c>
      <c r="Y1430" t="s">
        <v>54</v>
      </c>
      <c r="Z1430" t="s">
        <v>47</v>
      </c>
      <c r="AA1430">
        <v>3</v>
      </c>
      <c r="AB1430">
        <v>2</v>
      </c>
      <c r="AC1430" t="s">
        <v>31</v>
      </c>
      <c r="AD1430" t="s">
        <v>42</v>
      </c>
      <c r="AE1430" t="s">
        <v>49</v>
      </c>
      <c r="AF1430" s="3">
        <v>1439</v>
      </c>
      <c r="AG1430" s="3">
        <v>68</v>
      </c>
      <c r="AH1430">
        <v>80</v>
      </c>
      <c r="AI1430">
        <v>2</v>
      </c>
      <c r="AJ1430">
        <v>1</v>
      </c>
      <c r="AK1430">
        <v>1</v>
      </c>
      <c r="AL1430">
        <v>1</v>
      </c>
      <c r="AM1430">
        <v>0</v>
      </c>
      <c r="AN1430" t="s">
        <v>767</v>
      </c>
      <c r="AO1430" t="s">
        <v>31</v>
      </c>
    </row>
    <row r="1431" spans="1:41" x14ac:dyDescent="0.25">
      <c r="A1431">
        <v>47</v>
      </c>
      <c r="B1431" t="s">
        <v>32</v>
      </c>
      <c r="C1431" t="s">
        <v>33</v>
      </c>
      <c r="D1431">
        <v>4</v>
      </c>
      <c r="E1431" t="s">
        <v>61</v>
      </c>
      <c r="F1431">
        <v>2</v>
      </c>
      <c r="G1431">
        <v>3</v>
      </c>
      <c r="H1431" t="s">
        <v>78</v>
      </c>
      <c r="I1431">
        <v>2</v>
      </c>
      <c r="J1431" t="s">
        <v>57</v>
      </c>
      <c r="K1431">
        <v>10333</v>
      </c>
      <c r="L1431">
        <v>8</v>
      </c>
      <c r="M1431" t="s">
        <v>31</v>
      </c>
      <c r="N1431">
        <v>12</v>
      </c>
      <c r="O1431">
        <v>3</v>
      </c>
      <c r="P1431">
        <v>1</v>
      </c>
      <c r="Q1431">
        <v>28</v>
      </c>
      <c r="R1431">
        <v>4</v>
      </c>
      <c r="S1431">
        <v>22</v>
      </c>
      <c r="T1431">
        <v>14</v>
      </c>
      <c r="U1431">
        <v>10</v>
      </c>
      <c r="V1431" t="s">
        <v>37</v>
      </c>
      <c r="W1431" s="2">
        <v>36500</v>
      </c>
      <c r="Y1431" t="s">
        <v>63</v>
      </c>
      <c r="Z1431" t="s">
        <v>40</v>
      </c>
      <c r="AA1431">
        <v>3</v>
      </c>
      <c r="AB1431">
        <v>2</v>
      </c>
      <c r="AC1431" t="s">
        <v>41</v>
      </c>
      <c r="AD1431" t="s">
        <v>48</v>
      </c>
      <c r="AE1431" t="s">
        <v>43</v>
      </c>
      <c r="AF1431" s="3">
        <v>1639</v>
      </c>
      <c r="AG1431" s="3">
        <v>55</v>
      </c>
      <c r="AH1431">
        <v>80</v>
      </c>
      <c r="AI1431">
        <v>12</v>
      </c>
      <c r="AJ1431">
        <v>1</v>
      </c>
      <c r="AK1431">
        <v>1</v>
      </c>
      <c r="AL1431">
        <v>1</v>
      </c>
      <c r="AM1431">
        <v>0</v>
      </c>
      <c r="AN1431" t="s">
        <v>767</v>
      </c>
      <c r="AO1431" t="s">
        <v>31</v>
      </c>
    </row>
    <row r="1432" spans="1:41" x14ac:dyDescent="0.25">
      <c r="A1432">
        <v>48</v>
      </c>
      <c r="B1432" t="s">
        <v>32</v>
      </c>
      <c r="C1432" t="s">
        <v>33</v>
      </c>
      <c r="D1432">
        <v>10</v>
      </c>
      <c r="E1432" t="s">
        <v>34</v>
      </c>
      <c r="F1432">
        <v>2</v>
      </c>
      <c r="G1432">
        <v>5</v>
      </c>
      <c r="H1432" t="s">
        <v>50</v>
      </c>
      <c r="I1432">
        <v>2</v>
      </c>
      <c r="J1432" t="s">
        <v>51</v>
      </c>
      <c r="K1432">
        <v>19665</v>
      </c>
      <c r="L1432">
        <v>4</v>
      </c>
      <c r="M1432" t="s">
        <v>41</v>
      </c>
      <c r="N1432">
        <v>12</v>
      </c>
      <c r="O1432">
        <v>3</v>
      </c>
      <c r="P1432">
        <v>0</v>
      </c>
      <c r="Q1432">
        <v>29</v>
      </c>
      <c r="R1432">
        <v>3</v>
      </c>
      <c r="S1432">
        <v>22</v>
      </c>
      <c r="T1432">
        <v>12</v>
      </c>
      <c r="U1432">
        <v>9</v>
      </c>
      <c r="V1432" t="s">
        <v>58</v>
      </c>
      <c r="W1432" s="1" t="s">
        <v>729</v>
      </c>
      <c r="Y1432" t="s">
        <v>63</v>
      </c>
      <c r="Z1432" t="s">
        <v>40</v>
      </c>
      <c r="AA1432">
        <v>1</v>
      </c>
      <c r="AB1432">
        <v>1</v>
      </c>
      <c r="AC1432" t="s">
        <v>31</v>
      </c>
      <c r="AD1432" t="s">
        <v>42</v>
      </c>
      <c r="AE1432" t="s">
        <v>49</v>
      </c>
      <c r="AF1432" s="3">
        <v>1562</v>
      </c>
      <c r="AG1432" s="3">
        <v>64</v>
      </c>
      <c r="AH1432">
        <v>80</v>
      </c>
      <c r="AI1432">
        <v>8</v>
      </c>
      <c r="AJ1432">
        <v>1</v>
      </c>
      <c r="AK1432">
        <v>1</v>
      </c>
      <c r="AL1432">
        <v>1</v>
      </c>
      <c r="AM1432">
        <v>0</v>
      </c>
      <c r="AN1432" t="s">
        <v>767</v>
      </c>
      <c r="AO1432" t="s">
        <v>31</v>
      </c>
    </row>
    <row r="1433" spans="1:41" x14ac:dyDescent="0.25">
      <c r="A1433">
        <v>48</v>
      </c>
      <c r="B1433" t="s">
        <v>66</v>
      </c>
      <c r="C1433" t="s">
        <v>33</v>
      </c>
      <c r="D1433">
        <v>22</v>
      </c>
      <c r="E1433" t="s">
        <v>61</v>
      </c>
      <c r="F1433">
        <v>3</v>
      </c>
      <c r="G1433">
        <v>4</v>
      </c>
      <c r="H1433" t="s">
        <v>75</v>
      </c>
      <c r="I1433">
        <v>4</v>
      </c>
      <c r="J1433" t="s">
        <v>57</v>
      </c>
      <c r="K1433">
        <v>17174</v>
      </c>
      <c r="L1433">
        <v>3</v>
      </c>
      <c r="M1433" t="s">
        <v>41</v>
      </c>
      <c r="N1433">
        <v>11</v>
      </c>
      <c r="O1433">
        <v>3</v>
      </c>
      <c r="P1433">
        <v>1</v>
      </c>
      <c r="Q1433">
        <v>24</v>
      </c>
      <c r="R1433">
        <v>3</v>
      </c>
      <c r="S1433">
        <v>22</v>
      </c>
      <c r="T1433">
        <v>4</v>
      </c>
      <c r="U1433">
        <v>7</v>
      </c>
      <c r="V1433" t="s">
        <v>52</v>
      </c>
      <c r="W1433" s="2">
        <v>36255</v>
      </c>
      <c r="Y1433" t="s">
        <v>39</v>
      </c>
      <c r="Z1433" t="s">
        <v>40</v>
      </c>
      <c r="AA1433">
        <v>3</v>
      </c>
      <c r="AB1433">
        <v>3</v>
      </c>
      <c r="AC1433" t="s">
        <v>41</v>
      </c>
      <c r="AD1433" t="s">
        <v>42</v>
      </c>
      <c r="AE1433" t="s">
        <v>43</v>
      </c>
      <c r="AF1433" s="3">
        <v>1761</v>
      </c>
      <c r="AG1433" s="3">
        <v>70</v>
      </c>
      <c r="AH1433">
        <v>80</v>
      </c>
      <c r="AI1433">
        <v>0</v>
      </c>
      <c r="AJ1433">
        <v>1</v>
      </c>
      <c r="AK1433">
        <v>1</v>
      </c>
      <c r="AL1433">
        <v>1</v>
      </c>
      <c r="AM1433">
        <v>0</v>
      </c>
      <c r="AN1433" t="s">
        <v>767</v>
      </c>
      <c r="AO1433" t="s">
        <v>31</v>
      </c>
    </row>
    <row r="1434" spans="1:41" x14ac:dyDescent="0.25">
      <c r="A1434">
        <v>42</v>
      </c>
      <c r="B1434" t="s">
        <v>32</v>
      </c>
      <c r="C1434" t="s">
        <v>33</v>
      </c>
      <c r="D1434">
        <v>2</v>
      </c>
      <c r="E1434" t="s">
        <v>34</v>
      </c>
      <c r="F1434">
        <v>3</v>
      </c>
      <c r="G1434">
        <v>5</v>
      </c>
      <c r="H1434" t="s">
        <v>75</v>
      </c>
      <c r="I1434">
        <v>3</v>
      </c>
      <c r="J1434" t="s">
        <v>51</v>
      </c>
      <c r="K1434">
        <v>18880</v>
      </c>
      <c r="L1434">
        <v>5</v>
      </c>
      <c r="M1434" t="s">
        <v>41</v>
      </c>
      <c r="N1434">
        <v>11</v>
      </c>
      <c r="O1434">
        <v>3</v>
      </c>
      <c r="P1434">
        <v>0</v>
      </c>
      <c r="Q1434">
        <v>24</v>
      </c>
      <c r="R1434">
        <v>2</v>
      </c>
      <c r="S1434">
        <v>22</v>
      </c>
      <c r="T1434">
        <v>4</v>
      </c>
      <c r="U1434">
        <v>14</v>
      </c>
      <c r="V1434" t="s">
        <v>58</v>
      </c>
      <c r="W1434" s="1" t="s">
        <v>730</v>
      </c>
      <c r="Y1434" t="s">
        <v>39</v>
      </c>
      <c r="Z1434" t="s">
        <v>47</v>
      </c>
      <c r="AA1434">
        <v>4</v>
      </c>
      <c r="AB1434">
        <v>3</v>
      </c>
      <c r="AC1434" t="s">
        <v>31</v>
      </c>
      <c r="AD1434" t="s">
        <v>67</v>
      </c>
      <c r="AE1434" t="s">
        <v>49</v>
      </c>
      <c r="AF1434" s="3">
        <v>1734</v>
      </c>
      <c r="AG1434" s="3">
        <v>34</v>
      </c>
      <c r="AH1434">
        <v>80</v>
      </c>
      <c r="AI1434">
        <v>0</v>
      </c>
      <c r="AJ1434">
        <v>1</v>
      </c>
      <c r="AK1434">
        <v>1</v>
      </c>
      <c r="AL1434">
        <v>1</v>
      </c>
      <c r="AM1434">
        <v>0</v>
      </c>
      <c r="AN1434" t="s">
        <v>767</v>
      </c>
      <c r="AO1434" t="s">
        <v>31</v>
      </c>
    </row>
    <row r="1435" spans="1:41" x14ac:dyDescent="0.25">
      <c r="A1435">
        <v>45</v>
      </c>
      <c r="B1435" t="s">
        <v>81</v>
      </c>
      <c r="C1435" t="s">
        <v>33</v>
      </c>
      <c r="D1435">
        <v>1</v>
      </c>
      <c r="E1435" t="s">
        <v>34</v>
      </c>
      <c r="F1435">
        <v>2</v>
      </c>
      <c r="G1435">
        <v>3</v>
      </c>
      <c r="H1435" t="s">
        <v>89</v>
      </c>
      <c r="I1435">
        <v>3</v>
      </c>
      <c r="J1435" t="s">
        <v>51</v>
      </c>
      <c r="K1435">
        <v>10748</v>
      </c>
      <c r="L1435">
        <v>3</v>
      </c>
      <c r="M1435" t="s">
        <v>41</v>
      </c>
      <c r="N1435">
        <v>23</v>
      </c>
      <c r="O1435">
        <v>4</v>
      </c>
      <c r="P1435">
        <v>1</v>
      </c>
      <c r="Q1435">
        <v>25</v>
      </c>
      <c r="R1435">
        <v>3</v>
      </c>
      <c r="S1435">
        <v>23</v>
      </c>
      <c r="T1435">
        <v>14</v>
      </c>
      <c r="U1435">
        <v>4</v>
      </c>
      <c r="V1435" t="s">
        <v>72</v>
      </c>
      <c r="W1435" s="1" t="s">
        <v>731</v>
      </c>
      <c r="Y1435" t="s">
        <v>63</v>
      </c>
      <c r="Z1435" t="s">
        <v>40</v>
      </c>
      <c r="AA1435">
        <v>1</v>
      </c>
      <c r="AB1435">
        <v>3</v>
      </c>
      <c r="AC1435" t="s">
        <v>31</v>
      </c>
      <c r="AD1435" t="s">
        <v>67</v>
      </c>
      <c r="AE1435" t="s">
        <v>60</v>
      </c>
      <c r="AF1435" s="3">
        <v>1780</v>
      </c>
      <c r="AG1435" s="3">
        <v>31</v>
      </c>
      <c r="AH1435">
        <v>80</v>
      </c>
      <c r="AI1435">
        <v>0</v>
      </c>
      <c r="AJ1435">
        <v>1</v>
      </c>
      <c r="AK1435">
        <v>1</v>
      </c>
      <c r="AL1435">
        <v>1</v>
      </c>
      <c r="AM1435">
        <v>0</v>
      </c>
      <c r="AN1435" t="s">
        <v>767</v>
      </c>
      <c r="AO1435" t="s">
        <v>31</v>
      </c>
    </row>
    <row r="1436" spans="1:41" x14ac:dyDescent="0.25">
      <c r="A1436">
        <v>47</v>
      </c>
      <c r="B1436" t="s">
        <v>66</v>
      </c>
      <c r="C1436" t="s">
        <v>55</v>
      </c>
      <c r="D1436">
        <v>9</v>
      </c>
      <c r="E1436" t="s">
        <v>34</v>
      </c>
      <c r="F1436">
        <v>1</v>
      </c>
      <c r="G1436">
        <v>4</v>
      </c>
      <c r="H1436" t="s">
        <v>70</v>
      </c>
      <c r="I1436">
        <v>3</v>
      </c>
      <c r="J1436" t="s">
        <v>51</v>
      </c>
      <c r="K1436">
        <v>12936</v>
      </c>
      <c r="L1436">
        <v>7</v>
      </c>
      <c r="M1436" t="s">
        <v>41</v>
      </c>
      <c r="N1436">
        <v>11</v>
      </c>
      <c r="O1436">
        <v>3</v>
      </c>
      <c r="P1436">
        <v>0</v>
      </c>
      <c r="Q1436">
        <v>25</v>
      </c>
      <c r="R1436">
        <v>3</v>
      </c>
      <c r="S1436">
        <v>23</v>
      </c>
      <c r="T1436">
        <v>14</v>
      </c>
      <c r="U1436">
        <v>10</v>
      </c>
      <c r="V1436" t="s">
        <v>58</v>
      </c>
      <c r="W1436" s="1" t="s">
        <v>732</v>
      </c>
      <c r="Y1436" t="s">
        <v>39</v>
      </c>
      <c r="Z1436" t="s">
        <v>47</v>
      </c>
      <c r="AA1436">
        <v>1</v>
      </c>
      <c r="AB1436">
        <v>1</v>
      </c>
      <c r="AC1436" t="s">
        <v>41</v>
      </c>
      <c r="AD1436" t="s">
        <v>48</v>
      </c>
      <c r="AE1436" t="s">
        <v>43</v>
      </c>
      <c r="AF1436" s="3">
        <v>1876</v>
      </c>
      <c r="AG1436" s="3">
        <v>89</v>
      </c>
      <c r="AH1436">
        <v>80</v>
      </c>
      <c r="AI1436">
        <v>0</v>
      </c>
      <c r="AJ1436">
        <v>1</v>
      </c>
      <c r="AK1436">
        <v>1</v>
      </c>
      <c r="AL1436">
        <v>1</v>
      </c>
      <c r="AM1436">
        <v>0</v>
      </c>
      <c r="AN1436" t="s">
        <v>767</v>
      </c>
      <c r="AO1436" t="s">
        <v>31</v>
      </c>
    </row>
    <row r="1437" spans="1:41" x14ac:dyDescent="0.25">
      <c r="A1437">
        <v>46</v>
      </c>
      <c r="B1437" t="s">
        <v>32</v>
      </c>
      <c r="C1437" t="s">
        <v>55</v>
      </c>
      <c r="D1437">
        <v>1</v>
      </c>
      <c r="E1437" t="s">
        <v>61</v>
      </c>
      <c r="F1437">
        <v>3</v>
      </c>
      <c r="G1437">
        <v>3</v>
      </c>
      <c r="H1437" t="s">
        <v>70</v>
      </c>
      <c r="I1437">
        <v>1</v>
      </c>
      <c r="J1437" t="s">
        <v>57</v>
      </c>
      <c r="K1437">
        <v>10453</v>
      </c>
      <c r="L1437">
        <v>1</v>
      </c>
      <c r="M1437" t="s">
        <v>41</v>
      </c>
      <c r="N1437">
        <v>25</v>
      </c>
      <c r="O1437">
        <v>4</v>
      </c>
      <c r="P1437">
        <v>3</v>
      </c>
      <c r="Q1437">
        <v>24</v>
      </c>
      <c r="R1437">
        <v>2</v>
      </c>
      <c r="S1437">
        <v>24</v>
      </c>
      <c r="T1437">
        <v>15</v>
      </c>
      <c r="U1437">
        <v>7</v>
      </c>
      <c r="V1437" t="s">
        <v>52</v>
      </c>
      <c r="W1437" s="1" t="s">
        <v>733</v>
      </c>
      <c r="Y1437" t="s">
        <v>63</v>
      </c>
      <c r="Z1437" t="s">
        <v>47</v>
      </c>
      <c r="AA1437">
        <v>0</v>
      </c>
      <c r="AB1437">
        <v>2</v>
      </c>
      <c r="AC1437" t="s">
        <v>31</v>
      </c>
      <c r="AD1437" t="s">
        <v>67</v>
      </c>
      <c r="AE1437" t="s">
        <v>49</v>
      </c>
      <c r="AF1437" s="3">
        <v>1939</v>
      </c>
      <c r="AG1437" s="3">
        <v>47</v>
      </c>
      <c r="AH1437">
        <v>80</v>
      </c>
      <c r="AI1437">
        <v>1</v>
      </c>
      <c r="AJ1437">
        <v>1</v>
      </c>
      <c r="AK1437">
        <v>1</v>
      </c>
      <c r="AL1437">
        <v>1</v>
      </c>
      <c r="AM1437">
        <v>0</v>
      </c>
      <c r="AN1437" t="s">
        <v>767</v>
      </c>
      <c r="AO1437" t="s">
        <v>31</v>
      </c>
    </row>
    <row r="1438" spans="1:41" x14ac:dyDescent="0.25">
      <c r="A1438">
        <v>55</v>
      </c>
      <c r="B1438" t="s">
        <v>32</v>
      </c>
      <c r="C1438" t="s">
        <v>33</v>
      </c>
      <c r="D1438">
        <v>14</v>
      </c>
      <c r="E1438" t="s">
        <v>34</v>
      </c>
      <c r="F1438">
        <v>4</v>
      </c>
      <c r="G1438">
        <v>5</v>
      </c>
      <c r="H1438" t="s">
        <v>50</v>
      </c>
      <c r="I1438">
        <v>2</v>
      </c>
      <c r="J1438" t="s">
        <v>36</v>
      </c>
      <c r="K1438">
        <v>18722</v>
      </c>
      <c r="L1438">
        <v>8</v>
      </c>
      <c r="M1438" t="s">
        <v>41</v>
      </c>
      <c r="N1438">
        <v>11</v>
      </c>
      <c r="O1438">
        <v>3</v>
      </c>
      <c r="P1438">
        <v>0</v>
      </c>
      <c r="Q1438">
        <v>36</v>
      </c>
      <c r="R1438">
        <v>3</v>
      </c>
      <c r="S1438">
        <v>24</v>
      </c>
      <c r="T1438">
        <v>2</v>
      </c>
      <c r="U1438">
        <v>15</v>
      </c>
      <c r="V1438" t="s">
        <v>58</v>
      </c>
      <c r="W1438" s="1" t="s">
        <v>734</v>
      </c>
      <c r="Y1438" t="s">
        <v>69</v>
      </c>
      <c r="Z1438" t="s">
        <v>47</v>
      </c>
      <c r="AA1438">
        <v>0</v>
      </c>
      <c r="AB1438">
        <v>2</v>
      </c>
      <c r="AC1438" t="s">
        <v>31</v>
      </c>
      <c r="AD1438" t="s">
        <v>65</v>
      </c>
      <c r="AE1438" t="s">
        <v>43</v>
      </c>
      <c r="AF1438" s="3">
        <v>1421</v>
      </c>
      <c r="AG1438" s="3">
        <v>84</v>
      </c>
      <c r="AH1438">
        <v>80</v>
      </c>
      <c r="AI1438">
        <v>7</v>
      </c>
      <c r="AJ1438">
        <v>1</v>
      </c>
      <c r="AK1438">
        <v>1</v>
      </c>
      <c r="AL1438">
        <v>1</v>
      </c>
      <c r="AM1438">
        <v>0</v>
      </c>
      <c r="AN1438" t="s">
        <v>767</v>
      </c>
      <c r="AO1438" t="s">
        <v>31</v>
      </c>
    </row>
    <row r="1439" spans="1:41" x14ac:dyDescent="0.25">
      <c r="A1439">
        <v>45</v>
      </c>
      <c r="B1439" t="s">
        <v>32</v>
      </c>
      <c r="C1439" t="s">
        <v>33</v>
      </c>
      <c r="D1439">
        <v>1</v>
      </c>
      <c r="E1439" t="s">
        <v>34</v>
      </c>
      <c r="F1439">
        <v>4</v>
      </c>
      <c r="G1439">
        <v>5</v>
      </c>
      <c r="H1439" t="s">
        <v>75</v>
      </c>
      <c r="I1439">
        <v>4</v>
      </c>
      <c r="J1439" t="s">
        <v>51</v>
      </c>
      <c r="K1439">
        <v>19202</v>
      </c>
      <c r="L1439">
        <v>0</v>
      </c>
      <c r="M1439" t="s">
        <v>41</v>
      </c>
      <c r="N1439">
        <v>11</v>
      </c>
      <c r="O1439">
        <v>3</v>
      </c>
      <c r="P1439">
        <v>1</v>
      </c>
      <c r="Q1439">
        <v>25</v>
      </c>
      <c r="R1439">
        <v>2</v>
      </c>
      <c r="S1439">
        <v>24</v>
      </c>
      <c r="T1439">
        <v>1</v>
      </c>
      <c r="U1439">
        <v>7</v>
      </c>
      <c r="V1439" t="s">
        <v>52</v>
      </c>
      <c r="W1439" s="1" t="s">
        <v>735</v>
      </c>
      <c r="Y1439" t="s">
        <v>63</v>
      </c>
      <c r="Z1439" t="s">
        <v>47</v>
      </c>
      <c r="AA1439">
        <v>3</v>
      </c>
      <c r="AB1439">
        <v>1</v>
      </c>
      <c r="AC1439" t="s">
        <v>31</v>
      </c>
      <c r="AD1439" t="s">
        <v>48</v>
      </c>
      <c r="AE1439" t="s">
        <v>43</v>
      </c>
      <c r="AF1439" s="3">
        <v>1691</v>
      </c>
      <c r="AG1439" s="3">
        <v>95</v>
      </c>
      <c r="AH1439">
        <v>80</v>
      </c>
      <c r="AI1439">
        <v>7</v>
      </c>
      <c r="AJ1439">
        <v>1</v>
      </c>
      <c r="AK1439">
        <v>1</v>
      </c>
      <c r="AL1439">
        <v>1</v>
      </c>
      <c r="AM1439">
        <v>0</v>
      </c>
      <c r="AN1439" t="s">
        <v>767</v>
      </c>
      <c r="AO1439" t="s">
        <v>31</v>
      </c>
    </row>
    <row r="1440" spans="1:41" x14ac:dyDescent="0.25">
      <c r="A1440">
        <v>45</v>
      </c>
      <c r="B1440" t="s">
        <v>66</v>
      </c>
      <c r="C1440" t="s">
        <v>33</v>
      </c>
      <c r="D1440">
        <v>7</v>
      </c>
      <c r="E1440" t="s">
        <v>34</v>
      </c>
      <c r="F1440">
        <v>3</v>
      </c>
      <c r="G1440">
        <v>3</v>
      </c>
      <c r="H1440" t="s">
        <v>35</v>
      </c>
      <c r="I1440">
        <v>1</v>
      </c>
      <c r="J1440" t="s">
        <v>57</v>
      </c>
      <c r="K1440">
        <v>5210</v>
      </c>
      <c r="L1440">
        <v>1</v>
      </c>
      <c r="M1440" t="s">
        <v>41</v>
      </c>
      <c r="N1440">
        <v>18</v>
      </c>
      <c r="O1440">
        <v>3</v>
      </c>
      <c r="P1440">
        <v>1</v>
      </c>
      <c r="Q1440">
        <v>24</v>
      </c>
      <c r="R1440">
        <v>2</v>
      </c>
      <c r="S1440">
        <v>24</v>
      </c>
      <c r="T1440">
        <v>9</v>
      </c>
      <c r="U1440">
        <v>11</v>
      </c>
      <c r="V1440" t="s">
        <v>72</v>
      </c>
      <c r="W1440" s="1" t="s">
        <v>736</v>
      </c>
      <c r="Y1440" t="s">
        <v>54</v>
      </c>
      <c r="Z1440" t="s">
        <v>40</v>
      </c>
      <c r="AA1440">
        <v>5</v>
      </c>
      <c r="AB1440">
        <v>2</v>
      </c>
      <c r="AC1440" t="s">
        <v>41</v>
      </c>
      <c r="AD1440" t="s">
        <v>42</v>
      </c>
      <c r="AE1440" t="s">
        <v>49</v>
      </c>
      <c r="AF1440" s="3">
        <v>1624</v>
      </c>
      <c r="AG1440" s="3">
        <v>70</v>
      </c>
      <c r="AH1440">
        <v>80</v>
      </c>
      <c r="AI1440">
        <v>0</v>
      </c>
      <c r="AJ1440">
        <v>1</v>
      </c>
      <c r="AK1440">
        <v>1</v>
      </c>
      <c r="AL1440">
        <v>1</v>
      </c>
      <c r="AM1440">
        <v>0</v>
      </c>
      <c r="AN1440" t="s">
        <v>767</v>
      </c>
      <c r="AO1440" t="s">
        <v>31</v>
      </c>
    </row>
    <row r="1441" spans="1:41" x14ac:dyDescent="0.25">
      <c r="A1441">
        <v>42</v>
      </c>
      <c r="B1441" t="s">
        <v>66</v>
      </c>
      <c r="C1441" t="s">
        <v>33</v>
      </c>
      <c r="D1441">
        <v>8</v>
      </c>
      <c r="E1441" t="s">
        <v>34</v>
      </c>
      <c r="F1441">
        <v>3</v>
      </c>
      <c r="G1441">
        <v>5</v>
      </c>
      <c r="H1441" t="s">
        <v>75</v>
      </c>
      <c r="I1441">
        <v>4</v>
      </c>
      <c r="J1441" t="s">
        <v>57</v>
      </c>
      <c r="K1441">
        <v>18430</v>
      </c>
      <c r="L1441">
        <v>1</v>
      </c>
      <c r="M1441" t="s">
        <v>41</v>
      </c>
      <c r="N1441">
        <v>13</v>
      </c>
      <c r="O1441">
        <v>3</v>
      </c>
      <c r="P1441">
        <v>1</v>
      </c>
      <c r="Q1441">
        <v>24</v>
      </c>
      <c r="R1441">
        <v>4</v>
      </c>
      <c r="S1441">
        <v>24</v>
      </c>
      <c r="T1441">
        <v>14</v>
      </c>
      <c r="U1441">
        <v>9</v>
      </c>
      <c r="V1441" t="s">
        <v>37</v>
      </c>
      <c r="W1441" s="1" t="s">
        <v>737</v>
      </c>
      <c r="Y1441" t="s">
        <v>63</v>
      </c>
      <c r="Z1441" t="s">
        <v>40</v>
      </c>
      <c r="AA1441">
        <v>1</v>
      </c>
      <c r="AB1441">
        <v>3</v>
      </c>
      <c r="AC1441" t="s">
        <v>31</v>
      </c>
      <c r="AD1441" t="s">
        <v>65</v>
      </c>
      <c r="AE1441" t="s">
        <v>43</v>
      </c>
      <c r="AF1441" s="3">
        <v>1818</v>
      </c>
      <c r="AG1441" s="3">
        <v>69</v>
      </c>
      <c r="AH1441">
        <v>80</v>
      </c>
      <c r="AI1441">
        <v>1</v>
      </c>
      <c r="AJ1441">
        <v>1</v>
      </c>
      <c r="AK1441">
        <v>1</v>
      </c>
      <c r="AL1441">
        <v>1</v>
      </c>
      <c r="AM1441">
        <v>0</v>
      </c>
      <c r="AN1441" t="s">
        <v>767</v>
      </c>
      <c r="AO1441" t="s">
        <v>31</v>
      </c>
    </row>
    <row r="1442" spans="1:41" x14ac:dyDescent="0.25">
      <c r="A1442">
        <v>45</v>
      </c>
      <c r="B1442" t="s">
        <v>32</v>
      </c>
      <c r="C1442" t="s">
        <v>55</v>
      </c>
      <c r="D1442">
        <v>2</v>
      </c>
      <c r="E1442" t="s">
        <v>61</v>
      </c>
      <c r="F1442">
        <v>1</v>
      </c>
      <c r="G1442">
        <v>5</v>
      </c>
      <c r="H1442" t="s">
        <v>75</v>
      </c>
      <c r="I1442">
        <v>2</v>
      </c>
      <c r="J1442" t="s">
        <v>36</v>
      </c>
      <c r="K1442">
        <v>18824</v>
      </c>
      <c r="L1442">
        <v>2</v>
      </c>
      <c r="M1442" t="s">
        <v>31</v>
      </c>
      <c r="N1442">
        <v>16</v>
      </c>
      <c r="O1442">
        <v>3</v>
      </c>
      <c r="P1442">
        <v>0</v>
      </c>
      <c r="Q1442">
        <v>26</v>
      </c>
      <c r="R1442">
        <v>2</v>
      </c>
      <c r="S1442">
        <v>24</v>
      </c>
      <c r="T1442">
        <v>1</v>
      </c>
      <c r="U1442">
        <v>11</v>
      </c>
      <c r="V1442" t="s">
        <v>72</v>
      </c>
      <c r="W1442" s="1" t="s">
        <v>738</v>
      </c>
      <c r="Y1442" t="s">
        <v>63</v>
      </c>
      <c r="Z1442" t="s">
        <v>40</v>
      </c>
      <c r="AA1442">
        <v>2</v>
      </c>
      <c r="AB1442">
        <v>3</v>
      </c>
      <c r="AC1442" t="s">
        <v>31</v>
      </c>
      <c r="AD1442" t="s">
        <v>65</v>
      </c>
      <c r="AE1442" t="s">
        <v>43</v>
      </c>
      <c r="AF1442" s="3">
        <v>1569</v>
      </c>
      <c r="AG1442" s="3">
        <v>69</v>
      </c>
      <c r="AH1442">
        <v>80</v>
      </c>
      <c r="AI1442">
        <v>0</v>
      </c>
      <c r="AJ1442">
        <v>1</v>
      </c>
      <c r="AK1442">
        <v>1</v>
      </c>
      <c r="AL1442">
        <v>1</v>
      </c>
      <c r="AM1442">
        <v>0</v>
      </c>
      <c r="AN1442" t="s">
        <v>767</v>
      </c>
      <c r="AO1442" t="s">
        <v>31</v>
      </c>
    </row>
    <row r="1443" spans="1:41" x14ac:dyDescent="0.25">
      <c r="A1443">
        <v>53</v>
      </c>
      <c r="B1443" t="s">
        <v>32</v>
      </c>
      <c r="C1443" t="s">
        <v>55</v>
      </c>
      <c r="D1443">
        <v>2</v>
      </c>
      <c r="E1443" t="s">
        <v>61</v>
      </c>
      <c r="F1443">
        <v>2</v>
      </c>
      <c r="G1443">
        <v>4</v>
      </c>
      <c r="H1443" t="s">
        <v>75</v>
      </c>
      <c r="I1443">
        <v>4</v>
      </c>
      <c r="J1443" t="s">
        <v>51</v>
      </c>
      <c r="K1443">
        <v>15427</v>
      </c>
      <c r="L1443">
        <v>2</v>
      </c>
      <c r="M1443" t="s">
        <v>41</v>
      </c>
      <c r="N1443">
        <v>16</v>
      </c>
      <c r="O1443">
        <v>3</v>
      </c>
      <c r="P1443">
        <v>0</v>
      </c>
      <c r="Q1443">
        <v>31</v>
      </c>
      <c r="R1443">
        <v>3</v>
      </c>
      <c r="S1443">
        <v>25</v>
      </c>
      <c r="T1443">
        <v>3</v>
      </c>
      <c r="U1443">
        <v>7</v>
      </c>
      <c r="V1443" t="s">
        <v>37</v>
      </c>
      <c r="W1443" s="2">
        <v>35401</v>
      </c>
      <c r="Y1443" t="s">
        <v>63</v>
      </c>
      <c r="Z1443" t="s">
        <v>47</v>
      </c>
      <c r="AA1443">
        <v>5</v>
      </c>
      <c r="AB1443">
        <v>3</v>
      </c>
      <c r="AC1443" t="s">
        <v>31</v>
      </c>
      <c r="AD1443" t="s">
        <v>42</v>
      </c>
      <c r="AE1443" t="s">
        <v>60</v>
      </c>
      <c r="AF1443" s="3">
        <v>1783</v>
      </c>
      <c r="AG1443" s="3">
        <v>79</v>
      </c>
      <c r="AH1443">
        <v>80</v>
      </c>
      <c r="AI1443">
        <v>0</v>
      </c>
      <c r="AJ1443">
        <v>1</v>
      </c>
      <c r="AK1443">
        <v>1</v>
      </c>
      <c r="AL1443">
        <v>1</v>
      </c>
      <c r="AM1443">
        <v>0</v>
      </c>
      <c r="AN1443" t="s">
        <v>767</v>
      </c>
      <c r="AO1443" t="s">
        <v>31</v>
      </c>
    </row>
    <row r="1444" spans="1:41" x14ac:dyDescent="0.25">
      <c r="A1444">
        <v>43</v>
      </c>
      <c r="B1444" t="s">
        <v>66</v>
      </c>
      <c r="C1444" t="s">
        <v>55</v>
      </c>
      <c r="D1444">
        <v>26</v>
      </c>
      <c r="E1444" t="s">
        <v>34</v>
      </c>
      <c r="F1444">
        <v>3</v>
      </c>
      <c r="G1444">
        <v>4</v>
      </c>
      <c r="H1444" t="s">
        <v>75</v>
      </c>
      <c r="I1444">
        <v>4</v>
      </c>
      <c r="J1444" t="s">
        <v>51</v>
      </c>
      <c r="K1444">
        <v>16959</v>
      </c>
      <c r="L1444">
        <v>1</v>
      </c>
      <c r="M1444" t="s">
        <v>31</v>
      </c>
      <c r="N1444">
        <v>12</v>
      </c>
      <c r="O1444">
        <v>3</v>
      </c>
      <c r="P1444">
        <v>2</v>
      </c>
      <c r="Q1444">
        <v>25</v>
      </c>
      <c r="R1444">
        <v>3</v>
      </c>
      <c r="S1444">
        <v>25</v>
      </c>
      <c r="T1444">
        <v>4</v>
      </c>
      <c r="U1444">
        <v>12</v>
      </c>
      <c r="V1444" t="s">
        <v>37</v>
      </c>
      <c r="W1444" s="2">
        <v>35129</v>
      </c>
      <c r="Y1444" t="s">
        <v>63</v>
      </c>
      <c r="Z1444" t="s">
        <v>40</v>
      </c>
      <c r="AA1444">
        <v>2</v>
      </c>
      <c r="AB1444">
        <v>1</v>
      </c>
      <c r="AC1444" t="s">
        <v>31</v>
      </c>
      <c r="AD1444" t="s">
        <v>67</v>
      </c>
      <c r="AE1444" t="s">
        <v>43</v>
      </c>
      <c r="AF1444" s="3">
        <v>1933</v>
      </c>
      <c r="AG1444" s="3">
        <v>84</v>
      </c>
      <c r="AH1444">
        <v>80</v>
      </c>
      <c r="AI1444">
        <v>0</v>
      </c>
      <c r="AJ1444">
        <v>1</v>
      </c>
      <c r="AK1444">
        <v>1</v>
      </c>
      <c r="AL1444">
        <v>1</v>
      </c>
      <c r="AM1444">
        <v>0</v>
      </c>
      <c r="AN1444" t="s">
        <v>767</v>
      </c>
      <c r="AO1444" t="s">
        <v>31</v>
      </c>
    </row>
    <row r="1445" spans="1:41" x14ac:dyDescent="0.25">
      <c r="A1445">
        <v>43</v>
      </c>
      <c r="B1445" t="s">
        <v>32</v>
      </c>
      <c r="C1445" t="s">
        <v>33</v>
      </c>
      <c r="D1445">
        <v>12</v>
      </c>
      <c r="E1445" t="s">
        <v>34</v>
      </c>
      <c r="F1445">
        <v>2</v>
      </c>
      <c r="G1445">
        <v>4</v>
      </c>
      <c r="H1445" t="s">
        <v>50</v>
      </c>
      <c r="I1445">
        <v>2</v>
      </c>
      <c r="J1445" t="s">
        <v>57</v>
      </c>
      <c r="K1445">
        <v>14336</v>
      </c>
      <c r="L1445">
        <v>1</v>
      </c>
      <c r="M1445" t="s">
        <v>41</v>
      </c>
      <c r="N1445">
        <v>11</v>
      </c>
      <c r="O1445">
        <v>3</v>
      </c>
      <c r="P1445">
        <v>1</v>
      </c>
      <c r="Q1445">
        <v>25</v>
      </c>
      <c r="R1445">
        <v>3</v>
      </c>
      <c r="S1445">
        <v>25</v>
      </c>
      <c r="T1445">
        <v>3</v>
      </c>
      <c r="U1445">
        <v>9</v>
      </c>
      <c r="V1445" t="s">
        <v>52</v>
      </c>
      <c r="W1445" s="1" t="s">
        <v>739</v>
      </c>
      <c r="Y1445" t="s">
        <v>63</v>
      </c>
      <c r="Z1445" t="s">
        <v>40</v>
      </c>
      <c r="AA1445">
        <v>2</v>
      </c>
      <c r="AB1445">
        <v>1</v>
      </c>
      <c r="AC1445" t="s">
        <v>31</v>
      </c>
      <c r="AD1445" t="s">
        <v>65</v>
      </c>
      <c r="AE1445" t="s">
        <v>49</v>
      </c>
      <c r="AF1445" s="3">
        <v>1792</v>
      </c>
      <c r="AG1445" s="3">
        <v>99</v>
      </c>
      <c r="AH1445">
        <v>80</v>
      </c>
      <c r="AI1445">
        <v>3</v>
      </c>
      <c r="AJ1445">
        <v>1</v>
      </c>
      <c r="AK1445">
        <v>1</v>
      </c>
      <c r="AL1445">
        <v>1</v>
      </c>
      <c r="AM1445">
        <v>0</v>
      </c>
      <c r="AN1445" t="s">
        <v>767</v>
      </c>
      <c r="AO1445" t="s">
        <v>31</v>
      </c>
    </row>
    <row r="1446" spans="1:41" x14ac:dyDescent="0.25">
      <c r="A1446">
        <v>44</v>
      </c>
      <c r="B1446" t="s">
        <v>32</v>
      </c>
      <c r="C1446" t="s">
        <v>33</v>
      </c>
      <c r="D1446">
        <v>4</v>
      </c>
      <c r="E1446" t="s">
        <v>34</v>
      </c>
      <c r="F1446">
        <v>4</v>
      </c>
      <c r="G1446">
        <v>5</v>
      </c>
      <c r="H1446" t="s">
        <v>75</v>
      </c>
      <c r="I1446">
        <v>1</v>
      </c>
      <c r="J1446" t="s">
        <v>57</v>
      </c>
      <c r="K1446">
        <v>19190</v>
      </c>
      <c r="L1446">
        <v>1</v>
      </c>
      <c r="M1446" t="s">
        <v>41</v>
      </c>
      <c r="N1446">
        <v>14</v>
      </c>
      <c r="O1446">
        <v>3</v>
      </c>
      <c r="P1446">
        <v>2</v>
      </c>
      <c r="Q1446">
        <v>26</v>
      </c>
      <c r="R1446">
        <v>4</v>
      </c>
      <c r="S1446">
        <v>25</v>
      </c>
      <c r="T1446">
        <v>14</v>
      </c>
      <c r="U1446">
        <v>13</v>
      </c>
      <c r="V1446" t="s">
        <v>52</v>
      </c>
      <c r="W1446" s="2">
        <v>35099</v>
      </c>
      <c r="Y1446" t="s">
        <v>39</v>
      </c>
      <c r="Z1446" t="s">
        <v>47</v>
      </c>
      <c r="AA1446">
        <v>4</v>
      </c>
      <c r="AB1446">
        <v>1</v>
      </c>
      <c r="AC1446" t="s">
        <v>31</v>
      </c>
      <c r="AD1446" t="s">
        <v>65</v>
      </c>
      <c r="AE1446" t="s">
        <v>60</v>
      </c>
      <c r="AF1446" s="3">
        <v>1464</v>
      </c>
      <c r="AG1446" s="3">
        <v>94</v>
      </c>
      <c r="AH1446">
        <v>80</v>
      </c>
      <c r="AI1446">
        <v>2</v>
      </c>
      <c r="AJ1446">
        <v>1</v>
      </c>
      <c r="AK1446">
        <v>1</v>
      </c>
      <c r="AL1446">
        <v>1</v>
      </c>
      <c r="AM1446">
        <v>0</v>
      </c>
      <c r="AN1446" t="s">
        <v>767</v>
      </c>
      <c r="AO1446" t="s">
        <v>31</v>
      </c>
    </row>
    <row r="1447" spans="1:41" x14ac:dyDescent="0.25">
      <c r="A1447">
        <v>47</v>
      </c>
      <c r="B1447" t="s">
        <v>32</v>
      </c>
      <c r="C1447" t="s">
        <v>33</v>
      </c>
      <c r="D1447">
        <v>2</v>
      </c>
      <c r="E1447" t="s">
        <v>61</v>
      </c>
      <c r="F1447">
        <v>3</v>
      </c>
      <c r="G1447">
        <v>4</v>
      </c>
      <c r="H1447" t="s">
        <v>75</v>
      </c>
      <c r="I1447">
        <v>4</v>
      </c>
      <c r="J1447" t="s">
        <v>51</v>
      </c>
      <c r="K1447">
        <v>16752</v>
      </c>
      <c r="L1447">
        <v>1</v>
      </c>
      <c r="M1447" t="s">
        <v>31</v>
      </c>
      <c r="N1447">
        <v>11</v>
      </c>
      <c r="O1447">
        <v>3</v>
      </c>
      <c r="P1447">
        <v>1</v>
      </c>
      <c r="Q1447">
        <v>26</v>
      </c>
      <c r="R1447">
        <v>3</v>
      </c>
      <c r="S1447">
        <v>26</v>
      </c>
      <c r="T1447">
        <v>3</v>
      </c>
      <c r="U1447">
        <v>0</v>
      </c>
      <c r="V1447" t="s">
        <v>37</v>
      </c>
      <c r="W1447" s="1" t="s">
        <v>740</v>
      </c>
      <c r="Y1447" t="s">
        <v>69</v>
      </c>
      <c r="Z1447" t="s">
        <v>47</v>
      </c>
      <c r="AA1447">
        <v>3</v>
      </c>
      <c r="AB1447">
        <v>0</v>
      </c>
      <c r="AC1447" t="s">
        <v>41</v>
      </c>
      <c r="AD1447" t="s">
        <v>48</v>
      </c>
      <c r="AE1447" t="s">
        <v>49</v>
      </c>
      <c r="AF1447" s="3">
        <v>1767</v>
      </c>
      <c r="AG1447" s="3">
        <v>38</v>
      </c>
      <c r="AH1447">
        <v>80</v>
      </c>
      <c r="AI1447">
        <v>0</v>
      </c>
      <c r="AJ1447">
        <v>1</v>
      </c>
      <c r="AK1447">
        <v>1</v>
      </c>
      <c r="AL1447">
        <v>1</v>
      </c>
      <c r="AM1447">
        <v>0</v>
      </c>
      <c r="AN1447" t="s">
        <v>767</v>
      </c>
      <c r="AO1447" t="s">
        <v>31</v>
      </c>
    </row>
    <row r="1448" spans="1:41" x14ac:dyDescent="0.25">
      <c r="A1448">
        <v>49</v>
      </c>
      <c r="B1448" t="s">
        <v>32</v>
      </c>
      <c r="C1448" t="s">
        <v>33</v>
      </c>
      <c r="D1448">
        <v>8</v>
      </c>
      <c r="E1448" t="s">
        <v>61</v>
      </c>
      <c r="F1448">
        <v>3</v>
      </c>
      <c r="G1448">
        <v>3</v>
      </c>
      <c r="H1448" t="s">
        <v>35</v>
      </c>
      <c r="I1448">
        <v>2</v>
      </c>
      <c r="J1448" t="s">
        <v>51</v>
      </c>
      <c r="K1448">
        <v>7403</v>
      </c>
      <c r="L1448">
        <v>4</v>
      </c>
      <c r="M1448" t="s">
        <v>41</v>
      </c>
      <c r="N1448">
        <v>11</v>
      </c>
      <c r="O1448">
        <v>3</v>
      </c>
      <c r="P1448">
        <v>1</v>
      </c>
      <c r="Q1448">
        <v>29</v>
      </c>
      <c r="R1448">
        <v>3</v>
      </c>
      <c r="S1448">
        <v>26</v>
      </c>
      <c r="T1448">
        <v>1</v>
      </c>
      <c r="U1448">
        <v>7</v>
      </c>
      <c r="V1448" t="s">
        <v>58</v>
      </c>
      <c r="W1448" s="1" t="s">
        <v>741</v>
      </c>
      <c r="Y1448" t="s">
        <v>63</v>
      </c>
      <c r="Z1448" t="s">
        <v>47</v>
      </c>
      <c r="AA1448">
        <v>4</v>
      </c>
      <c r="AB1448">
        <v>0</v>
      </c>
      <c r="AC1448" t="s">
        <v>31</v>
      </c>
      <c r="AD1448" t="s">
        <v>42</v>
      </c>
      <c r="AE1448" t="s">
        <v>49</v>
      </c>
      <c r="AF1448" s="3">
        <v>1494</v>
      </c>
      <c r="AG1448" s="3">
        <v>89</v>
      </c>
      <c r="AH1448">
        <v>80</v>
      </c>
      <c r="AI1448">
        <v>0</v>
      </c>
      <c r="AJ1448">
        <v>1</v>
      </c>
      <c r="AK1448">
        <v>1</v>
      </c>
      <c r="AL1448">
        <v>1</v>
      </c>
      <c r="AM1448">
        <v>0</v>
      </c>
      <c r="AN1448" t="s">
        <v>767</v>
      </c>
      <c r="AO1448" t="s">
        <v>31</v>
      </c>
    </row>
    <row r="1449" spans="1:41" x14ac:dyDescent="0.25">
      <c r="A1449">
        <v>46</v>
      </c>
      <c r="B1449" t="s">
        <v>32</v>
      </c>
      <c r="C1449" t="s">
        <v>55</v>
      </c>
      <c r="D1449">
        <v>2</v>
      </c>
      <c r="E1449" t="s">
        <v>61</v>
      </c>
      <c r="F1449">
        <v>3</v>
      </c>
      <c r="G1449">
        <v>4</v>
      </c>
      <c r="H1449" t="s">
        <v>75</v>
      </c>
      <c r="I1449">
        <v>1</v>
      </c>
      <c r="J1449" t="s">
        <v>51</v>
      </c>
      <c r="K1449">
        <v>17048</v>
      </c>
      <c r="L1449">
        <v>8</v>
      </c>
      <c r="M1449" t="s">
        <v>41</v>
      </c>
      <c r="N1449">
        <v>23</v>
      </c>
      <c r="O1449">
        <v>4</v>
      </c>
      <c r="P1449">
        <v>0</v>
      </c>
      <c r="Q1449">
        <v>28</v>
      </c>
      <c r="R1449">
        <v>2</v>
      </c>
      <c r="S1449">
        <v>26</v>
      </c>
      <c r="T1449">
        <v>15</v>
      </c>
      <c r="U1449">
        <v>9</v>
      </c>
      <c r="V1449" t="s">
        <v>58</v>
      </c>
      <c r="W1449" s="2">
        <v>34978</v>
      </c>
      <c r="Y1449" t="s">
        <v>46</v>
      </c>
      <c r="Z1449" t="s">
        <v>47</v>
      </c>
      <c r="AA1449">
        <v>4</v>
      </c>
      <c r="AB1449">
        <v>1</v>
      </c>
      <c r="AC1449" t="s">
        <v>31</v>
      </c>
      <c r="AD1449" t="s">
        <v>48</v>
      </c>
      <c r="AE1449" t="s">
        <v>60</v>
      </c>
      <c r="AF1449" s="3">
        <v>1967</v>
      </c>
      <c r="AG1449" s="3">
        <v>63</v>
      </c>
      <c r="AH1449">
        <v>80</v>
      </c>
      <c r="AI1449">
        <v>7</v>
      </c>
      <c r="AJ1449">
        <v>1</v>
      </c>
      <c r="AK1449">
        <v>1</v>
      </c>
      <c r="AL1449">
        <v>1</v>
      </c>
      <c r="AM1449">
        <v>0</v>
      </c>
      <c r="AN1449" t="s">
        <v>767</v>
      </c>
      <c r="AO1449" t="s">
        <v>31</v>
      </c>
    </row>
    <row r="1450" spans="1:41" x14ac:dyDescent="0.25">
      <c r="A1450">
        <v>46</v>
      </c>
      <c r="B1450" t="s">
        <v>32</v>
      </c>
      <c r="C1450" t="s">
        <v>55</v>
      </c>
      <c r="D1450">
        <v>1</v>
      </c>
      <c r="E1450" t="s">
        <v>34</v>
      </c>
      <c r="F1450">
        <v>4</v>
      </c>
      <c r="G1450">
        <v>4</v>
      </c>
      <c r="H1450" t="s">
        <v>75</v>
      </c>
      <c r="I1450">
        <v>1</v>
      </c>
      <c r="J1450" t="s">
        <v>36</v>
      </c>
      <c r="K1450">
        <v>17567</v>
      </c>
      <c r="L1450">
        <v>1</v>
      </c>
      <c r="M1450" t="s">
        <v>41</v>
      </c>
      <c r="N1450">
        <v>15</v>
      </c>
      <c r="O1450">
        <v>3</v>
      </c>
      <c r="P1450">
        <v>0</v>
      </c>
      <c r="Q1450">
        <v>27</v>
      </c>
      <c r="R1450">
        <v>5</v>
      </c>
      <c r="S1450">
        <v>26</v>
      </c>
      <c r="T1450">
        <v>0</v>
      </c>
      <c r="U1450">
        <v>12</v>
      </c>
      <c r="V1450" t="s">
        <v>52</v>
      </c>
      <c r="W1450" s="1" t="s">
        <v>742</v>
      </c>
      <c r="Y1450" t="s">
        <v>39</v>
      </c>
      <c r="Z1450" t="s">
        <v>40</v>
      </c>
      <c r="AA1450">
        <v>3</v>
      </c>
      <c r="AB1450">
        <v>3</v>
      </c>
      <c r="AC1450" t="s">
        <v>31</v>
      </c>
      <c r="AD1450" t="s">
        <v>48</v>
      </c>
      <c r="AE1450" t="s">
        <v>60</v>
      </c>
      <c r="AF1450" s="3">
        <v>1844</v>
      </c>
      <c r="AG1450" s="3">
        <v>56</v>
      </c>
      <c r="AH1450">
        <v>80</v>
      </c>
      <c r="AI1450">
        <v>2</v>
      </c>
      <c r="AJ1450">
        <v>1</v>
      </c>
      <c r="AK1450">
        <v>1</v>
      </c>
      <c r="AL1450">
        <v>1</v>
      </c>
      <c r="AM1450">
        <v>0</v>
      </c>
      <c r="AN1450" t="s">
        <v>767</v>
      </c>
      <c r="AO1450" t="s">
        <v>31</v>
      </c>
    </row>
    <row r="1451" spans="1:41" x14ac:dyDescent="0.25">
      <c r="A1451">
        <v>50</v>
      </c>
      <c r="B1451" t="s">
        <v>32</v>
      </c>
      <c r="C1451" t="s">
        <v>33</v>
      </c>
      <c r="D1451">
        <v>7</v>
      </c>
      <c r="E1451" t="s">
        <v>61</v>
      </c>
      <c r="F1451">
        <v>2</v>
      </c>
      <c r="G1451">
        <v>5</v>
      </c>
      <c r="H1451" t="s">
        <v>50</v>
      </c>
      <c r="I1451">
        <v>3</v>
      </c>
      <c r="J1451" t="s">
        <v>57</v>
      </c>
      <c r="K1451">
        <v>18740</v>
      </c>
      <c r="L1451">
        <v>5</v>
      </c>
      <c r="M1451" t="s">
        <v>31</v>
      </c>
      <c r="N1451">
        <v>12</v>
      </c>
      <c r="O1451">
        <v>3</v>
      </c>
      <c r="P1451">
        <v>1</v>
      </c>
      <c r="Q1451">
        <v>29</v>
      </c>
      <c r="R1451">
        <v>2</v>
      </c>
      <c r="S1451">
        <v>27</v>
      </c>
      <c r="T1451">
        <v>13</v>
      </c>
      <c r="U1451">
        <v>8</v>
      </c>
      <c r="V1451" t="s">
        <v>72</v>
      </c>
      <c r="W1451" s="1" t="s">
        <v>743</v>
      </c>
      <c r="Y1451" t="s">
        <v>39</v>
      </c>
      <c r="Z1451" t="s">
        <v>47</v>
      </c>
      <c r="AA1451">
        <v>2</v>
      </c>
      <c r="AB1451">
        <v>2</v>
      </c>
      <c r="AC1451" t="s">
        <v>31</v>
      </c>
      <c r="AD1451" t="s">
        <v>65</v>
      </c>
      <c r="AE1451" t="s">
        <v>49</v>
      </c>
      <c r="AF1451" s="3">
        <v>2027</v>
      </c>
      <c r="AG1451" s="3">
        <v>36</v>
      </c>
      <c r="AH1451">
        <v>80</v>
      </c>
      <c r="AI1451">
        <v>2</v>
      </c>
      <c r="AJ1451">
        <v>1</v>
      </c>
      <c r="AK1451">
        <v>1</v>
      </c>
      <c r="AL1451">
        <v>1</v>
      </c>
      <c r="AM1451">
        <v>0</v>
      </c>
      <c r="AN1451" t="s">
        <v>767</v>
      </c>
      <c r="AO1451" t="s">
        <v>31</v>
      </c>
    </row>
    <row r="1452" spans="1:41" x14ac:dyDescent="0.25">
      <c r="A1452">
        <v>50</v>
      </c>
      <c r="B1452" t="s">
        <v>32</v>
      </c>
      <c r="C1452" t="s">
        <v>33</v>
      </c>
      <c r="D1452">
        <v>29</v>
      </c>
      <c r="E1452" t="s">
        <v>34</v>
      </c>
      <c r="F1452">
        <v>2</v>
      </c>
      <c r="G1452">
        <v>4</v>
      </c>
      <c r="H1452" t="s">
        <v>75</v>
      </c>
      <c r="I1452">
        <v>3</v>
      </c>
      <c r="J1452" t="s">
        <v>51</v>
      </c>
      <c r="K1452">
        <v>17046</v>
      </c>
      <c r="L1452">
        <v>0</v>
      </c>
      <c r="M1452" t="s">
        <v>41</v>
      </c>
      <c r="N1452">
        <v>15</v>
      </c>
      <c r="O1452">
        <v>3</v>
      </c>
      <c r="P1452">
        <v>1</v>
      </c>
      <c r="Q1452">
        <v>28</v>
      </c>
      <c r="R1452">
        <v>2</v>
      </c>
      <c r="S1452">
        <v>27</v>
      </c>
      <c r="T1452">
        <v>15</v>
      </c>
      <c r="U1452">
        <v>7</v>
      </c>
      <c r="V1452" t="s">
        <v>52</v>
      </c>
      <c r="W1452" s="1" t="s">
        <v>744</v>
      </c>
      <c r="Y1452" t="s">
        <v>39</v>
      </c>
      <c r="Z1452" t="s">
        <v>47</v>
      </c>
      <c r="AA1452">
        <v>4</v>
      </c>
      <c r="AB1452">
        <v>1</v>
      </c>
      <c r="AC1452" t="s">
        <v>31</v>
      </c>
      <c r="AD1452" t="s">
        <v>65</v>
      </c>
      <c r="AE1452" t="s">
        <v>49</v>
      </c>
      <c r="AF1452" s="3">
        <v>1604</v>
      </c>
      <c r="AG1452" s="3">
        <v>51</v>
      </c>
      <c r="AH1452">
        <v>80</v>
      </c>
      <c r="AI1452">
        <v>1</v>
      </c>
      <c r="AJ1452">
        <v>1</v>
      </c>
      <c r="AK1452">
        <v>1</v>
      </c>
      <c r="AL1452">
        <v>1</v>
      </c>
      <c r="AM1452">
        <v>0</v>
      </c>
      <c r="AN1452" t="s">
        <v>767</v>
      </c>
      <c r="AO1452" t="s">
        <v>31</v>
      </c>
    </row>
    <row r="1453" spans="1:41" x14ac:dyDescent="0.25">
      <c r="A1453">
        <v>60</v>
      </c>
      <c r="B1453" t="s">
        <v>32</v>
      </c>
      <c r="C1453" t="s">
        <v>33</v>
      </c>
      <c r="D1453">
        <v>7</v>
      </c>
      <c r="E1453" t="s">
        <v>61</v>
      </c>
      <c r="F1453">
        <v>3</v>
      </c>
      <c r="G1453">
        <v>5</v>
      </c>
      <c r="H1453" t="s">
        <v>75</v>
      </c>
      <c r="I1453">
        <v>1</v>
      </c>
      <c r="J1453" t="s">
        <v>51</v>
      </c>
      <c r="K1453">
        <v>19566</v>
      </c>
      <c r="L1453">
        <v>5</v>
      </c>
      <c r="M1453" t="s">
        <v>41</v>
      </c>
      <c r="N1453">
        <v>11</v>
      </c>
      <c r="O1453">
        <v>3</v>
      </c>
      <c r="P1453">
        <v>0</v>
      </c>
      <c r="Q1453">
        <v>33</v>
      </c>
      <c r="R1453">
        <v>5</v>
      </c>
      <c r="S1453">
        <v>29</v>
      </c>
      <c r="T1453">
        <v>11</v>
      </c>
      <c r="U1453">
        <v>10</v>
      </c>
      <c r="V1453" t="s">
        <v>37</v>
      </c>
      <c r="W1453" s="1" t="s">
        <v>745</v>
      </c>
      <c r="Y1453" t="s">
        <v>69</v>
      </c>
      <c r="Z1453" t="s">
        <v>40</v>
      </c>
      <c r="AA1453">
        <v>2</v>
      </c>
      <c r="AB1453">
        <v>0</v>
      </c>
      <c r="AC1453" t="s">
        <v>41</v>
      </c>
      <c r="AD1453" t="s">
        <v>48</v>
      </c>
      <c r="AE1453" t="s">
        <v>60</v>
      </c>
      <c r="AF1453" s="3">
        <v>1649</v>
      </c>
      <c r="AG1453" s="3">
        <v>73</v>
      </c>
      <c r="AH1453">
        <v>80</v>
      </c>
      <c r="AI1453">
        <v>2</v>
      </c>
      <c r="AJ1453">
        <v>1</v>
      </c>
      <c r="AK1453">
        <v>1</v>
      </c>
      <c r="AL1453">
        <v>1</v>
      </c>
      <c r="AM1453">
        <v>0</v>
      </c>
      <c r="AN1453" t="s">
        <v>767</v>
      </c>
      <c r="AO1453" t="s">
        <v>31</v>
      </c>
    </row>
    <row r="1454" spans="1:41" x14ac:dyDescent="0.25">
      <c r="A1454">
        <v>51</v>
      </c>
      <c r="B1454" t="s">
        <v>66</v>
      </c>
      <c r="C1454" t="s">
        <v>55</v>
      </c>
      <c r="D1454">
        <v>9</v>
      </c>
      <c r="E1454" t="s">
        <v>34</v>
      </c>
      <c r="F1454">
        <v>3</v>
      </c>
      <c r="G1454">
        <v>5</v>
      </c>
      <c r="H1454" t="s">
        <v>75</v>
      </c>
      <c r="I1454">
        <v>2</v>
      </c>
      <c r="J1454" t="s">
        <v>57</v>
      </c>
      <c r="K1454">
        <v>19847</v>
      </c>
      <c r="L1454">
        <v>4</v>
      </c>
      <c r="M1454" t="s">
        <v>31</v>
      </c>
      <c r="N1454">
        <v>24</v>
      </c>
      <c r="O1454">
        <v>4</v>
      </c>
      <c r="P1454">
        <v>1</v>
      </c>
      <c r="Q1454">
        <v>31</v>
      </c>
      <c r="R1454">
        <v>5</v>
      </c>
      <c r="S1454">
        <v>29</v>
      </c>
      <c r="T1454">
        <v>11</v>
      </c>
      <c r="U1454">
        <v>10</v>
      </c>
      <c r="V1454" t="s">
        <v>52</v>
      </c>
      <c r="W1454" s="1" t="s">
        <v>746</v>
      </c>
      <c r="Y1454" t="s">
        <v>54</v>
      </c>
      <c r="Z1454" t="s">
        <v>47</v>
      </c>
      <c r="AA1454">
        <v>0</v>
      </c>
      <c r="AB1454">
        <v>1</v>
      </c>
      <c r="AC1454" t="s">
        <v>41</v>
      </c>
      <c r="AD1454" t="s">
        <v>48</v>
      </c>
      <c r="AE1454" t="s">
        <v>43</v>
      </c>
      <c r="AF1454" s="3">
        <v>1684</v>
      </c>
      <c r="AG1454" s="3">
        <v>93</v>
      </c>
      <c r="AH1454">
        <v>80</v>
      </c>
      <c r="AI1454">
        <v>4</v>
      </c>
      <c r="AJ1454">
        <v>1</v>
      </c>
      <c r="AK1454">
        <v>1</v>
      </c>
      <c r="AL1454">
        <v>1</v>
      </c>
      <c r="AM1454">
        <v>0</v>
      </c>
      <c r="AN1454" t="s">
        <v>767</v>
      </c>
      <c r="AO1454" t="s">
        <v>31</v>
      </c>
    </row>
    <row r="1455" spans="1:41" x14ac:dyDescent="0.25">
      <c r="A1455">
        <v>50</v>
      </c>
      <c r="B1455" t="s">
        <v>66</v>
      </c>
      <c r="C1455" t="s">
        <v>33</v>
      </c>
      <c r="D1455">
        <v>20</v>
      </c>
      <c r="E1455" t="s">
        <v>34</v>
      </c>
      <c r="F1455">
        <v>3</v>
      </c>
      <c r="G1455">
        <v>4</v>
      </c>
      <c r="H1455" t="s">
        <v>89</v>
      </c>
      <c r="I1455">
        <v>3</v>
      </c>
      <c r="J1455" t="s">
        <v>51</v>
      </c>
      <c r="K1455">
        <v>11245</v>
      </c>
      <c r="L1455">
        <v>2</v>
      </c>
      <c r="M1455" t="s">
        <v>31</v>
      </c>
      <c r="N1455">
        <v>15</v>
      </c>
      <c r="O1455">
        <v>3</v>
      </c>
      <c r="P1455">
        <v>1</v>
      </c>
      <c r="Q1455">
        <v>32</v>
      </c>
      <c r="R1455">
        <v>3</v>
      </c>
      <c r="S1455">
        <v>30</v>
      </c>
      <c r="T1455">
        <v>12</v>
      </c>
      <c r="U1455">
        <v>13</v>
      </c>
      <c r="V1455" t="s">
        <v>52</v>
      </c>
      <c r="W1455" s="2">
        <v>33244</v>
      </c>
      <c r="Y1455" t="s">
        <v>63</v>
      </c>
      <c r="Z1455" t="s">
        <v>47</v>
      </c>
      <c r="AA1455">
        <v>1</v>
      </c>
      <c r="AB1455">
        <v>0</v>
      </c>
      <c r="AC1455" t="s">
        <v>31</v>
      </c>
      <c r="AD1455" t="s">
        <v>65</v>
      </c>
      <c r="AE1455" t="s">
        <v>60</v>
      </c>
      <c r="AF1455" s="3">
        <v>2055</v>
      </c>
      <c r="AG1455" s="3">
        <v>39</v>
      </c>
      <c r="AH1455">
        <v>80</v>
      </c>
      <c r="AI1455">
        <v>2</v>
      </c>
      <c r="AJ1455">
        <v>1</v>
      </c>
      <c r="AK1455">
        <v>1</v>
      </c>
      <c r="AL1455">
        <v>1</v>
      </c>
      <c r="AM1455">
        <v>0</v>
      </c>
      <c r="AN1455" t="s">
        <v>767</v>
      </c>
      <c r="AO1455" t="s">
        <v>31</v>
      </c>
    </row>
    <row r="1456" spans="1:41" x14ac:dyDescent="0.25">
      <c r="A1456">
        <v>49</v>
      </c>
      <c r="B1456" t="s">
        <v>32</v>
      </c>
      <c r="C1456" t="s">
        <v>33</v>
      </c>
      <c r="D1456">
        <v>18</v>
      </c>
      <c r="E1456" t="s">
        <v>34</v>
      </c>
      <c r="F1456">
        <v>2</v>
      </c>
      <c r="G1456">
        <v>5</v>
      </c>
      <c r="H1456" t="s">
        <v>50</v>
      </c>
      <c r="I1456">
        <v>3</v>
      </c>
      <c r="J1456" t="s">
        <v>57</v>
      </c>
      <c r="K1456">
        <v>19502</v>
      </c>
      <c r="L1456">
        <v>1</v>
      </c>
      <c r="M1456" t="s">
        <v>31</v>
      </c>
      <c r="N1456">
        <v>17</v>
      </c>
      <c r="O1456">
        <v>3</v>
      </c>
      <c r="P1456">
        <v>1</v>
      </c>
      <c r="Q1456">
        <v>31</v>
      </c>
      <c r="R1456">
        <v>5</v>
      </c>
      <c r="S1456">
        <v>31</v>
      </c>
      <c r="T1456">
        <v>0</v>
      </c>
      <c r="U1456">
        <v>9</v>
      </c>
      <c r="V1456" t="s">
        <v>58</v>
      </c>
      <c r="W1456" s="1" t="s">
        <v>747</v>
      </c>
      <c r="Y1456" t="s">
        <v>46</v>
      </c>
      <c r="Z1456" t="s">
        <v>40</v>
      </c>
      <c r="AA1456">
        <v>3</v>
      </c>
      <c r="AB1456">
        <v>3</v>
      </c>
      <c r="AC1456" t="s">
        <v>31</v>
      </c>
      <c r="AD1456" t="s">
        <v>65</v>
      </c>
      <c r="AE1456" t="s">
        <v>60</v>
      </c>
      <c r="AF1456" s="3">
        <v>1645</v>
      </c>
      <c r="AG1456" s="3">
        <v>59</v>
      </c>
      <c r="AH1456">
        <v>80</v>
      </c>
      <c r="AI1456">
        <v>2</v>
      </c>
      <c r="AJ1456">
        <v>1</v>
      </c>
      <c r="AK1456">
        <v>1</v>
      </c>
      <c r="AL1456">
        <v>1</v>
      </c>
      <c r="AM1456">
        <v>0</v>
      </c>
      <c r="AN1456" t="s">
        <v>767</v>
      </c>
      <c r="AO1456" t="s">
        <v>31</v>
      </c>
    </row>
    <row r="1457" spans="1:41" x14ac:dyDescent="0.25">
      <c r="A1457">
        <v>58</v>
      </c>
      <c r="B1457" t="s">
        <v>32</v>
      </c>
      <c r="C1457" t="s">
        <v>33</v>
      </c>
      <c r="D1457">
        <v>2</v>
      </c>
      <c r="E1457" t="s">
        <v>34</v>
      </c>
      <c r="F1457">
        <v>3</v>
      </c>
      <c r="G1457">
        <v>5</v>
      </c>
      <c r="H1457" t="s">
        <v>50</v>
      </c>
      <c r="I1457">
        <v>2</v>
      </c>
      <c r="J1457" t="s">
        <v>36</v>
      </c>
      <c r="K1457">
        <v>19246</v>
      </c>
      <c r="L1457">
        <v>7</v>
      </c>
      <c r="M1457" t="s">
        <v>31</v>
      </c>
      <c r="N1457">
        <v>12</v>
      </c>
      <c r="O1457">
        <v>3</v>
      </c>
      <c r="P1457">
        <v>0</v>
      </c>
      <c r="Q1457">
        <v>40</v>
      </c>
      <c r="R1457">
        <v>2</v>
      </c>
      <c r="S1457">
        <v>31</v>
      </c>
      <c r="T1457">
        <v>13</v>
      </c>
      <c r="U1457">
        <v>8</v>
      </c>
      <c r="V1457" t="s">
        <v>52</v>
      </c>
      <c r="W1457" s="1" t="s">
        <v>748</v>
      </c>
      <c r="Y1457" t="s">
        <v>69</v>
      </c>
      <c r="Z1457" t="s">
        <v>47</v>
      </c>
      <c r="AA1457">
        <v>3</v>
      </c>
      <c r="AB1457">
        <v>1</v>
      </c>
      <c r="AC1457" t="s">
        <v>41</v>
      </c>
      <c r="AD1457" t="s">
        <v>48</v>
      </c>
      <c r="AE1457" t="s">
        <v>60</v>
      </c>
      <c r="AF1457" s="3">
        <v>1733</v>
      </c>
      <c r="AG1457" s="3">
        <v>96</v>
      </c>
      <c r="AH1457">
        <v>80</v>
      </c>
      <c r="AI1457">
        <v>2</v>
      </c>
      <c r="AJ1457">
        <v>1</v>
      </c>
      <c r="AK1457">
        <v>1</v>
      </c>
      <c r="AL1457">
        <v>1</v>
      </c>
      <c r="AM1457">
        <v>0</v>
      </c>
      <c r="AN1457" t="s">
        <v>767</v>
      </c>
      <c r="AO1457" t="s">
        <v>31</v>
      </c>
    </row>
    <row r="1458" spans="1:41" x14ac:dyDescent="0.25">
      <c r="A1458">
        <v>50</v>
      </c>
      <c r="B1458" t="s">
        <v>81</v>
      </c>
      <c r="C1458" t="s">
        <v>33</v>
      </c>
      <c r="D1458">
        <v>2</v>
      </c>
      <c r="E1458" t="s">
        <v>34</v>
      </c>
      <c r="F1458">
        <v>3</v>
      </c>
      <c r="G1458">
        <v>4</v>
      </c>
      <c r="H1458" t="s">
        <v>75</v>
      </c>
      <c r="I1458">
        <v>1</v>
      </c>
      <c r="J1458" t="s">
        <v>57</v>
      </c>
      <c r="K1458">
        <v>17924</v>
      </c>
      <c r="L1458">
        <v>1</v>
      </c>
      <c r="M1458" t="s">
        <v>41</v>
      </c>
      <c r="N1458">
        <v>11</v>
      </c>
      <c r="O1458">
        <v>3</v>
      </c>
      <c r="P1458">
        <v>1</v>
      </c>
      <c r="Q1458">
        <v>31</v>
      </c>
      <c r="R1458">
        <v>3</v>
      </c>
      <c r="S1458">
        <v>31</v>
      </c>
      <c r="T1458">
        <v>14</v>
      </c>
      <c r="U1458">
        <v>7</v>
      </c>
      <c r="V1458" t="s">
        <v>37</v>
      </c>
      <c r="W1458" s="2">
        <v>33025</v>
      </c>
      <c r="Y1458" t="s">
        <v>54</v>
      </c>
      <c r="Z1458" t="s">
        <v>47</v>
      </c>
      <c r="AA1458">
        <v>4</v>
      </c>
      <c r="AB1458">
        <v>2</v>
      </c>
      <c r="AC1458" t="s">
        <v>41</v>
      </c>
      <c r="AD1458" t="s">
        <v>42</v>
      </c>
      <c r="AE1458" t="s">
        <v>60</v>
      </c>
      <c r="AF1458" s="3">
        <v>1968</v>
      </c>
      <c r="AG1458" s="3">
        <v>66</v>
      </c>
      <c r="AH1458">
        <v>80</v>
      </c>
      <c r="AI1458">
        <v>2</v>
      </c>
      <c r="AJ1458">
        <v>1</v>
      </c>
      <c r="AK1458">
        <v>1</v>
      </c>
      <c r="AL1458">
        <v>1</v>
      </c>
      <c r="AM1458">
        <v>0</v>
      </c>
      <c r="AN1458" t="s">
        <v>767</v>
      </c>
      <c r="AO1458" t="s">
        <v>31</v>
      </c>
    </row>
    <row r="1459" spans="1:41" x14ac:dyDescent="0.25">
      <c r="A1459">
        <v>50</v>
      </c>
      <c r="B1459" t="s">
        <v>66</v>
      </c>
      <c r="C1459" t="s">
        <v>120</v>
      </c>
      <c r="D1459">
        <v>3</v>
      </c>
      <c r="E1459" t="s">
        <v>34</v>
      </c>
      <c r="F1459">
        <v>3</v>
      </c>
      <c r="G1459">
        <v>5</v>
      </c>
      <c r="H1459" t="s">
        <v>75</v>
      </c>
      <c r="I1459">
        <v>2</v>
      </c>
      <c r="J1459" t="s">
        <v>51</v>
      </c>
      <c r="K1459">
        <v>18200</v>
      </c>
      <c r="L1459">
        <v>1</v>
      </c>
      <c r="M1459" t="s">
        <v>41</v>
      </c>
      <c r="N1459">
        <v>11</v>
      </c>
      <c r="O1459">
        <v>3</v>
      </c>
      <c r="P1459">
        <v>1</v>
      </c>
      <c r="Q1459">
        <v>32</v>
      </c>
      <c r="R1459">
        <v>2</v>
      </c>
      <c r="S1459">
        <v>32</v>
      </c>
      <c r="T1459">
        <v>10</v>
      </c>
      <c r="U1459">
        <v>7</v>
      </c>
      <c r="V1459" t="s">
        <v>52</v>
      </c>
      <c r="W1459" s="1" t="s">
        <v>749</v>
      </c>
      <c r="Y1459" t="s">
        <v>39</v>
      </c>
      <c r="Z1459" t="s">
        <v>47</v>
      </c>
      <c r="AA1459">
        <v>4</v>
      </c>
      <c r="AB1459">
        <v>3</v>
      </c>
      <c r="AC1459" t="s">
        <v>31</v>
      </c>
      <c r="AD1459" t="s">
        <v>67</v>
      </c>
      <c r="AE1459" t="s">
        <v>43</v>
      </c>
      <c r="AF1459" s="3">
        <v>1862</v>
      </c>
      <c r="AG1459" s="3">
        <v>82</v>
      </c>
      <c r="AH1459">
        <v>80</v>
      </c>
      <c r="AI1459">
        <v>2</v>
      </c>
      <c r="AJ1459">
        <v>1</v>
      </c>
      <c r="AK1459">
        <v>1</v>
      </c>
      <c r="AL1459">
        <v>1</v>
      </c>
      <c r="AM1459">
        <v>0</v>
      </c>
      <c r="AN1459" t="s">
        <v>767</v>
      </c>
      <c r="AO1459" t="s">
        <v>31</v>
      </c>
    </row>
    <row r="1460" spans="1:41" x14ac:dyDescent="0.25">
      <c r="A1460">
        <v>52</v>
      </c>
      <c r="B1460" t="s">
        <v>32</v>
      </c>
      <c r="C1460" t="s">
        <v>55</v>
      </c>
      <c r="D1460">
        <v>2</v>
      </c>
      <c r="E1460" t="s">
        <v>61</v>
      </c>
      <c r="F1460">
        <v>1</v>
      </c>
      <c r="G1460">
        <v>5</v>
      </c>
      <c r="H1460" t="s">
        <v>75</v>
      </c>
      <c r="I1460">
        <v>4</v>
      </c>
      <c r="J1460" t="s">
        <v>51</v>
      </c>
      <c r="K1460">
        <v>19845</v>
      </c>
      <c r="L1460">
        <v>1</v>
      </c>
      <c r="M1460" t="s">
        <v>41</v>
      </c>
      <c r="N1460">
        <v>15</v>
      </c>
      <c r="O1460">
        <v>3</v>
      </c>
      <c r="P1460">
        <v>1</v>
      </c>
      <c r="Q1460">
        <v>33</v>
      </c>
      <c r="R1460">
        <v>3</v>
      </c>
      <c r="S1460">
        <v>32</v>
      </c>
      <c r="T1460">
        <v>6</v>
      </c>
      <c r="U1460">
        <v>9</v>
      </c>
      <c r="V1460" t="s">
        <v>72</v>
      </c>
      <c r="W1460" s="1" t="s">
        <v>750</v>
      </c>
      <c r="Y1460" t="s">
        <v>63</v>
      </c>
      <c r="Z1460" t="s">
        <v>40</v>
      </c>
      <c r="AA1460">
        <v>3</v>
      </c>
      <c r="AB1460">
        <v>2</v>
      </c>
      <c r="AC1460" t="s">
        <v>41</v>
      </c>
      <c r="AD1460" t="s">
        <v>42</v>
      </c>
      <c r="AE1460" t="s">
        <v>60</v>
      </c>
      <c r="AF1460" s="3">
        <v>1797</v>
      </c>
      <c r="AG1460" s="3">
        <v>84</v>
      </c>
      <c r="AH1460">
        <v>80</v>
      </c>
      <c r="AI1460">
        <v>7</v>
      </c>
      <c r="AJ1460">
        <v>1</v>
      </c>
      <c r="AK1460">
        <v>1</v>
      </c>
      <c r="AL1460">
        <v>1</v>
      </c>
      <c r="AM1460">
        <v>0</v>
      </c>
      <c r="AN1460" t="s">
        <v>767</v>
      </c>
      <c r="AO1460" t="s">
        <v>31</v>
      </c>
    </row>
    <row r="1461" spans="1:41" x14ac:dyDescent="0.25">
      <c r="A1461">
        <v>50</v>
      </c>
      <c r="B1461" t="s">
        <v>66</v>
      </c>
      <c r="C1461" t="s">
        <v>33</v>
      </c>
      <c r="D1461">
        <v>22</v>
      </c>
      <c r="E1461" t="s">
        <v>34</v>
      </c>
      <c r="F1461">
        <v>1</v>
      </c>
      <c r="G1461">
        <v>4</v>
      </c>
      <c r="H1461" t="s">
        <v>50</v>
      </c>
      <c r="I1461">
        <v>4</v>
      </c>
      <c r="J1461" t="s">
        <v>36</v>
      </c>
      <c r="K1461">
        <v>14411</v>
      </c>
      <c r="L1461">
        <v>1</v>
      </c>
      <c r="M1461" t="s">
        <v>31</v>
      </c>
      <c r="N1461">
        <v>13</v>
      </c>
      <c r="O1461">
        <v>3</v>
      </c>
      <c r="P1461">
        <v>0</v>
      </c>
      <c r="Q1461">
        <v>32</v>
      </c>
      <c r="R1461">
        <v>2</v>
      </c>
      <c r="S1461">
        <v>32</v>
      </c>
      <c r="T1461">
        <v>13</v>
      </c>
      <c r="U1461">
        <v>9</v>
      </c>
      <c r="V1461" t="s">
        <v>58</v>
      </c>
      <c r="W1461" s="1" t="s">
        <v>751</v>
      </c>
      <c r="Y1461" t="s">
        <v>54</v>
      </c>
      <c r="Z1461" t="s">
        <v>47</v>
      </c>
      <c r="AA1461">
        <v>2</v>
      </c>
      <c r="AB1461">
        <v>1</v>
      </c>
      <c r="AC1461" t="s">
        <v>31</v>
      </c>
      <c r="AD1461" t="s">
        <v>48</v>
      </c>
      <c r="AE1461" t="s">
        <v>49</v>
      </c>
      <c r="AF1461" s="3">
        <v>1821</v>
      </c>
      <c r="AG1461" s="3">
        <v>66</v>
      </c>
      <c r="AH1461">
        <v>80</v>
      </c>
      <c r="AI1461">
        <v>7</v>
      </c>
      <c r="AJ1461">
        <v>1</v>
      </c>
      <c r="AK1461">
        <v>1</v>
      </c>
      <c r="AL1461">
        <v>1</v>
      </c>
      <c r="AM1461">
        <v>0</v>
      </c>
      <c r="AN1461" t="s">
        <v>767</v>
      </c>
      <c r="AO1461" t="s">
        <v>31</v>
      </c>
    </row>
    <row r="1462" spans="1:41" x14ac:dyDescent="0.25">
      <c r="A1462">
        <v>52</v>
      </c>
      <c r="B1462" t="s">
        <v>32</v>
      </c>
      <c r="C1462" t="s">
        <v>33</v>
      </c>
      <c r="D1462">
        <v>1</v>
      </c>
      <c r="E1462" t="s">
        <v>34</v>
      </c>
      <c r="F1462">
        <v>2</v>
      </c>
      <c r="G1462">
        <v>5</v>
      </c>
      <c r="H1462" t="s">
        <v>75</v>
      </c>
      <c r="I1462">
        <v>3</v>
      </c>
      <c r="J1462" t="s">
        <v>51</v>
      </c>
      <c r="K1462">
        <v>19999</v>
      </c>
      <c r="L1462">
        <v>0</v>
      </c>
      <c r="M1462" t="s">
        <v>41</v>
      </c>
      <c r="N1462">
        <v>14</v>
      </c>
      <c r="O1462">
        <v>3</v>
      </c>
      <c r="P1462">
        <v>1</v>
      </c>
      <c r="Q1462">
        <v>34</v>
      </c>
      <c r="R1462">
        <v>5</v>
      </c>
      <c r="S1462">
        <v>33</v>
      </c>
      <c r="T1462">
        <v>11</v>
      </c>
      <c r="U1462">
        <v>9</v>
      </c>
      <c r="V1462" t="s">
        <v>58</v>
      </c>
      <c r="W1462" s="1" t="s">
        <v>752</v>
      </c>
      <c r="Y1462" t="s">
        <v>63</v>
      </c>
      <c r="Z1462" t="s">
        <v>47</v>
      </c>
      <c r="AA1462">
        <v>5</v>
      </c>
      <c r="AB1462">
        <v>0</v>
      </c>
      <c r="AC1462" t="s">
        <v>41</v>
      </c>
      <c r="AD1462" t="s">
        <v>48</v>
      </c>
      <c r="AE1462" t="s">
        <v>60</v>
      </c>
      <c r="AF1462" s="3">
        <v>1869</v>
      </c>
      <c r="AG1462" s="3">
        <v>64</v>
      </c>
      <c r="AH1462">
        <v>80</v>
      </c>
      <c r="AI1462">
        <v>7</v>
      </c>
      <c r="AJ1462">
        <v>1</v>
      </c>
      <c r="AK1462">
        <v>1</v>
      </c>
      <c r="AL1462">
        <v>1</v>
      </c>
      <c r="AM1462">
        <v>0</v>
      </c>
      <c r="AN1462" t="s">
        <v>767</v>
      </c>
      <c r="AO1462" t="s">
        <v>31</v>
      </c>
    </row>
    <row r="1463" spans="1:41" x14ac:dyDescent="0.25">
      <c r="A1463">
        <v>52</v>
      </c>
      <c r="B1463" t="s">
        <v>81</v>
      </c>
      <c r="C1463" t="s">
        <v>55</v>
      </c>
      <c r="D1463">
        <v>2</v>
      </c>
      <c r="E1463" t="s">
        <v>34</v>
      </c>
      <c r="F1463">
        <v>2</v>
      </c>
      <c r="G1463">
        <v>5</v>
      </c>
      <c r="H1463" t="s">
        <v>75</v>
      </c>
      <c r="I1463">
        <v>3</v>
      </c>
      <c r="J1463" t="s">
        <v>36</v>
      </c>
      <c r="K1463">
        <v>19068</v>
      </c>
      <c r="L1463">
        <v>1</v>
      </c>
      <c r="M1463" t="s">
        <v>31</v>
      </c>
      <c r="N1463">
        <v>18</v>
      </c>
      <c r="O1463">
        <v>3</v>
      </c>
      <c r="P1463">
        <v>0</v>
      </c>
      <c r="Q1463">
        <v>33</v>
      </c>
      <c r="R1463">
        <v>2</v>
      </c>
      <c r="S1463">
        <v>33</v>
      </c>
      <c r="T1463">
        <v>15</v>
      </c>
      <c r="U1463">
        <v>12</v>
      </c>
      <c r="V1463" t="s">
        <v>37</v>
      </c>
      <c r="W1463" s="2">
        <v>32482</v>
      </c>
      <c r="Y1463" t="s">
        <v>39</v>
      </c>
      <c r="Z1463" t="s">
        <v>47</v>
      </c>
      <c r="AA1463">
        <v>4</v>
      </c>
      <c r="AB1463">
        <v>3</v>
      </c>
      <c r="AC1463" t="s">
        <v>31</v>
      </c>
      <c r="AD1463" t="s">
        <v>42</v>
      </c>
      <c r="AE1463" t="s">
        <v>49</v>
      </c>
      <c r="AF1463" s="3">
        <v>1420</v>
      </c>
      <c r="AG1463" s="3">
        <v>97</v>
      </c>
      <c r="AH1463">
        <v>80</v>
      </c>
      <c r="AI1463">
        <v>3</v>
      </c>
      <c r="AJ1463">
        <v>1</v>
      </c>
      <c r="AK1463">
        <v>1</v>
      </c>
      <c r="AL1463">
        <v>1</v>
      </c>
      <c r="AM1463">
        <v>0</v>
      </c>
      <c r="AN1463" t="s">
        <v>767</v>
      </c>
      <c r="AO1463" t="s">
        <v>31</v>
      </c>
    </row>
    <row r="1464" spans="1:41" x14ac:dyDescent="0.25">
      <c r="A1464">
        <v>55</v>
      </c>
      <c r="B1464" t="s">
        <v>81</v>
      </c>
      <c r="C1464" t="s">
        <v>33</v>
      </c>
      <c r="D1464">
        <v>8</v>
      </c>
      <c r="E1464" t="s">
        <v>34</v>
      </c>
      <c r="F1464">
        <v>2</v>
      </c>
      <c r="G1464">
        <v>4</v>
      </c>
      <c r="H1464" t="s">
        <v>89</v>
      </c>
      <c r="I1464">
        <v>2</v>
      </c>
      <c r="J1464" t="s">
        <v>57</v>
      </c>
      <c r="K1464">
        <v>13577</v>
      </c>
      <c r="L1464">
        <v>1</v>
      </c>
      <c r="M1464" t="s">
        <v>31</v>
      </c>
      <c r="N1464">
        <v>15</v>
      </c>
      <c r="O1464">
        <v>3</v>
      </c>
      <c r="P1464">
        <v>1</v>
      </c>
      <c r="Q1464">
        <v>34</v>
      </c>
      <c r="R1464">
        <v>3</v>
      </c>
      <c r="S1464">
        <v>33</v>
      </c>
      <c r="T1464">
        <v>15</v>
      </c>
      <c r="U1464">
        <v>0</v>
      </c>
      <c r="V1464" t="s">
        <v>72</v>
      </c>
      <c r="W1464" s="2">
        <v>32390</v>
      </c>
      <c r="Y1464" t="s">
        <v>39</v>
      </c>
      <c r="Z1464" t="s">
        <v>47</v>
      </c>
      <c r="AA1464">
        <v>3</v>
      </c>
      <c r="AB1464">
        <v>1</v>
      </c>
      <c r="AC1464" t="s">
        <v>41</v>
      </c>
      <c r="AD1464" t="s">
        <v>67</v>
      </c>
      <c r="AE1464" t="s">
        <v>49</v>
      </c>
      <c r="AF1464" s="3">
        <v>1458</v>
      </c>
      <c r="AG1464" s="3">
        <v>54</v>
      </c>
      <c r="AH1464">
        <v>80</v>
      </c>
      <c r="AI1464">
        <v>0</v>
      </c>
      <c r="AJ1464">
        <v>1</v>
      </c>
      <c r="AK1464">
        <v>1</v>
      </c>
      <c r="AL1464">
        <v>1</v>
      </c>
      <c r="AM1464">
        <v>0</v>
      </c>
      <c r="AN1464" t="s">
        <v>767</v>
      </c>
      <c r="AO1464" t="s">
        <v>31</v>
      </c>
    </row>
    <row r="1465" spans="1:41" x14ac:dyDescent="0.25">
      <c r="A1465">
        <v>51</v>
      </c>
      <c r="B1465" t="s">
        <v>32</v>
      </c>
      <c r="C1465" t="s">
        <v>120</v>
      </c>
      <c r="D1465">
        <v>5</v>
      </c>
      <c r="E1465" t="s">
        <v>34</v>
      </c>
      <c r="F1465">
        <v>3</v>
      </c>
      <c r="G1465">
        <v>4</v>
      </c>
      <c r="H1465" t="s">
        <v>75</v>
      </c>
      <c r="I1465">
        <v>2</v>
      </c>
      <c r="J1465" t="s">
        <v>57</v>
      </c>
      <c r="K1465">
        <v>14026</v>
      </c>
      <c r="L1465">
        <v>1</v>
      </c>
      <c r="M1465" t="s">
        <v>31</v>
      </c>
      <c r="N1465">
        <v>11</v>
      </c>
      <c r="O1465">
        <v>3</v>
      </c>
      <c r="P1465">
        <v>1</v>
      </c>
      <c r="Q1465">
        <v>33</v>
      </c>
      <c r="R1465">
        <v>2</v>
      </c>
      <c r="S1465">
        <v>33</v>
      </c>
      <c r="T1465">
        <v>0</v>
      </c>
      <c r="U1465">
        <v>10</v>
      </c>
      <c r="V1465" t="s">
        <v>52</v>
      </c>
      <c r="W1465" s="2">
        <v>32237</v>
      </c>
      <c r="Y1465" t="s">
        <v>63</v>
      </c>
      <c r="Z1465" t="s">
        <v>40</v>
      </c>
      <c r="AA1465">
        <v>4</v>
      </c>
      <c r="AB1465">
        <v>1</v>
      </c>
      <c r="AC1465" t="s">
        <v>31</v>
      </c>
      <c r="AD1465" t="s">
        <v>65</v>
      </c>
      <c r="AE1465" t="s">
        <v>43</v>
      </c>
      <c r="AF1465" s="3">
        <v>1489</v>
      </c>
      <c r="AG1465" s="3">
        <v>40</v>
      </c>
      <c r="AH1465">
        <v>80</v>
      </c>
      <c r="AI1465">
        <v>9</v>
      </c>
      <c r="AJ1465">
        <v>1</v>
      </c>
      <c r="AK1465">
        <v>1</v>
      </c>
      <c r="AL1465">
        <v>1</v>
      </c>
      <c r="AM1465">
        <v>0</v>
      </c>
      <c r="AN1465" t="s">
        <v>767</v>
      </c>
      <c r="AO1465" t="s">
        <v>31</v>
      </c>
    </row>
    <row r="1466" spans="1:41" x14ac:dyDescent="0.25">
      <c r="A1466">
        <v>53</v>
      </c>
      <c r="B1466" t="s">
        <v>32</v>
      </c>
      <c r="C1466" t="s">
        <v>33</v>
      </c>
      <c r="D1466">
        <v>2</v>
      </c>
      <c r="E1466" t="s">
        <v>61</v>
      </c>
      <c r="F1466">
        <v>2</v>
      </c>
      <c r="G1466">
        <v>3</v>
      </c>
      <c r="H1466" t="s">
        <v>78</v>
      </c>
      <c r="I1466">
        <v>4</v>
      </c>
      <c r="J1466" t="s">
        <v>51</v>
      </c>
      <c r="K1466">
        <v>10169</v>
      </c>
      <c r="L1466">
        <v>0</v>
      </c>
      <c r="M1466" t="s">
        <v>41</v>
      </c>
      <c r="N1466">
        <v>16</v>
      </c>
      <c r="O1466">
        <v>3</v>
      </c>
      <c r="P1466">
        <v>1</v>
      </c>
      <c r="Q1466">
        <v>34</v>
      </c>
      <c r="R1466">
        <v>4</v>
      </c>
      <c r="S1466">
        <v>33</v>
      </c>
      <c r="T1466">
        <v>1</v>
      </c>
      <c r="U1466">
        <v>9</v>
      </c>
      <c r="V1466" t="s">
        <v>52</v>
      </c>
      <c r="W1466" s="1" t="s">
        <v>753</v>
      </c>
      <c r="Y1466" t="s">
        <v>46</v>
      </c>
      <c r="Z1466" t="s">
        <v>47</v>
      </c>
      <c r="AA1466">
        <v>4</v>
      </c>
      <c r="AB1466">
        <v>0</v>
      </c>
      <c r="AC1466" t="s">
        <v>31</v>
      </c>
      <c r="AD1466" t="s">
        <v>48</v>
      </c>
      <c r="AE1466" t="s">
        <v>43</v>
      </c>
      <c r="AF1466" s="3">
        <v>1758</v>
      </c>
      <c r="AG1466" s="3">
        <v>74</v>
      </c>
      <c r="AH1466">
        <v>80</v>
      </c>
      <c r="AI1466">
        <v>0</v>
      </c>
      <c r="AJ1466">
        <v>1</v>
      </c>
      <c r="AK1466">
        <v>1</v>
      </c>
      <c r="AL1466">
        <v>1</v>
      </c>
      <c r="AM1466">
        <v>0</v>
      </c>
      <c r="AN1466" t="s">
        <v>767</v>
      </c>
      <c r="AO1466" t="s">
        <v>31</v>
      </c>
    </row>
    <row r="1467" spans="1:41" x14ac:dyDescent="0.25">
      <c r="A1467">
        <v>52</v>
      </c>
      <c r="B1467" t="s">
        <v>32</v>
      </c>
      <c r="C1467" t="s">
        <v>55</v>
      </c>
      <c r="D1467">
        <v>3</v>
      </c>
      <c r="E1467" t="s">
        <v>34</v>
      </c>
      <c r="F1467">
        <v>2</v>
      </c>
      <c r="G1467">
        <v>4</v>
      </c>
      <c r="H1467" t="s">
        <v>75</v>
      </c>
      <c r="I1467">
        <v>1</v>
      </c>
      <c r="J1467" t="s">
        <v>51</v>
      </c>
      <c r="K1467">
        <v>16856</v>
      </c>
      <c r="L1467">
        <v>1</v>
      </c>
      <c r="M1467" t="s">
        <v>41</v>
      </c>
      <c r="N1467">
        <v>11</v>
      </c>
      <c r="O1467">
        <v>3</v>
      </c>
      <c r="P1467">
        <v>0</v>
      </c>
      <c r="Q1467">
        <v>34</v>
      </c>
      <c r="R1467">
        <v>3</v>
      </c>
      <c r="S1467">
        <v>34</v>
      </c>
      <c r="T1467">
        <v>1</v>
      </c>
      <c r="U1467">
        <v>16</v>
      </c>
      <c r="V1467" t="s">
        <v>52</v>
      </c>
      <c r="W1467" s="2">
        <v>31903</v>
      </c>
      <c r="Y1467" t="s">
        <v>39</v>
      </c>
      <c r="Z1467" t="s">
        <v>40</v>
      </c>
      <c r="AA1467">
        <v>3</v>
      </c>
      <c r="AB1467">
        <v>2</v>
      </c>
      <c r="AC1467" t="s">
        <v>41</v>
      </c>
      <c r="AD1467" t="s">
        <v>65</v>
      </c>
      <c r="AE1467" t="s">
        <v>49</v>
      </c>
      <c r="AF1467" s="3">
        <v>1905</v>
      </c>
      <c r="AG1467" s="3">
        <v>85</v>
      </c>
      <c r="AH1467">
        <v>80</v>
      </c>
      <c r="AI1467">
        <v>2</v>
      </c>
      <c r="AJ1467">
        <v>1</v>
      </c>
      <c r="AK1467">
        <v>1</v>
      </c>
      <c r="AL1467">
        <v>1</v>
      </c>
      <c r="AM1467">
        <v>0</v>
      </c>
      <c r="AN1467" t="s">
        <v>767</v>
      </c>
      <c r="AO1467" t="s">
        <v>31</v>
      </c>
    </row>
    <row r="1468" spans="1:41" x14ac:dyDescent="0.25">
      <c r="A1468">
        <v>55</v>
      </c>
      <c r="B1468" t="s">
        <v>32</v>
      </c>
      <c r="C1468" t="s">
        <v>33</v>
      </c>
      <c r="D1468">
        <v>1</v>
      </c>
      <c r="E1468" t="s">
        <v>34</v>
      </c>
      <c r="F1468">
        <v>3</v>
      </c>
      <c r="G1468">
        <v>5</v>
      </c>
      <c r="H1468" t="s">
        <v>75</v>
      </c>
      <c r="I1468">
        <v>1</v>
      </c>
      <c r="J1468" t="s">
        <v>36</v>
      </c>
      <c r="K1468">
        <v>19045</v>
      </c>
      <c r="L1468">
        <v>0</v>
      </c>
      <c r="M1468" t="s">
        <v>31</v>
      </c>
      <c r="N1468">
        <v>14</v>
      </c>
      <c r="O1468">
        <v>3</v>
      </c>
      <c r="P1468">
        <v>0</v>
      </c>
      <c r="Q1468">
        <v>37</v>
      </c>
      <c r="R1468">
        <v>2</v>
      </c>
      <c r="S1468">
        <v>36</v>
      </c>
      <c r="T1468">
        <v>4</v>
      </c>
      <c r="U1468">
        <v>13</v>
      </c>
      <c r="V1468" t="s">
        <v>52</v>
      </c>
      <c r="W1468" s="1" t="s">
        <v>754</v>
      </c>
      <c r="Y1468" t="s">
        <v>46</v>
      </c>
      <c r="Z1468" t="s">
        <v>47</v>
      </c>
      <c r="AA1468">
        <v>1</v>
      </c>
      <c r="AB1468">
        <v>1</v>
      </c>
      <c r="AC1468" t="s">
        <v>41</v>
      </c>
      <c r="AD1468" t="s">
        <v>67</v>
      </c>
      <c r="AE1468" t="s">
        <v>60</v>
      </c>
      <c r="AF1468" s="3">
        <v>1868</v>
      </c>
      <c r="AG1468" s="3">
        <v>73</v>
      </c>
      <c r="AH1468">
        <v>80</v>
      </c>
      <c r="AI1468">
        <v>0</v>
      </c>
      <c r="AJ1468">
        <v>1</v>
      </c>
      <c r="AK1468">
        <v>1</v>
      </c>
      <c r="AL1468">
        <v>1</v>
      </c>
      <c r="AM1468">
        <v>0</v>
      </c>
      <c r="AN1468" t="s">
        <v>767</v>
      </c>
      <c r="AO1468" t="s">
        <v>31</v>
      </c>
    </row>
    <row r="1469" spans="1:41" x14ac:dyDescent="0.25">
      <c r="A1469">
        <v>55</v>
      </c>
      <c r="B1469" t="s">
        <v>32</v>
      </c>
      <c r="C1469" t="s">
        <v>55</v>
      </c>
      <c r="D1469">
        <v>26</v>
      </c>
      <c r="E1469" t="s">
        <v>34</v>
      </c>
      <c r="F1469">
        <v>2</v>
      </c>
      <c r="G1469">
        <v>5</v>
      </c>
      <c r="H1469" t="s">
        <v>75</v>
      </c>
      <c r="I1469">
        <v>4</v>
      </c>
      <c r="J1469" t="s">
        <v>51</v>
      </c>
      <c r="K1469">
        <v>19586</v>
      </c>
      <c r="L1469">
        <v>1</v>
      </c>
      <c r="M1469" t="s">
        <v>41</v>
      </c>
      <c r="N1469">
        <v>21</v>
      </c>
      <c r="O1469">
        <v>4</v>
      </c>
      <c r="P1469">
        <v>1</v>
      </c>
      <c r="Q1469">
        <v>36</v>
      </c>
      <c r="R1469">
        <v>3</v>
      </c>
      <c r="S1469">
        <v>36</v>
      </c>
      <c r="T1469">
        <v>2</v>
      </c>
      <c r="U1469">
        <v>13</v>
      </c>
      <c r="V1469" t="s">
        <v>52</v>
      </c>
      <c r="W1469" s="1" t="s">
        <v>755</v>
      </c>
      <c r="Y1469" t="s">
        <v>46</v>
      </c>
      <c r="Z1469" t="s">
        <v>40</v>
      </c>
      <c r="AA1469">
        <v>2</v>
      </c>
      <c r="AB1469">
        <v>1</v>
      </c>
      <c r="AC1469" t="s">
        <v>41</v>
      </c>
      <c r="AD1469" t="s">
        <v>48</v>
      </c>
      <c r="AE1469" t="s">
        <v>49</v>
      </c>
      <c r="AF1469" s="3">
        <v>1667</v>
      </c>
      <c r="AG1469" s="3">
        <v>36</v>
      </c>
      <c r="AH1469">
        <v>80</v>
      </c>
      <c r="AI1469">
        <v>9</v>
      </c>
      <c r="AJ1469">
        <v>1</v>
      </c>
      <c r="AK1469">
        <v>1</v>
      </c>
      <c r="AL1469">
        <v>1</v>
      </c>
      <c r="AM1469">
        <v>0</v>
      </c>
      <c r="AN1469" t="s">
        <v>767</v>
      </c>
      <c r="AO1469" t="s">
        <v>31</v>
      </c>
    </row>
    <row r="1470" spans="1:41" x14ac:dyDescent="0.25">
      <c r="A1470">
        <v>58</v>
      </c>
      <c r="B1470" t="s">
        <v>32</v>
      </c>
      <c r="C1470" t="s">
        <v>55</v>
      </c>
      <c r="D1470">
        <v>10</v>
      </c>
      <c r="E1470" t="s">
        <v>34</v>
      </c>
      <c r="F1470">
        <v>3</v>
      </c>
      <c r="G1470">
        <v>4</v>
      </c>
      <c r="H1470" t="s">
        <v>70</v>
      </c>
      <c r="I1470">
        <v>3</v>
      </c>
      <c r="J1470" t="s">
        <v>36</v>
      </c>
      <c r="K1470">
        <v>13872</v>
      </c>
      <c r="L1470">
        <v>0</v>
      </c>
      <c r="M1470" t="s">
        <v>41</v>
      </c>
      <c r="N1470">
        <v>13</v>
      </c>
      <c r="O1470">
        <v>3</v>
      </c>
      <c r="P1470">
        <v>0</v>
      </c>
      <c r="Q1470">
        <v>38</v>
      </c>
      <c r="R1470">
        <v>1</v>
      </c>
      <c r="S1470">
        <v>37</v>
      </c>
      <c r="T1470">
        <v>1</v>
      </c>
      <c r="U1470">
        <v>8</v>
      </c>
      <c r="V1470" t="s">
        <v>58</v>
      </c>
      <c r="W1470" s="1" t="s">
        <v>756</v>
      </c>
      <c r="Y1470" t="s">
        <v>69</v>
      </c>
      <c r="Z1470" t="s">
        <v>47</v>
      </c>
      <c r="AA1470">
        <v>2</v>
      </c>
      <c r="AB1470">
        <v>2</v>
      </c>
      <c r="AC1470" t="s">
        <v>31</v>
      </c>
      <c r="AD1470" t="s">
        <v>42</v>
      </c>
      <c r="AE1470" t="s">
        <v>49</v>
      </c>
      <c r="AF1470" s="3">
        <v>1878</v>
      </c>
      <c r="AG1470" s="3">
        <v>75</v>
      </c>
      <c r="AH1470">
        <v>80</v>
      </c>
      <c r="AI1470">
        <v>0</v>
      </c>
      <c r="AJ1470">
        <v>1</v>
      </c>
      <c r="AK1470">
        <v>1</v>
      </c>
      <c r="AL1470">
        <v>1</v>
      </c>
      <c r="AM1470">
        <v>0</v>
      </c>
      <c r="AN1470" t="s">
        <v>767</v>
      </c>
      <c r="AO1470" t="s">
        <v>31</v>
      </c>
    </row>
    <row r="1471" spans="1:41" x14ac:dyDescent="0.25">
      <c r="A1471">
        <v>58</v>
      </c>
      <c r="B1471" t="s">
        <v>32</v>
      </c>
      <c r="C1471" t="s">
        <v>33</v>
      </c>
      <c r="D1471">
        <v>23</v>
      </c>
      <c r="E1471" t="s">
        <v>61</v>
      </c>
      <c r="F1471">
        <v>3</v>
      </c>
      <c r="G1471">
        <v>3</v>
      </c>
      <c r="H1471" t="s">
        <v>89</v>
      </c>
      <c r="I1471">
        <v>4</v>
      </c>
      <c r="J1471" t="s">
        <v>51</v>
      </c>
      <c r="K1471">
        <v>10312</v>
      </c>
      <c r="L1471">
        <v>1</v>
      </c>
      <c r="M1471" t="s">
        <v>41</v>
      </c>
      <c r="N1471">
        <v>12</v>
      </c>
      <c r="O1471">
        <v>3</v>
      </c>
      <c r="P1471">
        <v>1</v>
      </c>
      <c r="Q1471">
        <v>40</v>
      </c>
      <c r="R1471">
        <v>3</v>
      </c>
      <c r="S1471">
        <v>40</v>
      </c>
      <c r="T1471">
        <v>15</v>
      </c>
      <c r="U1471">
        <v>6</v>
      </c>
      <c r="V1471" t="s">
        <v>72</v>
      </c>
      <c r="W1471" s="2">
        <v>29800</v>
      </c>
      <c r="Y1471" t="s">
        <v>69</v>
      </c>
      <c r="Z1471" t="s">
        <v>47</v>
      </c>
      <c r="AA1471">
        <v>4</v>
      </c>
      <c r="AB1471">
        <v>3</v>
      </c>
      <c r="AC1471" t="s">
        <v>31</v>
      </c>
      <c r="AD1471" t="s">
        <v>65</v>
      </c>
      <c r="AE1471" t="s">
        <v>60</v>
      </c>
      <c r="AF1471" s="3">
        <v>1702</v>
      </c>
      <c r="AG1471" s="3">
        <v>99</v>
      </c>
      <c r="AH1471">
        <v>80</v>
      </c>
      <c r="AI1471">
        <v>2</v>
      </c>
      <c r="AJ1471">
        <v>1</v>
      </c>
      <c r="AK1471">
        <v>1</v>
      </c>
      <c r="AL1471">
        <v>1</v>
      </c>
      <c r="AM1471">
        <v>0</v>
      </c>
      <c r="AN1471" t="s">
        <v>767</v>
      </c>
      <c r="AO1471" t="s">
        <v>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Dashboard</vt:lpstr>
      <vt:lpstr>Ratings</vt:lpstr>
      <vt:lpstr>Gender</vt:lpstr>
      <vt:lpstr>Education by attrition</vt:lpstr>
      <vt:lpstr>Attrition by job</vt:lpstr>
      <vt:lpstr>Dept wise attrition</vt:lpstr>
      <vt:lpstr>attrition by age</vt:lpstr>
      <vt:lpstr>Marital status</vt:lpstr>
      <vt:lpstr>Final dataset Attrition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priya k</cp:lastModifiedBy>
  <dcterms:created xsi:type="dcterms:W3CDTF">2025-09-30T09:51:19Z</dcterms:created>
  <dcterms:modified xsi:type="dcterms:W3CDTF">2026-03-25T07:17:29Z</dcterms:modified>
</cp:coreProperties>
</file>